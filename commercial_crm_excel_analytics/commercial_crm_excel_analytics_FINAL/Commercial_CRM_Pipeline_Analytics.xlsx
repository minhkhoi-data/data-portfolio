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aeb2df91e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d50803f0ba847df"/>
    <x:sheet xmlns:r="http://schemas.openxmlformats.org/officeDocument/2006/relationships" name="CRM_Data" sheetId="2" r:id="R716b9591c31f4066"/>
    <x:sheet xmlns:r="http://schemas.openxmlformats.org/officeDocument/2006/relationships" name="Rep_Performance" sheetId="3" r:id="Ra0f51ef1159347f8"/>
    <x:sheet xmlns:r="http://schemas.openxmlformats.org/officeDocument/2006/relationships" name="Channel_Performance" sheetId="4" r:id="R6c393ef3eb0f48db"/>
    <x:sheet xmlns:r="http://schemas.openxmlformats.org/officeDocument/2006/relationships" name="Funnel_Analysis" sheetId="5" r:id="R61216e03ccb74bd3"/>
    <x:sheet xmlns:r="http://schemas.openxmlformats.org/officeDocument/2006/relationships" name="Monthly_Trend" sheetId="6" r:id="R1710c23cdb554635"/>
    <x:sheet xmlns:r="http://schemas.openxmlformats.org/officeDocument/2006/relationships" name="Action_List" sheetId="7" r:id="Rf5661240ba7b476f"/>
    <x:sheet xmlns:r="http://schemas.openxmlformats.org/officeDocument/2006/relationships" name="Lookups" sheetId="8" r:id="R1e91e5b9e1f34e3c"/>
    <x:sheet xmlns:r="http://schemas.openxmlformats.org/officeDocument/2006/relationships" name="Data_Dictionary" sheetId="9" r:id="R0929c64fcc2c44ac"/>
    <x:sheet xmlns:r="http://schemas.openxmlformats.org/officeDocument/2006/relationships" name="Project_Overview" sheetId="10" r:id="R5b7496f44e60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"/>
    <x:numFmt numFmtId="202" formatCode="0%"/>
    <x:numFmt numFmtId="203" formatCode="0"/>
    <x:numFmt numFmtId="204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i/>
      <x:sz val="11"/>
      <x:color rgb="FF666666"/>
      <x:name val="Carlito"/>
    </x:font>
    <x:font>
      <x:b/>
      <x:sz val="11"/>
      <x:color rgb="FF17365D"/>
      <x:name val="Carlito"/>
    </x:font>
    <x:font>
      <x:b/>
      <x:sz val="18"/>
      <x:color rgb="FF17365D"/>
      <x:name val="Carlito"/>
    </x:font>
    <x:font>
      <x:b/>
      <x:sz val="11"/>
      <x:color rgb="FFC62828"/>
      <x:name val="Carlito"/>
    </x:font>
    <x:font>
      <x:b/>
      <x:sz val="11"/>
      <x:color rgb="FF7F6000"/>
      <x:name val="Carlito"/>
    </x:font>
    <x:font>
      <x:b/>
      <x:sz val="14"/>
      <x:color rgb="FF17365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7FBFE"/>
      </x:patternFill>
    </x:fill>
    <x:fill>
      <x:patternFill patternType="solid">
        <x:fgColor rgb="FFFCE8E6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1" fontId="5" fillId="5" borderId="0" xfId="0" applyNumberFormat="1" applyFont="1" applyFill="1" applyBorder="1" applyAlignment="1">
      <x:alignment horizontal="center" vertical="center"/>
    </x:xf>
    <x:xf numFmtId="201" fontId="5" fillId="5" borderId="1" xfId="0" applyNumberFormat="1" applyFont="1" applyFill="1" applyBorder="1" applyAlignment="1">
      <x:alignment horizontal="center" vertical="center"/>
    </x:xf>
    <x:xf numFmtId="204" fontId="5" fillId="5" borderId="0" xfId="0" applyNumberFormat="1" applyFont="1" applyFill="1" applyBorder="1" applyAlignment="1">
      <x:alignment horizontal="center" vertical="center"/>
    </x:xf>
    <x:xf numFmtId="204" fontId="5" fillId="5" borderId="1" xfId="0" applyNumberFormat="1" applyFont="1" applyFill="1" applyBorder="1" applyAlignment="1">
      <x:alignment horizontal="center" vertical="center"/>
    </x:xf>
    <x:xf numFmtId="203" fontId="5" fillId="5" borderId="0" xfId="0" applyNumberFormat="1" applyFont="1" applyFill="1" applyBorder="1" applyAlignment="1">
      <x:alignment horizontal="center" vertical="center"/>
    </x:xf>
    <x:xf numFmtId="203" fontId="5" fillId="5" borderId="1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 applyAlignment="1">
      <x:alignment horizontal="left"/>
    </x:xf>
    <x:xf numFmtId="0" fontId="4" fillId="4" borderId="1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C6282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628ec33c4f42bb" /><Relationship Type="http://schemas.openxmlformats.org/officeDocument/2006/relationships/theme" Target="/xl/theme/theme1.xml" Id="Rbc0ca828a4854995" /><Relationship Type="http://schemas.openxmlformats.org/officeDocument/2006/relationships/sharedStrings" Target="/xl/sharedStrings.xml" Id="Rda41c9be716a4d62" /><Relationship Type="http://schemas.openxmlformats.org/officeDocument/2006/relationships/worksheet" Target="/xl/worksheets/sheet1.xml" Id="R9d50803f0ba847df" /><Relationship Type="http://schemas.openxmlformats.org/officeDocument/2006/relationships/worksheet" Target="/xl/worksheets/sheet2.xml" Id="R716b9591c31f4066" /><Relationship Type="http://schemas.openxmlformats.org/officeDocument/2006/relationships/worksheet" Target="/xl/worksheets/sheet3.xml" Id="Ra0f51ef1159347f8" /><Relationship Type="http://schemas.openxmlformats.org/officeDocument/2006/relationships/worksheet" Target="/xl/worksheets/sheet4.xml" Id="R6c393ef3eb0f48db" /><Relationship Type="http://schemas.openxmlformats.org/officeDocument/2006/relationships/worksheet" Target="/xl/worksheets/sheet5.xml" Id="R61216e03ccb74bd3" /><Relationship Type="http://schemas.openxmlformats.org/officeDocument/2006/relationships/worksheet" Target="/xl/worksheets/sheet6.xml" Id="R1710c23cdb554635" /><Relationship Type="http://schemas.openxmlformats.org/officeDocument/2006/relationships/worksheet" Target="/xl/worksheets/sheet7.xml" Id="Rf5661240ba7b476f" /><Relationship Type="http://schemas.openxmlformats.org/officeDocument/2006/relationships/worksheet" Target="/xl/worksheets/sheet8.xml" Id="R1e91e5b9e1f34e3c" /><Relationship Type="http://schemas.openxmlformats.org/officeDocument/2006/relationships/worksheet" Target="/xl/worksheets/sheet9.xml" Id="R0929c64fcc2c44ac" /><Relationship Type="http://schemas.openxmlformats.org/officeDocument/2006/relationships/worksheet" Target="/xl/worksheets/sheet10.xml" Id="R5b7496f44e6046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f4b58ebf4348fc" /><Relationship Type="http://schemas.openxmlformats.org/officeDocument/2006/relationships/chart" Target="/xl/drawings/charts/chart2.xml" Id="Rdd3009b0de96439d" /><Relationship Type="http://schemas.openxmlformats.org/officeDocument/2006/relationships/chart" Target="/xl/drawings/charts/chart3.xml" Id="R54a2b113efc44358" /><Relationship Type="http://schemas.openxmlformats.org/officeDocument/2006/relationships/chart" Target="/xl/drawings/charts/chart4.xml" Id="Rd55fb989b9084a8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Reached Stage</c:v>
          </c:tx>
          <c:cat>
            <c:strRef>
              <c:f>='Funnel_Analysis'!$A$2:$A$7</c:f>
              <c:strCache>
                <c:ptCount val="0"/>
              </c:strCache>
            </c:strRef>
          </c:cat>
          <c:val>
            <c:numRef>
              <c:f>='Funnel_Analysis'!$B$2:$B$7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='Channel_Performance'!$A$2:$A$9</c:f>
              <c:strCache>
                <c:ptCount val="0"/>
              </c:strCache>
            </c:strRef>
          </c:cat>
          <c:val>
            <c:numRef>
              <c:f>='Channel_Performance'!$F$2:$F$9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Won Revenue</c:v>
          </c:tx>
          <c:marker>
            <c:symbol val="none"/>
          </c:marker>
          <c:cat>
            <c:strRef>
              <c:f>='Monthly_Trend'!$A$2:$A$21</c:f>
              <c:strCache>
                <c:ptCount val="0"/>
              </c:strCache>
            </c:strRef>
          </c:cat>
          <c:val>
            <c:numRef>
              <c:f>='Monthly_Trend'!$D$2:$D$21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Won Revenue</c:v>
          </c:tx>
          <c:cat>
            <c:strRef>
              <c:f>='Rep_Performance'!$A$2:$A$9</c:f>
              <c:strCache>
                <c:ptCount val="0"/>
              </c:strCache>
            </c:strRef>
          </c:cat>
          <c:val>
            <c:numRef>
              <c:f>='Rep_Performance'!$H$2:$H$9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Target</c:v>
          </c:tx>
          <c:cat>
            <c:strRef>
              <c:f>='Rep_Performance'!$A$2:$A$9</c:f>
              <c:strCache>
                <c:ptCount val="0"/>
              </c:strCache>
            </c:strRef>
          </c:cat>
          <c:val>
            <c:numRef>
              <c:f>='Rep_Performance'!$L$2:$L$9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f4b58ebf4348fc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3009b0de96439d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7</xdr:col>
      <xdr:colOff>0</xdr:colOff>
      <xdr:row>34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a2b113efc44358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5fb989b9084a8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RMTable" displayName="CRMTable" ref="A1:AE1801" headerRowCount="1" totalsRowCount="0" totalsRowShown="0">
  <x:tableColumns count="31">
    <x:tableColumn id="1" name="Lead_ID"/>
    <x:tableColumn id="2" name="Created_Date"/>
    <x:tableColumn id="3" name="Owner"/>
    <x:tableColumn id="4" name="Region"/>
    <x:tableColumn id="5" name="Raw_Source"/>
    <x:tableColumn id="6" name="Product_Code"/>
    <x:tableColumn id="7" name="Industry"/>
    <x:tableColumn id="8" name="Company_Size"/>
    <x:tableColumn id="9" name="Deal_Stage"/>
    <x:tableColumn id="10" name="Last_Stage_Date"/>
    <x:tableColumn id="11" name="Close_Date"/>
    <x:tableColumn id="12" name="Expected_Value_USD"/>
    <x:tableColumn id="13" name="Discount_Pct"/>
    <x:tableColumn id="14" name="Stage_Probability"/>
    <x:tableColumn id="15" name="Lost_Reason"/>
    <x:tableColumn id="16" name="Funnel_Level"/>
    <x:tableColumn id="17" name="Source_Clean"/>
    <x:tableColumn id="18" name="Product_Name"/>
    <x:tableColumn id="19" name="Product_Category"/>
    <x:tableColumn id="20" name="Deal_Segment"/>
    <x:tableColumn id="21" name="Outcome"/>
    <x:tableColumn id="22" name="Actual_Revenue_USD"/>
    <x:tableColumn id="23" name="Weighted_Pipeline_USD"/>
    <x:tableColumn id="24" name="Sales_Cycle_Days"/>
    <x:tableColumn id="25" name="Age_Days"/>
    <x:tableColumn id="26" name="SLA_Flag"/>
    <x:tableColumn id="27" name="Created_Month"/>
    <x:tableColumn id="28" name="Close_Month"/>
    <x:tableColumn id="29" name="Created_Quarter"/>
    <x:tableColumn id="30" name="Lead_Score"/>
    <x:tableColumn id="31" name="Forecast_Catego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PerformanceTable" displayName="RepPerformanceTable" ref="A1:M9" headerRowCount="1" totalsRowCount="0" totalsRowShown="0">
  <x:tableColumns count="13">
    <x:tableColumn id="1" name="Rep"/>
    <x:tableColumn id="2" name="Region"/>
    <x:tableColumn id="3" name="Team"/>
    <x:tableColumn id="4" name="Total Leads"/>
    <x:tableColumn id="5" name="Won Deals"/>
    <x:tableColumn id="6" name="Lost Deals"/>
    <x:tableColumn id="7" name="Win Rate"/>
    <x:tableColumn id="8" name="Won Revenue"/>
    <x:tableColumn id="9" name="Open Pipeline"/>
    <x:tableColumn id="10" name="Weighted Pipeline"/>
    <x:tableColumn id="11" name="Avg Sales Cycle"/>
    <x:tableColumn id="12" name="Revenue Target"/>
    <x:tableColumn id="13" name="Target Attain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nnelPerformanceTable" displayName="ChannelPerformanceTable" ref="A1:J9" headerRowCount="1" totalsRowCount="0" totalsRowShown="0">
  <x:tableColumns count="10">
    <x:tableColumn id="1" name="Channel"/>
    <x:tableColumn id="2" name="Leads"/>
    <x:tableColumn id="3" name="Won"/>
    <x:tableColumn id="4" name="Lost"/>
    <x:tableColumn id="5" name="Win Rate"/>
    <x:tableColumn id="6" name="Won Revenue"/>
    <x:tableColumn id="7" name="Revenue / Lead"/>
    <x:tableColumn id="8" name="Open Pipeline"/>
    <x:tableColumn id="9" name="Weighted Pipeline"/>
    <x:tableColumn id="10" name="Avg Won De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nnelTable" displayName="FunnelTable" ref="A1:D7" headerRowCount="1" totalsRowCount="0" totalsRowShown="0">
  <x:tableColumns count="4">
    <x:tableColumn id="1" name="Funnel Stage"/>
    <x:tableColumn id="2" name="Reached Stage"/>
    <x:tableColumn id="3" name="Conversion from Previous"/>
    <x:tableColumn id="4" name="Drop-off from Previo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onthlyTrendTable" displayName="MonthlyTrendTable" ref="A1:F21" headerRowCount="1" totalsRowCount="0" totalsRowShown="0">
  <x:tableColumns count="6">
    <x:tableColumn id="1" name="Month"/>
    <x:tableColumn id="2" name="Created Leads"/>
    <x:tableColumn id="3" name="Won Deals"/>
    <x:tableColumn id="4" name="Won Revenue"/>
    <x:tableColumn id="5" name="Avg Won Deal"/>
    <x:tableColumn id="6" name="Win R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ActionListTable" displayName="ActionListTable" ref="A1:E6" headerRowCount="1" totalsRowCount="0" totalsRowShown="0">
  <x:tableColumns count="5">
    <x:tableColumn id="1" name="Priority"/>
    <x:tableColumn id="2" name="Management Finding"/>
    <x:tableColumn id="3" name="Evidence"/>
    <x:tableColumn id="4" name="Recommended Action"/>
    <x:tableColumn id="5" name="Own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DataDictionaryTable" displayName="DataDictionaryTable" ref="A1:D18" headerRowCount="1" totalsRowCount="0" totalsRowShown="0">
  <x:tableColumns count="4">
    <x:tableColumn id="1" name="Field"/>
    <x:tableColumn id="2" name="Type"/>
    <x:tableColumn id="3" name="Source / Formula"/>
    <x:tableColumn id="4" name="Business 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b88ccb10e244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c4095faf6348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af9450ea6943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9cda91863742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257057ff704f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209d2cae2f40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40ccaa24e044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32ecb68f6fe466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28" customHeight="1">
      <x:c r="A1" s="5" t="str">
        <x:v>Commercial &amp; CRM Operations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30" t="str">
        <x:v>Sales pipeline, channel efficiency, rep performance and funnel health | Data snapshot: 2026-09-01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A3" s="35" t="str">
        <x:v>Won Revenue</x:v>
      </x:c>
      <x:c r="B3" s="35"/>
      <x:c r="C3" s="35" t="str">
        <x:v>Open Pipeline</x:v>
      </x:c>
      <x:c r="D3" s="35"/>
      <x:c r="E3" s="35" t="str">
        <x:v>Weighted Pipeline</x:v>
      </x:c>
      <x:c r="F3" s="35"/>
      <x:c r="G3" s="35" t="str">
        <x:v>Win Rate</x:v>
      </x:c>
      <x:c r="H3" s="35"/>
      <x:c r="I3" s="35" t="str">
        <x:v>Avg Won Deal</x:v>
      </x:c>
      <x:c r="J3" s="35"/>
      <x:c r="K3" s="35" t="str">
        <x:v>Stale Open Leads</x:v>
      </x:c>
      <x:c r="L3" s="35"/>
      <x:c r="M3" s="35" t="str">
        <x:v>Excel Model</x:v>
      </x:c>
      <x:c r="N3" s="35"/>
    </x:row>
    <x:row r="4">
      <x:c r="A4" s="48" t="n">
        <x:f>SUM(CRM_Data!$V$2:$V$1801)</x:f>
        <x:v>9775630</x:v>
      </x:c>
      <x:c r="B4" s="43"/>
      <x:c r="C4" s="48" t="n">
        <x:f>SUMIFS(CRM_Data!$L$2:$L$1801,CRM_Data!$U$2:$U$1801,"Open")</x:f>
        <x:v>13011200</x:v>
      </x:c>
      <x:c r="D4" s="43"/>
      <x:c r="E4" s="48" t="n">
        <x:f>SUM(CRM_Data!$W$2:$W$1801)</x:f>
        <x:v>7830015</x:v>
      </x:c>
      <x:c r="F4" s="43"/>
      <x:c r="G4" s="50" t="n">
        <x:f>IFERROR(COUNTIF(CRM_Data!$U$2:$U$1801,"Won")/(COUNTIF(CRM_Data!$U$2:$U$1801,"Won")+COUNTIF(CRM_Data!$U$2:$U$1801,"Lost")),0)</x:f>
        <x:v>0.26046176046176045</x:v>
      </x:c>
      <x:c r="H4" s="43"/>
      <x:c r="I4" s="48" t="n">
        <x:f>IFERROR(SUM(CRM_Data!$V$2:$V$1801)/COUNTIF(CRM_Data!$U$2:$U$1801,"Won"),0)</x:f>
        <x:v>27079.307479224375</x:v>
      </x:c>
      <x:c r="J4" s="43"/>
      <x:c r="K4" s="52" t="n">
        <x:f>COUNTIF(CRM_Data!$Z$2:$Z$1801,"STALE")</x:f>
        <x:v>358</x:v>
      </x:c>
      <x:c r="L4" s="43"/>
      <x:c r="M4" s="90" t="str">
        <x:v>Auditable formulas</x:v>
      </x:c>
      <x:c r="N4" s="90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90"/>
      <x:c r="N5" s="90"/>
    </x:row>
  </x:sheetData>
  <x:mergeCells>
    <x:mergeCell ref="A1:N1"/>
    <x:mergeCell ref="A2:N2"/>
    <x:mergeCell ref="A3:B3"/>
    <x:mergeCell ref="A4:B5"/>
    <x:mergeCell ref="C3:D3"/>
    <x:mergeCell ref="C4:D5"/>
    <x:mergeCell ref="E3:F3"/>
    <x:mergeCell ref="E4:F5"/>
    <x:mergeCell ref="G3:H3"/>
    <x:mergeCell ref="G4:H5"/>
    <x:mergeCell ref="I3:J3"/>
    <x:mergeCell ref="I4:J5"/>
    <x:mergeCell ref="K3:L3"/>
    <x:mergeCell ref="K4:L5"/>
    <x:mergeCell ref="M3:N3"/>
    <x:mergeCell ref="M4:N5"/>
  </x:mergeCells>
  <x:pageMargins left="0.7" right="0.7" top="0.75" bottom="0.75" header="0.3" footer="0.3"/>
  <x:drawing xmlns:r="http://schemas.openxmlformats.org/officeDocument/2006/relationships" r:id="R54b88ccb10e2447a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0" hidden="0" customWidth="1"/>
    <x:col min="5" max="5" width="18" hidden="0" customWidth="1"/>
    <x:col min="6" max="6" width="13" hidden="0" customWidth="1"/>
    <x:col min="7" max="7" width="20" hidden="0" customWidth="1"/>
    <x:col min="8" max="8" width="13" hidden="0" customWidth="1"/>
    <x:col min="9" max="9" width="16" hidden="0" customWidth="1"/>
    <x:col min="10" max="10" width="12" hidden="0" customWidth="1"/>
    <x:col min="11" max="11" width="12" hidden="0" customWidth="1"/>
    <x:col min="12" max="12" width="16" hidden="0" customWidth="1"/>
    <x:col min="13" max="13" width="12" hidden="0" customWidth="1"/>
    <x:col min="14" max="14" width="14" hidden="0" customWidth="1"/>
    <x:col min="15" max="15" width="16" hidden="0" customWidth="1"/>
    <x:col min="16" max="16" width="11" hidden="0" customWidth="1"/>
    <x:col min="17" max="17" width="16" hidden="0" customWidth="1"/>
    <x:col min="18" max="18" width="22" hidden="0" customWidth="1"/>
    <x:col min="19" max="19" width="18" hidden="0" customWidth="1"/>
    <x:col min="20" max="20" width="14" hidden="0" customWidth="1"/>
    <x:col min="21" max="21" width="10" hidden="0" customWidth="1"/>
    <x:col min="22" max="22" width="18" hidden="0" customWidth="1"/>
    <x:col min="23" max="23" width="20" hidden="0" customWidth="1"/>
    <x:col min="24" max="24" width="15" hidden="0" customWidth="1"/>
    <x:col min="25" max="25" width="11" hidden="0" customWidth="1"/>
    <x:col min="26" max="26" width="10" hidden="0" customWidth="1"/>
    <x:col min="27" max="27" width="13" hidden="0" customWidth="1"/>
    <x:col min="28" max="28" width="13" hidden="0" customWidth="1"/>
    <x:col min="29" max="29" width="14" hidden="0" customWidth="1"/>
    <x:col min="30" max="30" width="11" hidden="0" customWidth="1"/>
    <x:col min="31" max="31" width="16" hidden="0" customWidth="1"/>
  </x:cols>
  <x:sheetData>
    <x:row r="1">
      <x:c r="A1" s="16" t="str">
        <x:v>Lead_ID</x:v>
      </x:c>
      <x:c r="B1" s="16" t="str">
        <x:v>Created_Date</x:v>
      </x:c>
      <x:c r="C1" s="16" t="str">
        <x:v>Owner</x:v>
      </x:c>
      <x:c r="D1" s="16" t="str">
        <x:v>Region</x:v>
      </x:c>
      <x:c r="E1" s="16" t="str">
        <x:v>Raw_Source</x:v>
      </x:c>
      <x:c r="F1" s="16" t="str">
        <x:v>Product_Code</x:v>
      </x:c>
      <x:c r="G1" s="16" t="str">
        <x:v>Industry</x:v>
      </x:c>
      <x:c r="H1" s="16" t="str">
        <x:v>Company_Size</x:v>
      </x:c>
      <x:c r="I1" s="16" t="str">
        <x:v>Deal_Stage</x:v>
      </x:c>
      <x:c r="J1" s="16" t="str">
        <x:v>Last_Stage_Date</x:v>
      </x:c>
      <x:c r="K1" s="16" t="str">
        <x:v>Close_Date</x:v>
      </x:c>
      <x:c r="L1" s="16" t="str">
        <x:v>Expected_Value_USD</x:v>
      </x:c>
      <x:c r="M1" s="16" t="str">
        <x:v>Discount_Pct</x:v>
      </x:c>
      <x:c r="N1" s="16" t="str">
        <x:v>Stage_Probability</x:v>
      </x:c>
      <x:c r="O1" s="16" t="str">
        <x:v>Lost_Reason</x:v>
      </x:c>
      <x:c r="P1" s="16" t="str">
        <x:v>Funnel_Level</x:v>
      </x:c>
      <x:c r="Q1" s="16" t="str">
        <x:v>Source_Clean</x:v>
      </x:c>
      <x:c r="R1" s="16" t="str">
        <x:v>Product_Name</x:v>
      </x:c>
      <x:c r="S1" s="16" t="str">
        <x:v>Product_Category</x:v>
      </x:c>
      <x:c r="T1" s="16" t="str">
        <x:v>Deal_Segment</x:v>
      </x:c>
      <x:c r="U1" s="16" t="str">
        <x:v>Outcome</x:v>
      </x:c>
      <x:c r="V1" s="16" t="str">
        <x:v>Actual_Revenue_USD</x:v>
      </x:c>
      <x:c r="W1" s="16" t="str">
        <x:v>Weighted_Pipeline_USD</x:v>
      </x:c>
      <x:c r="X1" s="16" t="str">
        <x:v>Sales_Cycle_Days</x:v>
      </x:c>
      <x:c r="Y1" s="16" t="str">
        <x:v>Age_Days</x:v>
      </x:c>
      <x:c r="Z1" s="16" t="str">
        <x:v>SLA_Flag</x:v>
      </x:c>
      <x:c r="AA1" s="16" t="str">
        <x:v>Created_Month</x:v>
      </x:c>
      <x:c r="AB1" s="16" t="str">
        <x:v>Close_Month</x:v>
      </x:c>
      <x:c r="AC1" s="16" t="str">
        <x:v>Created_Quarter</x:v>
      </x:c>
      <x:c r="AD1" s="16" t="str">
        <x:v>Lead_Score</x:v>
      </x:c>
      <x:c r="AE1" s="16" t="str">
        <x:v>Forecast_Category</x:v>
      </x:c>
    </x:row>
    <x:row r="2">
      <x:c r="A2" t="str">
        <x:v>L00001</x:v>
      </x:c>
      <x:c r="B2" s="10" t="n">
        <x:v>45791</x:v>
      </x:c>
      <x:c r="C2" t="str">
        <x:v>Ha Vo</x:v>
      </x:c>
      <x:c r="D2" t="str">
        <x:v>North</x:v>
      </x:c>
      <x:c r="E2" t="str">
        <x:v>Google Organic</x:v>
      </x:c>
      <x:c r="F2" t="str">
        <x:v>CS-CLOUD</x:v>
      </x:c>
      <x:c r="G2" t="str">
        <x:v>Education</x:v>
      </x:c>
      <x:c r="H2" t="str">
        <x:v>SMB</x:v>
      </x:c>
      <x:c r="I2" t="str">
        <x:v>Negotiation</x:v>
      </x:c>
      <x:c r="J2" s="10" t="n">
        <x:v>46168</x:v>
      </x:c>
      <x:c r="K2" s="10"/>
      <x:c r="L2" s="22" t="n">
        <x:v>25800</x:v>
      </x:c>
      <x:c r="M2" s="24" t="n">
        <x:v>0</x:v>
      </x:c>
      <x:c r="N2" s="24" t="n">
        <x:v>0.85</x:v>
      </x:c>
      <x:c r="O2" t="str"/>
      <x:c r="P2" t="n">
        <x:v>5</x:v>
      </x:c>
      <x:c r="Q2" t="str">
        <x:f>IFERROR(XLOOKUP(E2,Lookups!$A$5:$A$24,Lookups!$B$5:$B$24),"Other")</x:f>
        <x:v>Organic Search</x:v>
      </x:c>
      <x:c r="R2" t="str">
        <x:f>IFERROR(XLOOKUP(F2,Lookups!$D$5:$D$10,Lookups!$E$5:$E$10),"Unknown Product")</x:f>
        <x:v>Service Cloud</x:v>
      </x:c>
      <x:c r="S2" t="str">
        <x:f>IFERROR(XLOOKUP(F2,Lookups!$D$5:$D$10,Lookups!$F$5:$F$10),"Unknown")</x:f>
        <x:v>Customer Service</x:v>
      </x:c>
      <x:c r="T2" t="str">
        <x:f>IF(L2&gt;=50000,"Enterprise",IF(L2&gt;=20000,"Mid-Market","SMB"))</x:f>
        <x:v>Mid-Market</x:v>
      </x:c>
      <x:c r="U2" t="str">
        <x:f>IF(I2="Closed Won","Won",IF(I2="Closed Lost","Lost","Open"))</x:f>
        <x:v>Open</x:v>
      </x:c>
      <x:c r="V2" s="22" t="n">
        <x:f>IF(U2="Won",L2*(1-M2),0)</x:f>
        <x:v>0</x:v>
      </x:c>
      <x:c r="W2" s="22" t="n">
        <x:f>IF(U2="Open",L2*N2,0)</x:f>
        <x:v>21930</x:v>
      </x:c>
      <x:c r="X2" s="26" t="str">
        <x:f>IF(U2="Open","",IFERROR(K2-B2,""))</x:f>
      </x:c>
      <x:c r="Y2" s="26" t="n">
        <x:f>IF(U2="Open",Lookups!$B$2-B2,X2)</x:f>
        <x:v>475</x:v>
      </x:c>
      <x:c r="Z2" t="str">
        <x:f>IF(AND(U2="Open",Y2&gt;30),"STALE","OK")</x:f>
        <x:v>STALE</x:v>
      </x:c>
      <x:c r="AA2" t="str">
        <x:f>TEXT(B2,"yyyy-mm")</x:f>
        <x:v>2025-05</x:v>
      </x:c>
      <x:c r="AB2" t="str">
        <x:f>IF(K2="","",TEXT(K2,"yyyy-mm"))</x:f>
      </x:c>
      <x:c r="AC2" t="str">
        <x:f>"Q"&amp;ROUNDUP(MONTH(B2)/3,0)&amp;"-"&amp;YEAR(B2)</x:f>
        <x:v>Q2-2025</x:v>
      </x:c>
      <x:c r="AD2" s="26" t="n">
        <x:f>MIN(100,IF(H2="Enterprise",30,IF(H2="Mid-Market",22,14))+IF(T2="Enterprise",25,IF(T2="Mid-Market",18,10))+IF(Q2="Referral",25,IF(Q2="Organic Search",20,IF(Q2="Email",18,14)))+IF(G2="Technology",10,5))</x:f>
        <x:v>57</x:v>
      </x:c>
      <x:c r="AE2" t="str">
        <x:f>IF(U2&lt;&gt;"Open",U2,IF(N2&gt;=0.8,"Commit",IF(N2&gt;=0.5,"Best Case","Pipeline")))</x:f>
        <x:v>Commit</x:v>
      </x:c>
    </x:row>
    <x:row r="3">
      <x:c r="A3" t="str">
        <x:v>L00002</x:v>
      </x:c>
      <x:c r="B3" s="10" t="n">
        <x:v>46150</x:v>
      </x:c>
      <x:c r="C3" t="str">
        <x:v>Quynh Vu</x:v>
      </x:c>
      <x:c r="D3" t="str">
        <x:v>North</x:v>
      </x:c>
      <x:c r="E3" t="str">
        <x:v>Google Ads</x:v>
      </x:c>
      <x:c r="F3" t="str">
        <x:v>CRM-CORE</x:v>
      </x:c>
      <x:c r="G3" t="str">
        <x:v>Education</x:v>
      </x:c>
      <x:c r="H3" t="str">
        <x:v>Mid-Market</x:v>
      </x:c>
      <x:c r="I3" t="str">
        <x:v>Proposal</x:v>
      </x:c>
      <x:c r="J3" s="10" t="n">
        <x:v>46237</x:v>
      </x:c>
      <x:c r="K3" s="10"/>
      <x:c r="L3" s="22" t="n">
        <x:v>9200</x:v>
      </x:c>
      <x:c r="M3" s="24" t="n">
        <x:v>0.05</x:v>
      </x:c>
      <x:c r="N3" s="24" t="n">
        <x:v>0.65</x:v>
      </x:c>
      <x:c r="O3" t="str"/>
      <x:c r="P3" t="n">
        <x:v>4</x:v>
      </x:c>
      <x:c r="Q3" t="str">
        <x:f>IFERROR(XLOOKUP(E3,Lookups!$A$5:$A$24,Lookups!$B$5:$B$24),"Other")</x:f>
        <x:v>Paid Search</x:v>
      </x:c>
      <x:c r="R3" t="str">
        <x:f>IFERROR(XLOOKUP(F3,Lookups!$D$5:$D$10,Lookups!$E$5:$E$10),"Unknown Product")</x:f>
        <x:v>NexaCRM Core</x:v>
      </x:c>
      <x:c r="S3" t="str">
        <x:f>IFERROR(XLOOKUP(F3,Lookups!$D$5:$D$10,Lookups!$F$5:$F$10),"Unknown")</x:f>
        <x:v>CRM</x:v>
      </x:c>
      <x:c r="T3" t="str">
        <x:f>IF(L3&gt;=50000,"Enterprise",IF(L3&gt;=20000,"Mid-Market","SMB"))</x:f>
        <x:v>SMB</x:v>
      </x:c>
      <x:c r="U3" t="str">
        <x:f>IF(I3="Closed Won","Won",IF(I3="Closed Lost","Lost","Open"))</x:f>
        <x:v>Open</x:v>
      </x:c>
      <x:c r="V3" s="22" t="n">
        <x:f>IF(U3="Won",L3*(1-M3),0)</x:f>
        <x:v>0</x:v>
      </x:c>
      <x:c r="W3" s="22" t="n">
        <x:f>IF(U3="Open",L3*N3,0)</x:f>
        <x:v>5980</x:v>
      </x:c>
      <x:c r="X3" s="26" t="str">
        <x:f>IF(U3="Open","",IFERROR(K3-B3,""))</x:f>
      </x:c>
      <x:c r="Y3" s="26" t="n">
        <x:f>IF(U3="Open",Lookups!$B$2-B3,X3)</x:f>
        <x:v>116</x:v>
      </x:c>
      <x:c r="Z3" t="str">
        <x:f>IF(AND(U3="Open",Y3&gt;30),"STALE","OK")</x:f>
        <x:v>STALE</x:v>
      </x:c>
      <x:c r="AA3" t="str">
        <x:f>TEXT(B3,"yyyy-mm")</x:f>
        <x:v>2026-05</x:v>
      </x:c>
      <x:c r="AB3" t="str">
        <x:f>IF(K3="","",TEXT(K3,"yyyy-mm"))</x:f>
      </x:c>
      <x:c r="AC3" t="str">
        <x:f>"Q"&amp;ROUNDUP(MONTH(B3)/3,0)&amp;"-"&amp;YEAR(B3)</x:f>
        <x:v>Q2-2026</x:v>
      </x:c>
      <x:c r="AD3" s="26" t="n">
        <x:f>MIN(100,IF(H3="Enterprise",30,IF(H3="Mid-Market",22,14))+IF(T3="Enterprise",25,IF(T3="Mid-Market",18,10))+IF(Q3="Referral",25,IF(Q3="Organic Search",20,IF(Q3="Email",18,14)))+IF(G3="Technology",10,5))</x:f>
        <x:v>51</x:v>
      </x:c>
      <x:c r="AE3" t="str">
        <x:f>IF(U3&lt;&gt;"Open",U3,IF(N3&gt;=0.8,"Commit",IF(N3&gt;=0.5,"Best Case","Pipeline")))</x:f>
        <x:v>Best Case</x:v>
      </x:c>
    </x:row>
    <x:row r="4">
      <x:c r="A4" t="str">
        <x:v>L00003</x:v>
      </x:c>
      <x:c r="B4" s="10" t="n">
        <x:v>46164</x:v>
      </x:c>
      <x:c r="C4" t="str">
        <x:v>Chi Le</x:v>
      </x:c>
      <x:c r="D4" t="str">
        <x:v>South</x:v>
      </x:c>
      <x:c r="E4" t="str">
        <x:v>newsletter</x:v>
      </x:c>
      <x:c r="F4" t="str">
        <x:v>CRM-PRO</x:v>
      </x:c>
      <x:c r="G4" t="str">
        <x:v>Retail</x:v>
      </x:c>
      <x:c r="H4" t="str">
        <x:v>SMB</x:v>
      </x:c>
      <x:c r="I4" t="str">
        <x:v>Closed Lost</x:v>
      </x:c>
      <x:c r="J4" s="10" t="n">
        <x:v>46204</x:v>
      </x:c>
      <x:c r="K4" s="10" t="n">
        <x:v>46204</x:v>
      </x:c>
      <x:c r="L4" s="22" t="n">
        <x:v>23300</x:v>
      </x:c>
      <x:c r="M4" s="24" t="n">
        <x:v>0</x:v>
      </x:c>
      <x:c r="N4" s="24" t="n">
        <x:v>0</x:v>
      </x:c>
      <x:c r="O4" t="str">
        <x:v>Competitor</x:v>
      </x:c>
      <x:c r="P4" t="n">
        <x:v>3</x:v>
      </x:c>
      <x:c r="Q4" t="str">
        <x:f>IFERROR(XLOOKUP(E4,Lookups!$A$5:$A$24,Lookups!$B$5:$B$24),"Other")</x:f>
        <x:v>Email</x:v>
      </x:c>
      <x:c r="R4" t="str">
        <x:f>IFERROR(XLOOKUP(F4,Lookups!$D$5:$D$10,Lookups!$E$5:$E$10),"Unknown Product")</x:f>
        <x:v>NexaCRM Pro</x:v>
      </x:c>
      <x:c r="S4" t="str">
        <x:f>IFERROR(XLOOKUP(F4,Lookups!$D$5:$D$10,Lookups!$F$5:$F$10),"Unknown")</x:f>
        <x:v>CRM</x:v>
      </x:c>
      <x:c r="T4" t="str">
        <x:f>IF(L4&gt;=50000,"Enterprise",IF(L4&gt;=20000,"Mid-Market","SMB"))</x:f>
        <x:v>Mid-Market</x:v>
      </x:c>
      <x:c r="U4" t="str">
        <x:f>IF(I4="Closed Won","Won",IF(I4="Closed Lost","Lost","Open"))</x:f>
        <x:v>Lost</x:v>
      </x:c>
      <x:c r="V4" s="22" t="n">
        <x:f>IF(U4="Won",L4*(1-M4),0)</x:f>
        <x:v>0</x:v>
      </x:c>
      <x:c r="W4" s="22" t="n">
        <x:f>IF(U4="Open",L4*N4,0)</x:f>
        <x:v>0</x:v>
      </x:c>
      <x:c r="X4" s="26" t="n">
        <x:f>IF(U4="Open","",IFERROR(K4-B4,""))</x:f>
        <x:v>40</x:v>
      </x:c>
      <x:c r="Y4" s="26" t="n">
        <x:f>IF(U4="Open",Lookups!$B$2-B4,X4)</x:f>
        <x:v>40</x:v>
      </x:c>
      <x:c r="Z4" t="str">
        <x:f>IF(AND(U4="Open",Y4&gt;30),"STALE","OK")</x:f>
        <x:v>OK</x:v>
      </x:c>
      <x:c r="AA4" t="str">
        <x:f>TEXT(B4,"yyyy-mm")</x:f>
        <x:v>2026-05</x:v>
      </x:c>
      <x:c r="AB4" t="str">
        <x:f>IF(K4="","",TEXT(K4,"yyyy-mm"))</x:f>
        <x:v>2026-07</x:v>
      </x:c>
      <x:c r="AC4" t="str">
        <x:f>"Q"&amp;ROUNDUP(MONTH(B4)/3,0)&amp;"-"&amp;YEAR(B4)</x:f>
        <x:v>Q2-2026</x:v>
      </x:c>
      <x:c r="AD4" s="26" t="n">
        <x:f>MIN(100,IF(H4="Enterprise",30,IF(H4="Mid-Market",22,14))+IF(T4="Enterprise",25,IF(T4="Mid-Market",18,10))+IF(Q4="Referral",25,IF(Q4="Organic Search",20,IF(Q4="Email",18,14)))+IF(G4="Technology",10,5))</x:f>
        <x:v>55</x:v>
      </x:c>
      <x:c r="AE4" t="str">
        <x:f>IF(U4&lt;&gt;"Open",U4,IF(N4&gt;=0.8,"Commit",IF(N4&gt;=0.5,"Best Case","Pipeline")))</x:f>
        <x:v>Lost</x:v>
      </x:c>
    </x:row>
    <x:row r="5">
      <x:c r="A5" t="str">
        <x:v>L00004</x:v>
      </x:c>
      <x:c r="B5" s="10" t="n">
        <x:v>45697</x:v>
      </x:c>
      <x:c r="C5" t="str">
        <x:v>Bao Tran</x:v>
      </x:c>
      <x:c r="D5" t="str">
        <x:v>South</x:v>
      </x:c>
      <x:c r="E5" t="str">
        <x:v>SEM - Google</x:v>
      </x:c>
      <x:c r="F5" t="str">
        <x:v>CRM-PRO</x:v>
      </x:c>
      <x:c r="G5" t="str">
        <x:v>Education</x:v>
      </x:c>
      <x:c r="H5" t="str">
        <x:v>SMB</x:v>
      </x:c>
      <x:c r="I5" t="str">
        <x:v>Closed Lost</x:v>
      </x:c>
      <x:c r="J5" s="10" t="n">
        <x:v>45716</x:v>
      </x:c>
      <x:c r="K5" s="10" t="n">
        <x:v>45716</x:v>
      </x:c>
      <x:c r="L5" s="22" t="n">
        <x:v>17700</x:v>
      </x:c>
      <x:c r="M5" s="24" t="n">
        <x:v>0</x:v>
      </x:c>
      <x:c r="N5" s="24" t="n">
        <x:v>0</x:v>
      </x:c>
      <x:c r="O5" t="str">
        <x:v>Competitor</x:v>
      </x:c>
      <x:c r="P5" t="n">
        <x:v>2</x:v>
      </x:c>
      <x:c r="Q5" t="str">
        <x:f>IFERROR(XLOOKUP(E5,Lookups!$A$5:$A$24,Lookups!$B$5:$B$24),"Other")</x:f>
        <x:v>Paid Search</x:v>
      </x:c>
      <x:c r="R5" t="str">
        <x:f>IFERROR(XLOOKUP(F5,Lookups!$D$5:$D$10,Lookups!$E$5:$E$10),"Unknown Product")</x:f>
        <x:v>NexaCRM Pro</x:v>
      </x:c>
      <x:c r="S5" t="str">
        <x:f>IFERROR(XLOOKUP(F5,Lookups!$D$5:$D$10,Lookups!$F$5:$F$10),"Unknown")</x:f>
        <x:v>CRM</x:v>
      </x:c>
      <x:c r="T5" t="str">
        <x:f>IF(L5&gt;=50000,"Enterprise",IF(L5&gt;=20000,"Mid-Market","SMB"))</x:f>
        <x:v>SMB</x:v>
      </x:c>
      <x:c r="U5" t="str">
        <x:f>IF(I5="Closed Won","Won",IF(I5="Closed Lost","Lost","Open"))</x:f>
        <x:v>Lost</x:v>
      </x:c>
      <x:c r="V5" s="22" t="n">
        <x:f>IF(U5="Won",L5*(1-M5),0)</x:f>
        <x:v>0</x:v>
      </x:c>
      <x:c r="W5" s="22" t="n">
        <x:f>IF(U5="Open",L5*N5,0)</x:f>
        <x:v>0</x:v>
      </x:c>
      <x:c r="X5" s="26" t="n">
        <x:f>IF(U5="Open","",IFERROR(K5-B5,""))</x:f>
        <x:v>19</x:v>
      </x:c>
      <x:c r="Y5" s="26" t="n">
        <x:f>IF(U5="Open",Lookups!$B$2-B5,X5)</x:f>
        <x:v>19</x:v>
      </x:c>
      <x:c r="Z5" t="str">
        <x:f>IF(AND(U5="Open",Y5&gt;30),"STALE","OK")</x:f>
        <x:v>OK</x:v>
      </x:c>
      <x:c r="AA5" t="str">
        <x:f>TEXT(B5,"yyyy-mm")</x:f>
        <x:v>2025-02</x:v>
      </x:c>
      <x:c r="AB5" t="str">
        <x:f>IF(K5="","",TEXT(K5,"yyyy-mm"))</x:f>
        <x:v>2025-02</x:v>
      </x:c>
      <x:c r="AC5" t="str">
        <x:f>"Q"&amp;ROUNDUP(MONTH(B5)/3,0)&amp;"-"&amp;YEAR(B5)</x:f>
        <x:v>Q1-2025</x:v>
      </x:c>
      <x:c r="AD5" s="26" t="n">
        <x:f>MIN(100,IF(H5="Enterprise",30,IF(H5="Mid-Market",22,14))+IF(T5="Enterprise",25,IF(T5="Mid-Market",18,10))+IF(Q5="Referral",25,IF(Q5="Organic Search",20,IF(Q5="Email",18,14)))+IF(G5="Technology",10,5))</x:f>
        <x:v>43</x:v>
      </x:c>
      <x:c r="AE5" t="str">
        <x:f>IF(U5&lt;&gt;"Open",U5,IF(N5&gt;=0.8,"Commit",IF(N5&gt;=0.5,"Best Case","Pipeline")))</x:f>
        <x:v>Lost</x:v>
      </x:c>
    </x:row>
    <x:row r="6">
      <x:c r="A6" t="str">
        <x:v>L00005</x:v>
      </x:c>
      <x:c r="B6" s="10" t="n">
        <x:v>45739</x:v>
      </x:c>
      <x:c r="C6" t="str">
        <x:v>Chi Le</x:v>
      </x:c>
      <x:c r="D6" t="str">
        <x:v>South</x:v>
      </x:c>
      <x:c r="E6" t="str">
        <x:v>Google Organic</x:v>
      </x:c>
      <x:c r="F6" t="str">
        <x:v>REV-OPS</x:v>
      </x:c>
      <x:c r="G6" t="str">
        <x:v>Education</x:v>
      </x:c>
      <x:c r="H6" t="str">
        <x:v>Mid-Market</x:v>
      </x:c>
      <x:c r="I6" t="str">
        <x:v>Closed Lost</x:v>
      </x:c>
      <x:c r="J6" s="10" t="n">
        <x:v>45786</x:v>
      </x:c>
      <x:c r="K6" s="10" t="n">
        <x:v>45786</x:v>
      </x:c>
      <x:c r="L6" s="22" t="n">
        <x:v>40300</x:v>
      </x:c>
      <x:c r="M6" s="24" t="n">
        <x:v>0</x:v>
      </x:c>
      <x:c r="N6" s="24" t="n">
        <x:v>0</x:v>
      </x:c>
      <x:c r="O6" t="str">
        <x:v>Competitor</x:v>
      </x:c>
      <x:c r="P6" t="n">
        <x:v>4</x:v>
      </x:c>
      <x:c r="Q6" t="str">
        <x:f>IFERROR(XLOOKUP(E6,Lookups!$A$5:$A$24,Lookups!$B$5:$B$24),"Other")</x:f>
        <x:v>Organic Search</x:v>
      </x:c>
      <x:c r="R6" t="str">
        <x:f>IFERROR(XLOOKUP(F6,Lookups!$D$5:$D$10,Lookups!$E$5:$E$10),"Unknown Product")</x:f>
        <x:v>Revenue Operations Suite</x:v>
      </x:c>
      <x:c r="S6" t="str">
        <x:f>IFERROR(XLOOKUP(F6,Lookups!$D$5:$D$10,Lookups!$F$5:$F$10),"Unknown")</x:f>
        <x:v>Revenue Ops</x:v>
      </x:c>
      <x:c r="T6" t="str">
        <x:f>IF(L6&gt;=50000,"Enterprise",IF(L6&gt;=20000,"Mid-Market","SMB"))</x:f>
        <x:v>Mid-Market</x:v>
      </x:c>
      <x:c r="U6" t="str">
        <x:f>IF(I6="Closed Won","Won",IF(I6="Closed Lost","Lost","Open"))</x:f>
        <x:v>Lost</x:v>
      </x:c>
      <x:c r="V6" s="22" t="n">
        <x:f>IF(U6="Won",L6*(1-M6),0)</x:f>
        <x:v>0</x:v>
      </x:c>
      <x:c r="W6" s="22" t="n">
        <x:f>IF(U6="Open",L6*N6,0)</x:f>
        <x:v>0</x:v>
      </x:c>
      <x:c r="X6" s="26" t="n">
        <x:f>IF(U6="Open","",IFERROR(K6-B6,""))</x:f>
        <x:v>47</x:v>
      </x:c>
      <x:c r="Y6" s="26" t="n">
        <x:f>IF(U6="Open",Lookups!$B$2-B6,X6)</x:f>
        <x:v>47</x:v>
      </x:c>
      <x:c r="Z6" t="str">
        <x:f>IF(AND(U6="Open",Y6&gt;30),"STALE","OK")</x:f>
        <x:v>OK</x:v>
      </x:c>
      <x:c r="AA6" t="str">
        <x:f>TEXT(B6,"yyyy-mm")</x:f>
        <x:v>2025-03</x:v>
      </x:c>
      <x:c r="AB6" t="str">
        <x:f>IF(K6="","",TEXT(K6,"yyyy-mm"))</x:f>
        <x:v>2025-05</x:v>
      </x:c>
      <x:c r="AC6" t="str">
        <x:f>"Q"&amp;ROUNDUP(MONTH(B6)/3,0)&amp;"-"&amp;YEAR(B6)</x:f>
        <x:v>Q1-2025</x:v>
      </x:c>
      <x:c r="AD6" s="26" t="n">
        <x:f>MIN(100,IF(H6="Enterprise",30,IF(H6="Mid-Market",22,14))+IF(T6="Enterprise",25,IF(T6="Mid-Market",18,10))+IF(Q6="Referral",25,IF(Q6="Organic Search",20,IF(Q6="Email",18,14)))+IF(G6="Technology",10,5))</x:f>
        <x:v>65</x:v>
      </x:c>
      <x:c r="AE6" t="str">
        <x:f>IF(U6&lt;&gt;"Open",U6,IF(N6&gt;=0.8,"Commit",IF(N6&gt;=0.5,"Best Case","Pipeline")))</x:f>
        <x:v>Lost</x:v>
      </x:c>
    </x:row>
    <x:row r="7">
      <x:c r="A7" t="str">
        <x:v>L00006</x:v>
      </x:c>
      <x:c r="B7" s="10" t="n">
        <x:v>46224</x:v>
      </x:c>
      <x:c r="C7" t="str">
        <x:v>An Nguyen</x:v>
      </x:c>
      <x:c r="D7" t="str">
        <x:v>South</x:v>
      </x:c>
      <x:c r="E7" t="str">
        <x:v>linkedin</x:v>
      </x:c>
      <x:c r="F7" t="str">
        <x:v>MKT-AUTO</x:v>
      </x:c>
      <x:c r="G7" t="str">
        <x:v>Healthcare</x:v>
      </x:c>
      <x:c r="H7" t="str">
        <x:v>SMB</x:v>
      </x:c>
      <x:c r="I7" t="str">
        <x:v>Qualified</x:v>
      </x:c>
      <x:c r="J7" s="10" t="n">
        <x:v>46254</x:v>
      </x:c>
      <x:c r="K7" s="10"/>
      <x:c r="L7" s="22" t="n">
        <x:v>10400</x:v>
      </x:c>
      <x:c r="M7" s="24" t="n">
        <x:v>0.05</x:v>
      </x:c>
      <x:c r="N7" s="24" t="n">
        <x:v>0.2</x:v>
      </x:c>
      <x:c r="O7" t="str"/>
      <x:c r="P7" t="n">
        <x:v>2</x:v>
      </x:c>
      <x:c r="Q7" t="str">
        <x:f>IFERROR(XLOOKUP(E7,Lookups!$A$5:$A$24,Lookups!$B$5:$B$24),"Other")</x:f>
        <x:v>LinkedIn</x:v>
      </x:c>
      <x:c r="R7" t="str">
        <x:f>IFERROR(XLOOKUP(F7,Lookups!$D$5:$D$10,Lookups!$E$5:$E$10),"Unknown Product")</x:f>
        <x:v>Marketing Automation</x:v>
      </x:c>
      <x:c r="S7" t="str">
        <x:f>IFERROR(XLOOKUP(F7,Lookups!$D$5:$D$10,Lookups!$F$5:$F$10),"Unknown")</x:f>
        <x:v>Marketing</x:v>
      </x:c>
      <x:c r="T7" t="str">
        <x:f>IF(L7&gt;=50000,"Enterprise",IF(L7&gt;=20000,"Mid-Market","SMB"))</x:f>
        <x:v>SMB</x:v>
      </x:c>
      <x:c r="U7" t="str">
        <x:f>IF(I7="Closed Won","Won",IF(I7="Closed Lost","Lost","Open"))</x:f>
        <x:v>Open</x:v>
      </x:c>
      <x:c r="V7" s="22" t="n">
        <x:f>IF(U7="Won",L7*(1-M7),0)</x:f>
        <x:v>0</x:v>
      </x:c>
      <x:c r="W7" s="22" t="n">
        <x:f>IF(U7="Open",L7*N7,0)</x:f>
        <x:v>2080</x:v>
      </x:c>
      <x:c r="X7" s="26" t="str">
        <x:f>IF(U7="Open","",IFERROR(K7-B7,""))</x:f>
      </x:c>
      <x:c r="Y7" s="26" t="n">
        <x:f>IF(U7="Open",Lookups!$B$2-B7,X7)</x:f>
        <x:v>42</x:v>
      </x:c>
      <x:c r="Z7" t="str">
        <x:f>IF(AND(U7="Open",Y7&gt;30),"STALE","OK")</x:f>
        <x:v>STALE</x:v>
      </x:c>
      <x:c r="AA7" t="str">
        <x:f>TEXT(B7,"yyyy-mm")</x:f>
        <x:v>2026-07</x:v>
      </x:c>
      <x:c r="AB7" t="str">
        <x:f>IF(K7="","",TEXT(K7,"yyyy-mm"))</x:f>
      </x:c>
      <x:c r="AC7" t="str">
        <x:f>"Q"&amp;ROUNDUP(MONTH(B7)/3,0)&amp;"-"&amp;YEAR(B7)</x:f>
        <x:v>Q3-2026</x:v>
      </x:c>
      <x:c r="AD7" s="26" t="n">
        <x:f>MIN(100,IF(H7="Enterprise",30,IF(H7="Mid-Market",22,14))+IF(T7="Enterprise",25,IF(T7="Mid-Market",18,10))+IF(Q7="Referral",25,IF(Q7="Organic Search",20,IF(Q7="Email",18,14)))+IF(G7="Technology",10,5))</x:f>
        <x:v>43</x:v>
      </x:c>
      <x:c r="AE7" t="str">
        <x:f>IF(U7&lt;&gt;"Open",U7,IF(N7&gt;=0.8,"Commit",IF(N7&gt;=0.5,"Best Case","Pipeline")))</x:f>
        <x:v>Pipeline</x:v>
      </x:c>
    </x:row>
    <x:row r="8">
      <x:c r="A8" t="str">
        <x:v>L00007</x:v>
      </x:c>
      <x:c r="B8" s="10" t="n">
        <x:v>45952</x:v>
      </x:c>
      <x:c r="C8" t="str">
        <x:v>Chi Le</x:v>
      </x:c>
      <x:c r="D8" t="str">
        <x:v>South</x:v>
      </x:c>
      <x:c r="E8" t="str">
        <x:v>Webinar</x:v>
      </x:c>
      <x:c r="F8" t="str">
        <x:v>CRM-CORE</x:v>
      </x:c>
      <x:c r="G8" t="str">
        <x:v>Manufacturing</x:v>
      </x:c>
      <x:c r="H8" t="str">
        <x:v>Mid-Market</x:v>
      </x:c>
      <x:c r="I8" t="str">
        <x:v>Closed Won</x:v>
      </x:c>
      <x:c r="J8" s="10" t="n">
        <x:v>45977</x:v>
      </x:c>
      <x:c r="K8" s="10" t="n">
        <x:v>45977</x:v>
      </x:c>
      <x:c r="L8" s="22" t="n">
        <x:v>16700</x:v>
      </x:c>
      <x:c r="M8" s="24" t="n">
        <x:v>0</x:v>
      </x:c>
      <x:c r="N8" s="24" t="n">
        <x:v>1</x:v>
      </x:c>
      <x:c r="O8" t="str"/>
      <x:c r="P8" t="n">
        <x:v>6</x:v>
      </x:c>
      <x:c r="Q8" t="str">
        <x:f>IFERROR(XLOOKUP(E8,Lookups!$A$5:$A$24,Lookups!$B$5:$B$24),"Other")</x:f>
        <x:v>Webinar</x:v>
      </x:c>
      <x:c r="R8" t="str">
        <x:f>IFERROR(XLOOKUP(F8,Lookups!$D$5:$D$10,Lookups!$E$5:$E$10),"Unknown Product")</x:f>
        <x:v>NexaCRM Core</x:v>
      </x:c>
      <x:c r="S8" t="str">
        <x:f>IFERROR(XLOOKUP(F8,Lookups!$D$5:$D$10,Lookups!$F$5:$F$10),"Unknown")</x:f>
        <x:v>CRM</x:v>
      </x:c>
      <x:c r="T8" t="str">
        <x:f>IF(L8&gt;=50000,"Enterprise",IF(L8&gt;=20000,"Mid-Market","SMB"))</x:f>
        <x:v>SMB</x:v>
      </x:c>
      <x:c r="U8" t="str">
        <x:f>IF(I8="Closed Won","Won",IF(I8="Closed Lost","Lost","Open"))</x:f>
        <x:v>Won</x:v>
      </x:c>
      <x:c r="V8" s="22" t="n">
        <x:f>IF(U8="Won",L8*(1-M8),0)</x:f>
        <x:v>16700</x:v>
      </x:c>
      <x:c r="W8" s="22" t="n">
        <x:f>IF(U8="Open",L8*N8,0)</x:f>
        <x:v>0</x:v>
      </x:c>
      <x:c r="X8" s="26" t="n">
        <x:f>IF(U8="Open","",IFERROR(K8-B8,""))</x:f>
        <x:v>25</x:v>
      </x:c>
      <x:c r="Y8" s="26" t="n">
        <x:f>IF(U8="Open",Lookups!$B$2-B8,X8)</x:f>
        <x:v>25</x:v>
      </x:c>
      <x:c r="Z8" t="str">
        <x:f>IF(AND(U8="Open",Y8&gt;30),"STALE","OK")</x:f>
        <x:v>OK</x:v>
      </x:c>
      <x:c r="AA8" t="str">
        <x:f>TEXT(B8,"yyyy-mm")</x:f>
        <x:v>2025-10</x:v>
      </x:c>
      <x:c r="AB8" t="str">
        <x:f>IF(K8="","",TEXT(K8,"yyyy-mm"))</x:f>
        <x:v>2025-11</x:v>
      </x:c>
      <x:c r="AC8" t="str">
        <x:f>"Q"&amp;ROUNDUP(MONTH(B8)/3,0)&amp;"-"&amp;YEAR(B8)</x:f>
        <x:v>Q4-2025</x:v>
      </x:c>
      <x:c r="AD8" s="26" t="n">
        <x:f>MIN(100,IF(H8="Enterprise",30,IF(H8="Mid-Market",22,14))+IF(T8="Enterprise",25,IF(T8="Mid-Market",18,10))+IF(Q8="Referral",25,IF(Q8="Organic Search",20,IF(Q8="Email",18,14)))+IF(G8="Technology",10,5))</x:f>
        <x:v>51</x:v>
      </x:c>
      <x:c r="AE8" t="str">
        <x:f>IF(U8&lt;&gt;"Open",U8,IF(N8&gt;=0.8,"Commit",IF(N8&gt;=0.5,"Best Case","Pipeline")))</x:f>
        <x:v>Won</x:v>
      </x:c>
    </x:row>
    <x:row r="9">
      <x:c r="A9" t="str">
        <x:v>L00008</x:v>
      </x:c>
      <x:c r="B9" s="10" t="n">
        <x:v>45762</x:v>
      </x:c>
      <x:c r="C9" t="str">
        <x:v>Quynh Vu</x:v>
      </x:c>
      <x:c r="D9" t="str">
        <x:v>North</x:v>
      </x:c>
      <x:c r="E9" t="str">
        <x:v>SEM - Google</x:v>
      </x:c>
      <x:c r="F9" t="str">
        <x:v>MKT-AUTO</x:v>
      </x:c>
      <x:c r="G9" t="str">
        <x:v>Manufacturing</x:v>
      </x:c>
      <x:c r="H9" t="str">
        <x:v>Mid-Market</x:v>
      </x:c>
      <x:c r="I9" t="str">
        <x:v>Closed Lost</x:v>
      </x:c>
      <x:c r="J9" s="10" t="n">
        <x:v>45786</x:v>
      </x:c>
      <x:c r="K9" s="10" t="n">
        <x:v>45786</x:v>
      </x:c>
      <x:c r="L9" s="22" t="n">
        <x:v>33600</x:v>
      </x:c>
      <x:c r="M9" s="24" t="n">
        <x:v>0</x:v>
      </x:c>
      <x:c r="N9" s="24" t="n">
        <x:v>0</x:v>
      </x:c>
      <x:c r="O9" t="str">
        <x:v>No Decision</x:v>
      </x:c>
      <x:c r="P9" t="n">
        <x:v>4</x:v>
      </x:c>
      <x:c r="Q9" t="str">
        <x:f>IFERROR(XLOOKUP(E9,Lookups!$A$5:$A$24,Lookups!$B$5:$B$24),"Other")</x:f>
        <x:v>Paid Search</x:v>
      </x:c>
      <x:c r="R9" t="str">
        <x:f>IFERROR(XLOOKUP(F9,Lookups!$D$5:$D$10,Lookups!$E$5:$E$10),"Unknown Product")</x:f>
        <x:v>Marketing Automation</x:v>
      </x:c>
      <x:c r="S9" t="str">
        <x:f>IFERROR(XLOOKUP(F9,Lookups!$D$5:$D$10,Lookups!$F$5:$F$10),"Unknown")</x:f>
        <x:v>Marketing</x:v>
      </x:c>
      <x:c r="T9" t="str">
        <x:f>IF(L9&gt;=50000,"Enterprise",IF(L9&gt;=20000,"Mid-Market","SMB"))</x:f>
        <x:v>Mid-Market</x:v>
      </x:c>
      <x:c r="U9" t="str">
        <x:f>IF(I9="Closed Won","Won",IF(I9="Closed Lost","Lost","Open"))</x:f>
        <x:v>Lost</x:v>
      </x:c>
      <x:c r="V9" s="22" t="n">
        <x:f>IF(U9="Won",L9*(1-M9),0)</x:f>
        <x:v>0</x:v>
      </x:c>
      <x:c r="W9" s="22" t="n">
        <x:f>IF(U9="Open",L9*N9,0)</x:f>
        <x:v>0</x:v>
      </x:c>
      <x:c r="X9" s="26" t="n">
        <x:f>IF(U9="Open","",IFERROR(K9-B9,""))</x:f>
        <x:v>24</x:v>
      </x:c>
      <x:c r="Y9" s="26" t="n">
        <x:f>IF(U9="Open",Lookups!$B$2-B9,X9)</x:f>
        <x:v>24</x:v>
      </x:c>
      <x:c r="Z9" t="str">
        <x:f>IF(AND(U9="Open",Y9&gt;30),"STALE","OK")</x:f>
        <x:v>OK</x:v>
      </x:c>
      <x:c r="AA9" t="str">
        <x:f>TEXT(B9,"yyyy-mm")</x:f>
        <x:v>2025-04</x:v>
      </x:c>
      <x:c r="AB9" t="str">
        <x:f>IF(K9="","",TEXT(K9,"yyyy-mm"))</x:f>
        <x:v>2025-05</x:v>
      </x:c>
      <x:c r="AC9" t="str">
        <x:f>"Q"&amp;ROUNDUP(MONTH(B9)/3,0)&amp;"-"&amp;YEAR(B9)</x:f>
        <x:v>Q2-2025</x:v>
      </x:c>
      <x:c r="AD9" s="26" t="n">
        <x:f>MIN(100,IF(H9="Enterprise",30,IF(H9="Mid-Market",22,14))+IF(T9="Enterprise",25,IF(T9="Mid-Market",18,10))+IF(Q9="Referral",25,IF(Q9="Organic Search",20,IF(Q9="Email",18,14)))+IF(G9="Technology",10,5))</x:f>
        <x:v>59</x:v>
      </x:c>
      <x:c r="AE9" t="str">
        <x:f>IF(U9&lt;&gt;"Open",U9,IF(N9&gt;=0.8,"Commit",IF(N9&gt;=0.5,"Best Case","Pipeline")))</x:f>
        <x:v>Lost</x:v>
      </x:c>
    </x:row>
    <x:row r="10">
      <x:c r="A10" t="str">
        <x:v>L00009</x:v>
      </x:c>
      <x:c r="B10" s="10" t="n">
        <x:v>45803</x:v>
      </x:c>
      <x:c r="C10" t="str">
        <x:v>Quynh Vu</x:v>
      </x:c>
      <x:c r="D10" t="str">
        <x:v>North</x:v>
      </x:c>
      <x:c r="E10" t="str">
        <x:v>Webinar</x:v>
      </x:c>
      <x:c r="F10" t="str">
        <x:v>CS-CLOUD</x:v>
      </x:c>
      <x:c r="G10" t="str">
        <x:v>Education</x:v>
      </x:c>
      <x:c r="H10" t="str">
        <x:v>Mid-Market</x:v>
      </x:c>
      <x:c r="I10" t="str">
        <x:v>Closed Lost</x:v>
      </x:c>
      <x:c r="J10" s="10" t="n">
        <x:v>45843</x:v>
      </x:c>
      <x:c r="K10" s="10" t="n">
        <x:v>45843</x:v>
      </x:c>
      <x:c r="L10" s="22" t="n">
        <x:v>23100</x:v>
      </x:c>
      <x:c r="M10" s="24" t="n">
        <x:v>0</x:v>
      </x:c>
      <x:c r="N10" s="24" t="n">
        <x:v>0</x:v>
      </x:c>
      <x:c r="O10" t="str">
        <x:v>Price</x:v>
      </x:c>
      <x:c r="P10" t="n">
        <x:v>3</x:v>
      </x:c>
      <x:c r="Q10" t="str">
        <x:f>IFERROR(XLOOKUP(E10,Lookups!$A$5:$A$24,Lookups!$B$5:$B$24),"Other")</x:f>
        <x:v>Webinar</x:v>
      </x:c>
      <x:c r="R10" t="str">
        <x:f>IFERROR(XLOOKUP(F10,Lookups!$D$5:$D$10,Lookups!$E$5:$E$10),"Unknown Product")</x:f>
        <x:v>Service Cloud</x:v>
      </x:c>
      <x:c r="S10" t="str">
        <x:f>IFERROR(XLOOKUP(F10,Lookups!$D$5:$D$10,Lookups!$F$5:$F$10),"Unknown")</x:f>
        <x:v>Customer Service</x:v>
      </x:c>
      <x:c r="T10" t="str">
        <x:f>IF(L10&gt;=50000,"Enterprise",IF(L10&gt;=20000,"Mid-Market","SMB"))</x:f>
        <x:v>Mid-Market</x:v>
      </x:c>
      <x:c r="U10" t="str">
        <x:f>IF(I10="Closed Won","Won",IF(I10="Closed Lost","Lost","Open"))</x:f>
        <x:v>Lost</x:v>
      </x:c>
      <x:c r="V10" s="22" t="n">
        <x:f>IF(U10="Won",L10*(1-M10),0)</x:f>
        <x:v>0</x:v>
      </x:c>
      <x:c r="W10" s="22" t="n">
        <x:f>IF(U10="Open",L10*N10,0)</x:f>
        <x:v>0</x:v>
      </x:c>
      <x:c r="X10" s="26" t="n">
        <x:f>IF(U10="Open","",IFERROR(K10-B10,""))</x:f>
        <x:v>40</x:v>
      </x:c>
      <x:c r="Y10" s="26" t="n">
        <x:f>IF(U10="Open",Lookups!$B$2-B10,X10)</x:f>
        <x:v>40</x:v>
      </x:c>
      <x:c r="Z10" t="str">
        <x:f>IF(AND(U10="Open",Y10&gt;30),"STALE","OK")</x:f>
        <x:v>OK</x:v>
      </x:c>
      <x:c r="AA10" t="str">
        <x:f>TEXT(B10,"yyyy-mm")</x:f>
        <x:v>2025-05</x:v>
      </x:c>
      <x:c r="AB10" t="str">
        <x:f>IF(K10="","",TEXT(K10,"yyyy-mm"))</x:f>
        <x:v>2025-07</x:v>
      </x:c>
      <x:c r="AC10" t="str">
        <x:f>"Q"&amp;ROUNDUP(MONTH(B10)/3,0)&amp;"-"&amp;YEAR(B10)</x:f>
        <x:v>Q2-2025</x:v>
      </x:c>
      <x:c r="AD10" s="26" t="n">
        <x:f>MIN(100,IF(H10="Enterprise",30,IF(H10="Mid-Market",22,14))+IF(T10="Enterprise",25,IF(T10="Mid-Market",18,10))+IF(Q10="Referral",25,IF(Q10="Organic Search",20,IF(Q10="Email",18,14)))+IF(G10="Technology",10,5))</x:f>
        <x:v>59</x:v>
      </x:c>
      <x:c r="AE10" t="str">
        <x:f>IF(U10&lt;&gt;"Open",U10,IF(N10&gt;=0.8,"Commit",IF(N10&gt;=0.5,"Best Case","Pipeline")))</x:f>
        <x:v>Lost</x:v>
      </x:c>
    </x:row>
    <x:row r="11">
      <x:c r="A11" t="str">
        <x:v>L00010</x:v>
      </x:c>
      <x:c r="B11" s="10" t="n">
        <x:v>45950</x:v>
      </x:c>
      <x:c r="C11" t="str">
        <x:v>Ha Vo</x:v>
      </x:c>
      <x:c r="D11" t="str">
        <x:v>North</x:v>
      </x:c>
      <x:c r="E11" t="str">
        <x:v>organic search</x:v>
      </x:c>
      <x:c r="F11" t="str">
        <x:v>CS-CLOUD</x:v>
      </x:c>
      <x:c r="G11" t="str">
        <x:v>Healthcare</x:v>
      </x:c>
      <x:c r="H11" t="str">
        <x:v>Enterprise</x:v>
      </x:c>
      <x:c r="I11" t="str">
        <x:v>Negotiation</x:v>
      </x:c>
      <x:c r="J11" s="10" t="n">
        <x:v>46070</x:v>
      </x:c>
      <x:c r="K11" s="10"/>
      <x:c r="L11" s="22" t="n">
        <x:v>65200</x:v>
      </x:c>
      <x:c r="M11" s="24" t="n">
        <x:v>0.03</x:v>
      </x:c>
      <x:c r="N11" s="24" t="n">
        <x:v>0.85</x:v>
      </x:c>
      <x:c r="O11" t="str"/>
      <x:c r="P11" t="n">
        <x:v>5</x:v>
      </x:c>
      <x:c r="Q11" t="str">
        <x:f>IFERROR(XLOOKUP(E11,Lookups!$A$5:$A$24,Lookups!$B$5:$B$24),"Other")</x:f>
        <x:v>Organic Search</x:v>
      </x:c>
      <x:c r="R11" t="str">
        <x:f>IFERROR(XLOOKUP(F11,Lookups!$D$5:$D$10,Lookups!$E$5:$E$10),"Unknown Product")</x:f>
        <x:v>Service Cloud</x:v>
      </x:c>
      <x:c r="S11" t="str">
        <x:f>IFERROR(XLOOKUP(F11,Lookups!$D$5:$D$10,Lookups!$F$5:$F$10),"Unknown")</x:f>
        <x:v>Customer Service</x:v>
      </x:c>
      <x:c r="T11" t="str">
        <x:f>IF(L11&gt;=50000,"Enterprise",IF(L11&gt;=20000,"Mid-Market","SMB"))</x:f>
        <x:v>Enterprise</x:v>
      </x:c>
      <x:c r="U11" t="str">
        <x:f>IF(I11="Closed Won","Won",IF(I11="Closed Lost","Lost","Open"))</x:f>
        <x:v>Open</x:v>
      </x:c>
      <x:c r="V11" s="22" t="n">
        <x:f>IF(U11="Won",L11*(1-M11),0)</x:f>
        <x:v>0</x:v>
      </x:c>
      <x:c r="W11" s="22" t="n">
        <x:f>IF(U11="Open",L11*N11,0)</x:f>
        <x:v>55420</x:v>
      </x:c>
      <x:c r="X11" s="26" t="str">
        <x:f>IF(U11="Open","",IFERROR(K11-B11,""))</x:f>
      </x:c>
      <x:c r="Y11" s="26" t="n">
        <x:f>IF(U11="Open",Lookups!$B$2-B11,X11)</x:f>
        <x:v>316</x:v>
      </x:c>
      <x:c r="Z11" t="str">
        <x:f>IF(AND(U11="Open",Y11&gt;30),"STALE","OK")</x:f>
        <x:v>STALE</x:v>
      </x:c>
      <x:c r="AA11" t="str">
        <x:f>TEXT(B11,"yyyy-mm")</x:f>
        <x:v>2025-10</x:v>
      </x:c>
      <x:c r="AB11" t="str">
        <x:f>IF(K11="","",TEXT(K11,"yyyy-mm"))</x:f>
      </x:c>
      <x:c r="AC11" t="str">
        <x:f>"Q"&amp;ROUNDUP(MONTH(B11)/3,0)&amp;"-"&amp;YEAR(B11)</x:f>
        <x:v>Q4-2025</x:v>
      </x:c>
      <x:c r="AD11" s="26" t="n">
        <x:f>MIN(100,IF(H11="Enterprise",30,IF(H11="Mid-Market",22,14))+IF(T11="Enterprise",25,IF(T11="Mid-Market",18,10))+IF(Q11="Referral",25,IF(Q11="Organic Search",20,IF(Q11="Email",18,14)))+IF(G11="Technology",10,5))</x:f>
        <x:v>80</x:v>
      </x:c>
      <x:c r="AE11" t="str">
        <x:f>IF(U11&lt;&gt;"Open",U11,IF(N11&gt;=0.8,"Commit",IF(N11&gt;=0.5,"Best Case","Pipeline")))</x:f>
        <x:v>Commit</x:v>
      </x:c>
    </x:row>
    <x:row r="12">
      <x:c r="A12" t="str">
        <x:v>L00011</x:v>
      </x:c>
      <x:c r="B12" s="10" t="n">
        <x:v>46101</x:v>
      </x:c>
      <x:c r="C12" t="str">
        <x:v>Tuan Bui</x:v>
      </x:c>
      <x:c r="D12" t="str">
        <x:v>Central</x:v>
      </x:c>
      <x:c r="E12" t="str">
        <x:v>Unknown Event</x:v>
      </x:c>
      <x:c r="F12" t="str">
        <x:v>CS-CLOUD</x:v>
      </x:c>
      <x:c r="G12" t="str">
        <x:v>Education</x:v>
      </x:c>
      <x:c r="H12" t="str">
        <x:v>Mid-Market</x:v>
      </x:c>
      <x:c r="I12" t="str">
        <x:v>Closed Won</x:v>
      </x:c>
      <x:c r="J12" s="10" t="n">
        <x:v>46151</x:v>
      </x:c>
      <x:c r="K12" s="10" t="n">
        <x:v>46151</x:v>
      </x:c>
      <x:c r="L12" s="22" t="n">
        <x:v>42000</x:v>
      </x:c>
      <x:c r="M12" s="24" t="n">
        <x:v>0.12</x:v>
      </x:c>
      <x:c r="N12" s="24" t="n">
        <x:v>1</x:v>
      </x:c>
      <x:c r="O12" t="str"/>
      <x:c r="P12" t="n">
        <x:v>6</x:v>
      </x:c>
      <x:c r="Q12" t="str">
        <x:f>IFERROR(XLOOKUP(E12,Lookups!$A$5:$A$24,Lookups!$B$5:$B$24),"Other")</x:f>
        <x:v>Other</x:v>
      </x:c>
      <x:c r="R12" t="str">
        <x:f>IFERROR(XLOOKUP(F12,Lookups!$D$5:$D$10,Lookups!$E$5:$E$10),"Unknown Product")</x:f>
        <x:v>Service Cloud</x:v>
      </x:c>
      <x:c r="S12" t="str">
        <x:f>IFERROR(XLOOKUP(F12,Lookups!$D$5:$D$10,Lookups!$F$5:$F$10),"Unknown")</x:f>
        <x:v>Customer Service</x:v>
      </x:c>
      <x:c r="T12" t="str">
        <x:f>IF(L12&gt;=50000,"Enterprise",IF(L12&gt;=20000,"Mid-Market","SMB"))</x:f>
        <x:v>Mid-Market</x:v>
      </x:c>
      <x:c r="U12" t="str">
        <x:f>IF(I12="Closed Won","Won",IF(I12="Closed Lost","Lost","Open"))</x:f>
        <x:v>Won</x:v>
      </x:c>
      <x:c r="V12" s="22" t="n">
        <x:f>IF(U12="Won",L12*(1-M12),0)</x:f>
        <x:v>36960</x:v>
      </x:c>
      <x:c r="W12" s="22" t="n">
        <x:f>IF(U12="Open",L12*N12,0)</x:f>
        <x:v>0</x:v>
      </x:c>
      <x:c r="X12" s="26" t="n">
        <x:f>IF(U12="Open","",IFERROR(K12-B12,""))</x:f>
        <x:v>50</x:v>
      </x:c>
      <x:c r="Y12" s="26" t="n">
        <x:f>IF(U12="Open",Lookups!$B$2-B12,X12)</x:f>
        <x:v>50</x:v>
      </x:c>
      <x:c r="Z12" t="str">
        <x:f>IF(AND(U12="Open",Y12&gt;30),"STALE","OK")</x:f>
        <x:v>OK</x:v>
      </x:c>
      <x:c r="AA12" t="str">
        <x:f>TEXT(B12,"yyyy-mm")</x:f>
        <x:v>2026-03</x:v>
      </x:c>
      <x:c r="AB12" t="str">
        <x:f>IF(K12="","",TEXT(K12,"yyyy-mm"))</x:f>
        <x:v>2026-05</x:v>
      </x:c>
      <x:c r="AC12" t="str">
        <x:f>"Q"&amp;ROUNDUP(MONTH(B12)/3,0)&amp;"-"&amp;YEAR(B12)</x:f>
        <x:v>Q1-2026</x:v>
      </x:c>
      <x:c r="AD12" s="26" t="n">
        <x:f>MIN(100,IF(H12="Enterprise",30,IF(H12="Mid-Market",22,14))+IF(T12="Enterprise",25,IF(T12="Mid-Market",18,10))+IF(Q12="Referral",25,IF(Q12="Organic Search",20,IF(Q12="Email",18,14)))+IF(G12="Technology",10,5))</x:f>
        <x:v>59</x:v>
      </x:c>
      <x:c r="AE12" t="str">
        <x:f>IF(U12&lt;&gt;"Open",U12,IF(N12&gt;=0.8,"Commit",IF(N12&gt;=0.5,"Best Case","Pipeline")))</x:f>
        <x:v>Won</x:v>
      </x:c>
    </x:row>
    <x:row r="13">
      <x:c r="A13" t="str">
        <x:v>L00012</x:v>
      </x:c>
      <x:c r="B13" s="10" t="n">
        <x:v>45677</x:v>
      </x:c>
      <x:c r="C13" t="str">
        <x:v>Duy Pham</x:v>
      </x:c>
      <x:c r="D13" t="str">
        <x:v>South</x:v>
      </x:c>
      <x:c r="E13" t="str">
        <x:v>organic search</x:v>
      </x:c>
      <x:c r="F13" t="str">
        <x:v>MKT-AUTO</x:v>
      </x:c>
      <x:c r="G13" t="str">
        <x:v>Education</x:v>
      </x:c>
      <x:c r="H13" t="str">
        <x:v>SMB</x:v>
      </x:c>
      <x:c r="I13" t="str">
        <x:v>Closed Lost</x:v>
      </x:c>
      <x:c r="J13" s="10" t="n">
        <x:v>45716</x:v>
      </x:c>
      <x:c r="K13" s="10" t="n">
        <x:v>45716</x:v>
      </x:c>
      <x:c r="L13" s="22" t="n">
        <x:v>15700</x:v>
      </x:c>
      <x:c r="M13" s="24" t="n">
        <x:v>0</x:v>
      </x:c>
      <x:c r="N13" s="24" t="n">
        <x:v>0</x:v>
      </x:c>
      <x:c r="O13" t="str">
        <x:v>Competitor</x:v>
      </x:c>
      <x:c r="P13" t="n">
        <x:v>5</x:v>
      </x:c>
      <x:c r="Q13" t="str">
        <x:f>IFERROR(XLOOKUP(E13,Lookups!$A$5:$A$24,Lookups!$B$5:$B$24),"Other")</x:f>
        <x:v>Organic Search</x:v>
      </x:c>
      <x:c r="R13" t="str">
        <x:f>IFERROR(XLOOKUP(F13,Lookups!$D$5:$D$10,Lookups!$E$5:$E$10),"Unknown Product")</x:f>
        <x:v>Marketing Automation</x:v>
      </x:c>
      <x:c r="S13" t="str">
        <x:f>IFERROR(XLOOKUP(F13,Lookups!$D$5:$D$10,Lookups!$F$5:$F$10),"Unknown")</x:f>
        <x:v>Marketing</x:v>
      </x:c>
      <x:c r="T13" t="str">
        <x:f>IF(L13&gt;=50000,"Enterprise",IF(L13&gt;=20000,"Mid-Market","SMB"))</x:f>
        <x:v>SMB</x:v>
      </x:c>
      <x:c r="U13" t="str">
        <x:f>IF(I13="Closed Won","Won",IF(I13="Closed Lost","Lost","Open"))</x:f>
        <x:v>Lost</x:v>
      </x:c>
      <x:c r="V13" s="22" t="n">
        <x:f>IF(U13="Won",L13*(1-M13),0)</x:f>
        <x:v>0</x:v>
      </x:c>
      <x:c r="W13" s="22" t="n">
        <x:f>IF(U13="Open",L13*N13,0)</x:f>
        <x:v>0</x:v>
      </x:c>
      <x:c r="X13" s="26" t="n">
        <x:f>IF(U13="Open","",IFERROR(K13-B13,""))</x:f>
        <x:v>39</x:v>
      </x:c>
      <x:c r="Y13" s="26" t="n">
        <x:f>IF(U13="Open",Lookups!$B$2-B13,X13)</x:f>
        <x:v>39</x:v>
      </x:c>
      <x:c r="Z13" t="str">
        <x:f>IF(AND(U13="Open",Y13&gt;30),"STALE","OK")</x:f>
        <x:v>OK</x:v>
      </x:c>
      <x:c r="AA13" t="str">
        <x:f>TEXT(B13,"yyyy-mm")</x:f>
        <x:v>2025-01</x:v>
      </x:c>
      <x:c r="AB13" t="str">
        <x:f>IF(K13="","",TEXT(K13,"yyyy-mm"))</x:f>
        <x:v>2025-02</x:v>
      </x:c>
      <x:c r="AC13" t="str">
        <x:f>"Q"&amp;ROUNDUP(MONTH(B13)/3,0)&amp;"-"&amp;YEAR(B13)</x:f>
        <x:v>Q1-2025</x:v>
      </x:c>
      <x:c r="AD13" s="26" t="n">
        <x:f>MIN(100,IF(H13="Enterprise",30,IF(H13="Mid-Market",22,14))+IF(T13="Enterprise",25,IF(T13="Mid-Market",18,10))+IF(Q13="Referral",25,IF(Q13="Organic Search",20,IF(Q13="Email",18,14)))+IF(G13="Technology",10,5))</x:f>
        <x:v>49</x:v>
      </x:c>
      <x:c r="AE13" t="str">
        <x:f>IF(U13&lt;&gt;"Open",U13,IF(N13&gt;=0.8,"Commit",IF(N13&gt;=0.5,"Best Case","Pipeline")))</x:f>
        <x:v>Lost</x:v>
      </x:c>
    </x:row>
    <x:row r="14">
      <x:c r="A14" t="str">
        <x:v>L00013</x:v>
      </x:c>
      <x:c r="B14" s="10" t="n">
        <x:v>45715</x:v>
      </x:c>
      <x:c r="C14" t="str">
        <x:v>An Nguyen</x:v>
      </x:c>
      <x:c r="D14" t="str">
        <x:v>South</x:v>
      </x:c>
      <x:c r="E14" t="str">
        <x:v>virtual event</x:v>
      </x:c>
      <x:c r="F14" t="str">
        <x:v>CS-CLOUD</x:v>
      </x:c>
      <x:c r="G14" t="str">
        <x:v>Education</x:v>
      </x:c>
      <x:c r="H14" t="str">
        <x:v>Mid-Market</x:v>
      </x:c>
      <x:c r="I14" t="str">
        <x:v>Closed Lost</x:v>
      </x:c>
      <x:c r="J14" s="10" t="n">
        <x:v>45758</x:v>
      </x:c>
      <x:c r="K14" s="10" t="n">
        <x:v>45758</x:v>
      </x:c>
      <x:c r="L14" s="22" t="n">
        <x:v>34400</x:v>
      </x:c>
      <x:c r="M14" s="24" t="n">
        <x:v>0</x:v>
      </x:c>
      <x:c r="N14" s="24" t="n">
        <x:v>0</x:v>
      </x:c>
      <x:c r="O14" t="str">
        <x:v>Price</x:v>
      </x:c>
      <x:c r="P14" t="n">
        <x:v>3</x:v>
      </x:c>
      <x:c r="Q14" t="str">
        <x:f>IFERROR(XLOOKUP(E14,Lookups!$A$5:$A$24,Lookups!$B$5:$B$24),"Other")</x:f>
        <x:v>Webinar</x:v>
      </x:c>
      <x:c r="R14" t="str">
        <x:f>IFERROR(XLOOKUP(F14,Lookups!$D$5:$D$10,Lookups!$E$5:$E$10),"Unknown Product")</x:f>
        <x:v>Service Cloud</x:v>
      </x:c>
      <x:c r="S14" t="str">
        <x:f>IFERROR(XLOOKUP(F14,Lookups!$D$5:$D$10,Lookups!$F$5:$F$10),"Unknown")</x:f>
        <x:v>Customer Service</x:v>
      </x:c>
      <x:c r="T14" t="str">
        <x:f>IF(L14&gt;=50000,"Enterprise",IF(L14&gt;=20000,"Mid-Market","SMB"))</x:f>
        <x:v>Mid-Market</x:v>
      </x:c>
      <x:c r="U14" t="str">
        <x:f>IF(I14="Closed Won","Won",IF(I14="Closed Lost","Lost","Open"))</x:f>
        <x:v>Lost</x:v>
      </x:c>
      <x:c r="V14" s="22" t="n">
        <x:f>IF(U14="Won",L14*(1-M14),0)</x:f>
        <x:v>0</x:v>
      </x:c>
      <x:c r="W14" s="22" t="n">
        <x:f>IF(U14="Open",L14*N14,0)</x:f>
        <x:v>0</x:v>
      </x:c>
      <x:c r="X14" s="26" t="n">
        <x:f>IF(U14="Open","",IFERROR(K14-B14,""))</x:f>
        <x:v>43</x:v>
      </x:c>
      <x:c r="Y14" s="26" t="n">
        <x:f>IF(U14="Open",Lookups!$B$2-B14,X14)</x:f>
        <x:v>43</x:v>
      </x:c>
      <x:c r="Z14" t="str">
        <x:f>IF(AND(U14="Open",Y14&gt;30),"STALE","OK")</x:f>
        <x:v>OK</x:v>
      </x:c>
      <x:c r="AA14" t="str">
        <x:f>TEXT(B14,"yyyy-mm")</x:f>
        <x:v>2025-02</x:v>
      </x:c>
      <x:c r="AB14" t="str">
        <x:f>IF(K14="","",TEXT(K14,"yyyy-mm"))</x:f>
        <x:v>2025-04</x:v>
      </x:c>
      <x:c r="AC14" t="str">
        <x:f>"Q"&amp;ROUNDUP(MONTH(B14)/3,0)&amp;"-"&amp;YEAR(B14)</x:f>
        <x:v>Q1-2025</x:v>
      </x:c>
      <x:c r="AD14" s="26" t="n">
        <x:f>MIN(100,IF(H14="Enterprise",30,IF(H14="Mid-Market",22,14))+IF(T14="Enterprise",25,IF(T14="Mid-Market",18,10))+IF(Q14="Referral",25,IF(Q14="Organic Search",20,IF(Q14="Email",18,14)))+IF(G14="Technology",10,5))</x:f>
        <x:v>59</x:v>
      </x:c>
      <x:c r="AE14" t="str">
        <x:f>IF(U14&lt;&gt;"Open",U14,IF(N14&gt;=0.8,"Commit",IF(N14&gt;=0.5,"Best Case","Pipeline")))</x:f>
        <x:v>Lost</x:v>
      </x:c>
    </x:row>
    <x:row r="15">
      <x:c r="A15" t="str">
        <x:v>L00014</x:v>
      </x:c>
      <x:c r="B15" s="10" t="n">
        <x:v>45696</x:v>
      </x:c>
      <x:c r="C15" t="str">
        <x:v>Bao Tran</x:v>
      </x:c>
      <x:c r="D15" t="str">
        <x:v>South</x:v>
      </x:c>
      <x:c r="E15" t="str">
        <x:v>Webinar</x:v>
      </x:c>
      <x:c r="F15" t="str">
        <x:v>CRM-CORE</x:v>
      </x:c>
      <x:c r="G15" t="str">
        <x:v>Financial Services</x:v>
      </x:c>
      <x:c r="H15" t="str">
        <x:v>SMB</x:v>
      </x:c>
      <x:c r="I15" t="str">
        <x:v>Negotiation</x:v>
      </x:c>
      <x:c r="J15" s="10" t="n">
        <x:v>46172</x:v>
      </x:c>
      <x:c r="K15" s="10"/>
      <x:c r="L15" s="22" t="n">
        <x:v>4800</x:v>
      </x:c>
      <x:c r="M15" s="24" t="n">
        <x:v>0.05</x:v>
      </x:c>
      <x:c r="N15" s="24" t="n">
        <x:v>0.85</x:v>
      </x:c>
      <x:c r="O15" t="str"/>
      <x:c r="P15" t="n">
        <x:v>5</x:v>
      </x:c>
      <x:c r="Q15" t="str">
        <x:f>IFERROR(XLOOKUP(E15,Lookups!$A$5:$A$24,Lookups!$B$5:$B$24),"Other")</x:f>
        <x:v>Webinar</x:v>
      </x:c>
      <x:c r="R15" t="str">
        <x:f>IFERROR(XLOOKUP(F15,Lookups!$D$5:$D$10,Lookups!$E$5:$E$10),"Unknown Product")</x:f>
        <x:v>NexaCRM Core</x:v>
      </x:c>
      <x:c r="S15" t="str">
        <x:f>IFERROR(XLOOKUP(F15,Lookups!$D$5:$D$10,Lookups!$F$5:$F$10),"Unknown")</x:f>
        <x:v>CRM</x:v>
      </x:c>
      <x:c r="T15" t="str">
        <x:f>IF(L15&gt;=50000,"Enterprise",IF(L15&gt;=20000,"Mid-Market","SMB"))</x:f>
        <x:v>SMB</x:v>
      </x:c>
      <x:c r="U15" t="str">
        <x:f>IF(I15="Closed Won","Won",IF(I15="Closed Lost","Lost","Open"))</x:f>
        <x:v>Open</x:v>
      </x:c>
      <x:c r="V15" s="22" t="n">
        <x:f>IF(U15="Won",L15*(1-M15),0)</x:f>
        <x:v>0</x:v>
      </x:c>
      <x:c r="W15" s="22" t="n">
        <x:f>IF(U15="Open",L15*N15,0)</x:f>
        <x:v>4080</x:v>
      </x:c>
      <x:c r="X15" s="26" t="str">
        <x:f>IF(U15="Open","",IFERROR(K15-B15,""))</x:f>
      </x:c>
      <x:c r="Y15" s="26" t="n">
        <x:f>IF(U15="Open",Lookups!$B$2-B15,X15)</x:f>
        <x:v>570</x:v>
      </x:c>
      <x:c r="Z15" t="str">
        <x:f>IF(AND(U15="Open",Y15&gt;30),"STALE","OK")</x:f>
        <x:v>STALE</x:v>
      </x:c>
      <x:c r="AA15" t="str">
        <x:f>TEXT(B15,"yyyy-mm")</x:f>
        <x:v>2025-02</x:v>
      </x:c>
      <x:c r="AB15" t="str">
        <x:f>IF(K15="","",TEXT(K15,"yyyy-mm"))</x:f>
      </x:c>
      <x:c r="AC15" t="str">
        <x:f>"Q"&amp;ROUNDUP(MONTH(B15)/3,0)&amp;"-"&amp;YEAR(B15)</x:f>
        <x:v>Q1-2025</x:v>
      </x:c>
      <x:c r="AD15" s="26" t="n">
        <x:f>MIN(100,IF(H15="Enterprise",30,IF(H15="Mid-Market",22,14))+IF(T15="Enterprise",25,IF(T15="Mid-Market",18,10))+IF(Q15="Referral",25,IF(Q15="Organic Search",20,IF(Q15="Email",18,14)))+IF(G15="Technology",10,5))</x:f>
        <x:v>43</x:v>
      </x:c>
      <x:c r="AE15" t="str">
        <x:f>IF(U15&lt;&gt;"Open",U15,IF(N15&gt;=0.8,"Commit",IF(N15&gt;=0.5,"Best Case","Pipeline")))</x:f>
        <x:v>Commit</x:v>
      </x:c>
    </x:row>
    <x:row r="16">
      <x:c r="A16" t="str">
        <x:v>L00015</x:v>
      </x:c>
      <x:c r="B16" s="10" t="n">
        <x:v>45955</x:v>
      </x:c>
      <x:c r="C16" t="str">
        <x:v>Quynh Vu</x:v>
      </x:c>
      <x:c r="D16" t="str">
        <x:v>North</x:v>
      </x:c>
      <x:c r="E16" t="str">
        <x:v>LI Ads</x:v>
      </x:c>
      <x:c r="F16" t="str">
        <x:v>CRM-CORE</x:v>
      </x:c>
      <x:c r="G16" t="str">
        <x:v>Education</x:v>
      </x:c>
      <x:c r="H16" t="str">
        <x:v>Mid-Market</x:v>
      </x:c>
      <x:c r="I16" t="str">
        <x:v>Closed Lost</x:v>
      </x:c>
      <x:c r="J16" s="10" t="n">
        <x:v>45987</x:v>
      </x:c>
      <x:c r="K16" s="10" t="n">
        <x:v>45987</x:v>
      </x:c>
      <x:c r="L16" s="22" t="n">
        <x:v>13400</x:v>
      </x:c>
      <x:c r="M16" s="24" t="n">
        <x:v>0</x:v>
      </x:c>
      <x:c r="N16" s="24" t="n">
        <x:v>0</x:v>
      </x:c>
      <x:c r="O16" t="str">
        <x:v>No Decision</x:v>
      </x:c>
      <x:c r="P16" t="n">
        <x:v>2</x:v>
      </x:c>
      <x:c r="Q16" t="str">
        <x:f>IFERROR(XLOOKUP(E16,Lookups!$A$5:$A$24,Lookups!$B$5:$B$24),"Other")</x:f>
        <x:v>LinkedIn</x:v>
      </x:c>
      <x:c r="R16" t="str">
        <x:f>IFERROR(XLOOKUP(F16,Lookups!$D$5:$D$10,Lookups!$E$5:$E$10),"Unknown Product")</x:f>
        <x:v>NexaCRM Core</x:v>
      </x:c>
      <x:c r="S16" t="str">
        <x:f>IFERROR(XLOOKUP(F16,Lookups!$D$5:$D$10,Lookups!$F$5:$F$10),"Unknown")</x:f>
        <x:v>CRM</x:v>
      </x:c>
      <x:c r="T16" t="str">
        <x:f>IF(L16&gt;=50000,"Enterprise",IF(L16&gt;=20000,"Mid-Market","SMB"))</x:f>
        <x:v>SMB</x:v>
      </x:c>
      <x:c r="U16" t="str">
        <x:f>IF(I16="Closed Won","Won",IF(I16="Closed Lost","Lost","Open"))</x:f>
        <x:v>Lost</x:v>
      </x:c>
      <x:c r="V16" s="22" t="n">
        <x:f>IF(U16="Won",L16*(1-M16),0)</x:f>
        <x:v>0</x:v>
      </x:c>
      <x:c r="W16" s="22" t="n">
        <x:f>IF(U16="Open",L16*N16,0)</x:f>
        <x:v>0</x:v>
      </x:c>
      <x:c r="X16" s="26" t="n">
        <x:f>IF(U16="Open","",IFERROR(K16-B16,""))</x:f>
        <x:v>32</x:v>
      </x:c>
      <x:c r="Y16" s="26" t="n">
        <x:f>IF(U16="Open",Lookups!$B$2-B16,X16)</x:f>
        <x:v>32</x:v>
      </x:c>
      <x:c r="Z16" t="str">
        <x:f>IF(AND(U16="Open",Y16&gt;30),"STALE","OK")</x:f>
        <x:v>OK</x:v>
      </x:c>
      <x:c r="AA16" t="str">
        <x:f>TEXT(B16,"yyyy-mm")</x:f>
        <x:v>2025-10</x:v>
      </x:c>
      <x:c r="AB16" t="str">
        <x:f>IF(K16="","",TEXT(K16,"yyyy-mm"))</x:f>
        <x:v>2025-11</x:v>
      </x:c>
      <x:c r="AC16" t="str">
        <x:f>"Q"&amp;ROUNDUP(MONTH(B16)/3,0)&amp;"-"&amp;YEAR(B16)</x:f>
        <x:v>Q4-2025</x:v>
      </x:c>
      <x:c r="AD16" s="26" t="n">
        <x:f>MIN(100,IF(H16="Enterprise",30,IF(H16="Mid-Market",22,14))+IF(T16="Enterprise",25,IF(T16="Mid-Market",18,10))+IF(Q16="Referral",25,IF(Q16="Organic Search",20,IF(Q16="Email",18,14)))+IF(G16="Technology",10,5))</x:f>
        <x:v>51</x:v>
      </x:c>
      <x:c r="AE16" t="str">
        <x:f>IF(U16&lt;&gt;"Open",U16,IF(N16&gt;=0.8,"Commit",IF(N16&gt;=0.5,"Best Case","Pipeline")))</x:f>
        <x:v>Lost</x:v>
      </x:c>
    </x:row>
    <x:row r="17">
      <x:c r="A17" t="str">
        <x:v>L00016</x:v>
      </x:c>
      <x:c r="B17" s="10" t="n">
        <x:v>46057</x:v>
      </x:c>
      <x:c r="C17" t="str">
        <x:v>Tuan Bui</x:v>
      </x:c>
      <x:c r="D17" t="str">
        <x:v>Central</x:v>
      </x:c>
      <x:c r="E17" t="str">
        <x:v>Cold Email</x:v>
      </x:c>
      <x:c r="F17" t="str">
        <x:v>CRM-PRO</x:v>
      </x:c>
      <x:c r="G17" t="str">
        <x:v>Professional Services</x:v>
      </x:c>
      <x:c r="H17" t="str">
        <x:v>SMB</x:v>
      </x:c>
      <x:c r="I17" t="str">
        <x:v>Closed Lost</x:v>
      </x:c>
      <x:c r="J17" s="10" t="n">
        <x:v>46101</x:v>
      </x:c>
      <x:c r="K17" s="10" t="n">
        <x:v>46101</x:v>
      </x:c>
      <x:c r="L17" s="22" t="n">
        <x:v>23800</x:v>
      </x:c>
      <x:c r="M17" s="24" t="n">
        <x:v>0</x:v>
      </x:c>
      <x:c r="N17" s="24" t="n">
        <x:v>0</x:v>
      </x:c>
      <x:c r="O17" t="str">
        <x:v>Competitor</x:v>
      </x:c>
      <x:c r="P17" t="n">
        <x:v>4</x:v>
      </x:c>
      <x:c r="Q17" t="str">
        <x:f>IFERROR(XLOOKUP(E17,Lookups!$A$5:$A$24,Lookups!$B$5:$B$24),"Other")</x:f>
        <x:v>Outbound</x:v>
      </x:c>
      <x:c r="R17" t="str">
        <x:f>IFERROR(XLOOKUP(F17,Lookups!$D$5:$D$10,Lookups!$E$5:$E$10),"Unknown Product")</x:f>
        <x:v>NexaCRM Pro</x:v>
      </x:c>
      <x:c r="S17" t="str">
        <x:f>IFERROR(XLOOKUP(F17,Lookups!$D$5:$D$10,Lookups!$F$5:$F$10),"Unknown")</x:f>
        <x:v>CRM</x:v>
      </x:c>
      <x:c r="T17" t="str">
        <x:f>IF(L17&gt;=50000,"Enterprise",IF(L17&gt;=20000,"Mid-Market","SMB"))</x:f>
        <x:v>Mid-Market</x:v>
      </x:c>
      <x:c r="U17" t="str">
        <x:f>IF(I17="Closed Won","Won",IF(I17="Closed Lost","Lost","Open"))</x:f>
        <x:v>Lost</x:v>
      </x:c>
      <x:c r="V17" s="22" t="n">
        <x:f>IF(U17="Won",L17*(1-M17),0)</x:f>
        <x:v>0</x:v>
      </x:c>
      <x:c r="W17" s="22" t="n">
        <x:f>IF(U17="Open",L17*N17,0)</x:f>
        <x:v>0</x:v>
      </x:c>
      <x:c r="X17" s="26" t="n">
        <x:f>IF(U17="Open","",IFERROR(K17-B17,""))</x:f>
        <x:v>44</x:v>
      </x:c>
      <x:c r="Y17" s="26" t="n">
        <x:f>IF(U17="Open",Lookups!$B$2-B17,X17)</x:f>
        <x:v>44</x:v>
      </x:c>
      <x:c r="Z17" t="str">
        <x:f>IF(AND(U17="Open",Y17&gt;30),"STALE","OK")</x:f>
        <x:v>OK</x:v>
      </x:c>
      <x:c r="AA17" t="str">
        <x:f>TEXT(B17,"yyyy-mm")</x:f>
        <x:v>2026-02</x:v>
      </x:c>
      <x:c r="AB17" t="str">
        <x:f>IF(K17="","",TEXT(K17,"yyyy-mm"))</x:f>
        <x:v>2026-03</x:v>
      </x:c>
      <x:c r="AC17" t="str">
        <x:f>"Q"&amp;ROUNDUP(MONTH(B17)/3,0)&amp;"-"&amp;YEAR(B17)</x:f>
        <x:v>Q1-2026</x:v>
      </x:c>
      <x:c r="AD17" s="26" t="n">
        <x:f>MIN(100,IF(H17="Enterprise",30,IF(H17="Mid-Market",22,14))+IF(T17="Enterprise",25,IF(T17="Mid-Market",18,10))+IF(Q17="Referral",25,IF(Q17="Organic Search",20,IF(Q17="Email",18,14)))+IF(G17="Technology",10,5))</x:f>
        <x:v>51</x:v>
      </x:c>
      <x:c r="AE17" t="str">
        <x:f>IF(U17&lt;&gt;"Open",U17,IF(N17&gt;=0.8,"Commit",IF(N17&gt;=0.5,"Best Case","Pipeline")))</x:f>
        <x:v>Lost</x:v>
      </x:c>
    </x:row>
    <x:row r="18">
      <x:c r="A18" t="str">
        <x:v>L00017</x:v>
      </x:c>
      <x:c r="B18" s="10" t="n">
        <x:v>45897</x:v>
      </x:c>
      <x:c r="C18" t="str">
        <x:v>Chi Le</x:v>
      </x:c>
      <x:c r="D18" t="str">
        <x:v>South</x:v>
      </x:c>
      <x:c r="E18" t="str">
        <x:v>Webinar</x:v>
      </x:c>
      <x:c r="F18" t="str">
        <x:v>CRM-CORE</x:v>
      </x:c>
      <x:c r="G18" t="str">
        <x:v>Retail</x:v>
      </x:c>
      <x:c r="H18" t="str">
        <x:v>SMB</x:v>
      </x:c>
      <x:c r="I18" t="str">
        <x:v>Negotiation</x:v>
      </x:c>
      <x:c r="J18" s="10" t="n">
        <x:v>46135</x:v>
      </x:c>
      <x:c r="K18" s="10"/>
      <x:c r="L18" s="22" t="n">
        <x:v>7500</x:v>
      </x:c>
      <x:c r="M18" s="24" t="n">
        <x:v>0</x:v>
      </x:c>
      <x:c r="N18" s="24" t="n">
        <x:v>0.85</x:v>
      </x:c>
      <x:c r="O18" t="str"/>
      <x:c r="P18" t="n">
        <x:v>5</x:v>
      </x:c>
      <x:c r="Q18" t="str">
        <x:f>IFERROR(XLOOKUP(E18,Lookups!$A$5:$A$24,Lookups!$B$5:$B$24),"Other")</x:f>
        <x:v>Webinar</x:v>
      </x:c>
      <x:c r="R18" t="str">
        <x:f>IFERROR(XLOOKUP(F18,Lookups!$D$5:$D$10,Lookups!$E$5:$E$10),"Unknown Product")</x:f>
        <x:v>NexaCRM Core</x:v>
      </x:c>
      <x:c r="S18" t="str">
        <x:f>IFERROR(XLOOKUP(F18,Lookups!$D$5:$D$10,Lookups!$F$5:$F$10),"Unknown")</x:f>
        <x:v>CRM</x:v>
      </x:c>
      <x:c r="T18" t="str">
        <x:f>IF(L18&gt;=50000,"Enterprise",IF(L18&gt;=20000,"Mid-Market","SMB"))</x:f>
        <x:v>SMB</x:v>
      </x:c>
      <x:c r="U18" t="str">
        <x:f>IF(I18="Closed Won","Won",IF(I18="Closed Lost","Lost","Open"))</x:f>
        <x:v>Open</x:v>
      </x:c>
      <x:c r="V18" s="22" t="n">
        <x:f>IF(U18="Won",L18*(1-M18),0)</x:f>
        <x:v>0</x:v>
      </x:c>
      <x:c r="W18" s="22" t="n">
        <x:f>IF(U18="Open",L18*N18,0)</x:f>
        <x:v>6375</x:v>
      </x:c>
      <x:c r="X18" s="26" t="str">
        <x:f>IF(U18="Open","",IFERROR(K18-B18,""))</x:f>
      </x:c>
      <x:c r="Y18" s="26" t="n">
        <x:f>IF(U18="Open",Lookups!$B$2-B18,X18)</x:f>
        <x:v>369</x:v>
      </x:c>
      <x:c r="Z18" t="str">
        <x:f>IF(AND(U18="Open",Y18&gt;30),"STALE","OK")</x:f>
        <x:v>STALE</x:v>
      </x:c>
      <x:c r="AA18" t="str">
        <x:f>TEXT(B18,"yyyy-mm")</x:f>
        <x:v>2025-08</x:v>
      </x:c>
      <x:c r="AB18" t="str">
        <x:f>IF(K18="","",TEXT(K18,"yyyy-mm"))</x:f>
      </x:c>
      <x:c r="AC18" t="str">
        <x:f>"Q"&amp;ROUNDUP(MONTH(B18)/3,0)&amp;"-"&amp;YEAR(B18)</x:f>
        <x:v>Q3-2025</x:v>
      </x:c>
      <x:c r="AD18" s="26" t="n">
        <x:f>MIN(100,IF(H18="Enterprise",30,IF(H18="Mid-Market",22,14))+IF(T18="Enterprise",25,IF(T18="Mid-Market",18,10))+IF(Q18="Referral",25,IF(Q18="Organic Search",20,IF(Q18="Email",18,14)))+IF(G18="Technology",10,5))</x:f>
        <x:v>43</x:v>
      </x:c>
      <x:c r="AE18" t="str">
        <x:f>IF(U18&lt;&gt;"Open",U18,IF(N18&gt;=0.8,"Commit",IF(N18&gt;=0.5,"Best Case","Pipeline")))</x:f>
        <x:v>Commit</x:v>
      </x:c>
    </x:row>
    <x:row r="19">
      <x:c r="A19" t="str">
        <x:v>L00018</x:v>
      </x:c>
      <x:c r="B19" s="10" t="n">
        <x:v>46192</x:v>
      </x:c>
      <x:c r="C19" t="str">
        <x:v>Quynh Vu</x:v>
      </x:c>
      <x:c r="D19" t="str">
        <x:v>North</x:v>
      </x:c>
      <x:c r="E19" t="str">
        <x:v>Cold Email</x:v>
      </x:c>
      <x:c r="F19" t="str">
        <x:v>REV-OPS</x:v>
      </x:c>
      <x:c r="G19" t="str">
        <x:v>Financial Services</x:v>
      </x:c>
      <x:c r="H19" t="str">
        <x:v>Mid-Market</x:v>
      </x:c>
      <x:c r="I19" t="str">
        <x:v>Closed Lost</x:v>
      </x:c>
      <x:c r="J19" s="10" t="n">
        <x:v>46231</x:v>
      </x:c>
      <x:c r="K19" s="10" t="n">
        <x:v>46231</x:v>
      </x:c>
      <x:c r="L19" s="22" t="n">
        <x:v>80200</x:v>
      </x:c>
      <x:c r="M19" s="24" t="n">
        <x:v>0</x:v>
      </x:c>
      <x:c r="N19" s="24" t="n">
        <x:v>0</x:v>
      </x:c>
      <x:c r="O19" t="str">
        <x:v>Timing</x:v>
      </x:c>
      <x:c r="P19" t="n">
        <x:v>3</x:v>
      </x:c>
      <x:c r="Q19" t="str">
        <x:f>IFERROR(XLOOKUP(E19,Lookups!$A$5:$A$24,Lookups!$B$5:$B$24),"Other")</x:f>
        <x:v>Outbound</x:v>
      </x:c>
      <x:c r="R19" t="str">
        <x:f>IFERROR(XLOOKUP(F19,Lookups!$D$5:$D$10,Lookups!$E$5:$E$10),"Unknown Product")</x:f>
        <x:v>Revenue Operations Suite</x:v>
      </x:c>
      <x:c r="S19" t="str">
        <x:f>IFERROR(XLOOKUP(F19,Lookups!$D$5:$D$10,Lookups!$F$5:$F$10),"Unknown")</x:f>
        <x:v>Revenue Ops</x:v>
      </x:c>
      <x:c r="T19" t="str">
        <x:f>IF(L19&gt;=50000,"Enterprise",IF(L19&gt;=20000,"Mid-Market","SMB"))</x:f>
        <x:v>Enterprise</x:v>
      </x:c>
      <x:c r="U19" t="str">
        <x:f>IF(I19="Closed Won","Won",IF(I19="Closed Lost","Lost","Open"))</x:f>
        <x:v>Lost</x:v>
      </x:c>
      <x:c r="V19" s="22" t="n">
        <x:f>IF(U19="Won",L19*(1-M19),0)</x:f>
        <x:v>0</x:v>
      </x:c>
      <x:c r="W19" s="22" t="n">
        <x:f>IF(U19="Open",L19*N19,0)</x:f>
        <x:v>0</x:v>
      </x:c>
      <x:c r="X19" s="26" t="n">
        <x:f>IF(U19="Open","",IFERROR(K19-B19,""))</x:f>
        <x:v>39</x:v>
      </x:c>
      <x:c r="Y19" s="26" t="n">
        <x:f>IF(U19="Open",Lookups!$B$2-B19,X19)</x:f>
        <x:v>39</x:v>
      </x:c>
      <x:c r="Z19" t="str">
        <x:f>IF(AND(U19="Open",Y19&gt;30),"STALE","OK")</x:f>
        <x:v>OK</x:v>
      </x:c>
      <x:c r="AA19" t="str">
        <x:f>TEXT(B19,"yyyy-mm")</x:f>
        <x:v>2026-06</x:v>
      </x:c>
      <x:c r="AB19" t="str">
        <x:f>IF(K19="","",TEXT(K19,"yyyy-mm"))</x:f>
        <x:v>2026-07</x:v>
      </x:c>
      <x:c r="AC19" t="str">
        <x:f>"Q"&amp;ROUNDUP(MONTH(B19)/3,0)&amp;"-"&amp;YEAR(B19)</x:f>
        <x:v>Q2-2026</x:v>
      </x:c>
      <x:c r="AD19" s="26" t="n">
        <x:f>MIN(100,IF(H19="Enterprise",30,IF(H19="Mid-Market",22,14))+IF(T19="Enterprise",25,IF(T19="Mid-Market",18,10))+IF(Q19="Referral",25,IF(Q19="Organic Search",20,IF(Q19="Email",18,14)))+IF(G19="Technology",10,5))</x:f>
        <x:v>66</x:v>
      </x:c>
      <x:c r="AE19" t="str">
        <x:f>IF(U19&lt;&gt;"Open",U19,IF(N19&gt;=0.8,"Commit",IF(N19&gt;=0.5,"Best Case","Pipeline")))</x:f>
        <x:v>Lost</x:v>
      </x:c>
    </x:row>
    <x:row r="20">
      <x:c r="A20" t="str">
        <x:v>L00019</x:v>
      </x:c>
      <x:c r="B20" s="10" t="n">
        <x:v>46191</x:v>
      </x:c>
      <x:c r="C20" t="str">
        <x:v>Tuan Bui</x:v>
      </x:c>
      <x:c r="D20" t="str">
        <x:v>Central</x:v>
      </x:c>
      <x:c r="E20" t="str">
        <x:v>Offline List</x:v>
      </x:c>
      <x:c r="F20" t="str">
        <x:v>MKT-AUTO</x:v>
      </x:c>
      <x:c r="G20" t="str">
        <x:v>Retail</x:v>
      </x:c>
      <x:c r="H20" t="str">
        <x:v>Mid-Market</x:v>
      </x:c>
      <x:c r="I20" t="str">
        <x:v>Demo / Meeting</x:v>
      </x:c>
      <x:c r="J20" s="10" t="n">
        <x:v>46229</x:v>
      </x:c>
      <x:c r="K20" s="10"/>
      <x:c r="L20" s="22" t="n">
        <x:v>17200</x:v>
      </x:c>
      <x:c r="M20" s="24" t="n">
        <x:v>0.05</x:v>
      </x:c>
      <x:c r="N20" s="24" t="n">
        <x:v>0.4</x:v>
      </x:c>
      <x:c r="O20" t="str"/>
      <x:c r="P20" t="n">
        <x:v>3</x:v>
      </x:c>
      <x:c r="Q20" t="str">
        <x:f>IFERROR(XLOOKUP(E20,Lookups!$A$5:$A$24,Lookups!$B$5:$B$24),"Other")</x:f>
        <x:v>Other</x:v>
      </x:c>
      <x:c r="R20" t="str">
        <x:f>IFERROR(XLOOKUP(F20,Lookups!$D$5:$D$10,Lookups!$E$5:$E$10),"Unknown Product")</x:f>
        <x:v>Marketing Automation</x:v>
      </x:c>
      <x:c r="S20" t="str">
        <x:f>IFERROR(XLOOKUP(F20,Lookups!$D$5:$D$10,Lookups!$F$5:$F$10),"Unknown")</x:f>
        <x:v>Marketing</x:v>
      </x:c>
      <x:c r="T20" t="str">
        <x:f>IF(L20&gt;=50000,"Enterprise",IF(L20&gt;=20000,"Mid-Market","SMB"))</x:f>
        <x:v>SMB</x:v>
      </x:c>
      <x:c r="U20" t="str">
        <x:f>IF(I20="Closed Won","Won",IF(I20="Closed Lost","Lost","Open"))</x:f>
        <x:v>Open</x:v>
      </x:c>
      <x:c r="V20" s="22" t="n">
        <x:f>IF(U20="Won",L20*(1-M20),0)</x:f>
        <x:v>0</x:v>
      </x:c>
      <x:c r="W20" s="22" t="n">
        <x:f>IF(U20="Open",L20*N20,0)</x:f>
        <x:v>6880</x:v>
      </x:c>
      <x:c r="X20" s="26" t="str">
        <x:f>IF(U20="Open","",IFERROR(K20-B20,""))</x:f>
      </x:c>
      <x:c r="Y20" s="26" t="n">
        <x:f>IF(U20="Open",Lookups!$B$2-B20,X20)</x:f>
        <x:v>75</x:v>
      </x:c>
      <x:c r="Z20" t="str">
        <x:f>IF(AND(U20="Open",Y20&gt;30),"STALE","OK")</x:f>
        <x:v>STALE</x:v>
      </x:c>
      <x:c r="AA20" t="str">
        <x:f>TEXT(B20,"yyyy-mm")</x:f>
        <x:v>2026-06</x:v>
      </x:c>
      <x:c r="AB20" t="str">
        <x:f>IF(K20="","",TEXT(K20,"yyyy-mm"))</x:f>
      </x:c>
      <x:c r="AC20" t="str">
        <x:f>"Q"&amp;ROUNDUP(MONTH(B20)/3,0)&amp;"-"&amp;YEAR(B20)</x:f>
        <x:v>Q2-2026</x:v>
      </x:c>
      <x:c r="AD20" s="26" t="n">
        <x:f>MIN(100,IF(H20="Enterprise",30,IF(H20="Mid-Market",22,14))+IF(T20="Enterprise",25,IF(T20="Mid-Market",18,10))+IF(Q20="Referral",25,IF(Q20="Organic Search",20,IF(Q20="Email",18,14)))+IF(G20="Technology",10,5))</x:f>
        <x:v>51</x:v>
      </x:c>
      <x:c r="AE20" t="str">
        <x:f>IF(U20&lt;&gt;"Open",U20,IF(N20&gt;=0.8,"Commit",IF(N20&gt;=0.5,"Best Case","Pipeline")))</x:f>
        <x:v>Pipeline</x:v>
      </x:c>
    </x:row>
    <x:row r="21">
      <x:c r="A21" t="str">
        <x:v>L00020</x:v>
      </x:c>
      <x:c r="B21" s="10" t="n">
        <x:v>45689</x:v>
      </x:c>
      <x:c r="C21" t="str">
        <x:v>Duy Pham</x:v>
      </x:c>
      <x:c r="D21" t="str">
        <x:v>South</x:v>
      </x:c>
      <x:c r="E21" t="str">
        <x:v>Referral</x:v>
      </x:c>
      <x:c r="F21" t="str">
        <x:v>CRM-PRO</x:v>
      </x:c>
      <x:c r="G21" t="str">
        <x:v>Manufacturing</x:v>
      </x:c>
      <x:c r="H21" t="str">
        <x:v>Mid-Market</x:v>
      </x:c>
      <x:c r="I21" t="str">
        <x:v>Closed Won</x:v>
      </x:c>
      <x:c r="J21" s="10" t="n">
        <x:v>45712</x:v>
      </x:c>
      <x:c r="K21" s="10" t="n">
        <x:v>45712</x:v>
      </x:c>
      <x:c r="L21" s="22" t="n">
        <x:v>43800</x:v>
      </x:c>
      <x:c r="M21" s="24" t="n">
        <x:v>0.08</x:v>
      </x:c>
      <x:c r="N21" s="24" t="n">
        <x:v>1</x:v>
      </x:c>
      <x:c r="O21" t="str"/>
      <x:c r="P21" t="n">
        <x:v>6</x:v>
      </x:c>
      <x:c r="Q21" t="str">
        <x:f>IFERROR(XLOOKUP(E21,Lookups!$A$5:$A$24,Lookups!$B$5:$B$24),"Other")</x:f>
        <x:v>Referral</x:v>
      </x:c>
      <x:c r="R21" t="str">
        <x:f>IFERROR(XLOOKUP(F21,Lookups!$D$5:$D$10,Lookups!$E$5:$E$10),"Unknown Product")</x:f>
        <x:v>NexaCRM Pro</x:v>
      </x:c>
      <x:c r="S21" t="str">
        <x:f>IFERROR(XLOOKUP(F21,Lookups!$D$5:$D$10,Lookups!$F$5:$F$10),"Unknown")</x:f>
        <x:v>CRM</x:v>
      </x:c>
      <x:c r="T21" t="str">
        <x:f>IF(L21&gt;=50000,"Enterprise",IF(L21&gt;=20000,"Mid-Market","SMB"))</x:f>
        <x:v>Mid-Market</x:v>
      </x:c>
      <x:c r="U21" t="str">
        <x:f>IF(I21="Closed Won","Won",IF(I21="Closed Lost","Lost","Open"))</x:f>
        <x:v>Won</x:v>
      </x:c>
      <x:c r="V21" s="22" t="n">
        <x:f>IF(U21="Won",L21*(1-M21),0)</x:f>
        <x:v>40296</x:v>
      </x:c>
      <x:c r="W21" s="22" t="n">
        <x:f>IF(U21="Open",L21*N21,0)</x:f>
        <x:v>0</x:v>
      </x:c>
      <x:c r="X21" s="26" t="n">
        <x:f>IF(U21="Open","",IFERROR(K21-B21,""))</x:f>
        <x:v>23</x:v>
      </x:c>
      <x:c r="Y21" s="26" t="n">
        <x:f>IF(U21="Open",Lookups!$B$2-B21,X21)</x:f>
        <x:v>23</x:v>
      </x:c>
      <x:c r="Z21" t="str">
        <x:f>IF(AND(U21="Open",Y21&gt;30),"STALE","OK")</x:f>
        <x:v>OK</x:v>
      </x:c>
      <x:c r="AA21" t="str">
        <x:f>TEXT(B21,"yyyy-mm")</x:f>
        <x:v>2025-02</x:v>
      </x:c>
      <x:c r="AB21" t="str">
        <x:f>IF(K21="","",TEXT(K21,"yyyy-mm"))</x:f>
        <x:v>2025-02</x:v>
      </x:c>
      <x:c r="AC21" t="str">
        <x:f>"Q"&amp;ROUNDUP(MONTH(B21)/3,0)&amp;"-"&amp;YEAR(B21)</x:f>
        <x:v>Q1-2025</x:v>
      </x:c>
      <x:c r="AD21" s="26" t="n">
        <x:f>MIN(100,IF(H21="Enterprise",30,IF(H21="Mid-Market",22,14))+IF(T21="Enterprise",25,IF(T21="Mid-Market",18,10))+IF(Q21="Referral",25,IF(Q21="Organic Search",20,IF(Q21="Email",18,14)))+IF(G21="Technology",10,5))</x:f>
        <x:v>70</x:v>
      </x:c>
      <x:c r="AE21" t="str">
        <x:f>IF(U21&lt;&gt;"Open",U21,IF(N21&gt;=0.8,"Commit",IF(N21&gt;=0.5,"Best Case","Pipeline")))</x:f>
        <x:v>Won</x:v>
      </x:c>
    </x:row>
    <x:row r="22">
      <x:c r="A22" t="str">
        <x:v>L00021</x:v>
      </x:c>
      <x:c r="B22" s="10" t="n">
        <x:v>45753</x:v>
      </x:c>
      <x:c r="C22" t="str">
        <x:v>Duy Pham</x:v>
      </x:c>
      <x:c r="D22" t="str">
        <x:v>South</x:v>
      </x:c>
      <x:c r="E22" t="str">
        <x:v>Outbound</x:v>
      </x:c>
      <x:c r="F22" t="str">
        <x:v>CRM-CORE</x:v>
      </x:c>
      <x:c r="G22" t="str">
        <x:v>Financial Services</x:v>
      </x:c>
      <x:c r="H22" t="str">
        <x:v>SMB</x:v>
      </x:c>
      <x:c r="I22" t="str">
        <x:v>Closed Lost</x:v>
      </x:c>
      <x:c r="J22" s="10" t="n">
        <x:v>45775</x:v>
      </x:c>
      <x:c r="K22" s="10" t="n">
        <x:v>45775</x:v>
      </x:c>
      <x:c r="L22" s="22" t="n">
        <x:v>8800</x:v>
      </x:c>
      <x:c r="M22" s="24" t="n">
        <x:v>0</x:v>
      </x:c>
      <x:c r="N22" s="24" t="n">
        <x:v>0</x:v>
      </x:c>
      <x:c r="O22" t="str">
        <x:v>Feature Gap</x:v>
      </x:c>
      <x:c r="P22" t="n">
        <x:v>4</x:v>
      </x:c>
      <x:c r="Q22" t="str">
        <x:f>IFERROR(XLOOKUP(E22,Lookups!$A$5:$A$24,Lookups!$B$5:$B$24),"Other")</x:f>
        <x:v>Outbound</x:v>
      </x:c>
      <x:c r="R22" t="str">
        <x:f>IFERROR(XLOOKUP(F22,Lookups!$D$5:$D$10,Lookups!$E$5:$E$10),"Unknown Product")</x:f>
        <x:v>NexaCRM Core</x:v>
      </x:c>
      <x:c r="S22" t="str">
        <x:f>IFERROR(XLOOKUP(F22,Lookups!$D$5:$D$10,Lookups!$F$5:$F$10),"Unknown")</x:f>
        <x:v>CRM</x:v>
      </x:c>
      <x:c r="T22" t="str">
        <x:f>IF(L22&gt;=50000,"Enterprise",IF(L22&gt;=20000,"Mid-Market","SMB"))</x:f>
        <x:v>SMB</x:v>
      </x:c>
      <x:c r="U22" t="str">
        <x:f>IF(I22="Closed Won","Won",IF(I22="Closed Lost","Lost","Open"))</x:f>
        <x:v>Lost</x:v>
      </x:c>
      <x:c r="V22" s="22" t="n">
        <x:f>IF(U22="Won",L22*(1-M22),0)</x:f>
        <x:v>0</x:v>
      </x:c>
      <x:c r="W22" s="22" t="n">
        <x:f>IF(U22="Open",L22*N22,0)</x:f>
        <x:v>0</x:v>
      </x:c>
      <x:c r="X22" s="26" t="n">
        <x:f>IF(U22="Open","",IFERROR(K22-B22,""))</x:f>
        <x:v>22</x:v>
      </x:c>
      <x:c r="Y22" s="26" t="n">
        <x:f>IF(U22="Open",Lookups!$B$2-B22,X22)</x:f>
        <x:v>22</x:v>
      </x:c>
      <x:c r="Z22" t="str">
        <x:f>IF(AND(U22="Open",Y22&gt;30),"STALE","OK")</x:f>
        <x:v>OK</x:v>
      </x:c>
      <x:c r="AA22" t="str">
        <x:f>TEXT(B22,"yyyy-mm")</x:f>
        <x:v>2025-04</x:v>
      </x:c>
      <x:c r="AB22" t="str">
        <x:f>IF(K22="","",TEXT(K22,"yyyy-mm"))</x:f>
        <x:v>2025-04</x:v>
      </x:c>
      <x:c r="AC22" t="str">
        <x:f>"Q"&amp;ROUNDUP(MONTH(B22)/3,0)&amp;"-"&amp;YEAR(B22)</x:f>
        <x:v>Q2-2025</x:v>
      </x:c>
      <x:c r="AD22" s="26" t="n">
        <x:f>MIN(100,IF(H22="Enterprise",30,IF(H22="Mid-Market",22,14))+IF(T22="Enterprise",25,IF(T22="Mid-Market",18,10))+IF(Q22="Referral",25,IF(Q22="Organic Search",20,IF(Q22="Email",18,14)))+IF(G22="Technology",10,5))</x:f>
        <x:v>43</x:v>
      </x:c>
      <x:c r="AE22" t="str">
        <x:f>IF(U22&lt;&gt;"Open",U22,IF(N22&gt;=0.8,"Commit",IF(N22&gt;=0.5,"Best Case","Pipeline")))</x:f>
        <x:v>Lost</x:v>
      </x:c>
    </x:row>
    <x:row r="23">
      <x:c r="A23" t="str">
        <x:v>L00022</x:v>
      </x:c>
      <x:c r="B23" s="10" t="n">
        <x:v>46178</x:v>
      </x:c>
      <x:c r="C23" t="str">
        <x:v>Bao Tran</x:v>
      </x:c>
      <x:c r="D23" t="str">
        <x:v>South</x:v>
      </x:c>
      <x:c r="E23" t="str">
        <x:v>Google Ads</x:v>
      </x:c>
      <x:c r="F23" t="str">
        <x:v>CRM-CORE</x:v>
      </x:c>
      <x:c r="G23" t="str">
        <x:v>Technology</x:v>
      </x:c>
      <x:c r="H23" t="str">
        <x:v>Mid-Market</x:v>
      </x:c>
      <x:c r="I23" t="str">
        <x:v>Closed Won</x:v>
      </x:c>
      <x:c r="J23" s="10" t="n">
        <x:v>46217</x:v>
      </x:c>
      <x:c r="K23" s="10" t="n">
        <x:v>46217</x:v>
      </x:c>
      <x:c r="L23" s="22" t="n">
        <x:v>9100</x:v>
      </x:c>
      <x:c r="M23" s="24" t="n">
        <x:v>0.05</x:v>
      </x:c>
      <x:c r="N23" s="24" t="n">
        <x:v>1</x:v>
      </x:c>
      <x:c r="O23" t="str"/>
      <x:c r="P23" t="n">
        <x:v>6</x:v>
      </x:c>
      <x:c r="Q23" t="str">
        <x:f>IFERROR(XLOOKUP(E23,Lookups!$A$5:$A$24,Lookups!$B$5:$B$24),"Other")</x:f>
        <x:v>Paid Search</x:v>
      </x:c>
      <x:c r="R23" t="str">
        <x:f>IFERROR(XLOOKUP(F23,Lookups!$D$5:$D$10,Lookups!$E$5:$E$10),"Unknown Product")</x:f>
        <x:v>NexaCRM Core</x:v>
      </x:c>
      <x:c r="S23" t="str">
        <x:f>IFERROR(XLOOKUP(F23,Lookups!$D$5:$D$10,Lookups!$F$5:$F$10),"Unknown")</x:f>
        <x:v>CRM</x:v>
      </x:c>
      <x:c r="T23" t="str">
        <x:f>IF(L23&gt;=50000,"Enterprise",IF(L23&gt;=20000,"Mid-Market","SMB"))</x:f>
        <x:v>SMB</x:v>
      </x:c>
      <x:c r="U23" t="str">
        <x:f>IF(I23="Closed Won","Won",IF(I23="Closed Lost","Lost","Open"))</x:f>
        <x:v>Won</x:v>
      </x:c>
      <x:c r="V23" s="22" t="n">
        <x:f>IF(U23="Won",L23*(1-M23),0)</x:f>
        <x:v>8645</x:v>
      </x:c>
      <x:c r="W23" s="22" t="n">
        <x:f>IF(U23="Open",L23*N23,0)</x:f>
        <x:v>0</x:v>
      </x:c>
      <x:c r="X23" s="26" t="n">
        <x:f>IF(U23="Open","",IFERROR(K23-B23,""))</x:f>
        <x:v>39</x:v>
      </x:c>
      <x:c r="Y23" s="26" t="n">
        <x:f>IF(U23="Open",Lookups!$B$2-B23,X23)</x:f>
        <x:v>39</x:v>
      </x:c>
      <x:c r="Z23" t="str">
        <x:f>IF(AND(U23="Open",Y23&gt;30),"STALE","OK")</x:f>
        <x:v>OK</x:v>
      </x:c>
      <x:c r="AA23" t="str">
        <x:f>TEXT(B23,"yyyy-mm")</x:f>
        <x:v>2026-06</x:v>
      </x:c>
      <x:c r="AB23" t="str">
        <x:f>IF(K23="","",TEXT(K23,"yyyy-mm"))</x:f>
        <x:v>2026-07</x:v>
      </x:c>
      <x:c r="AC23" t="str">
        <x:f>"Q"&amp;ROUNDUP(MONTH(B23)/3,0)&amp;"-"&amp;YEAR(B23)</x:f>
        <x:v>Q2-2026</x:v>
      </x:c>
      <x:c r="AD23" s="26" t="n">
        <x:f>MIN(100,IF(H23="Enterprise",30,IF(H23="Mid-Market",22,14))+IF(T23="Enterprise",25,IF(T23="Mid-Market",18,10))+IF(Q23="Referral",25,IF(Q23="Organic Search",20,IF(Q23="Email",18,14)))+IF(G23="Technology",10,5))</x:f>
        <x:v>56</x:v>
      </x:c>
      <x:c r="AE23" t="str">
        <x:f>IF(U23&lt;&gt;"Open",U23,IF(N23&gt;=0.8,"Commit",IF(N23&gt;=0.5,"Best Case","Pipeline")))</x:f>
        <x:v>Won</x:v>
      </x:c>
    </x:row>
    <x:row r="24">
      <x:c r="A24" t="str">
        <x:v>L00023</x:v>
      </x:c>
      <x:c r="B24" s="10" t="n">
        <x:v>45816</x:v>
      </x:c>
      <x:c r="C24" t="str">
        <x:v>Quynh Vu</x:v>
      </x:c>
      <x:c r="D24" t="str">
        <x:v>North</x:v>
      </x:c>
      <x:c r="E24" t="str">
        <x:v>Referral</x:v>
      </x:c>
      <x:c r="F24" t="str">
        <x:v>CRM-CORE</x:v>
      </x:c>
      <x:c r="G24" t="str">
        <x:v>Education</x:v>
      </x:c>
      <x:c r="H24" t="str">
        <x:v>Enterprise</x:v>
      </x:c>
      <x:c r="I24" t="str">
        <x:v>Closed Lost</x:v>
      </x:c>
      <x:c r="J24" s="10" t="n">
        <x:v>45835</x:v>
      </x:c>
      <x:c r="K24" s="10" t="n">
        <x:v>45835</x:v>
      </x:c>
      <x:c r="L24" s="22" t="n">
        <x:v>17400</x:v>
      </x:c>
      <x:c r="M24" s="24" t="n">
        <x:v>0</x:v>
      </x:c>
      <x:c r="N24" s="24" t="n">
        <x:v>0</x:v>
      </x:c>
      <x:c r="O24" t="str">
        <x:v>Competitor</x:v>
      </x:c>
      <x:c r="P24" t="n">
        <x:v>5</x:v>
      </x:c>
      <x:c r="Q24" t="str">
        <x:f>IFERROR(XLOOKUP(E24,Lookups!$A$5:$A$24,Lookups!$B$5:$B$24),"Other")</x:f>
        <x:v>Referral</x:v>
      </x:c>
      <x:c r="R24" t="str">
        <x:f>IFERROR(XLOOKUP(F24,Lookups!$D$5:$D$10,Lookups!$E$5:$E$10),"Unknown Product")</x:f>
        <x:v>NexaCRM Core</x:v>
      </x:c>
      <x:c r="S24" t="str">
        <x:f>IFERROR(XLOOKUP(F24,Lookups!$D$5:$D$10,Lookups!$F$5:$F$10),"Unknown")</x:f>
        <x:v>CRM</x:v>
      </x:c>
      <x:c r="T24" t="str">
        <x:f>IF(L24&gt;=50000,"Enterprise",IF(L24&gt;=20000,"Mid-Market","SMB"))</x:f>
        <x:v>SMB</x:v>
      </x:c>
      <x:c r="U24" t="str">
        <x:f>IF(I24="Closed Won","Won",IF(I24="Closed Lost","Lost","Open"))</x:f>
        <x:v>Lost</x:v>
      </x:c>
      <x:c r="V24" s="22" t="n">
        <x:f>IF(U24="Won",L24*(1-M24),0)</x:f>
        <x:v>0</x:v>
      </x:c>
      <x:c r="W24" s="22" t="n">
        <x:f>IF(U24="Open",L24*N24,0)</x:f>
        <x:v>0</x:v>
      </x:c>
      <x:c r="X24" s="26" t="n">
        <x:f>IF(U24="Open","",IFERROR(K24-B24,""))</x:f>
        <x:v>19</x:v>
      </x:c>
      <x:c r="Y24" s="26" t="n">
        <x:f>IF(U24="Open",Lookups!$B$2-B24,X24)</x:f>
        <x:v>19</x:v>
      </x:c>
      <x:c r="Z24" t="str">
        <x:f>IF(AND(U24="Open",Y24&gt;30),"STALE","OK")</x:f>
        <x:v>OK</x:v>
      </x:c>
      <x:c r="AA24" t="str">
        <x:f>TEXT(B24,"yyyy-mm")</x:f>
        <x:v>2025-06</x:v>
      </x:c>
      <x:c r="AB24" t="str">
        <x:f>IF(K24="","",TEXT(K24,"yyyy-mm"))</x:f>
        <x:v>2025-06</x:v>
      </x:c>
      <x:c r="AC24" t="str">
        <x:f>"Q"&amp;ROUNDUP(MONTH(B24)/3,0)&amp;"-"&amp;YEAR(B24)</x:f>
        <x:v>Q2-2025</x:v>
      </x:c>
      <x:c r="AD24" s="26" t="n">
        <x:f>MIN(100,IF(H24="Enterprise",30,IF(H24="Mid-Market",22,14))+IF(T24="Enterprise",25,IF(T24="Mid-Market",18,10))+IF(Q24="Referral",25,IF(Q24="Organic Search",20,IF(Q24="Email",18,14)))+IF(G24="Technology",10,5))</x:f>
        <x:v>70</x:v>
      </x:c>
      <x:c r="AE24" t="str">
        <x:f>IF(U24&lt;&gt;"Open",U24,IF(N24&gt;=0.8,"Commit",IF(N24&gt;=0.5,"Best Case","Pipeline")))</x:f>
        <x:v>Lost</x:v>
      </x:c>
    </x:row>
    <x:row r="25">
      <x:c r="A25" t="str">
        <x:v>L00024</x:v>
      </x:c>
      <x:c r="B25" s="10" t="n">
        <x:v>45856</x:v>
      </x:c>
      <x:c r="C25" t="str">
        <x:v>Bao Tran</x:v>
      </x:c>
      <x:c r="D25" t="str">
        <x:v>South</x:v>
      </x:c>
      <x:c r="E25" t="str">
        <x:v>SDR Outreach</x:v>
      </x:c>
      <x:c r="F25" t="str">
        <x:v>MKT-AUTO</x:v>
      </x:c>
      <x:c r="G25" t="str">
        <x:v>Manufacturing</x:v>
      </x:c>
      <x:c r="H25" t="str">
        <x:v>Mid-Market</x:v>
      </x:c>
      <x:c r="I25" t="str">
        <x:v>Closed Lost</x:v>
      </x:c>
      <x:c r="J25" s="10" t="n">
        <x:v>45864</x:v>
      </x:c>
      <x:c r="K25" s="10" t="n">
        <x:v>45864</x:v>
      </x:c>
      <x:c r="L25" s="22" t="n">
        <x:v>19200</x:v>
      </x:c>
      <x:c r="M25" s="24" t="n">
        <x:v>0</x:v>
      </x:c>
      <x:c r="N25" s="24" t="n">
        <x:v>0</x:v>
      </x:c>
      <x:c r="O25" t="str">
        <x:v>Budget</x:v>
      </x:c>
      <x:c r="P25" t="n">
        <x:v>4</x:v>
      </x:c>
      <x:c r="Q25" t="str">
        <x:f>IFERROR(XLOOKUP(E25,Lookups!$A$5:$A$24,Lookups!$B$5:$B$24),"Other")</x:f>
        <x:v>Outbound</x:v>
      </x:c>
      <x:c r="R25" t="str">
        <x:f>IFERROR(XLOOKUP(F25,Lookups!$D$5:$D$10,Lookups!$E$5:$E$10),"Unknown Product")</x:f>
        <x:v>Marketing Automation</x:v>
      </x:c>
      <x:c r="S25" t="str">
        <x:f>IFERROR(XLOOKUP(F25,Lookups!$D$5:$D$10,Lookups!$F$5:$F$10),"Unknown")</x:f>
        <x:v>Marketing</x:v>
      </x:c>
      <x:c r="T25" t="str">
        <x:f>IF(L25&gt;=50000,"Enterprise",IF(L25&gt;=20000,"Mid-Market","SMB"))</x:f>
        <x:v>SMB</x:v>
      </x:c>
      <x:c r="U25" t="str">
        <x:f>IF(I25="Closed Won","Won",IF(I25="Closed Lost","Lost","Open"))</x:f>
        <x:v>Lost</x:v>
      </x:c>
      <x:c r="V25" s="22" t="n">
        <x:f>IF(U25="Won",L25*(1-M25),0)</x:f>
        <x:v>0</x:v>
      </x:c>
      <x:c r="W25" s="22" t="n">
        <x:f>IF(U25="Open",L25*N25,0)</x:f>
        <x:v>0</x:v>
      </x:c>
      <x:c r="X25" s="26" t="n">
        <x:f>IF(U25="Open","",IFERROR(K25-B25,""))</x:f>
        <x:v>8</x:v>
      </x:c>
      <x:c r="Y25" s="26" t="n">
        <x:f>IF(U25="Open",Lookups!$B$2-B25,X25)</x:f>
        <x:v>8</x:v>
      </x:c>
      <x:c r="Z25" t="str">
        <x:f>IF(AND(U25="Open",Y25&gt;30),"STALE","OK")</x:f>
        <x:v>OK</x:v>
      </x:c>
      <x:c r="AA25" t="str">
        <x:f>TEXT(B25,"yyyy-mm")</x:f>
        <x:v>2025-07</x:v>
      </x:c>
      <x:c r="AB25" t="str">
        <x:f>IF(K25="","",TEXT(K25,"yyyy-mm"))</x:f>
        <x:v>2025-07</x:v>
      </x:c>
      <x:c r="AC25" t="str">
        <x:f>"Q"&amp;ROUNDUP(MONTH(B25)/3,0)&amp;"-"&amp;YEAR(B25)</x:f>
        <x:v>Q3-2025</x:v>
      </x:c>
      <x:c r="AD25" s="26" t="n">
        <x:f>MIN(100,IF(H25="Enterprise",30,IF(H25="Mid-Market",22,14))+IF(T25="Enterprise",25,IF(T25="Mid-Market",18,10))+IF(Q25="Referral",25,IF(Q25="Organic Search",20,IF(Q25="Email",18,14)))+IF(G25="Technology",10,5))</x:f>
        <x:v>51</x:v>
      </x:c>
      <x:c r="AE25" t="str">
        <x:f>IF(U25&lt;&gt;"Open",U25,IF(N25&gt;=0.8,"Commit",IF(N25&gt;=0.5,"Best Case","Pipeline")))</x:f>
        <x:v>Lost</x:v>
      </x:c>
    </x:row>
    <x:row r="26">
      <x:c r="A26" t="str">
        <x:v>L00025</x:v>
      </x:c>
      <x:c r="B26" s="10" t="n">
        <x:v>45707</x:v>
      </x:c>
      <x:c r="C26" t="str">
        <x:v>An Nguyen</x:v>
      </x:c>
      <x:c r="D26" t="str">
        <x:v>South</x:v>
      </x:c>
      <x:c r="E26" t="str">
        <x:v>linkedin</x:v>
      </x:c>
      <x:c r="F26" t="str">
        <x:v>CS-CLOUD</x:v>
      </x:c>
      <x:c r="G26" t="str">
        <x:v>Retail</x:v>
      </x:c>
      <x:c r="H26" t="str">
        <x:v>SMB</x:v>
      </x:c>
      <x:c r="I26" t="str">
        <x:v>Negotiation</x:v>
      </x:c>
      <x:c r="J26" s="10" t="n">
        <x:v>46185</x:v>
      </x:c>
      <x:c r="K26" s="10"/>
      <x:c r="L26" s="22" t="n">
        <x:v>22400</x:v>
      </x:c>
      <x:c r="M26" s="24" t="n">
        <x:v>0</x:v>
      </x:c>
      <x:c r="N26" s="24" t="n">
        <x:v>0.85</x:v>
      </x:c>
      <x:c r="O26" t="str"/>
      <x:c r="P26" t="n">
        <x:v>5</x:v>
      </x:c>
      <x:c r="Q26" t="str">
        <x:f>IFERROR(XLOOKUP(E26,Lookups!$A$5:$A$24,Lookups!$B$5:$B$24),"Other")</x:f>
        <x:v>LinkedIn</x:v>
      </x:c>
      <x:c r="R26" t="str">
        <x:f>IFERROR(XLOOKUP(F26,Lookups!$D$5:$D$10,Lookups!$E$5:$E$10),"Unknown Product")</x:f>
        <x:v>Service Cloud</x:v>
      </x:c>
      <x:c r="S26" t="str">
        <x:f>IFERROR(XLOOKUP(F26,Lookups!$D$5:$D$10,Lookups!$F$5:$F$10),"Unknown")</x:f>
        <x:v>Customer Service</x:v>
      </x:c>
      <x:c r="T26" t="str">
        <x:f>IF(L26&gt;=50000,"Enterprise",IF(L26&gt;=20000,"Mid-Market","SMB"))</x:f>
        <x:v>Mid-Market</x:v>
      </x:c>
      <x:c r="U26" t="str">
        <x:f>IF(I26="Closed Won","Won",IF(I26="Closed Lost","Lost","Open"))</x:f>
        <x:v>Open</x:v>
      </x:c>
      <x:c r="V26" s="22" t="n">
        <x:f>IF(U26="Won",L26*(1-M26),0)</x:f>
        <x:v>0</x:v>
      </x:c>
      <x:c r="W26" s="22" t="n">
        <x:f>IF(U26="Open",L26*N26,0)</x:f>
        <x:v>19040</x:v>
      </x:c>
      <x:c r="X26" s="26" t="str">
        <x:f>IF(U26="Open","",IFERROR(K26-B26,""))</x:f>
      </x:c>
      <x:c r="Y26" s="26" t="n">
        <x:f>IF(U26="Open",Lookups!$B$2-B26,X26)</x:f>
        <x:v>559</x:v>
      </x:c>
      <x:c r="Z26" t="str">
        <x:f>IF(AND(U26="Open",Y26&gt;30),"STALE","OK")</x:f>
        <x:v>STALE</x:v>
      </x:c>
      <x:c r="AA26" t="str">
        <x:f>TEXT(B26,"yyyy-mm")</x:f>
        <x:v>2025-02</x:v>
      </x:c>
      <x:c r="AB26" t="str">
        <x:f>IF(K26="","",TEXT(K26,"yyyy-mm"))</x:f>
      </x:c>
      <x:c r="AC26" t="str">
        <x:f>"Q"&amp;ROUNDUP(MONTH(B26)/3,0)&amp;"-"&amp;YEAR(B26)</x:f>
        <x:v>Q1-2025</x:v>
      </x:c>
      <x:c r="AD26" s="26" t="n">
        <x:f>MIN(100,IF(H26="Enterprise",30,IF(H26="Mid-Market",22,14))+IF(T26="Enterprise",25,IF(T26="Mid-Market",18,10))+IF(Q26="Referral",25,IF(Q26="Organic Search",20,IF(Q26="Email",18,14)))+IF(G26="Technology",10,5))</x:f>
        <x:v>51</x:v>
      </x:c>
      <x:c r="AE26" t="str">
        <x:f>IF(U26&lt;&gt;"Open",U26,IF(N26&gt;=0.8,"Commit",IF(N26&gt;=0.5,"Best Case","Pipeline")))</x:f>
        <x:v>Commit</x:v>
      </x:c>
    </x:row>
    <x:row r="27">
      <x:c r="A27" t="str">
        <x:v>L00026</x:v>
      </x:c>
      <x:c r="B27" s="10" t="n">
        <x:v>46139</x:v>
      </x:c>
      <x:c r="C27" t="str">
        <x:v>An Nguyen</x:v>
      </x:c>
      <x:c r="D27" t="str">
        <x:v>South</x:v>
      </x:c>
      <x:c r="E27" t="str">
        <x:v>customer referral</x:v>
      </x:c>
      <x:c r="F27" t="str">
        <x:v>CRM-PRO</x:v>
      </x:c>
      <x:c r="G27" t="str">
        <x:v>Professional Services</x:v>
      </x:c>
      <x:c r="H27" t="str">
        <x:v>Enterprise</x:v>
      </x:c>
      <x:c r="I27" t="str">
        <x:v>Negotiation</x:v>
      </x:c>
      <x:c r="J27" s="10" t="n">
        <x:v>46188</x:v>
      </x:c>
      <x:c r="K27" s="10"/>
      <x:c r="L27" s="22" t="n">
        <x:v>81700</x:v>
      </x:c>
      <x:c r="M27" s="24" t="n">
        <x:v>0</x:v>
      </x:c>
      <x:c r="N27" s="24" t="n">
        <x:v>0.85</x:v>
      </x:c>
      <x:c r="O27" t="str"/>
      <x:c r="P27" t="n">
        <x:v>5</x:v>
      </x:c>
      <x:c r="Q27" t="str">
        <x:f>IFERROR(XLOOKUP(E27,Lookups!$A$5:$A$24,Lookups!$B$5:$B$24),"Other")</x:f>
        <x:v>Referral</x:v>
      </x:c>
      <x:c r="R27" t="str">
        <x:f>IFERROR(XLOOKUP(F27,Lookups!$D$5:$D$10,Lookups!$E$5:$E$10),"Unknown Product")</x:f>
        <x:v>NexaCRM Pro</x:v>
      </x:c>
      <x:c r="S27" t="str">
        <x:f>IFERROR(XLOOKUP(F27,Lookups!$D$5:$D$10,Lookups!$F$5:$F$10),"Unknown")</x:f>
        <x:v>CRM</x:v>
      </x:c>
      <x:c r="T27" t="str">
        <x:f>IF(L27&gt;=50000,"Enterprise",IF(L27&gt;=20000,"Mid-Market","SMB"))</x:f>
        <x:v>Enterprise</x:v>
      </x:c>
      <x:c r="U27" t="str">
        <x:f>IF(I27="Closed Won","Won",IF(I27="Closed Lost","Lost","Open"))</x:f>
        <x:v>Open</x:v>
      </x:c>
      <x:c r="V27" s="22" t="n">
        <x:f>IF(U27="Won",L27*(1-M27),0)</x:f>
        <x:v>0</x:v>
      </x:c>
      <x:c r="W27" s="22" t="n">
        <x:f>IF(U27="Open",L27*N27,0)</x:f>
        <x:v>69445</x:v>
      </x:c>
      <x:c r="X27" s="26" t="str">
        <x:f>IF(U27="Open","",IFERROR(K27-B27,""))</x:f>
      </x:c>
      <x:c r="Y27" s="26" t="n">
        <x:f>IF(U27="Open",Lookups!$B$2-B27,X27)</x:f>
        <x:v>127</x:v>
      </x:c>
      <x:c r="Z27" t="str">
        <x:f>IF(AND(U27="Open",Y27&gt;30),"STALE","OK")</x:f>
        <x:v>STALE</x:v>
      </x:c>
      <x:c r="AA27" t="str">
        <x:f>TEXT(B27,"yyyy-mm")</x:f>
        <x:v>2026-04</x:v>
      </x:c>
      <x:c r="AB27" t="str">
        <x:f>IF(K27="","",TEXT(K27,"yyyy-mm"))</x:f>
      </x:c>
      <x:c r="AC27" t="str">
        <x:f>"Q"&amp;ROUNDUP(MONTH(B27)/3,0)&amp;"-"&amp;YEAR(B27)</x:f>
        <x:v>Q2-2026</x:v>
      </x:c>
      <x:c r="AD27" s="26" t="n">
        <x:f>MIN(100,IF(H27="Enterprise",30,IF(H27="Mid-Market",22,14))+IF(T27="Enterprise",25,IF(T27="Mid-Market",18,10))+IF(Q27="Referral",25,IF(Q27="Organic Search",20,IF(Q27="Email",18,14)))+IF(G27="Technology",10,5))</x:f>
        <x:v>85</x:v>
      </x:c>
      <x:c r="AE27" t="str">
        <x:f>IF(U27&lt;&gt;"Open",U27,IF(N27&gt;=0.8,"Commit",IF(N27&gt;=0.5,"Best Case","Pipeline")))</x:f>
        <x:v>Commit</x:v>
      </x:c>
    </x:row>
    <x:row r="28">
      <x:c r="A28" t="str">
        <x:v>L00027</x:v>
      </x:c>
      <x:c r="B28" s="10" t="n">
        <x:v>46110</x:v>
      </x:c>
      <x:c r="C28" t="str">
        <x:v>Tuan Bui</x:v>
      </x:c>
      <x:c r="D28" t="str">
        <x:v>Central</x:v>
      </x:c>
      <x:c r="E28" t="str">
        <x:v>virtual event</x:v>
      </x:c>
      <x:c r="F28" t="str">
        <x:v>CS-CLOUD</x:v>
      </x:c>
      <x:c r="G28" t="str">
        <x:v>Manufacturing</x:v>
      </x:c>
      <x:c r="H28" t="str">
        <x:v>Mid-Market</x:v>
      </x:c>
      <x:c r="I28" t="str">
        <x:v>Closed Lost</x:v>
      </x:c>
      <x:c r="J28" s="10" t="n">
        <x:v>46118</x:v>
      </x:c>
      <x:c r="K28" s="10" t="n">
        <x:v>46118</x:v>
      </x:c>
      <x:c r="L28" s="22" t="n">
        <x:v>49100</x:v>
      </x:c>
      <x:c r="M28" s="24" t="n">
        <x:v>0</x:v>
      </x:c>
      <x:c r="N28" s="24" t="n">
        <x:v>0</x:v>
      </x:c>
      <x:c r="O28" t="str">
        <x:v>Price</x:v>
      </x:c>
      <x:c r="P28" t="n">
        <x:v>2</x:v>
      </x:c>
      <x:c r="Q28" t="str">
        <x:f>IFERROR(XLOOKUP(E28,Lookups!$A$5:$A$24,Lookups!$B$5:$B$24),"Other")</x:f>
        <x:v>Webinar</x:v>
      </x:c>
      <x:c r="R28" t="str">
        <x:f>IFERROR(XLOOKUP(F28,Lookups!$D$5:$D$10,Lookups!$E$5:$E$10),"Unknown Product")</x:f>
        <x:v>Service Cloud</x:v>
      </x:c>
      <x:c r="S28" t="str">
        <x:f>IFERROR(XLOOKUP(F28,Lookups!$D$5:$D$10,Lookups!$F$5:$F$10),"Unknown")</x:f>
        <x:v>Customer Service</x:v>
      </x:c>
      <x:c r="T28" t="str">
        <x:f>IF(L28&gt;=50000,"Enterprise",IF(L28&gt;=20000,"Mid-Market","SMB"))</x:f>
        <x:v>Mid-Market</x:v>
      </x:c>
      <x:c r="U28" t="str">
        <x:f>IF(I28="Closed Won","Won",IF(I28="Closed Lost","Lost","Open"))</x:f>
        <x:v>Lost</x:v>
      </x:c>
      <x:c r="V28" s="22" t="n">
        <x:f>IF(U28="Won",L28*(1-M28),0)</x:f>
        <x:v>0</x:v>
      </x:c>
      <x:c r="W28" s="22" t="n">
        <x:f>IF(U28="Open",L28*N28,0)</x:f>
        <x:v>0</x:v>
      </x:c>
      <x:c r="X28" s="26" t="n">
        <x:f>IF(U28="Open","",IFERROR(K28-B28,""))</x:f>
        <x:v>8</x:v>
      </x:c>
      <x:c r="Y28" s="26" t="n">
        <x:f>IF(U28="Open",Lookups!$B$2-B28,X28)</x:f>
        <x:v>8</x:v>
      </x:c>
      <x:c r="Z28" t="str">
        <x:f>IF(AND(U28="Open",Y28&gt;30),"STALE","OK")</x:f>
        <x:v>OK</x:v>
      </x:c>
      <x:c r="AA28" t="str">
        <x:f>TEXT(B28,"yyyy-mm")</x:f>
        <x:v>2026-03</x:v>
      </x:c>
      <x:c r="AB28" t="str">
        <x:f>IF(K28="","",TEXT(K28,"yyyy-mm"))</x:f>
        <x:v>2026-04</x:v>
      </x:c>
      <x:c r="AC28" t="str">
        <x:f>"Q"&amp;ROUNDUP(MONTH(B28)/3,0)&amp;"-"&amp;YEAR(B28)</x:f>
        <x:v>Q1-2026</x:v>
      </x:c>
      <x:c r="AD28" s="26" t="n">
        <x:f>MIN(100,IF(H28="Enterprise",30,IF(H28="Mid-Market",22,14))+IF(T28="Enterprise",25,IF(T28="Mid-Market",18,10))+IF(Q28="Referral",25,IF(Q28="Organic Search",20,IF(Q28="Email",18,14)))+IF(G28="Technology",10,5))</x:f>
        <x:v>59</x:v>
      </x:c>
      <x:c r="AE28" t="str">
        <x:f>IF(U28&lt;&gt;"Open",U28,IF(N28&gt;=0.8,"Commit",IF(N28&gt;=0.5,"Best Case","Pipeline")))</x:f>
        <x:v>Lost</x:v>
      </x:c>
    </x:row>
    <x:row r="29">
      <x:c r="A29" t="str">
        <x:v>L00028</x:v>
      </x:c>
      <x:c r="B29" s="10" t="n">
        <x:v>45911</x:v>
      </x:c>
      <x:c r="C29" t="str">
        <x:v>Ha Vo</x:v>
      </x:c>
      <x:c r="D29" t="str">
        <x:v>North</x:v>
      </x:c>
      <x:c r="E29" t="str">
        <x:v>LI Ads</x:v>
      </x:c>
      <x:c r="F29" t="str">
        <x:v>MKT-AUTO</x:v>
      </x:c>
      <x:c r="G29" t="str">
        <x:v>Retail</x:v>
      </x:c>
      <x:c r="H29" t="str">
        <x:v>Mid-Market</x:v>
      </x:c>
      <x:c r="I29" t="str">
        <x:v>Closed Lost</x:v>
      </x:c>
      <x:c r="J29" s="10" t="n">
        <x:v>45961</x:v>
      </x:c>
      <x:c r="K29" s="10" t="n">
        <x:v>45961</x:v>
      </x:c>
      <x:c r="L29" s="22" t="n">
        <x:v>22500</x:v>
      </x:c>
      <x:c r="M29" s="24" t="n">
        <x:v>0</x:v>
      </x:c>
      <x:c r="N29" s="24" t="n">
        <x:v>0</x:v>
      </x:c>
      <x:c r="O29" t="str">
        <x:v>Competitor</x:v>
      </x:c>
      <x:c r="P29" t="n">
        <x:v>5</x:v>
      </x:c>
      <x:c r="Q29" t="str">
        <x:f>IFERROR(XLOOKUP(E29,Lookups!$A$5:$A$24,Lookups!$B$5:$B$24),"Other")</x:f>
        <x:v>LinkedIn</x:v>
      </x:c>
      <x:c r="R29" t="str">
        <x:f>IFERROR(XLOOKUP(F29,Lookups!$D$5:$D$10,Lookups!$E$5:$E$10),"Unknown Product")</x:f>
        <x:v>Marketing Automation</x:v>
      </x:c>
      <x:c r="S29" t="str">
        <x:f>IFERROR(XLOOKUP(F29,Lookups!$D$5:$D$10,Lookups!$F$5:$F$10),"Unknown")</x:f>
        <x:v>Marketing</x:v>
      </x:c>
      <x:c r="T29" t="str">
        <x:f>IF(L29&gt;=50000,"Enterprise",IF(L29&gt;=20000,"Mid-Market","SMB"))</x:f>
        <x:v>Mid-Market</x:v>
      </x:c>
      <x:c r="U29" t="str">
        <x:f>IF(I29="Closed Won","Won",IF(I29="Closed Lost","Lost","Open"))</x:f>
        <x:v>Lost</x:v>
      </x:c>
      <x:c r="V29" s="22" t="n">
        <x:f>IF(U29="Won",L29*(1-M29),0)</x:f>
        <x:v>0</x:v>
      </x:c>
      <x:c r="W29" s="22" t="n">
        <x:f>IF(U29="Open",L29*N29,0)</x:f>
        <x:v>0</x:v>
      </x:c>
      <x:c r="X29" s="26" t="n">
        <x:f>IF(U29="Open","",IFERROR(K29-B29,""))</x:f>
        <x:v>50</x:v>
      </x:c>
      <x:c r="Y29" s="26" t="n">
        <x:f>IF(U29="Open",Lookups!$B$2-B29,X29)</x:f>
        <x:v>50</x:v>
      </x:c>
      <x:c r="Z29" t="str">
        <x:f>IF(AND(U29="Open",Y29&gt;30),"STALE","OK")</x:f>
        <x:v>OK</x:v>
      </x:c>
      <x:c r="AA29" t="str">
        <x:f>TEXT(B29,"yyyy-mm")</x:f>
        <x:v>2025-09</x:v>
      </x:c>
      <x:c r="AB29" t="str">
        <x:f>IF(K29="","",TEXT(K29,"yyyy-mm"))</x:f>
        <x:v>2025-10</x:v>
      </x:c>
      <x:c r="AC29" t="str">
        <x:f>"Q"&amp;ROUNDUP(MONTH(B29)/3,0)&amp;"-"&amp;YEAR(B29)</x:f>
        <x:v>Q3-2025</x:v>
      </x:c>
      <x:c r="AD29" s="26" t="n">
        <x:f>MIN(100,IF(H29="Enterprise",30,IF(H29="Mid-Market",22,14))+IF(T29="Enterprise",25,IF(T29="Mid-Market",18,10))+IF(Q29="Referral",25,IF(Q29="Organic Search",20,IF(Q29="Email",18,14)))+IF(G29="Technology",10,5))</x:f>
        <x:v>59</x:v>
      </x:c>
      <x:c r="AE29" t="str">
        <x:f>IF(U29&lt;&gt;"Open",U29,IF(N29&gt;=0.8,"Commit",IF(N29&gt;=0.5,"Best Case","Pipeline")))</x:f>
        <x:v>Lost</x:v>
      </x:c>
    </x:row>
    <x:row r="30">
      <x:c r="A30" t="str">
        <x:v>L00029</x:v>
      </x:c>
      <x:c r="B30" s="10" t="n">
        <x:v>45963</x:v>
      </x:c>
      <x:c r="C30" t="str">
        <x:v>An Nguyen</x:v>
      </x:c>
      <x:c r="D30" t="str">
        <x:v>South</x:v>
      </x:c>
      <x:c r="E30" t="str">
        <x:v>email nurture</x:v>
      </x:c>
      <x:c r="F30" t="str">
        <x:v>CRM-CORE</x:v>
      </x:c>
      <x:c r="G30" t="str">
        <x:v>Professional Services</x:v>
      </x:c>
      <x:c r="H30" t="str">
        <x:v>Mid-Market</x:v>
      </x:c>
      <x:c r="I30" t="str">
        <x:v>Closed Lost</x:v>
      </x:c>
      <x:c r="J30" s="10" t="n">
        <x:v>46011</x:v>
      </x:c>
      <x:c r="K30" s="10" t="n">
        <x:v>46011</x:v>
      </x:c>
      <x:c r="L30" s="22" t="n">
        <x:v>8400</x:v>
      </x:c>
      <x:c r="M30" s="24" t="n">
        <x:v>0</x:v>
      </x:c>
      <x:c r="N30" s="24" t="n">
        <x:v>0</x:v>
      </x:c>
      <x:c r="O30" t="str">
        <x:v>Price</x:v>
      </x:c>
      <x:c r="P30" t="n">
        <x:v>3</x:v>
      </x:c>
      <x:c r="Q30" t="str">
        <x:f>IFERROR(XLOOKUP(E30,Lookups!$A$5:$A$24,Lookups!$B$5:$B$24),"Other")</x:f>
        <x:v>Email</x:v>
      </x:c>
      <x:c r="R30" t="str">
        <x:f>IFERROR(XLOOKUP(F30,Lookups!$D$5:$D$10,Lookups!$E$5:$E$10),"Unknown Product")</x:f>
        <x:v>NexaCRM Core</x:v>
      </x:c>
      <x:c r="S30" t="str">
        <x:f>IFERROR(XLOOKUP(F30,Lookups!$D$5:$D$10,Lookups!$F$5:$F$10),"Unknown")</x:f>
        <x:v>CRM</x:v>
      </x:c>
      <x:c r="T30" t="str">
        <x:f>IF(L30&gt;=50000,"Enterprise",IF(L30&gt;=20000,"Mid-Market","SMB"))</x:f>
        <x:v>SMB</x:v>
      </x:c>
      <x:c r="U30" t="str">
        <x:f>IF(I30="Closed Won","Won",IF(I30="Closed Lost","Lost","Open"))</x:f>
        <x:v>Lost</x:v>
      </x:c>
      <x:c r="V30" s="22" t="n">
        <x:f>IF(U30="Won",L30*(1-M30),0)</x:f>
        <x:v>0</x:v>
      </x:c>
      <x:c r="W30" s="22" t="n">
        <x:f>IF(U30="Open",L30*N30,0)</x:f>
        <x:v>0</x:v>
      </x:c>
      <x:c r="X30" s="26" t="n">
        <x:f>IF(U30="Open","",IFERROR(K30-B30,""))</x:f>
        <x:v>48</x:v>
      </x:c>
      <x:c r="Y30" s="26" t="n">
        <x:f>IF(U30="Open",Lookups!$B$2-B30,X30)</x:f>
        <x:v>48</x:v>
      </x:c>
      <x:c r="Z30" t="str">
        <x:f>IF(AND(U30="Open",Y30&gt;30),"STALE","OK")</x:f>
        <x:v>OK</x:v>
      </x:c>
      <x:c r="AA30" t="str">
        <x:f>TEXT(B30,"yyyy-mm")</x:f>
        <x:v>2025-11</x:v>
      </x:c>
      <x:c r="AB30" t="str">
        <x:f>IF(K30="","",TEXT(K30,"yyyy-mm"))</x:f>
        <x:v>2025-12</x:v>
      </x:c>
      <x:c r="AC30" t="str">
        <x:f>"Q"&amp;ROUNDUP(MONTH(B30)/3,0)&amp;"-"&amp;YEAR(B30)</x:f>
        <x:v>Q4-2025</x:v>
      </x:c>
      <x:c r="AD30" s="26" t="n">
        <x:f>MIN(100,IF(H30="Enterprise",30,IF(H30="Mid-Market",22,14))+IF(T30="Enterprise",25,IF(T30="Mid-Market",18,10))+IF(Q30="Referral",25,IF(Q30="Organic Search",20,IF(Q30="Email",18,14)))+IF(G30="Technology",10,5))</x:f>
        <x:v>55</x:v>
      </x:c>
      <x:c r="AE30" t="str">
        <x:f>IF(U30&lt;&gt;"Open",U30,IF(N30&gt;=0.8,"Commit",IF(N30&gt;=0.5,"Best Case","Pipeline")))</x:f>
        <x:v>Lost</x:v>
      </x:c>
    </x:row>
    <x:row r="31">
      <x:c r="A31" t="str">
        <x:v>L00030</x:v>
      </x:c>
      <x:c r="B31" s="10" t="n">
        <x:v>46247</x:v>
      </x:c>
      <x:c r="C31" t="str">
        <x:v>Quynh Vu</x:v>
      </x:c>
      <x:c r="D31" t="str">
        <x:v>North</x:v>
      </x:c>
      <x:c r="E31" t="str">
        <x:v>linkedin</x:v>
      </x:c>
      <x:c r="F31" t="str">
        <x:v>CRM-PRO</x:v>
      </x:c>
      <x:c r="G31" t="str">
        <x:v>Manufacturing</x:v>
      </x:c>
      <x:c r="H31" t="str">
        <x:v>Enterprise</x:v>
      </x:c>
      <x:c r="I31" t="str">
        <x:v>Qualified</x:v>
      </x:c>
      <x:c r="J31" s="10" t="n">
        <x:v>46258</x:v>
      </x:c>
      <x:c r="K31" s="10"/>
      <x:c r="L31" s="22" t="n">
        <x:v>80900</x:v>
      </x:c>
      <x:c r="M31" s="24" t="n">
        <x:v>0</x:v>
      </x:c>
      <x:c r="N31" s="24" t="n">
        <x:v>0.2</x:v>
      </x:c>
      <x:c r="O31" t="str"/>
      <x:c r="P31" t="n">
        <x:v>2</x:v>
      </x:c>
      <x:c r="Q31" t="str">
        <x:f>IFERROR(XLOOKUP(E31,Lookups!$A$5:$A$24,Lookups!$B$5:$B$24),"Other")</x:f>
        <x:v>LinkedIn</x:v>
      </x:c>
      <x:c r="R31" t="str">
        <x:f>IFERROR(XLOOKUP(F31,Lookups!$D$5:$D$10,Lookups!$E$5:$E$10),"Unknown Product")</x:f>
        <x:v>NexaCRM Pro</x:v>
      </x:c>
      <x:c r="S31" t="str">
        <x:f>IFERROR(XLOOKUP(F31,Lookups!$D$5:$D$10,Lookups!$F$5:$F$10),"Unknown")</x:f>
        <x:v>CRM</x:v>
      </x:c>
      <x:c r="T31" t="str">
        <x:f>IF(L31&gt;=50000,"Enterprise",IF(L31&gt;=20000,"Mid-Market","SMB"))</x:f>
        <x:v>Enterprise</x:v>
      </x:c>
      <x:c r="U31" t="str">
        <x:f>IF(I31="Closed Won","Won",IF(I31="Closed Lost","Lost","Open"))</x:f>
        <x:v>Open</x:v>
      </x:c>
      <x:c r="V31" s="22" t="n">
        <x:f>IF(U31="Won",L31*(1-M31),0)</x:f>
        <x:v>0</x:v>
      </x:c>
      <x:c r="W31" s="22" t="n">
        <x:f>IF(U31="Open",L31*N31,0)</x:f>
        <x:v>16180</x:v>
      </x:c>
      <x:c r="X31" s="26" t="str">
        <x:f>IF(U31="Open","",IFERROR(K31-B31,""))</x:f>
      </x:c>
      <x:c r="Y31" s="26" t="n">
        <x:f>IF(U31="Open",Lookups!$B$2-B31,X31)</x:f>
        <x:v>19</x:v>
      </x:c>
      <x:c r="Z31" t="str">
        <x:f>IF(AND(U31="Open",Y31&gt;30),"STALE","OK")</x:f>
        <x:v>OK</x:v>
      </x:c>
      <x:c r="AA31" t="str">
        <x:f>TEXT(B31,"yyyy-mm")</x:f>
        <x:v>2026-08</x:v>
      </x:c>
      <x:c r="AB31" t="str">
        <x:f>IF(K31="","",TEXT(K31,"yyyy-mm"))</x:f>
      </x:c>
      <x:c r="AC31" t="str">
        <x:f>"Q"&amp;ROUNDUP(MONTH(B31)/3,0)&amp;"-"&amp;YEAR(B31)</x:f>
        <x:v>Q3-2026</x:v>
      </x:c>
      <x:c r="AD31" s="26" t="n">
        <x:f>MIN(100,IF(H31="Enterprise",30,IF(H31="Mid-Market",22,14))+IF(T31="Enterprise",25,IF(T31="Mid-Market",18,10))+IF(Q31="Referral",25,IF(Q31="Organic Search",20,IF(Q31="Email",18,14)))+IF(G31="Technology",10,5))</x:f>
        <x:v>74</x:v>
      </x:c>
      <x:c r="AE31" t="str">
        <x:f>IF(U31&lt;&gt;"Open",U31,IF(N31&gt;=0.8,"Commit",IF(N31&gt;=0.5,"Best Case","Pipeline")))</x:f>
        <x:v>Pipeline</x:v>
      </x:c>
    </x:row>
    <x:row r="32">
      <x:c r="A32" t="str">
        <x:v>L00031</x:v>
      </x:c>
      <x:c r="B32" s="10" t="n">
        <x:v>45988</x:v>
      </x:c>
      <x:c r="C32" t="str">
        <x:v>Duy Pham</x:v>
      </x:c>
      <x:c r="D32" t="str">
        <x:v>South</x:v>
      </x:c>
      <x:c r="E32" t="str">
        <x:v>email nurture</x:v>
      </x:c>
      <x:c r="F32" t="str">
        <x:v>MKT-AUTO</x:v>
      </x:c>
      <x:c r="G32" t="str">
        <x:v>Professional Services</x:v>
      </x:c>
      <x:c r="H32" t="str">
        <x:v>Mid-Market</x:v>
      </x:c>
      <x:c r="I32" t="str">
        <x:v>Closed Lost</x:v>
      </x:c>
      <x:c r="J32" s="10" t="n">
        <x:v>46029</x:v>
      </x:c>
      <x:c r="K32" s="10" t="n">
        <x:v>46029</x:v>
      </x:c>
      <x:c r="L32" s="22" t="n">
        <x:v>21200</x:v>
      </x:c>
      <x:c r="M32" s="24" t="n">
        <x:v>0</x:v>
      </x:c>
      <x:c r="N32" s="24" t="n">
        <x:v>0</x:v>
      </x:c>
      <x:c r="O32" t="str">
        <x:v>Timing</x:v>
      </x:c>
      <x:c r="P32" t="n">
        <x:v>2</x:v>
      </x:c>
      <x:c r="Q32" t="str">
        <x:f>IFERROR(XLOOKUP(E32,Lookups!$A$5:$A$24,Lookups!$B$5:$B$24),"Other")</x:f>
        <x:v>Email</x:v>
      </x:c>
      <x:c r="R32" t="str">
        <x:f>IFERROR(XLOOKUP(F32,Lookups!$D$5:$D$10,Lookups!$E$5:$E$10),"Unknown Product")</x:f>
        <x:v>Marketing Automation</x:v>
      </x:c>
      <x:c r="S32" t="str">
        <x:f>IFERROR(XLOOKUP(F32,Lookups!$D$5:$D$10,Lookups!$F$5:$F$10),"Unknown")</x:f>
        <x:v>Marketing</x:v>
      </x:c>
      <x:c r="T32" t="str">
        <x:f>IF(L32&gt;=50000,"Enterprise",IF(L32&gt;=20000,"Mid-Market","SMB"))</x:f>
        <x:v>Mid-Market</x:v>
      </x:c>
      <x:c r="U32" t="str">
        <x:f>IF(I32="Closed Won","Won",IF(I32="Closed Lost","Lost","Open"))</x:f>
        <x:v>Lost</x:v>
      </x:c>
      <x:c r="V32" s="22" t="n">
        <x:f>IF(U32="Won",L32*(1-M32),0)</x:f>
        <x:v>0</x:v>
      </x:c>
      <x:c r="W32" s="22" t="n">
        <x:f>IF(U32="Open",L32*N32,0)</x:f>
        <x:v>0</x:v>
      </x:c>
      <x:c r="X32" s="26" t="n">
        <x:f>IF(U32="Open","",IFERROR(K32-B32,""))</x:f>
        <x:v>41</x:v>
      </x:c>
      <x:c r="Y32" s="26" t="n">
        <x:f>IF(U32="Open",Lookups!$B$2-B32,X32)</x:f>
        <x:v>41</x:v>
      </x:c>
      <x:c r="Z32" t="str">
        <x:f>IF(AND(U32="Open",Y32&gt;30),"STALE","OK")</x:f>
        <x:v>OK</x:v>
      </x:c>
      <x:c r="AA32" t="str">
        <x:f>TEXT(B32,"yyyy-mm")</x:f>
        <x:v>2025-11</x:v>
      </x:c>
      <x:c r="AB32" t="str">
        <x:f>IF(K32="","",TEXT(K32,"yyyy-mm"))</x:f>
        <x:v>2026-01</x:v>
      </x:c>
      <x:c r="AC32" t="str">
        <x:f>"Q"&amp;ROUNDUP(MONTH(B32)/3,0)&amp;"-"&amp;YEAR(B32)</x:f>
        <x:v>Q4-2025</x:v>
      </x:c>
      <x:c r="AD32" s="26" t="n">
        <x:f>MIN(100,IF(H32="Enterprise",30,IF(H32="Mid-Market",22,14))+IF(T32="Enterprise",25,IF(T32="Mid-Market",18,10))+IF(Q32="Referral",25,IF(Q32="Organic Search",20,IF(Q32="Email",18,14)))+IF(G32="Technology",10,5))</x:f>
        <x:v>63</x:v>
      </x:c>
      <x:c r="AE32" t="str">
        <x:f>IF(U32&lt;&gt;"Open",U32,IF(N32&gt;=0.8,"Commit",IF(N32&gt;=0.5,"Best Case","Pipeline")))</x:f>
        <x:v>Lost</x:v>
      </x:c>
    </x:row>
    <x:row r="33">
      <x:c r="A33" t="str">
        <x:v>L00032</x:v>
      </x:c>
      <x:c r="B33" s="10" t="n">
        <x:v>46006</x:v>
      </x:c>
      <x:c r="C33" t="str">
        <x:v>Ha Vo</x:v>
      </x:c>
      <x:c r="D33" t="str">
        <x:v>North</x:v>
      </x:c>
      <x:c r="E33" t="str">
        <x:v>google cpc</x:v>
      </x:c>
      <x:c r="F33" t="str">
        <x:v>CRM-CORE</x:v>
      </x:c>
      <x:c r="G33" t="str">
        <x:v>Professional Services</x:v>
      </x:c>
      <x:c r="H33" t="str">
        <x:v>Enterprise</x:v>
      </x:c>
      <x:c r="I33" t="str">
        <x:v>Negotiation</x:v>
      </x:c>
      <x:c r="J33" s="10" t="n">
        <x:v>46185</x:v>
      </x:c>
      <x:c r="K33" s="10"/>
      <x:c r="L33" s="22" t="n">
        <x:v>26900</x:v>
      </x:c>
      <x:c r="M33" s="24" t="n">
        <x:v>0.03</x:v>
      </x:c>
      <x:c r="N33" s="24" t="n">
        <x:v>0.85</x:v>
      </x:c>
      <x:c r="O33" t="str"/>
      <x:c r="P33" t="n">
        <x:v>5</x:v>
      </x:c>
      <x:c r="Q33" t="str">
        <x:f>IFERROR(XLOOKUP(E33,Lookups!$A$5:$A$24,Lookups!$B$5:$B$24),"Other")</x:f>
        <x:v>Paid Search</x:v>
      </x:c>
      <x:c r="R33" t="str">
        <x:f>IFERROR(XLOOKUP(F33,Lookups!$D$5:$D$10,Lookups!$E$5:$E$10),"Unknown Product")</x:f>
        <x:v>NexaCRM Core</x:v>
      </x:c>
      <x:c r="S33" t="str">
        <x:f>IFERROR(XLOOKUP(F33,Lookups!$D$5:$D$10,Lookups!$F$5:$F$10),"Unknown")</x:f>
        <x:v>CRM</x:v>
      </x:c>
      <x:c r="T33" t="str">
        <x:f>IF(L33&gt;=50000,"Enterprise",IF(L33&gt;=20000,"Mid-Market","SMB"))</x:f>
        <x:v>Mid-Market</x:v>
      </x:c>
      <x:c r="U33" t="str">
        <x:f>IF(I33="Closed Won","Won",IF(I33="Closed Lost","Lost","Open"))</x:f>
        <x:v>Open</x:v>
      </x:c>
      <x:c r="V33" s="22" t="n">
        <x:f>IF(U33="Won",L33*(1-M33),0)</x:f>
        <x:v>0</x:v>
      </x:c>
      <x:c r="W33" s="22" t="n">
        <x:f>IF(U33="Open",L33*N33,0)</x:f>
        <x:v>22865</x:v>
      </x:c>
      <x:c r="X33" s="26" t="str">
        <x:f>IF(U33="Open","",IFERROR(K33-B33,""))</x:f>
      </x:c>
      <x:c r="Y33" s="26" t="n">
        <x:f>IF(U33="Open",Lookups!$B$2-B33,X33)</x:f>
        <x:v>260</x:v>
      </x:c>
      <x:c r="Z33" t="str">
        <x:f>IF(AND(U33="Open",Y33&gt;30),"STALE","OK")</x:f>
        <x:v>STALE</x:v>
      </x:c>
      <x:c r="AA33" t="str">
        <x:f>TEXT(B33,"yyyy-mm")</x:f>
        <x:v>2025-12</x:v>
      </x:c>
      <x:c r="AB33" t="str">
        <x:f>IF(K33="","",TEXT(K33,"yyyy-mm"))</x:f>
      </x:c>
      <x:c r="AC33" t="str">
        <x:f>"Q"&amp;ROUNDUP(MONTH(B33)/3,0)&amp;"-"&amp;YEAR(B33)</x:f>
        <x:v>Q4-2025</x:v>
      </x:c>
      <x:c r="AD33" s="26" t="n">
        <x:f>MIN(100,IF(H33="Enterprise",30,IF(H33="Mid-Market",22,14))+IF(T33="Enterprise",25,IF(T33="Mid-Market",18,10))+IF(Q33="Referral",25,IF(Q33="Organic Search",20,IF(Q33="Email",18,14)))+IF(G33="Technology",10,5))</x:f>
        <x:v>67</x:v>
      </x:c>
      <x:c r="AE33" t="str">
        <x:f>IF(U33&lt;&gt;"Open",U33,IF(N33&gt;=0.8,"Commit",IF(N33&gt;=0.5,"Best Case","Pipeline")))</x:f>
        <x:v>Commit</x:v>
      </x:c>
    </x:row>
    <x:row r="34">
      <x:c r="A34" t="str">
        <x:v>L00033</x:v>
      </x:c>
      <x:c r="B34" s="10" t="n">
        <x:v>45810</x:v>
      </x:c>
      <x:c r="C34" t="str">
        <x:v>Duy Pham</x:v>
      </x:c>
      <x:c r="D34" t="str">
        <x:v>South</x:v>
      </x:c>
      <x:c r="E34" t="str">
        <x:v>SEM - Google</x:v>
      </x:c>
      <x:c r="F34" t="str">
        <x:v>CRM-PRO</x:v>
      </x:c>
      <x:c r="G34" t="str">
        <x:v>Manufacturing</x:v>
      </x:c>
      <x:c r="H34" t="str">
        <x:v>SMB</x:v>
      </x:c>
      <x:c r="I34" t="str">
        <x:v>Closed Lost</x:v>
      </x:c>
      <x:c r="J34" s="10" t="n">
        <x:v>45864</x:v>
      </x:c>
      <x:c r="K34" s="10" t="n">
        <x:v>45864</x:v>
      </x:c>
      <x:c r="L34" s="22" t="n">
        <x:v>12600</x:v>
      </x:c>
      <x:c r="M34" s="24" t="n">
        <x:v>0</x:v>
      </x:c>
      <x:c r="N34" s="24" t="n">
        <x:v>0</x:v>
      </x:c>
      <x:c r="O34" t="str">
        <x:v>Timing</x:v>
      </x:c>
      <x:c r="P34" t="n">
        <x:v>3</x:v>
      </x:c>
      <x:c r="Q34" t="str">
        <x:f>IFERROR(XLOOKUP(E34,Lookups!$A$5:$A$24,Lookups!$B$5:$B$24),"Other")</x:f>
        <x:v>Paid Search</x:v>
      </x:c>
      <x:c r="R34" t="str">
        <x:f>IFERROR(XLOOKUP(F34,Lookups!$D$5:$D$10,Lookups!$E$5:$E$10),"Unknown Product")</x:f>
        <x:v>NexaCRM Pro</x:v>
      </x:c>
      <x:c r="S34" t="str">
        <x:f>IFERROR(XLOOKUP(F34,Lookups!$D$5:$D$10,Lookups!$F$5:$F$10),"Unknown")</x:f>
        <x:v>CRM</x:v>
      </x:c>
      <x:c r="T34" t="str">
        <x:f>IF(L34&gt;=50000,"Enterprise",IF(L34&gt;=20000,"Mid-Market","SMB"))</x:f>
        <x:v>SMB</x:v>
      </x:c>
      <x:c r="U34" t="str">
        <x:f>IF(I34="Closed Won","Won",IF(I34="Closed Lost","Lost","Open"))</x:f>
        <x:v>Lost</x:v>
      </x:c>
      <x:c r="V34" s="22" t="n">
        <x:f>IF(U34="Won",L34*(1-M34),0)</x:f>
        <x:v>0</x:v>
      </x:c>
      <x:c r="W34" s="22" t="n">
        <x:f>IF(U34="Open",L34*N34,0)</x:f>
        <x:v>0</x:v>
      </x:c>
      <x:c r="X34" s="26" t="n">
        <x:f>IF(U34="Open","",IFERROR(K34-B34,""))</x:f>
        <x:v>54</x:v>
      </x:c>
      <x:c r="Y34" s="26" t="n">
        <x:f>IF(U34="Open",Lookups!$B$2-B34,X34)</x:f>
        <x:v>54</x:v>
      </x:c>
      <x:c r="Z34" t="str">
        <x:f>IF(AND(U34="Open",Y34&gt;30),"STALE","OK")</x:f>
        <x:v>OK</x:v>
      </x:c>
      <x:c r="AA34" t="str">
        <x:f>TEXT(B34,"yyyy-mm")</x:f>
        <x:v>2025-06</x:v>
      </x:c>
      <x:c r="AB34" t="str">
        <x:f>IF(K34="","",TEXT(K34,"yyyy-mm"))</x:f>
        <x:v>2025-07</x:v>
      </x:c>
      <x:c r="AC34" t="str">
        <x:f>"Q"&amp;ROUNDUP(MONTH(B34)/3,0)&amp;"-"&amp;YEAR(B34)</x:f>
        <x:v>Q2-2025</x:v>
      </x:c>
      <x:c r="AD34" s="26" t="n">
        <x:f>MIN(100,IF(H34="Enterprise",30,IF(H34="Mid-Market",22,14))+IF(T34="Enterprise",25,IF(T34="Mid-Market",18,10))+IF(Q34="Referral",25,IF(Q34="Organic Search",20,IF(Q34="Email",18,14)))+IF(G34="Technology",10,5))</x:f>
        <x:v>43</x:v>
      </x:c>
      <x:c r="AE34" t="str">
        <x:f>IF(U34&lt;&gt;"Open",U34,IF(N34&gt;=0.8,"Commit",IF(N34&gt;=0.5,"Best Case","Pipeline")))</x:f>
        <x:v>Lost</x:v>
      </x:c>
    </x:row>
    <x:row r="35">
      <x:c r="A35" t="str">
        <x:v>L00034</x:v>
      </x:c>
      <x:c r="B35" s="10" t="n">
        <x:v>45773</x:v>
      </x:c>
      <x:c r="C35" t="str">
        <x:v>An Nguyen</x:v>
      </x:c>
      <x:c r="D35" t="str">
        <x:v>South</x:v>
      </x:c>
      <x:c r="E35" t="str">
        <x:v>Referral</x:v>
      </x:c>
      <x:c r="F35" t="str">
        <x:v>REV-OPS</x:v>
      </x:c>
      <x:c r="G35" t="str">
        <x:v>Professional Services</x:v>
      </x:c>
      <x:c r="H35" t="str">
        <x:v>Mid-Market</x:v>
      </x:c>
      <x:c r="I35" t="str">
        <x:v>Closed Lost</x:v>
      </x:c>
      <x:c r="J35" s="10" t="n">
        <x:v>45801</x:v>
      </x:c>
      <x:c r="K35" s="10" t="n">
        <x:v>45801</x:v>
      </x:c>
      <x:c r="L35" s="22" t="n">
        <x:v>48900</x:v>
      </x:c>
      <x:c r="M35" s="24" t="n">
        <x:v>0</x:v>
      </x:c>
      <x:c r="N35" s="24" t="n">
        <x:v>0</x:v>
      </x:c>
      <x:c r="O35" t="str">
        <x:v>No Decision</x:v>
      </x:c>
      <x:c r="P35" t="n">
        <x:v>4</x:v>
      </x:c>
      <x:c r="Q35" t="str">
        <x:f>IFERROR(XLOOKUP(E35,Lookups!$A$5:$A$24,Lookups!$B$5:$B$24),"Other")</x:f>
        <x:v>Referral</x:v>
      </x:c>
      <x:c r="R35" t="str">
        <x:f>IFERROR(XLOOKUP(F35,Lookups!$D$5:$D$10,Lookups!$E$5:$E$10),"Unknown Product")</x:f>
        <x:v>Revenue Operations Suite</x:v>
      </x:c>
      <x:c r="S35" t="str">
        <x:f>IFERROR(XLOOKUP(F35,Lookups!$D$5:$D$10,Lookups!$F$5:$F$10),"Unknown")</x:f>
        <x:v>Revenue Ops</x:v>
      </x:c>
      <x:c r="T35" t="str">
        <x:f>IF(L35&gt;=50000,"Enterprise",IF(L35&gt;=20000,"Mid-Market","SMB"))</x:f>
        <x:v>Mid-Market</x:v>
      </x:c>
      <x:c r="U35" t="str">
        <x:f>IF(I35="Closed Won","Won",IF(I35="Closed Lost","Lost","Open"))</x:f>
        <x:v>Lost</x:v>
      </x:c>
      <x:c r="V35" s="22" t="n">
        <x:f>IF(U35="Won",L35*(1-M35),0)</x:f>
        <x:v>0</x:v>
      </x:c>
      <x:c r="W35" s="22" t="n">
        <x:f>IF(U35="Open",L35*N35,0)</x:f>
        <x:v>0</x:v>
      </x:c>
      <x:c r="X35" s="26" t="n">
        <x:f>IF(U35="Open","",IFERROR(K35-B35,""))</x:f>
        <x:v>28</x:v>
      </x:c>
      <x:c r="Y35" s="26" t="n">
        <x:f>IF(U35="Open",Lookups!$B$2-B35,X35)</x:f>
        <x:v>28</x:v>
      </x:c>
      <x:c r="Z35" t="str">
        <x:f>IF(AND(U35="Open",Y35&gt;30),"STALE","OK")</x:f>
        <x:v>OK</x:v>
      </x:c>
      <x:c r="AA35" t="str">
        <x:f>TEXT(B35,"yyyy-mm")</x:f>
        <x:v>2025-04</x:v>
      </x:c>
      <x:c r="AB35" t="str">
        <x:f>IF(K35="","",TEXT(K35,"yyyy-mm"))</x:f>
        <x:v>2025-05</x:v>
      </x:c>
      <x:c r="AC35" t="str">
        <x:f>"Q"&amp;ROUNDUP(MONTH(B35)/3,0)&amp;"-"&amp;YEAR(B35)</x:f>
        <x:v>Q2-2025</x:v>
      </x:c>
      <x:c r="AD35" s="26" t="n">
        <x:f>MIN(100,IF(H35="Enterprise",30,IF(H35="Mid-Market",22,14))+IF(T35="Enterprise",25,IF(T35="Mid-Market",18,10))+IF(Q35="Referral",25,IF(Q35="Organic Search",20,IF(Q35="Email",18,14)))+IF(G35="Technology",10,5))</x:f>
        <x:v>70</x:v>
      </x:c>
      <x:c r="AE35" t="str">
        <x:f>IF(U35&lt;&gt;"Open",U35,IF(N35&gt;=0.8,"Commit",IF(N35&gt;=0.5,"Best Case","Pipeline")))</x:f>
        <x:v>Lost</x:v>
      </x:c>
    </x:row>
    <x:row r="36">
      <x:c r="A36" t="str">
        <x:v>L00035</x:v>
      </x:c>
      <x:c r="B36" s="10" t="n">
        <x:v>45912</x:v>
      </x:c>
      <x:c r="C36" t="str">
        <x:v>Duy Pham</x:v>
      </x:c>
      <x:c r="D36" t="str">
        <x:v>South</x:v>
      </x:c>
      <x:c r="E36" t="str">
        <x:v>customer referral</x:v>
      </x:c>
      <x:c r="F36" t="str">
        <x:v>MKT-AUTO</x:v>
      </x:c>
      <x:c r="G36" t="str">
        <x:v>Retail</x:v>
      </x:c>
      <x:c r="H36" t="str">
        <x:v>SMB</x:v>
      </x:c>
      <x:c r="I36" t="str">
        <x:v>Closed Won</x:v>
      </x:c>
      <x:c r="J36" s="10" t="n">
        <x:v>45956</x:v>
      </x:c>
      <x:c r="K36" s="10" t="n">
        <x:v>45956</x:v>
      </x:c>
      <x:c r="L36" s="22" t="n">
        <x:v>12800</x:v>
      </x:c>
      <x:c r="M36" s="24" t="n">
        <x:v>0.08</x:v>
      </x:c>
      <x:c r="N36" s="24" t="n">
        <x:v>1</x:v>
      </x:c>
      <x:c r="O36" t="str"/>
      <x:c r="P36" t="n">
        <x:v>6</x:v>
      </x:c>
      <x:c r="Q36" t="str">
        <x:f>IFERROR(XLOOKUP(E36,Lookups!$A$5:$A$24,Lookups!$B$5:$B$24),"Other")</x:f>
        <x:v>Referral</x:v>
      </x:c>
      <x:c r="R36" t="str">
        <x:f>IFERROR(XLOOKUP(F36,Lookups!$D$5:$D$10,Lookups!$E$5:$E$10),"Unknown Product")</x:f>
        <x:v>Marketing Automation</x:v>
      </x:c>
      <x:c r="S36" t="str">
        <x:f>IFERROR(XLOOKUP(F36,Lookups!$D$5:$D$10,Lookups!$F$5:$F$10),"Unknown")</x:f>
        <x:v>Marketing</x:v>
      </x:c>
      <x:c r="T36" t="str">
        <x:f>IF(L36&gt;=50000,"Enterprise",IF(L36&gt;=20000,"Mid-Market","SMB"))</x:f>
        <x:v>SMB</x:v>
      </x:c>
      <x:c r="U36" t="str">
        <x:f>IF(I36="Closed Won","Won",IF(I36="Closed Lost","Lost","Open"))</x:f>
        <x:v>Won</x:v>
      </x:c>
      <x:c r="V36" s="22" t="n">
        <x:f>IF(U36="Won",L36*(1-M36),0)</x:f>
        <x:v>11776</x:v>
      </x:c>
      <x:c r="W36" s="22" t="n">
        <x:f>IF(U36="Open",L36*N36,0)</x:f>
        <x:v>0</x:v>
      </x:c>
      <x:c r="X36" s="26" t="n">
        <x:f>IF(U36="Open","",IFERROR(K36-B36,""))</x:f>
        <x:v>44</x:v>
      </x:c>
      <x:c r="Y36" s="26" t="n">
        <x:f>IF(U36="Open",Lookups!$B$2-B36,X36)</x:f>
        <x:v>44</x:v>
      </x:c>
      <x:c r="Z36" t="str">
        <x:f>IF(AND(U36="Open",Y36&gt;30),"STALE","OK")</x:f>
        <x:v>OK</x:v>
      </x:c>
      <x:c r="AA36" t="str">
        <x:f>TEXT(B36,"yyyy-mm")</x:f>
        <x:v>2025-09</x:v>
      </x:c>
      <x:c r="AB36" t="str">
        <x:f>IF(K36="","",TEXT(K36,"yyyy-mm"))</x:f>
        <x:v>2025-10</x:v>
      </x:c>
      <x:c r="AC36" t="str">
        <x:f>"Q"&amp;ROUNDUP(MONTH(B36)/3,0)&amp;"-"&amp;YEAR(B36)</x:f>
        <x:v>Q3-2025</x:v>
      </x:c>
      <x:c r="AD36" s="26" t="n">
        <x:f>MIN(100,IF(H36="Enterprise",30,IF(H36="Mid-Market",22,14))+IF(T36="Enterprise",25,IF(T36="Mid-Market",18,10))+IF(Q36="Referral",25,IF(Q36="Organic Search",20,IF(Q36="Email",18,14)))+IF(G36="Technology",10,5))</x:f>
        <x:v>54</x:v>
      </x:c>
      <x:c r="AE36" t="str">
        <x:f>IF(U36&lt;&gt;"Open",U36,IF(N36&gt;=0.8,"Commit",IF(N36&gt;=0.5,"Best Case","Pipeline")))</x:f>
        <x:v>Won</x:v>
      </x:c>
    </x:row>
    <x:row r="37">
      <x:c r="A37" t="str">
        <x:v>L00036</x:v>
      </x:c>
      <x:c r="B37" s="10" t="n">
        <x:v>45932</x:v>
      </x:c>
      <x:c r="C37" t="str">
        <x:v>An Nguyen</x:v>
      </x:c>
      <x:c r="D37" t="str">
        <x:v>South</x:v>
      </x:c>
      <x:c r="E37" t="str">
        <x:v>Conference Scan</x:v>
      </x:c>
      <x:c r="F37" t="str">
        <x:v>BI-PLUS</x:v>
      </x:c>
      <x:c r="G37" t="str">
        <x:v>Retail</x:v>
      </x:c>
      <x:c r="H37" t="str">
        <x:v>Mid-Market</x:v>
      </x:c>
      <x:c r="I37" t="str">
        <x:v>Closed Won</x:v>
      </x:c>
      <x:c r="J37" s="10" t="n">
        <x:v>45944</x:v>
      </x:c>
      <x:c r="K37" s="10" t="n">
        <x:v>45944</x:v>
      </x:c>
      <x:c r="L37" s="22" t="n">
        <x:v>43600</x:v>
      </x:c>
      <x:c r="M37" s="24" t="n">
        <x:v>0.03</x:v>
      </x:c>
      <x:c r="N37" s="24" t="n">
        <x:v>1</x:v>
      </x:c>
      <x:c r="O37" t="str"/>
      <x:c r="P37" t="n">
        <x:v>6</x:v>
      </x:c>
      <x:c r="Q37" t="str">
        <x:f>IFERROR(XLOOKUP(E37,Lookups!$A$5:$A$24,Lookups!$B$5:$B$24),"Other")</x:f>
        <x:v>Other</x:v>
      </x:c>
      <x:c r="R37" t="str">
        <x:f>IFERROR(XLOOKUP(F37,Lookups!$D$5:$D$10,Lookups!$E$5:$E$10),"Unknown Product")</x:f>
        <x:v>Analytics Plus</x:v>
      </x:c>
      <x:c r="S37" t="str">
        <x:f>IFERROR(XLOOKUP(F37,Lookups!$D$5:$D$10,Lookups!$F$5:$F$10),"Unknown")</x:f>
        <x:v>Analytics</x:v>
      </x:c>
      <x:c r="T37" t="str">
        <x:f>IF(L37&gt;=50000,"Enterprise",IF(L37&gt;=20000,"Mid-Market","SMB"))</x:f>
        <x:v>Mid-Market</x:v>
      </x:c>
      <x:c r="U37" t="str">
        <x:f>IF(I37="Closed Won","Won",IF(I37="Closed Lost","Lost","Open"))</x:f>
        <x:v>Won</x:v>
      </x:c>
      <x:c r="V37" s="22" t="n">
        <x:f>IF(U37="Won",L37*(1-M37),0)</x:f>
        <x:v>42292</x:v>
      </x:c>
      <x:c r="W37" s="22" t="n">
        <x:f>IF(U37="Open",L37*N37,0)</x:f>
        <x:v>0</x:v>
      </x:c>
      <x:c r="X37" s="26" t="n">
        <x:f>IF(U37="Open","",IFERROR(K37-B37,""))</x:f>
        <x:v>12</x:v>
      </x:c>
      <x:c r="Y37" s="26" t="n">
        <x:f>IF(U37="Open",Lookups!$B$2-B37,X37)</x:f>
        <x:v>12</x:v>
      </x:c>
      <x:c r="Z37" t="str">
        <x:f>IF(AND(U37="Open",Y37&gt;30),"STALE","OK")</x:f>
        <x:v>OK</x:v>
      </x:c>
      <x:c r="AA37" t="str">
        <x:f>TEXT(B37,"yyyy-mm")</x:f>
        <x:v>2025-10</x:v>
      </x:c>
      <x:c r="AB37" t="str">
        <x:f>IF(K37="","",TEXT(K37,"yyyy-mm"))</x:f>
        <x:v>2025-10</x:v>
      </x:c>
      <x:c r="AC37" t="str">
        <x:f>"Q"&amp;ROUNDUP(MONTH(B37)/3,0)&amp;"-"&amp;YEAR(B37)</x:f>
        <x:v>Q4-2025</x:v>
      </x:c>
      <x:c r="AD37" s="26" t="n">
        <x:f>MIN(100,IF(H37="Enterprise",30,IF(H37="Mid-Market",22,14))+IF(T37="Enterprise",25,IF(T37="Mid-Market",18,10))+IF(Q37="Referral",25,IF(Q37="Organic Search",20,IF(Q37="Email",18,14)))+IF(G37="Technology",10,5))</x:f>
        <x:v>59</x:v>
      </x:c>
      <x:c r="AE37" t="str">
        <x:f>IF(U37&lt;&gt;"Open",U37,IF(N37&gt;=0.8,"Commit",IF(N37&gt;=0.5,"Best Case","Pipeline")))</x:f>
        <x:v>Won</x:v>
      </x:c>
    </x:row>
    <x:row r="38">
      <x:c r="A38" t="str">
        <x:v>L00037</x:v>
      </x:c>
      <x:c r="B38" s="10" t="n">
        <x:v>46070</x:v>
      </x:c>
      <x:c r="C38" t="str">
        <x:v>Quynh Vu</x:v>
      </x:c>
      <x:c r="D38" t="str">
        <x:v>North</x:v>
      </x:c>
      <x:c r="E38" t="str">
        <x:v>Google Ads</x:v>
      </x:c>
      <x:c r="F38" t="str">
        <x:v>MKT-AUTO</x:v>
      </x:c>
      <x:c r="G38" t="str">
        <x:v>Manufacturing</x:v>
      </x:c>
      <x:c r="H38" t="str">
        <x:v>Mid-Market</x:v>
      </x:c>
      <x:c r="I38" t="str">
        <x:v>Negotiation</x:v>
      </x:c>
      <x:c r="J38" s="10" t="n">
        <x:v>46201</x:v>
      </x:c>
      <x:c r="K38" s="10"/>
      <x:c r="L38" s="22" t="n">
        <x:v>36600</x:v>
      </x:c>
      <x:c r="M38" s="24" t="n">
        <x:v>0.05</x:v>
      </x:c>
      <x:c r="N38" s="24" t="n">
        <x:v>0.85</x:v>
      </x:c>
      <x:c r="O38" t="str"/>
      <x:c r="P38" t="n">
        <x:v>5</x:v>
      </x:c>
      <x:c r="Q38" t="str">
        <x:f>IFERROR(XLOOKUP(E38,Lookups!$A$5:$A$24,Lookups!$B$5:$B$24),"Other")</x:f>
        <x:v>Paid Search</x:v>
      </x:c>
      <x:c r="R38" t="str">
        <x:f>IFERROR(XLOOKUP(F38,Lookups!$D$5:$D$10,Lookups!$E$5:$E$10),"Unknown Product")</x:f>
        <x:v>Marketing Automation</x:v>
      </x:c>
      <x:c r="S38" t="str">
        <x:f>IFERROR(XLOOKUP(F38,Lookups!$D$5:$D$10,Lookups!$F$5:$F$10),"Unknown")</x:f>
        <x:v>Marketing</x:v>
      </x:c>
      <x:c r="T38" t="str">
        <x:f>IF(L38&gt;=50000,"Enterprise",IF(L38&gt;=20000,"Mid-Market","SMB"))</x:f>
        <x:v>Mid-Market</x:v>
      </x:c>
      <x:c r="U38" t="str">
        <x:f>IF(I38="Closed Won","Won",IF(I38="Closed Lost","Lost","Open"))</x:f>
        <x:v>Open</x:v>
      </x:c>
      <x:c r="V38" s="22" t="n">
        <x:f>IF(U38="Won",L38*(1-M38),0)</x:f>
        <x:v>0</x:v>
      </x:c>
      <x:c r="W38" s="22" t="n">
        <x:f>IF(U38="Open",L38*N38,0)</x:f>
        <x:v>31110</x:v>
      </x:c>
      <x:c r="X38" s="26" t="str">
        <x:f>IF(U38="Open","",IFERROR(K38-B38,""))</x:f>
      </x:c>
      <x:c r="Y38" s="26" t="n">
        <x:f>IF(U38="Open",Lookups!$B$2-B38,X38)</x:f>
        <x:v>196</x:v>
      </x:c>
      <x:c r="Z38" t="str">
        <x:f>IF(AND(U38="Open",Y38&gt;30),"STALE","OK")</x:f>
        <x:v>STALE</x:v>
      </x:c>
      <x:c r="AA38" t="str">
        <x:f>TEXT(B38,"yyyy-mm")</x:f>
        <x:v>2026-02</x:v>
      </x:c>
      <x:c r="AB38" t="str">
        <x:f>IF(K38="","",TEXT(K38,"yyyy-mm"))</x:f>
      </x:c>
      <x:c r="AC38" t="str">
        <x:f>"Q"&amp;ROUNDUP(MONTH(B38)/3,0)&amp;"-"&amp;YEAR(B38)</x:f>
        <x:v>Q1-2026</x:v>
      </x:c>
      <x:c r="AD38" s="26" t="n">
        <x:f>MIN(100,IF(H38="Enterprise",30,IF(H38="Mid-Market",22,14))+IF(T38="Enterprise",25,IF(T38="Mid-Market",18,10))+IF(Q38="Referral",25,IF(Q38="Organic Search",20,IF(Q38="Email",18,14)))+IF(G38="Technology",10,5))</x:f>
        <x:v>59</x:v>
      </x:c>
      <x:c r="AE38" t="str">
        <x:f>IF(U38&lt;&gt;"Open",U38,IF(N38&gt;=0.8,"Commit",IF(N38&gt;=0.5,"Best Case","Pipeline")))</x:f>
        <x:v>Commit</x:v>
      </x:c>
    </x:row>
    <x:row r="39">
      <x:c r="A39" t="str">
        <x:v>L00038</x:v>
      </x:c>
      <x:c r="B39" s="10" t="n">
        <x:v>46149</x:v>
      </x:c>
      <x:c r="C39" t="str">
        <x:v>Tuan Bui</x:v>
      </x:c>
      <x:c r="D39" t="str">
        <x:v>Central</x:v>
      </x:c>
      <x:c r="E39" t="str">
        <x:v>customer referral</x:v>
      </x:c>
      <x:c r="F39" t="str">
        <x:v>CRM-CORE</x:v>
      </x:c>
      <x:c r="G39" t="str">
        <x:v>Healthcare</x:v>
      </x:c>
      <x:c r="H39" t="str">
        <x:v>Mid-Market</x:v>
      </x:c>
      <x:c r="I39" t="str">
        <x:v>Closed Lost</x:v>
      </x:c>
      <x:c r="J39" s="10" t="n">
        <x:v>46210</x:v>
      </x:c>
      <x:c r="K39" s="10" t="n">
        <x:v>46210</x:v>
      </x:c>
      <x:c r="L39" s="22" t="n">
        <x:v>10800</x:v>
      </x:c>
      <x:c r="M39" s="24" t="n">
        <x:v>0</x:v>
      </x:c>
      <x:c r="N39" s="24" t="n">
        <x:v>0</x:v>
      </x:c>
      <x:c r="O39" t="str">
        <x:v>No Decision</x:v>
      </x:c>
      <x:c r="P39" t="n">
        <x:v>5</x:v>
      </x:c>
      <x:c r="Q39" t="str">
        <x:f>IFERROR(XLOOKUP(E39,Lookups!$A$5:$A$24,Lookups!$B$5:$B$24),"Other")</x:f>
        <x:v>Referral</x:v>
      </x:c>
      <x:c r="R39" t="str">
        <x:f>IFERROR(XLOOKUP(F39,Lookups!$D$5:$D$10,Lookups!$E$5:$E$10),"Unknown Product")</x:f>
        <x:v>NexaCRM Core</x:v>
      </x:c>
      <x:c r="S39" t="str">
        <x:f>IFERROR(XLOOKUP(F39,Lookups!$D$5:$D$10,Lookups!$F$5:$F$10),"Unknown")</x:f>
        <x:v>CRM</x:v>
      </x:c>
      <x:c r="T39" t="str">
        <x:f>IF(L39&gt;=50000,"Enterprise",IF(L39&gt;=20000,"Mid-Market","SMB"))</x:f>
        <x:v>SMB</x:v>
      </x:c>
      <x:c r="U39" t="str">
        <x:f>IF(I39="Closed Won","Won",IF(I39="Closed Lost","Lost","Open"))</x:f>
        <x:v>Lost</x:v>
      </x:c>
      <x:c r="V39" s="22" t="n">
        <x:f>IF(U39="Won",L39*(1-M39),0)</x:f>
        <x:v>0</x:v>
      </x:c>
      <x:c r="W39" s="22" t="n">
        <x:f>IF(U39="Open",L39*N39,0)</x:f>
        <x:v>0</x:v>
      </x:c>
      <x:c r="X39" s="26" t="n">
        <x:f>IF(U39="Open","",IFERROR(K39-B39,""))</x:f>
        <x:v>61</x:v>
      </x:c>
      <x:c r="Y39" s="26" t="n">
        <x:f>IF(U39="Open",Lookups!$B$2-B39,X39)</x:f>
        <x:v>61</x:v>
      </x:c>
      <x:c r="Z39" t="str">
        <x:f>IF(AND(U39="Open",Y39&gt;30),"STALE","OK")</x:f>
        <x:v>OK</x:v>
      </x:c>
      <x:c r="AA39" t="str">
        <x:f>TEXT(B39,"yyyy-mm")</x:f>
        <x:v>2026-05</x:v>
      </x:c>
      <x:c r="AB39" t="str">
        <x:f>IF(K39="","",TEXT(K39,"yyyy-mm"))</x:f>
        <x:v>2026-07</x:v>
      </x:c>
      <x:c r="AC39" t="str">
        <x:f>"Q"&amp;ROUNDUP(MONTH(B39)/3,0)&amp;"-"&amp;YEAR(B39)</x:f>
        <x:v>Q2-2026</x:v>
      </x:c>
      <x:c r="AD39" s="26" t="n">
        <x:f>MIN(100,IF(H39="Enterprise",30,IF(H39="Mid-Market",22,14))+IF(T39="Enterprise",25,IF(T39="Mid-Market",18,10))+IF(Q39="Referral",25,IF(Q39="Organic Search",20,IF(Q39="Email",18,14)))+IF(G39="Technology",10,5))</x:f>
        <x:v>62</x:v>
      </x:c>
      <x:c r="AE39" t="str">
        <x:f>IF(U39&lt;&gt;"Open",U39,IF(N39&gt;=0.8,"Commit",IF(N39&gt;=0.5,"Best Case","Pipeline")))</x:f>
        <x:v>Lost</x:v>
      </x:c>
    </x:row>
    <x:row r="40">
      <x:c r="A40" t="str">
        <x:v>L00039</x:v>
      </x:c>
      <x:c r="B40" s="10" t="n">
        <x:v>45962</x:v>
      </x:c>
      <x:c r="C40" t="str">
        <x:v>An Nguyen</x:v>
      </x:c>
      <x:c r="D40" t="str">
        <x:v>South</x:v>
      </x:c>
      <x:c r="E40" t="str">
        <x:v>LI Ads</x:v>
      </x:c>
      <x:c r="F40" t="str">
        <x:v>CRM-CORE</x:v>
      </x:c>
      <x:c r="G40" t="str">
        <x:v>Manufacturing</x:v>
      </x:c>
      <x:c r="H40" t="str">
        <x:v>SMB</x:v>
      </x:c>
      <x:c r="I40" t="str">
        <x:v>Closed Lost</x:v>
      </x:c>
      <x:c r="J40" s="10" t="n">
        <x:v>45996</x:v>
      </x:c>
      <x:c r="K40" s="10" t="n">
        <x:v>45996</x:v>
      </x:c>
      <x:c r="L40" s="22" t="n">
        <x:v>4700</x:v>
      </x:c>
      <x:c r="M40" s="24" t="n">
        <x:v>0</x:v>
      </x:c>
      <x:c r="N40" s="24" t="n">
        <x:v>0</x:v>
      </x:c>
      <x:c r="O40" t="str">
        <x:v>No Decision</x:v>
      </x:c>
      <x:c r="P40" t="n">
        <x:v>4</x:v>
      </x:c>
      <x:c r="Q40" t="str">
        <x:f>IFERROR(XLOOKUP(E40,Lookups!$A$5:$A$24,Lookups!$B$5:$B$24),"Other")</x:f>
        <x:v>LinkedIn</x:v>
      </x:c>
      <x:c r="R40" t="str">
        <x:f>IFERROR(XLOOKUP(F40,Lookups!$D$5:$D$10,Lookups!$E$5:$E$10),"Unknown Product")</x:f>
        <x:v>NexaCRM Core</x:v>
      </x:c>
      <x:c r="S40" t="str">
        <x:f>IFERROR(XLOOKUP(F40,Lookups!$D$5:$D$10,Lookups!$F$5:$F$10),"Unknown")</x:f>
        <x:v>CRM</x:v>
      </x:c>
      <x:c r="T40" t="str">
        <x:f>IF(L40&gt;=50000,"Enterprise",IF(L40&gt;=20000,"Mid-Market","SMB"))</x:f>
        <x:v>SMB</x:v>
      </x:c>
      <x:c r="U40" t="str">
        <x:f>IF(I40="Closed Won","Won",IF(I40="Closed Lost","Lost","Open"))</x:f>
        <x:v>Lost</x:v>
      </x:c>
      <x:c r="V40" s="22" t="n">
        <x:f>IF(U40="Won",L40*(1-M40),0)</x:f>
        <x:v>0</x:v>
      </x:c>
      <x:c r="W40" s="22" t="n">
        <x:f>IF(U40="Open",L40*N40,0)</x:f>
        <x:v>0</x:v>
      </x:c>
      <x:c r="X40" s="26" t="n">
        <x:f>IF(U40="Open","",IFERROR(K40-B40,""))</x:f>
        <x:v>34</x:v>
      </x:c>
      <x:c r="Y40" s="26" t="n">
        <x:f>IF(U40="Open",Lookups!$B$2-B40,X40)</x:f>
        <x:v>34</x:v>
      </x:c>
      <x:c r="Z40" t="str">
        <x:f>IF(AND(U40="Open",Y40&gt;30),"STALE","OK")</x:f>
        <x:v>OK</x:v>
      </x:c>
      <x:c r="AA40" t="str">
        <x:f>TEXT(B40,"yyyy-mm")</x:f>
        <x:v>2025-11</x:v>
      </x:c>
      <x:c r="AB40" t="str">
        <x:f>IF(K40="","",TEXT(K40,"yyyy-mm"))</x:f>
        <x:v>2025-12</x:v>
      </x:c>
      <x:c r="AC40" t="str">
        <x:f>"Q"&amp;ROUNDUP(MONTH(B40)/3,0)&amp;"-"&amp;YEAR(B40)</x:f>
        <x:v>Q4-2025</x:v>
      </x:c>
      <x:c r="AD40" s="26" t="n">
        <x:f>MIN(100,IF(H40="Enterprise",30,IF(H40="Mid-Market",22,14))+IF(T40="Enterprise",25,IF(T40="Mid-Market",18,10))+IF(Q40="Referral",25,IF(Q40="Organic Search",20,IF(Q40="Email",18,14)))+IF(G40="Technology",10,5))</x:f>
        <x:v>43</x:v>
      </x:c>
      <x:c r="AE40" t="str">
        <x:f>IF(U40&lt;&gt;"Open",U40,IF(N40&gt;=0.8,"Commit",IF(N40&gt;=0.5,"Best Case","Pipeline")))</x:f>
        <x:v>Lost</x:v>
      </x:c>
    </x:row>
    <x:row r="41">
      <x:c r="A41" t="str">
        <x:v>L00040</x:v>
      </x:c>
      <x:c r="B41" s="10" t="n">
        <x:v>46152</x:v>
      </x:c>
      <x:c r="C41" t="str">
        <x:v>Bao Tran</x:v>
      </x:c>
      <x:c r="D41" t="str">
        <x:v>South</x:v>
      </x:c>
      <x:c r="E41" t="str">
        <x:v>SEO</x:v>
      </x:c>
      <x:c r="F41" t="str">
        <x:v>CRM-CORE</x:v>
      </x:c>
      <x:c r="G41" t="str">
        <x:v>Education</x:v>
      </x:c>
      <x:c r="H41" t="str">
        <x:v>SMB</x:v>
      </x:c>
      <x:c r="I41" t="str">
        <x:v>Closed Lost</x:v>
      </x:c>
      <x:c r="J41" s="10" t="n">
        <x:v>46219</x:v>
      </x:c>
      <x:c r="K41" s="10" t="n">
        <x:v>46219</x:v>
      </x:c>
      <x:c r="L41" s="22" t="n">
        <x:v>4600</x:v>
      </x:c>
      <x:c r="M41" s="24" t="n">
        <x:v>0</x:v>
      </x:c>
      <x:c r="N41" s="24" t="n">
        <x:v>0</x:v>
      </x:c>
      <x:c r="O41" t="str">
        <x:v>Price</x:v>
      </x:c>
      <x:c r="P41" t="n">
        <x:v>3</x:v>
      </x:c>
      <x:c r="Q41" t="str">
        <x:f>IFERROR(XLOOKUP(E41,Lookups!$A$5:$A$24,Lookups!$B$5:$B$24),"Other")</x:f>
        <x:v>Organic Search</x:v>
      </x:c>
      <x:c r="R41" t="str">
        <x:f>IFERROR(XLOOKUP(F41,Lookups!$D$5:$D$10,Lookups!$E$5:$E$10),"Unknown Product")</x:f>
        <x:v>NexaCRM Core</x:v>
      </x:c>
      <x:c r="S41" t="str">
        <x:f>IFERROR(XLOOKUP(F41,Lookups!$D$5:$D$10,Lookups!$F$5:$F$10),"Unknown")</x:f>
        <x:v>CRM</x:v>
      </x:c>
      <x:c r="T41" t="str">
        <x:f>IF(L41&gt;=50000,"Enterprise",IF(L41&gt;=20000,"Mid-Market","SMB"))</x:f>
        <x:v>SMB</x:v>
      </x:c>
      <x:c r="U41" t="str">
        <x:f>IF(I41="Closed Won","Won",IF(I41="Closed Lost","Lost","Open"))</x:f>
        <x:v>Lost</x:v>
      </x:c>
      <x:c r="V41" s="22" t="n">
        <x:f>IF(U41="Won",L41*(1-M41),0)</x:f>
        <x:v>0</x:v>
      </x:c>
      <x:c r="W41" s="22" t="n">
        <x:f>IF(U41="Open",L41*N41,0)</x:f>
        <x:v>0</x:v>
      </x:c>
      <x:c r="X41" s="26" t="n">
        <x:f>IF(U41="Open","",IFERROR(K41-B41,""))</x:f>
        <x:v>67</x:v>
      </x:c>
      <x:c r="Y41" s="26" t="n">
        <x:f>IF(U41="Open",Lookups!$B$2-B41,X41)</x:f>
        <x:v>67</x:v>
      </x:c>
      <x:c r="Z41" t="str">
        <x:f>IF(AND(U41="Open",Y41&gt;30),"STALE","OK")</x:f>
        <x:v>OK</x:v>
      </x:c>
      <x:c r="AA41" t="str">
        <x:f>TEXT(B41,"yyyy-mm")</x:f>
        <x:v>2026-05</x:v>
      </x:c>
      <x:c r="AB41" t="str">
        <x:f>IF(K41="","",TEXT(K41,"yyyy-mm"))</x:f>
        <x:v>2026-07</x:v>
      </x:c>
      <x:c r="AC41" t="str">
        <x:f>"Q"&amp;ROUNDUP(MONTH(B41)/3,0)&amp;"-"&amp;YEAR(B41)</x:f>
        <x:v>Q2-2026</x:v>
      </x:c>
      <x:c r="AD41" s="26" t="n">
        <x:f>MIN(100,IF(H41="Enterprise",30,IF(H41="Mid-Market",22,14))+IF(T41="Enterprise",25,IF(T41="Mid-Market",18,10))+IF(Q41="Referral",25,IF(Q41="Organic Search",20,IF(Q41="Email",18,14)))+IF(G41="Technology",10,5))</x:f>
        <x:v>49</x:v>
      </x:c>
      <x:c r="AE41" t="str">
        <x:f>IF(U41&lt;&gt;"Open",U41,IF(N41&gt;=0.8,"Commit",IF(N41&gt;=0.5,"Best Case","Pipeline")))</x:f>
        <x:v>Lost</x:v>
      </x:c>
    </x:row>
    <x:row r="42">
      <x:c r="A42" t="str">
        <x:v>L00041</x:v>
      </x:c>
      <x:c r="B42" s="10" t="n">
        <x:v>45954</x:v>
      </x:c>
      <x:c r="C42" t="str">
        <x:v>Duy Pham</x:v>
      </x:c>
      <x:c r="D42" t="str">
        <x:v>South</x:v>
      </x:c>
      <x:c r="E42" t="str">
        <x:v>Cold Email</x:v>
      </x:c>
      <x:c r="F42" t="str">
        <x:v>CRM-CORE</x:v>
      </x:c>
      <x:c r="G42" t="str">
        <x:v>Retail</x:v>
      </x:c>
      <x:c r="H42" t="str">
        <x:v>Mid-Market</x:v>
      </x:c>
      <x:c r="I42" t="str">
        <x:v>Closed Won</x:v>
      </x:c>
      <x:c r="J42" s="10" t="n">
        <x:v>46016</x:v>
      </x:c>
      <x:c r="K42" s="10" t="n">
        <x:v>46016</x:v>
      </x:c>
      <x:c r="L42" s="22" t="n">
        <x:v>13200</x:v>
      </x:c>
      <x:c r="M42" s="24" t="n">
        <x:v>0.08</x:v>
      </x:c>
      <x:c r="N42" s="24" t="n">
        <x:v>1</x:v>
      </x:c>
      <x:c r="O42" t="str"/>
      <x:c r="P42" t="n">
        <x:v>6</x:v>
      </x:c>
      <x:c r="Q42" t="str">
        <x:f>IFERROR(XLOOKUP(E42,Lookups!$A$5:$A$24,Lookups!$B$5:$B$24),"Other")</x:f>
        <x:v>Outbound</x:v>
      </x:c>
      <x:c r="R42" t="str">
        <x:f>IFERROR(XLOOKUP(F42,Lookups!$D$5:$D$10,Lookups!$E$5:$E$10),"Unknown Product")</x:f>
        <x:v>NexaCRM Core</x:v>
      </x:c>
      <x:c r="S42" t="str">
        <x:f>IFERROR(XLOOKUP(F42,Lookups!$D$5:$D$10,Lookups!$F$5:$F$10),"Unknown")</x:f>
        <x:v>CRM</x:v>
      </x:c>
      <x:c r="T42" t="str">
        <x:f>IF(L42&gt;=50000,"Enterprise",IF(L42&gt;=20000,"Mid-Market","SMB"))</x:f>
        <x:v>SMB</x:v>
      </x:c>
      <x:c r="U42" t="str">
        <x:f>IF(I42="Closed Won","Won",IF(I42="Closed Lost","Lost","Open"))</x:f>
        <x:v>Won</x:v>
      </x:c>
      <x:c r="V42" s="22" t="n">
        <x:f>IF(U42="Won",L42*(1-M42),0)</x:f>
        <x:v>12144</x:v>
      </x:c>
      <x:c r="W42" s="22" t="n">
        <x:f>IF(U42="Open",L42*N42,0)</x:f>
        <x:v>0</x:v>
      </x:c>
      <x:c r="X42" s="26" t="n">
        <x:f>IF(U42="Open","",IFERROR(K42-B42,""))</x:f>
        <x:v>62</x:v>
      </x:c>
      <x:c r="Y42" s="26" t="n">
        <x:f>IF(U42="Open",Lookups!$B$2-B42,X42)</x:f>
        <x:v>62</x:v>
      </x:c>
      <x:c r="Z42" t="str">
        <x:f>IF(AND(U42="Open",Y42&gt;30),"STALE","OK")</x:f>
        <x:v>OK</x:v>
      </x:c>
      <x:c r="AA42" t="str">
        <x:f>TEXT(B42,"yyyy-mm")</x:f>
        <x:v>2025-10</x:v>
      </x:c>
      <x:c r="AB42" t="str">
        <x:f>IF(K42="","",TEXT(K42,"yyyy-mm"))</x:f>
        <x:v>2025-12</x:v>
      </x:c>
      <x:c r="AC42" t="str">
        <x:f>"Q"&amp;ROUNDUP(MONTH(B42)/3,0)&amp;"-"&amp;YEAR(B42)</x:f>
        <x:v>Q4-2025</x:v>
      </x:c>
      <x:c r="AD42" s="26" t="n">
        <x:f>MIN(100,IF(H42="Enterprise",30,IF(H42="Mid-Market",22,14))+IF(T42="Enterprise",25,IF(T42="Mid-Market",18,10))+IF(Q42="Referral",25,IF(Q42="Organic Search",20,IF(Q42="Email",18,14)))+IF(G42="Technology",10,5))</x:f>
        <x:v>51</x:v>
      </x:c>
      <x:c r="AE42" t="str">
        <x:f>IF(U42&lt;&gt;"Open",U42,IF(N42&gt;=0.8,"Commit",IF(N42&gt;=0.5,"Best Case","Pipeline")))</x:f>
        <x:v>Won</x:v>
      </x:c>
    </x:row>
    <x:row r="43">
      <x:c r="A43" t="str">
        <x:v>L00042</x:v>
      </x:c>
      <x:c r="B43" s="10" t="n">
        <x:v>46221</x:v>
      </x:c>
      <x:c r="C43" t="str">
        <x:v>Ha Vo</x:v>
      </x:c>
      <x:c r="D43" t="str">
        <x:v>North</x:v>
      </x:c>
      <x:c r="E43" t="str">
        <x:v>organic search</x:v>
      </x:c>
      <x:c r="F43" t="str">
        <x:v>CRM-PRO</x:v>
      </x:c>
      <x:c r="G43" t="str">
        <x:v>Retail</x:v>
      </x:c>
      <x:c r="H43" t="str">
        <x:v>Mid-Market</x:v>
      </x:c>
      <x:c r="I43" t="str">
        <x:v>Demo / Meeting</x:v>
      </x:c>
      <x:c r="J43" s="10" t="n">
        <x:v>46252</x:v>
      </x:c>
      <x:c r="K43" s="10"/>
      <x:c r="L43" s="22" t="n">
        <x:v>38800</x:v>
      </x:c>
      <x:c r="M43" s="24" t="n">
        <x:v>0</x:v>
      </x:c>
      <x:c r="N43" s="24" t="n">
        <x:v>0.4</x:v>
      </x:c>
      <x:c r="O43" t="str"/>
      <x:c r="P43" t="n">
        <x:v>3</x:v>
      </x:c>
      <x:c r="Q43" t="str">
        <x:f>IFERROR(XLOOKUP(E43,Lookups!$A$5:$A$24,Lookups!$B$5:$B$24),"Other")</x:f>
        <x:v>Organic Search</x:v>
      </x:c>
      <x:c r="R43" t="str">
        <x:f>IFERROR(XLOOKUP(F43,Lookups!$D$5:$D$10,Lookups!$E$5:$E$10),"Unknown Product")</x:f>
        <x:v>NexaCRM Pro</x:v>
      </x:c>
      <x:c r="S43" t="str">
        <x:f>IFERROR(XLOOKUP(F43,Lookups!$D$5:$D$10,Lookups!$F$5:$F$10),"Unknown")</x:f>
        <x:v>CRM</x:v>
      </x:c>
      <x:c r="T43" t="str">
        <x:f>IF(L43&gt;=50000,"Enterprise",IF(L43&gt;=20000,"Mid-Market","SMB"))</x:f>
        <x:v>Mid-Market</x:v>
      </x:c>
      <x:c r="U43" t="str">
        <x:f>IF(I43="Closed Won","Won",IF(I43="Closed Lost","Lost","Open"))</x:f>
        <x:v>Open</x:v>
      </x:c>
      <x:c r="V43" s="22" t="n">
        <x:f>IF(U43="Won",L43*(1-M43),0)</x:f>
        <x:v>0</x:v>
      </x:c>
      <x:c r="W43" s="22" t="n">
        <x:f>IF(U43="Open",L43*N43,0)</x:f>
        <x:v>15520</x:v>
      </x:c>
      <x:c r="X43" s="26" t="str">
        <x:f>IF(U43="Open","",IFERROR(K43-B43,""))</x:f>
      </x:c>
      <x:c r="Y43" s="26" t="n">
        <x:f>IF(U43="Open",Lookups!$B$2-B43,X43)</x:f>
        <x:v>45</x:v>
      </x:c>
      <x:c r="Z43" t="str">
        <x:f>IF(AND(U43="Open",Y43&gt;30),"STALE","OK")</x:f>
        <x:v>STALE</x:v>
      </x:c>
      <x:c r="AA43" t="str">
        <x:f>TEXT(B43,"yyyy-mm")</x:f>
        <x:v>2026-07</x:v>
      </x:c>
      <x:c r="AB43" t="str">
        <x:f>IF(K43="","",TEXT(K43,"yyyy-mm"))</x:f>
      </x:c>
      <x:c r="AC43" t="str">
        <x:f>"Q"&amp;ROUNDUP(MONTH(B43)/3,0)&amp;"-"&amp;YEAR(B43)</x:f>
        <x:v>Q3-2026</x:v>
      </x:c>
      <x:c r="AD43" s="26" t="n">
        <x:f>MIN(100,IF(H43="Enterprise",30,IF(H43="Mid-Market",22,14))+IF(T43="Enterprise",25,IF(T43="Mid-Market",18,10))+IF(Q43="Referral",25,IF(Q43="Organic Search",20,IF(Q43="Email",18,14)))+IF(G43="Technology",10,5))</x:f>
        <x:v>65</x:v>
      </x:c>
      <x:c r="AE43" t="str">
        <x:f>IF(U43&lt;&gt;"Open",U43,IF(N43&gt;=0.8,"Commit",IF(N43&gt;=0.5,"Best Case","Pipeline")))</x:f>
        <x:v>Pipeline</x:v>
      </x:c>
    </x:row>
    <x:row r="44">
      <x:c r="A44" t="str">
        <x:v>L00043</x:v>
      </x:c>
      <x:c r="B44" s="10" t="n">
        <x:v>46129</x:v>
      </x:c>
      <x:c r="C44" t="str">
        <x:v>Tuan Bui</x:v>
      </x:c>
      <x:c r="D44" t="str">
        <x:v>Central</x:v>
      </x:c>
      <x:c r="E44" t="str">
        <x:v>SEM - Google</x:v>
      </x:c>
      <x:c r="F44" t="str">
        <x:v>CRM-PRO</x:v>
      </x:c>
      <x:c r="G44" t="str">
        <x:v>Professional Services</x:v>
      </x:c>
      <x:c r="H44" t="str">
        <x:v>SMB</x:v>
      </x:c>
      <x:c r="I44" t="str">
        <x:v>Closed Lost</x:v>
      </x:c>
      <x:c r="J44" s="10" t="n">
        <x:v>46179</x:v>
      </x:c>
      <x:c r="K44" s="10" t="n">
        <x:v>46179</x:v>
      </x:c>
      <x:c r="L44" s="22" t="n">
        <x:v>24800</x:v>
      </x:c>
      <x:c r="M44" s="24" t="n">
        <x:v>0</x:v>
      </x:c>
      <x:c r="N44" s="24" t="n">
        <x:v>0</x:v>
      </x:c>
      <x:c r="O44" t="str">
        <x:v>Budget</x:v>
      </x:c>
      <x:c r="P44" t="n">
        <x:v>2</x:v>
      </x:c>
      <x:c r="Q44" t="str">
        <x:f>IFERROR(XLOOKUP(E44,Lookups!$A$5:$A$24,Lookups!$B$5:$B$24),"Other")</x:f>
        <x:v>Paid Search</x:v>
      </x:c>
      <x:c r="R44" t="str">
        <x:f>IFERROR(XLOOKUP(F44,Lookups!$D$5:$D$10,Lookups!$E$5:$E$10),"Unknown Product")</x:f>
        <x:v>NexaCRM Pro</x:v>
      </x:c>
      <x:c r="S44" t="str">
        <x:f>IFERROR(XLOOKUP(F44,Lookups!$D$5:$D$10,Lookups!$F$5:$F$10),"Unknown")</x:f>
        <x:v>CRM</x:v>
      </x:c>
      <x:c r="T44" t="str">
        <x:f>IF(L44&gt;=50000,"Enterprise",IF(L44&gt;=20000,"Mid-Market","SMB"))</x:f>
        <x:v>Mid-Market</x:v>
      </x:c>
      <x:c r="U44" t="str">
        <x:f>IF(I44="Closed Won","Won",IF(I44="Closed Lost","Lost","Open"))</x:f>
        <x:v>Lost</x:v>
      </x:c>
      <x:c r="V44" s="22" t="n">
        <x:f>IF(U44="Won",L44*(1-M44),0)</x:f>
        <x:v>0</x:v>
      </x:c>
      <x:c r="W44" s="22" t="n">
        <x:f>IF(U44="Open",L44*N44,0)</x:f>
        <x:v>0</x:v>
      </x:c>
      <x:c r="X44" s="26" t="n">
        <x:f>IF(U44="Open","",IFERROR(K44-B44,""))</x:f>
        <x:v>50</x:v>
      </x:c>
      <x:c r="Y44" s="26" t="n">
        <x:f>IF(U44="Open",Lookups!$B$2-B44,X44)</x:f>
        <x:v>50</x:v>
      </x:c>
      <x:c r="Z44" t="str">
        <x:f>IF(AND(U44="Open",Y44&gt;30),"STALE","OK")</x:f>
        <x:v>OK</x:v>
      </x:c>
      <x:c r="AA44" t="str">
        <x:f>TEXT(B44,"yyyy-mm")</x:f>
        <x:v>2026-04</x:v>
      </x:c>
      <x:c r="AB44" t="str">
        <x:f>IF(K44="","",TEXT(K44,"yyyy-mm"))</x:f>
        <x:v>2026-06</x:v>
      </x:c>
      <x:c r="AC44" t="str">
        <x:f>"Q"&amp;ROUNDUP(MONTH(B44)/3,0)&amp;"-"&amp;YEAR(B44)</x:f>
        <x:v>Q2-2026</x:v>
      </x:c>
      <x:c r="AD44" s="26" t="n">
        <x:f>MIN(100,IF(H44="Enterprise",30,IF(H44="Mid-Market",22,14))+IF(T44="Enterprise",25,IF(T44="Mid-Market",18,10))+IF(Q44="Referral",25,IF(Q44="Organic Search",20,IF(Q44="Email",18,14)))+IF(G44="Technology",10,5))</x:f>
        <x:v>51</x:v>
      </x:c>
      <x:c r="AE44" t="str">
        <x:f>IF(U44&lt;&gt;"Open",U44,IF(N44&gt;=0.8,"Commit",IF(N44&gt;=0.5,"Best Case","Pipeline")))</x:f>
        <x:v>Lost</x:v>
      </x:c>
    </x:row>
    <x:row r="45">
      <x:c r="A45" t="str">
        <x:v>L00044</x:v>
      </x:c>
      <x:c r="B45" s="10" t="n">
        <x:v>46024</x:v>
      </x:c>
      <x:c r="C45" t="str">
        <x:v>Bao Tran</x:v>
      </x:c>
      <x:c r="D45" t="str">
        <x:v>South</x:v>
      </x:c>
      <x:c r="E45" t="str">
        <x:v>Google Ads</x:v>
      </x:c>
      <x:c r="F45" t="str">
        <x:v>CS-CLOUD</x:v>
      </x:c>
      <x:c r="G45" t="str">
        <x:v>Manufacturing</x:v>
      </x:c>
      <x:c r="H45" t="str">
        <x:v>SMB</x:v>
      </x:c>
      <x:c r="I45" t="str">
        <x:v>Closed Lost</x:v>
      </x:c>
      <x:c r="J45" s="10" t="n">
        <x:v>46080</x:v>
      </x:c>
      <x:c r="K45" s="10" t="n">
        <x:v>46080</x:v>
      </x:c>
      <x:c r="L45" s="22" t="n">
        <x:v>14900</x:v>
      </x:c>
      <x:c r="M45" s="24" t="n">
        <x:v>0</x:v>
      </x:c>
      <x:c r="N45" s="24" t="n">
        <x:v>0</x:v>
      </x:c>
      <x:c r="O45" t="str">
        <x:v>Budget</x:v>
      </x:c>
      <x:c r="P45" t="n">
        <x:v>5</x:v>
      </x:c>
      <x:c r="Q45" t="str">
        <x:f>IFERROR(XLOOKUP(E45,Lookups!$A$5:$A$24,Lookups!$B$5:$B$24),"Other")</x:f>
        <x:v>Paid Search</x:v>
      </x:c>
      <x:c r="R45" t="str">
        <x:f>IFERROR(XLOOKUP(F45,Lookups!$D$5:$D$10,Lookups!$E$5:$E$10),"Unknown Product")</x:f>
        <x:v>Service Cloud</x:v>
      </x:c>
      <x:c r="S45" t="str">
        <x:f>IFERROR(XLOOKUP(F45,Lookups!$D$5:$D$10,Lookups!$F$5:$F$10),"Unknown")</x:f>
        <x:v>Customer Service</x:v>
      </x:c>
      <x:c r="T45" t="str">
        <x:f>IF(L45&gt;=50000,"Enterprise",IF(L45&gt;=20000,"Mid-Market","SMB"))</x:f>
        <x:v>SMB</x:v>
      </x:c>
      <x:c r="U45" t="str">
        <x:f>IF(I45="Closed Won","Won",IF(I45="Closed Lost","Lost","Open"))</x:f>
        <x:v>Lost</x:v>
      </x:c>
      <x:c r="V45" s="22" t="n">
        <x:f>IF(U45="Won",L45*(1-M45),0)</x:f>
        <x:v>0</x:v>
      </x:c>
      <x:c r="W45" s="22" t="n">
        <x:f>IF(U45="Open",L45*N45,0)</x:f>
        <x:v>0</x:v>
      </x:c>
      <x:c r="X45" s="26" t="n">
        <x:f>IF(U45="Open","",IFERROR(K45-B45,""))</x:f>
        <x:v>56</x:v>
      </x:c>
      <x:c r="Y45" s="26" t="n">
        <x:f>IF(U45="Open",Lookups!$B$2-B45,X45)</x:f>
        <x:v>56</x:v>
      </x:c>
      <x:c r="Z45" t="str">
        <x:f>IF(AND(U45="Open",Y45&gt;30),"STALE","OK")</x:f>
        <x:v>OK</x:v>
      </x:c>
      <x:c r="AA45" t="str">
        <x:f>TEXT(B45,"yyyy-mm")</x:f>
        <x:v>2026-01</x:v>
      </x:c>
      <x:c r="AB45" t="str">
        <x:f>IF(K45="","",TEXT(K45,"yyyy-mm"))</x:f>
        <x:v>2026-02</x:v>
      </x:c>
      <x:c r="AC45" t="str">
        <x:f>"Q"&amp;ROUNDUP(MONTH(B45)/3,0)&amp;"-"&amp;YEAR(B45)</x:f>
        <x:v>Q1-2026</x:v>
      </x:c>
      <x:c r="AD45" s="26" t="n">
        <x:f>MIN(100,IF(H45="Enterprise",30,IF(H45="Mid-Market",22,14))+IF(T45="Enterprise",25,IF(T45="Mid-Market",18,10))+IF(Q45="Referral",25,IF(Q45="Organic Search",20,IF(Q45="Email",18,14)))+IF(G45="Technology",10,5))</x:f>
        <x:v>43</x:v>
      </x:c>
      <x:c r="AE45" t="str">
        <x:f>IF(U45&lt;&gt;"Open",U45,IF(N45&gt;=0.8,"Commit",IF(N45&gt;=0.5,"Best Case","Pipeline")))</x:f>
        <x:v>Lost</x:v>
      </x:c>
    </x:row>
    <x:row r="46">
      <x:c r="A46" t="str">
        <x:v>L00045</x:v>
      </x:c>
      <x:c r="B46" s="10" t="n">
        <x:v>45957</x:v>
      </x:c>
      <x:c r="C46" t="str">
        <x:v>Quynh Vu</x:v>
      </x:c>
      <x:c r="D46" t="str">
        <x:v>North</x:v>
      </x:c>
      <x:c r="E46" t="str">
        <x:v>LI Ads</x:v>
      </x:c>
      <x:c r="F46" t="str">
        <x:v>CRM-CORE</x:v>
      </x:c>
      <x:c r="G46" t="str">
        <x:v>Professional Services</x:v>
      </x:c>
      <x:c r="H46" t="str">
        <x:v>SMB</x:v>
      </x:c>
      <x:c r="I46" t="str">
        <x:v>Closed Won</x:v>
      </x:c>
      <x:c r="J46" s="10" t="n">
        <x:v>45987</x:v>
      </x:c>
      <x:c r="K46" s="10" t="n">
        <x:v>45987</x:v>
      </x:c>
      <x:c r="L46" s="22" t="n">
        <x:v>8000</x:v>
      </x:c>
      <x:c r="M46" s="24" t="n">
        <x:v>0.08</x:v>
      </x:c>
      <x:c r="N46" s="24" t="n">
        <x:v>1</x:v>
      </x:c>
      <x:c r="O46" t="str"/>
      <x:c r="P46" t="n">
        <x:v>6</x:v>
      </x:c>
      <x:c r="Q46" t="str">
        <x:f>IFERROR(XLOOKUP(E46,Lookups!$A$5:$A$24,Lookups!$B$5:$B$24),"Other")</x:f>
        <x:v>LinkedIn</x:v>
      </x:c>
      <x:c r="R46" t="str">
        <x:f>IFERROR(XLOOKUP(F46,Lookups!$D$5:$D$10,Lookups!$E$5:$E$10),"Unknown Product")</x:f>
        <x:v>NexaCRM Core</x:v>
      </x:c>
      <x:c r="S46" t="str">
        <x:f>IFERROR(XLOOKUP(F46,Lookups!$D$5:$D$10,Lookups!$F$5:$F$10),"Unknown")</x:f>
        <x:v>CRM</x:v>
      </x:c>
      <x:c r="T46" t="str">
        <x:f>IF(L46&gt;=50000,"Enterprise",IF(L46&gt;=20000,"Mid-Market","SMB"))</x:f>
        <x:v>SMB</x:v>
      </x:c>
      <x:c r="U46" t="str">
        <x:f>IF(I46="Closed Won","Won",IF(I46="Closed Lost","Lost","Open"))</x:f>
        <x:v>Won</x:v>
      </x:c>
      <x:c r="V46" s="22" t="n">
        <x:f>IF(U46="Won",L46*(1-M46),0)</x:f>
        <x:v>7360</x:v>
      </x:c>
      <x:c r="W46" s="22" t="n">
        <x:f>IF(U46="Open",L46*N46,0)</x:f>
        <x:v>0</x:v>
      </x:c>
      <x:c r="X46" s="26" t="n">
        <x:f>IF(U46="Open","",IFERROR(K46-B46,""))</x:f>
        <x:v>30</x:v>
      </x:c>
      <x:c r="Y46" s="26" t="n">
        <x:f>IF(U46="Open",Lookups!$B$2-B46,X46)</x:f>
        <x:v>30</x:v>
      </x:c>
      <x:c r="Z46" t="str">
        <x:f>IF(AND(U46="Open",Y46&gt;30),"STALE","OK")</x:f>
        <x:v>OK</x:v>
      </x:c>
      <x:c r="AA46" t="str">
        <x:f>TEXT(B46,"yyyy-mm")</x:f>
        <x:v>2025-10</x:v>
      </x:c>
      <x:c r="AB46" t="str">
        <x:f>IF(K46="","",TEXT(K46,"yyyy-mm"))</x:f>
        <x:v>2025-11</x:v>
      </x:c>
      <x:c r="AC46" t="str">
        <x:f>"Q"&amp;ROUNDUP(MONTH(B46)/3,0)&amp;"-"&amp;YEAR(B46)</x:f>
        <x:v>Q4-2025</x:v>
      </x:c>
      <x:c r="AD46" s="26" t="n">
        <x:f>MIN(100,IF(H46="Enterprise",30,IF(H46="Mid-Market",22,14))+IF(T46="Enterprise",25,IF(T46="Mid-Market",18,10))+IF(Q46="Referral",25,IF(Q46="Organic Search",20,IF(Q46="Email",18,14)))+IF(G46="Technology",10,5))</x:f>
        <x:v>43</x:v>
      </x:c>
      <x:c r="AE46" t="str">
        <x:f>IF(U46&lt;&gt;"Open",U46,IF(N46&gt;=0.8,"Commit",IF(N46&gt;=0.5,"Best Case","Pipeline")))</x:f>
        <x:v>Won</x:v>
      </x:c>
    </x:row>
    <x:row r="47">
      <x:c r="A47" t="str">
        <x:v>L00046</x:v>
      </x:c>
      <x:c r="B47" s="10" t="n">
        <x:v>45698</x:v>
      </x:c>
      <x:c r="C47" t="str">
        <x:v>Quynh Vu</x:v>
      </x:c>
      <x:c r="D47" t="str">
        <x:v>North</x:v>
      </x:c>
      <x:c r="E47" t="str">
        <x:v>organic search</x:v>
      </x:c>
      <x:c r="F47" t="str">
        <x:v>REV-OPS</x:v>
      </x:c>
      <x:c r="G47" t="str">
        <x:v>Technology</x:v>
      </x:c>
      <x:c r="H47" t="str">
        <x:v>SMB</x:v>
      </x:c>
      <x:c r="I47" t="str">
        <x:v>Closed Lost</x:v>
      </x:c>
      <x:c r="J47" s="10" t="n">
        <x:v>45719</x:v>
      </x:c>
      <x:c r="K47" s="10" t="n">
        <x:v>45719</x:v>
      </x:c>
      <x:c r="L47" s="22" t="n">
        <x:v>39100</x:v>
      </x:c>
      <x:c r="M47" s="24" t="n">
        <x:v>0</x:v>
      </x:c>
      <x:c r="N47" s="24" t="n">
        <x:v>0</x:v>
      </x:c>
      <x:c r="O47" t="str">
        <x:v>No Decision</x:v>
      </x:c>
      <x:c r="P47" t="n">
        <x:v>3</x:v>
      </x:c>
      <x:c r="Q47" t="str">
        <x:f>IFERROR(XLOOKUP(E47,Lookups!$A$5:$A$24,Lookups!$B$5:$B$24),"Other")</x:f>
        <x:v>Organic Search</x:v>
      </x:c>
      <x:c r="R47" t="str">
        <x:f>IFERROR(XLOOKUP(F47,Lookups!$D$5:$D$10,Lookups!$E$5:$E$10),"Unknown Product")</x:f>
        <x:v>Revenue Operations Suite</x:v>
      </x:c>
      <x:c r="S47" t="str">
        <x:f>IFERROR(XLOOKUP(F47,Lookups!$D$5:$D$10,Lookups!$F$5:$F$10),"Unknown")</x:f>
        <x:v>Revenue Ops</x:v>
      </x:c>
      <x:c r="T47" t="str">
        <x:f>IF(L47&gt;=50000,"Enterprise",IF(L47&gt;=20000,"Mid-Market","SMB"))</x:f>
        <x:v>Mid-Market</x:v>
      </x:c>
      <x:c r="U47" t="str">
        <x:f>IF(I47="Closed Won","Won",IF(I47="Closed Lost","Lost","Open"))</x:f>
        <x:v>Lost</x:v>
      </x:c>
      <x:c r="V47" s="22" t="n">
        <x:f>IF(U47="Won",L47*(1-M47),0)</x:f>
        <x:v>0</x:v>
      </x:c>
      <x:c r="W47" s="22" t="n">
        <x:f>IF(U47="Open",L47*N47,0)</x:f>
        <x:v>0</x:v>
      </x:c>
      <x:c r="X47" s="26" t="n">
        <x:f>IF(U47="Open","",IFERROR(K47-B47,""))</x:f>
        <x:v>21</x:v>
      </x:c>
      <x:c r="Y47" s="26" t="n">
        <x:f>IF(U47="Open",Lookups!$B$2-B47,X47)</x:f>
        <x:v>21</x:v>
      </x:c>
      <x:c r="Z47" t="str">
        <x:f>IF(AND(U47="Open",Y47&gt;30),"STALE","OK")</x:f>
        <x:v>OK</x:v>
      </x:c>
      <x:c r="AA47" t="str">
        <x:f>TEXT(B47,"yyyy-mm")</x:f>
        <x:v>2025-02</x:v>
      </x:c>
      <x:c r="AB47" t="str">
        <x:f>IF(K47="","",TEXT(K47,"yyyy-mm"))</x:f>
        <x:v>2025-03</x:v>
      </x:c>
      <x:c r="AC47" t="str">
        <x:f>"Q"&amp;ROUNDUP(MONTH(B47)/3,0)&amp;"-"&amp;YEAR(B47)</x:f>
        <x:v>Q1-2025</x:v>
      </x:c>
      <x:c r="AD47" s="26" t="n">
        <x:f>MIN(100,IF(H47="Enterprise",30,IF(H47="Mid-Market",22,14))+IF(T47="Enterprise",25,IF(T47="Mid-Market",18,10))+IF(Q47="Referral",25,IF(Q47="Organic Search",20,IF(Q47="Email",18,14)))+IF(G47="Technology",10,5))</x:f>
        <x:v>62</x:v>
      </x:c>
      <x:c r="AE47" t="str">
        <x:f>IF(U47&lt;&gt;"Open",U47,IF(N47&gt;=0.8,"Commit",IF(N47&gt;=0.5,"Best Case","Pipeline")))</x:f>
        <x:v>Lost</x:v>
      </x:c>
    </x:row>
    <x:row r="48">
      <x:c r="A48" t="str">
        <x:v>L00047</x:v>
      </x:c>
      <x:c r="B48" s="10" t="n">
        <x:v>46036</x:v>
      </x:c>
      <x:c r="C48" t="str">
        <x:v>An Nguyen</x:v>
      </x:c>
      <x:c r="D48" t="str">
        <x:v>South</x:v>
      </x:c>
      <x:c r="E48" t="str">
        <x:v>LinkedIn Ads</x:v>
      </x:c>
      <x:c r="F48" t="str">
        <x:v>CRM-CORE</x:v>
      </x:c>
      <x:c r="G48" t="str">
        <x:v>Healthcare</x:v>
      </x:c>
      <x:c r="H48" t="str">
        <x:v>Mid-Market</x:v>
      </x:c>
      <x:c r="I48" t="str">
        <x:v>Closed Won</x:v>
      </x:c>
      <x:c r="J48" s="10" t="n">
        <x:v>46081</x:v>
      </x:c>
      <x:c r="K48" s="10" t="n">
        <x:v>46081</x:v>
      </x:c>
      <x:c r="L48" s="22" t="n">
        <x:v>18000</x:v>
      </x:c>
      <x:c r="M48" s="24" t="n">
        <x:v>0.12</x:v>
      </x:c>
      <x:c r="N48" s="24" t="n">
        <x:v>1</x:v>
      </x:c>
      <x:c r="O48" t="str"/>
      <x:c r="P48" t="n">
        <x:v>6</x:v>
      </x:c>
      <x:c r="Q48" t="str">
        <x:f>IFERROR(XLOOKUP(E48,Lookups!$A$5:$A$24,Lookups!$B$5:$B$24),"Other")</x:f>
        <x:v>LinkedIn</x:v>
      </x:c>
      <x:c r="R48" t="str">
        <x:f>IFERROR(XLOOKUP(F48,Lookups!$D$5:$D$10,Lookups!$E$5:$E$10),"Unknown Product")</x:f>
        <x:v>NexaCRM Core</x:v>
      </x:c>
      <x:c r="S48" t="str">
        <x:f>IFERROR(XLOOKUP(F48,Lookups!$D$5:$D$10,Lookups!$F$5:$F$10),"Unknown")</x:f>
        <x:v>CRM</x:v>
      </x:c>
      <x:c r="T48" t="str">
        <x:f>IF(L48&gt;=50000,"Enterprise",IF(L48&gt;=20000,"Mid-Market","SMB"))</x:f>
        <x:v>SMB</x:v>
      </x:c>
      <x:c r="U48" t="str">
        <x:f>IF(I48="Closed Won","Won",IF(I48="Closed Lost","Lost","Open"))</x:f>
        <x:v>Won</x:v>
      </x:c>
      <x:c r="V48" s="22" t="n">
        <x:f>IF(U48="Won",L48*(1-M48),0)</x:f>
        <x:v>15840</x:v>
      </x:c>
      <x:c r="W48" s="22" t="n">
        <x:f>IF(U48="Open",L48*N48,0)</x:f>
        <x:v>0</x:v>
      </x:c>
      <x:c r="X48" s="26" t="n">
        <x:f>IF(U48="Open","",IFERROR(K48-B48,""))</x:f>
        <x:v>45</x:v>
      </x:c>
      <x:c r="Y48" s="26" t="n">
        <x:f>IF(U48="Open",Lookups!$B$2-B48,X48)</x:f>
        <x:v>45</x:v>
      </x:c>
      <x:c r="Z48" t="str">
        <x:f>IF(AND(U48="Open",Y48&gt;30),"STALE","OK")</x:f>
        <x:v>OK</x:v>
      </x:c>
      <x:c r="AA48" t="str">
        <x:f>TEXT(B48,"yyyy-mm")</x:f>
        <x:v>2026-01</x:v>
      </x:c>
      <x:c r="AB48" t="str">
        <x:f>IF(K48="","",TEXT(K48,"yyyy-mm"))</x:f>
        <x:v>2026-02</x:v>
      </x:c>
      <x:c r="AC48" t="str">
        <x:f>"Q"&amp;ROUNDUP(MONTH(B48)/3,0)&amp;"-"&amp;YEAR(B48)</x:f>
        <x:v>Q1-2026</x:v>
      </x:c>
      <x:c r="AD48" s="26" t="n">
        <x:f>MIN(100,IF(H48="Enterprise",30,IF(H48="Mid-Market",22,14))+IF(T48="Enterprise",25,IF(T48="Mid-Market",18,10))+IF(Q48="Referral",25,IF(Q48="Organic Search",20,IF(Q48="Email",18,14)))+IF(G48="Technology",10,5))</x:f>
        <x:v>51</x:v>
      </x:c>
      <x:c r="AE48" t="str">
        <x:f>IF(U48&lt;&gt;"Open",U48,IF(N48&gt;=0.8,"Commit",IF(N48&gt;=0.5,"Best Case","Pipeline")))</x:f>
        <x:v>Won</x:v>
      </x:c>
    </x:row>
    <x:row r="49">
      <x:c r="A49" t="str">
        <x:v>L00048</x:v>
      </x:c>
      <x:c r="B49" s="10" t="n">
        <x:v>45857</x:v>
      </x:c>
      <x:c r="C49" t="str">
        <x:v>Minh Do</x:v>
      </x:c>
      <x:c r="D49" t="str">
        <x:v>North</x:v>
      </x:c>
      <x:c r="E49" t="str">
        <x:v>LinkedIn Ads</x:v>
      </x:c>
      <x:c r="F49" t="str">
        <x:v>CRM-CORE</x:v>
      </x:c>
      <x:c r="G49" t="str">
        <x:v>Financial Services</x:v>
      </x:c>
      <x:c r="H49" t="str">
        <x:v>SMB</x:v>
      </x:c>
      <x:c r="I49" t="str">
        <x:v>Closed Lost</x:v>
      </x:c>
      <x:c r="J49" s="10" t="n">
        <x:v>45915</x:v>
      </x:c>
      <x:c r="K49" s="10" t="n">
        <x:v>45915</x:v>
      </x:c>
      <x:c r="L49" s="22" t="n">
        <x:v>8200</x:v>
      </x:c>
      <x:c r="M49" s="24" t="n">
        <x:v>0</x:v>
      </x:c>
      <x:c r="N49" s="24" t="n">
        <x:v>0</x:v>
      </x:c>
      <x:c r="O49" t="str">
        <x:v>Price</x:v>
      </x:c>
      <x:c r="P49" t="n">
        <x:v>2</x:v>
      </x:c>
      <x:c r="Q49" t="str">
        <x:f>IFERROR(XLOOKUP(E49,Lookups!$A$5:$A$24,Lookups!$B$5:$B$24),"Other")</x:f>
        <x:v>LinkedIn</x:v>
      </x:c>
      <x:c r="R49" t="str">
        <x:f>IFERROR(XLOOKUP(F49,Lookups!$D$5:$D$10,Lookups!$E$5:$E$10),"Unknown Product")</x:f>
        <x:v>NexaCRM Core</x:v>
      </x:c>
      <x:c r="S49" t="str">
        <x:f>IFERROR(XLOOKUP(F49,Lookups!$D$5:$D$10,Lookups!$F$5:$F$10),"Unknown")</x:f>
        <x:v>CRM</x:v>
      </x:c>
      <x:c r="T49" t="str">
        <x:f>IF(L49&gt;=50000,"Enterprise",IF(L49&gt;=20000,"Mid-Market","SMB"))</x:f>
        <x:v>SMB</x:v>
      </x:c>
      <x:c r="U49" t="str">
        <x:f>IF(I49="Closed Won","Won",IF(I49="Closed Lost","Lost","Open"))</x:f>
        <x:v>Lost</x:v>
      </x:c>
      <x:c r="V49" s="22" t="n">
        <x:f>IF(U49="Won",L49*(1-M49),0)</x:f>
        <x:v>0</x:v>
      </x:c>
      <x:c r="W49" s="22" t="n">
        <x:f>IF(U49="Open",L49*N49,0)</x:f>
        <x:v>0</x:v>
      </x:c>
      <x:c r="X49" s="26" t="n">
        <x:f>IF(U49="Open","",IFERROR(K49-B49,""))</x:f>
        <x:v>58</x:v>
      </x:c>
      <x:c r="Y49" s="26" t="n">
        <x:f>IF(U49="Open",Lookups!$B$2-B49,X49)</x:f>
        <x:v>58</x:v>
      </x:c>
      <x:c r="Z49" t="str">
        <x:f>IF(AND(U49="Open",Y49&gt;30),"STALE","OK")</x:f>
        <x:v>OK</x:v>
      </x:c>
      <x:c r="AA49" t="str">
        <x:f>TEXT(B49,"yyyy-mm")</x:f>
        <x:v>2025-07</x:v>
      </x:c>
      <x:c r="AB49" t="str">
        <x:f>IF(K49="","",TEXT(K49,"yyyy-mm"))</x:f>
        <x:v>2025-09</x:v>
      </x:c>
      <x:c r="AC49" t="str">
        <x:f>"Q"&amp;ROUNDUP(MONTH(B49)/3,0)&amp;"-"&amp;YEAR(B49)</x:f>
        <x:v>Q3-2025</x:v>
      </x:c>
      <x:c r="AD49" s="26" t="n">
        <x:f>MIN(100,IF(H49="Enterprise",30,IF(H49="Mid-Market",22,14))+IF(T49="Enterprise",25,IF(T49="Mid-Market",18,10))+IF(Q49="Referral",25,IF(Q49="Organic Search",20,IF(Q49="Email",18,14)))+IF(G49="Technology",10,5))</x:f>
        <x:v>43</x:v>
      </x:c>
      <x:c r="AE49" t="str">
        <x:f>IF(U49&lt;&gt;"Open",U49,IF(N49&gt;=0.8,"Commit",IF(N49&gt;=0.5,"Best Case","Pipeline")))</x:f>
        <x:v>Lost</x:v>
      </x:c>
    </x:row>
    <x:row r="50">
      <x:c r="A50" t="str">
        <x:v>L00049</x:v>
      </x:c>
      <x:c r="B50" s="10" t="n">
        <x:v>45681</x:v>
      </x:c>
      <x:c r="C50" t="str">
        <x:v>Bao Tran</x:v>
      </x:c>
      <x:c r="D50" t="str">
        <x:v>South</x:v>
      </x:c>
      <x:c r="E50" t="str">
        <x:v>newsletter</x:v>
      </x:c>
      <x:c r="F50" t="str">
        <x:v>MKT-AUTO</x:v>
      </x:c>
      <x:c r="G50" t="str">
        <x:v>Manufacturing</x:v>
      </x:c>
      <x:c r="H50" t="str">
        <x:v>SMB</x:v>
      </x:c>
      <x:c r="I50" t="str">
        <x:v>Closed Lost</x:v>
      </x:c>
      <x:c r="J50" s="10" t="n">
        <x:v>45743</x:v>
      </x:c>
      <x:c r="K50" s="10" t="n">
        <x:v>45743</x:v>
      </x:c>
      <x:c r="L50" s="22" t="n">
        <x:v>11000</x:v>
      </x:c>
      <x:c r="M50" s="24" t="n">
        <x:v>0</x:v>
      </x:c>
      <x:c r="N50" s="24" t="n">
        <x:v>0</x:v>
      </x:c>
      <x:c r="O50" t="str">
        <x:v>Budget</x:v>
      </x:c>
      <x:c r="P50" t="n">
        <x:v>3</x:v>
      </x:c>
      <x:c r="Q50" t="str">
        <x:f>IFERROR(XLOOKUP(E50,Lookups!$A$5:$A$24,Lookups!$B$5:$B$24),"Other")</x:f>
        <x:v>Email</x:v>
      </x:c>
      <x:c r="R50" t="str">
        <x:f>IFERROR(XLOOKUP(F50,Lookups!$D$5:$D$10,Lookups!$E$5:$E$10),"Unknown Product")</x:f>
        <x:v>Marketing Automation</x:v>
      </x:c>
      <x:c r="S50" t="str">
        <x:f>IFERROR(XLOOKUP(F50,Lookups!$D$5:$D$10,Lookups!$F$5:$F$10),"Unknown")</x:f>
        <x:v>Marketing</x:v>
      </x:c>
      <x:c r="T50" t="str">
        <x:f>IF(L50&gt;=50000,"Enterprise",IF(L50&gt;=20000,"Mid-Market","SMB"))</x:f>
        <x:v>SMB</x:v>
      </x:c>
      <x:c r="U50" t="str">
        <x:f>IF(I50="Closed Won","Won",IF(I50="Closed Lost","Lost","Open"))</x:f>
        <x:v>Lost</x:v>
      </x:c>
      <x:c r="V50" s="22" t="n">
        <x:f>IF(U50="Won",L50*(1-M50),0)</x:f>
        <x:v>0</x:v>
      </x:c>
      <x:c r="W50" s="22" t="n">
        <x:f>IF(U50="Open",L50*N50,0)</x:f>
        <x:v>0</x:v>
      </x:c>
      <x:c r="X50" s="26" t="n">
        <x:f>IF(U50="Open","",IFERROR(K50-B50,""))</x:f>
        <x:v>62</x:v>
      </x:c>
      <x:c r="Y50" s="26" t="n">
        <x:f>IF(U50="Open",Lookups!$B$2-B50,X50)</x:f>
        <x:v>62</x:v>
      </x:c>
      <x:c r="Z50" t="str">
        <x:f>IF(AND(U50="Open",Y50&gt;30),"STALE","OK")</x:f>
        <x:v>OK</x:v>
      </x:c>
      <x:c r="AA50" t="str">
        <x:f>TEXT(B50,"yyyy-mm")</x:f>
        <x:v>2025-01</x:v>
      </x:c>
      <x:c r="AB50" t="str">
        <x:f>IF(K50="","",TEXT(K50,"yyyy-mm"))</x:f>
        <x:v>2025-03</x:v>
      </x:c>
      <x:c r="AC50" t="str">
        <x:f>"Q"&amp;ROUNDUP(MONTH(B50)/3,0)&amp;"-"&amp;YEAR(B50)</x:f>
        <x:v>Q1-2025</x:v>
      </x:c>
      <x:c r="AD50" s="26" t="n">
        <x:f>MIN(100,IF(H50="Enterprise",30,IF(H50="Mid-Market",22,14))+IF(T50="Enterprise",25,IF(T50="Mid-Market",18,10))+IF(Q50="Referral",25,IF(Q50="Organic Search",20,IF(Q50="Email",18,14)))+IF(G50="Technology",10,5))</x:f>
        <x:v>47</x:v>
      </x:c>
      <x:c r="AE50" t="str">
        <x:f>IF(U50&lt;&gt;"Open",U50,IF(N50&gt;=0.8,"Commit",IF(N50&gt;=0.5,"Best Case","Pipeline")))</x:f>
        <x:v>Lost</x:v>
      </x:c>
    </x:row>
    <x:row r="51">
      <x:c r="A51" t="str">
        <x:v>L00050</x:v>
      </x:c>
      <x:c r="B51" s="10" t="n">
        <x:v>46160</x:v>
      </x:c>
      <x:c r="C51" t="str">
        <x:v>Ha Vo</x:v>
      </x:c>
      <x:c r="D51" t="str">
        <x:v>North</x:v>
      </x:c>
      <x:c r="E51" t="str">
        <x:v>LI Ads</x:v>
      </x:c>
      <x:c r="F51" t="str">
        <x:v>BI-PLUS</x:v>
      </x:c>
      <x:c r="G51" t="str">
        <x:v>Retail</x:v>
      </x:c>
      <x:c r="H51" t="str">
        <x:v>Mid-Market</x:v>
      </x:c>
      <x:c r="I51" t="str">
        <x:v>Demo / Meeting</x:v>
      </x:c>
      <x:c r="J51" s="10" t="n">
        <x:v>46206</x:v>
      </x:c>
      <x:c r="K51" s="10"/>
      <x:c r="L51" s="22" t="n">
        <x:v>48300</x:v>
      </x:c>
      <x:c r="M51" s="24" t="n">
        <x:v>0</x:v>
      </x:c>
      <x:c r="N51" s="24" t="n">
        <x:v>0.4</x:v>
      </x:c>
      <x:c r="O51" t="str"/>
      <x:c r="P51" t="n">
        <x:v>3</x:v>
      </x:c>
      <x:c r="Q51" t="str">
        <x:f>IFERROR(XLOOKUP(E51,Lookups!$A$5:$A$24,Lookups!$B$5:$B$24),"Other")</x:f>
        <x:v>LinkedIn</x:v>
      </x:c>
      <x:c r="R51" t="str">
        <x:f>IFERROR(XLOOKUP(F51,Lookups!$D$5:$D$10,Lookups!$E$5:$E$10),"Unknown Product")</x:f>
        <x:v>Analytics Plus</x:v>
      </x:c>
      <x:c r="S51" t="str">
        <x:f>IFERROR(XLOOKUP(F51,Lookups!$D$5:$D$10,Lookups!$F$5:$F$10),"Unknown")</x:f>
        <x:v>Analytics</x:v>
      </x:c>
      <x:c r="T51" t="str">
        <x:f>IF(L51&gt;=50000,"Enterprise",IF(L51&gt;=20000,"Mid-Market","SMB"))</x:f>
        <x:v>Mid-Market</x:v>
      </x:c>
      <x:c r="U51" t="str">
        <x:f>IF(I51="Closed Won","Won",IF(I51="Closed Lost","Lost","Open"))</x:f>
        <x:v>Open</x:v>
      </x:c>
      <x:c r="V51" s="22" t="n">
        <x:f>IF(U51="Won",L51*(1-M51),0)</x:f>
        <x:v>0</x:v>
      </x:c>
      <x:c r="W51" s="22" t="n">
        <x:f>IF(U51="Open",L51*N51,0)</x:f>
        <x:v>19320</x:v>
      </x:c>
      <x:c r="X51" s="26" t="str">
        <x:f>IF(U51="Open","",IFERROR(K51-B51,""))</x:f>
      </x:c>
      <x:c r="Y51" s="26" t="n">
        <x:f>IF(U51="Open",Lookups!$B$2-B51,X51)</x:f>
        <x:v>106</x:v>
      </x:c>
      <x:c r="Z51" t="str">
        <x:f>IF(AND(U51="Open",Y51&gt;30),"STALE","OK")</x:f>
        <x:v>STALE</x:v>
      </x:c>
      <x:c r="AA51" t="str">
        <x:f>TEXT(B51,"yyyy-mm")</x:f>
        <x:v>2026-05</x:v>
      </x:c>
      <x:c r="AB51" t="str">
        <x:f>IF(K51="","",TEXT(K51,"yyyy-mm"))</x:f>
      </x:c>
      <x:c r="AC51" t="str">
        <x:f>"Q"&amp;ROUNDUP(MONTH(B51)/3,0)&amp;"-"&amp;YEAR(B51)</x:f>
        <x:v>Q2-2026</x:v>
      </x:c>
      <x:c r="AD51" s="26" t="n">
        <x:f>MIN(100,IF(H51="Enterprise",30,IF(H51="Mid-Market",22,14))+IF(T51="Enterprise",25,IF(T51="Mid-Market",18,10))+IF(Q51="Referral",25,IF(Q51="Organic Search",20,IF(Q51="Email",18,14)))+IF(G51="Technology",10,5))</x:f>
        <x:v>59</x:v>
      </x:c>
      <x:c r="AE51" t="str">
        <x:f>IF(U51&lt;&gt;"Open",U51,IF(N51&gt;=0.8,"Commit",IF(N51&gt;=0.5,"Best Case","Pipeline")))</x:f>
        <x:v>Pipeline</x:v>
      </x:c>
    </x:row>
    <x:row r="52">
      <x:c r="A52" t="str">
        <x:v>L00051</x:v>
      </x:c>
      <x:c r="B52" s="10" t="n">
        <x:v>45706</x:v>
      </x:c>
      <x:c r="C52" t="str">
        <x:v>Chi Le</x:v>
      </x:c>
      <x:c r="D52" t="str">
        <x:v>South</x:v>
      </x:c>
      <x:c r="E52" t="str">
        <x:v>Google Ads</x:v>
      </x:c>
      <x:c r="F52" t="str">
        <x:v>MKT-AUTO</x:v>
      </x:c>
      <x:c r="G52" t="str">
        <x:v>Technology</x:v>
      </x:c>
      <x:c r="H52" t="str">
        <x:v>SMB</x:v>
      </x:c>
      <x:c r="I52" t="str">
        <x:v>Closed Won</x:v>
      </x:c>
      <x:c r="J52" s="10" t="n">
        <x:v>45761</x:v>
      </x:c>
      <x:c r="K52" s="10" t="n">
        <x:v>45761</x:v>
      </x:c>
      <x:c r="L52" s="22" t="n">
        <x:v>13900</x:v>
      </x:c>
      <x:c r="M52" s="24" t="n">
        <x:v>0.1</x:v>
      </x:c>
      <x:c r="N52" s="24" t="n">
        <x:v>1</x:v>
      </x:c>
      <x:c r="O52" t="str"/>
      <x:c r="P52" t="n">
        <x:v>6</x:v>
      </x:c>
      <x:c r="Q52" t="str">
        <x:f>IFERROR(XLOOKUP(E52,Lookups!$A$5:$A$24,Lookups!$B$5:$B$24),"Other")</x:f>
        <x:v>Paid Search</x:v>
      </x:c>
      <x:c r="R52" t="str">
        <x:f>IFERROR(XLOOKUP(F52,Lookups!$D$5:$D$10,Lookups!$E$5:$E$10),"Unknown Product")</x:f>
        <x:v>Marketing Automation</x:v>
      </x:c>
      <x:c r="S52" t="str">
        <x:f>IFERROR(XLOOKUP(F52,Lookups!$D$5:$D$10,Lookups!$F$5:$F$10),"Unknown")</x:f>
        <x:v>Marketing</x:v>
      </x:c>
      <x:c r="T52" t="str">
        <x:f>IF(L52&gt;=50000,"Enterprise",IF(L52&gt;=20000,"Mid-Market","SMB"))</x:f>
        <x:v>SMB</x:v>
      </x:c>
      <x:c r="U52" t="str">
        <x:f>IF(I52="Closed Won","Won",IF(I52="Closed Lost","Lost","Open"))</x:f>
        <x:v>Won</x:v>
      </x:c>
      <x:c r="V52" s="22" t="n">
        <x:f>IF(U52="Won",L52*(1-M52),0)</x:f>
        <x:v>12510</x:v>
      </x:c>
      <x:c r="W52" s="22" t="n">
        <x:f>IF(U52="Open",L52*N52,0)</x:f>
        <x:v>0</x:v>
      </x:c>
      <x:c r="X52" s="26" t="n">
        <x:f>IF(U52="Open","",IFERROR(K52-B52,""))</x:f>
        <x:v>55</x:v>
      </x:c>
      <x:c r="Y52" s="26" t="n">
        <x:f>IF(U52="Open",Lookups!$B$2-B52,X52)</x:f>
        <x:v>55</x:v>
      </x:c>
      <x:c r="Z52" t="str">
        <x:f>IF(AND(U52="Open",Y52&gt;30),"STALE","OK")</x:f>
        <x:v>OK</x:v>
      </x:c>
      <x:c r="AA52" t="str">
        <x:f>TEXT(B52,"yyyy-mm")</x:f>
        <x:v>2025-02</x:v>
      </x:c>
      <x:c r="AB52" t="str">
        <x:f>IF(K52="","",TEXT(K52,"yyyy-mm"))</x:f>
        <x:v>2025-04</x:v>
      </x:c>
      <x:c r="AC52" t="str">
        <x:f>"Q"&amp;ROUNDUP(MONTH(B52)/3,0)&amp;"-"&amp;YEAR(B52)</x:f>
        <x:v>Q1-2025</x:v>
      </x:c>
      <x:c r="AD52" s="26" t="n">
        <x:f>MIN(100,IF(H52="Enterprise",30,IF(H52="Mid-Market",22,14))+IF(T52="Enterprise",25,IF(T52="Mid-Market",18,10))+IF(Q52="Referral",25,IF(Q52="Organic Search",20,IF(Q52="Email",18,14)))+IF(G52="Technology",10,5))</x:f>
        <x:v>48</x:v>
      </x:c>
      <x:c r="AE52" t="str">
        <x:f>IF(U52&lt;&gt;"Open",U52,IF(N52&gt;=0.8,"Commit",IF(N52&gt;=0.5,"Best Case","Pipeline")))</x:f>
        <x:v>Won</x:v>
      </x:c>
    </x:row>
    <x:row r="53">
      <x:c r="A53" t="str">
        <x:v>L00052</x:v>
      </x:c>
      <x:c r="B53" s="10" t="n">
        <x:v>45701</x:v>
      </x:c>
      <x:c r="C53" t="str">
        <x:v>An Nguyen</x:v>
      </x:c>
      <x:c r="D53" t="str">
        <x:v>South</x:v>
      </x:c>
      <x:c r="E53" t="str">
        <x:v>SDR Outreach</x:v>
      </x:c>
      <x:c r="F53" t="str">
        <x:v>MKT-AUTO</x:v>
      </x:c>
      <x:c r="G53" t="str">
        <x:v>Professional Services</x:v>
      </x:c>
      <x:c r="H53" t="str">
        <x:v>SMB</x:v>
      </x:c>
      <x:c r="I53" t="str">
        <x:v>Closed Lost</x:v>
      </x:c>
      <x:c r="J53" s="10" t="n">
        <x:v>45756</x:v>
      </x:c>
      <x:c r="K53" s="10" t="n">
        <x:v>45756</x:v>
      </x:c>
      <x:c r="L53" s="22" t="n">
        <x:v>12400</x:v>
      </x:c>
      <x:c r="M53" s="24" t="n">
        <x:v>0</x:v>
      </x:c>
      <x:c r="N53" s="24" t="n">
        <x:v>0</x:v>
      </x:c>
      <x:c r="O53" t="str">
        <x:v>Competitor</x:v>
      </x:c>
      <x:c r="P53" t="n">
        <x:v>3</x:v>
      </x:c>
      <x:c r="Q53" t="str">
        <x:f>IFERROR(XLOOKUP(E53,Lookups!$A$5:$A$24,Lookups!$B$5:$B$24),"Other")</x:f>
        <x:v>Outbound</x:v>
      </x:c>
      <x:c r="R53" t="str">
        <x:f>IFERROR(XLOOKUP(F53,Lookups!$D$5:$D$10,Lookups!$E$5:$E$10),"Unknown Product")</x:f>
        <x:v>Marketing Automation</x:v>
      </x:c>
      <x:c r="S53" t="str">
        <x:f>IFERROR(XLOOKUP(F53,Lookups!$D$5:$D$10,Lookups!$F$5:$F$10),"Unknown")</x:f>
        <x:v>Marketing</x:v>
      </x:c>
      <x:c r="T53" t="str">
        <x:f>IF(L53&gt;=50000,"Enterprise",IF(L53&gt;=20000,"Mid-Market","SMB"))</x:f>
        <x:v>SMB</x:v>
      </x:c>
      <x:c r="U53" t="str">
        <x:f>IF(I53="Closed Won","Won",IF(I53="Closed Lost","Lost","Open"))</x:f>
        <x:v>Lost</x:v>
      </x:c>
      <x:c r="V53" s="22" t="n">
        <x:f>IF(U53="Won",L53*(1-M53),0)</x:f>
        <x:v>0</x:v>
      </x:c>
      <x:c r="W53" s="22" t="n">
        <x:f>IF(U53="Open",L53*N53,0)</x:f>
        <x:v>0</x:v>
      </x:c>
      <x:c r="X53" s="26" t="n">
        <x:f>IF(U53="Open","",IFERROR(K53-B53,""))</x:f>
        <x:v>55</x:v>
      </x:c>
      <x:c r="Y53" s="26" t="n">
        <x:f>IF(U53="Open",Lookups!$B$2-B53,X53)</x:f>
        <x:v>55</x:v>
      </x:c>
      <x:c r="Z53" t="str">
        <x:f>IF(AND(U53="Open",Y53&gt;30),"STALE","OK")</x:f>
        <x:v>OK</x:v>
      </x:c>
      <x:c r="AA53" t="str">
        <x:f>TEXT(B53,"yyyy-mm")</x:f>
        <x:v>2025-02</x:v>
      </x:c>
      <x:c r="AB53" t="str">
        <x:f>IF(K53="","",TEXT(K53,"yyyy-mm"))</x:f>
        <x:v>2025-04</x:v>
      </x:c>
      <x:c r="AC53" t="str">
        <x:f>"Q"&amp;ROUNDUP(MONTH(B53)/3,0)&amp;"-"&amp;YEAR(B53)</x:f>
        <x:v>Q1-2025</x:v>
      </x:c>
      <x:c r="AD53" s="26" t="n">
        <x:f>MIN(100,IF(H53="Enterprise",30,IF(H53="Mid-Market",22,14))+IF(T53="Enterprise",25,IF(T53="Mid-Market",18,10))+IF(Q53="Referral",25,IF(Q53="Organic Search",20,IF(Q53="Email",18,14)))+IF(G53="Technology",10,5))</x:f>
        <x:v>43</x:v>
      </x:c>
      <x:c r="AE53" t="str">
        <x:f>IF(U53&lt;&gt;"Open",U53,IF(N53&gt;=0.8,"Commit",IF(N53&gt;=0.5,"Best Case","Pipeline")))</x:f>
        <x:v>Lost</x:v>
      </x:c>
    </x:row>
    <x:row r="54">
      <x:c r="A54" t="str">
        <x:v>L00053</x:v>
      </x:c>
      <x:c r="B54" s="10" t="n">
        <x:v>46055</x:v>
      </x:c>
      <x:c r="C54" t="str">
        <x:v>An Nguyen</x:v>
      </x:c>
      <x:c r="D54" t="str">
        <x:v>South</x:v>
      </x:c>
      <x:c r="E54" t="str">
        <x:v>SEO</x:v>
      </x:c>
      <x:c r="F54" t="str">
        <x:v>CRM-PRO</x:v>
      </x:c>
      <x:c r="G54" t="str">
        <x:v>Technology</x:v>
      </x:c>
      <x:c r="H54" t="str">
        <x:v>SMB</x:v>
      </x:c>
      <x:c r="I54" t="str">
        <x:v>Closed Won</x:v>
      </x:c>
      <x:c r="J54" s="10" t="n">
        <x:v>46173</x:v>
      </x:c>
      <x:c r="K54" s="10" t="n">
        <x:v>46173</x:v>
      </x:c>
      <x:c r="L54" s="22" t="n">
        <x:v>15500</x:v>
      </x:c>
      <x:c r="M54" s="24" t="n">
        <x:v>0.1</x:v>
      </x:c>
      <x:c r="N54" s="24" t="n">
        <x:v>1</x:v>
      </x:c>
      <x:c r="O54" t="str"/>
      <x:c r="P54" t="n">
        <x:v>6</x:v>
      </x:c>
      <x:c r="Q54" t="str">
        <x:f>IFERROR(XLOOKUP(E54,Lookups!$A$5:$A$24,Lookups!$B$5:$B$24),"Other")</x:f>
        <x:v>Organic Search</x:v>
      </x:c>
      <x:c r="R54" t="str">
        <x:f>IFERROR(XLOOKUP(F54,Lookups!$D$5:$D$10,Lookups!$E$5:$E$10),"Unknown Product")</x:f>
        <x:v>NexaCRM Pro</x:v>
      </x:c>
      <x:c r="S54" t="str">
        <x:f>IFERROR(XLOOKUP(F54,Lookups!$D$5:$D$10,Lookups!$F$5:$F$10),"Unknown")</x:f>
        <x:v>CRM</x:v>
      </x:c>
      <x:c r="T54" t="str">
        <x:f>IF(L54&gt;=50000,"Enterprise",IF(L54&gt;=20000,"Mid-Market","SMB"))</x:f>
        <x:v>SMB</x:v>
      </x:c>
      <x:c r="U54" t="str">
        <x:f>IF(I54="Closed Won","Won",IF(I54="Closed Lost","Lost","Open"))</x:f>
        <x:v>Won</x:v>
      </x:c>
      <x:c r="V54" s="22" t="n">
        <x:f>IF(U54="Won",L54*(1-M54),0)</x:f>
        <x:v>13950</x:v>
      </x:c>
      <x:c r="W54" s="22" t="n">
        <x:f>IF(U54="Open",L54*N54,0)</x:f>
        <x:v>0</x:v>
      </x:c>
      <x:c r="X54" s="26" t="n">
        <x:f>IF(U54="Open","",IFERROR(K54-B54,""))</x:f>
        <x:v>118</x:v>
      </x:c>
      <x:c r="Y54" s="26" t="n">
        <x:f>IF(U54="Open",Lookups!$B$2-B54,X54)</x:f>
        <x:v>118</x:v>
      </x:c>
      <x:c r="Z54" t="str">
        <x:f>IF(AND(U54="Open",Y54&gt;30),"STALE","OK")</x:f>
        <x:v>OK</x:v>
      </x:c>
      <x:c r="AA54" t="str">
        <x:f>TEXT(B54,"yyyy-mm")</x:f>
        <x:v>2026-02</x:v>
      </x:c>
      <x:c r="AB54" t="str">
        <x:f>IF(K54="","",TEXT(K54,"yyyy-mm"))</x:f>
        <x:v>2026-05</x:v>
      </x:c>
      <x:c r="AC54" t="str">
        <x:f>"Q"&amp;ROUNDUP(MONTH(B54)/3,0)&amp;"-"&amp;YEAR(B54)</x:f>
        <x:v>Q1-2026</x:v>
      </x:c>
      <x:c r="AD54" s="26" t="n">
        <x:f>MIN(100,IF(H54="Enterprise",30,IF(H54="Mid-Market",22,14))+IF(T54="Enterprise",25,IF(T54="Mid-Market",18,10))+IF(Q54="Referral",25,IF(Q54="Organic Search",20,IF(Q54="Email",18,14)))+IF(G54="Technology",10,5))</x:f>
        <x:v>54</x:v>
      </x:c>
      <x:c r="AE54" t="str">
        <x:f>IF(U54&lt;&gt;"Open",U54,IF(N54&gt;=0.8,"Commit",IF(N54&gt;=0.5,"Best Case","Pipeline")))</x:f>
        <x:v>Won</x:v>
      </x:c>
    </x:row>
    <x:row r="55">
      <x:c r="A55" t="str">
        <x:v>L00054</x:v>
      </x:c>
      <x:c r="B55" s="10" t="n">
        <x:v>46149</x:v>
      </x:c>
      <x:c r="C55" t="str">
        <x:v>Bao Tran</x:v>
      </x:c>
      <x:c r="D55" t="str">
        <x:v>South</x:v>
      </x:c>
      <x:c r="E55" t="str">
        <x:v>linkedin</x:v>
      </x:c>
      <x:c r="F55" t="str">
        <x:v>CRM-PRO</x:v>
      </x:c>
      <x:c r="G55" t="str">
        <x:v>Retail</x:v>
      </x:c>
      <x:c r="H55" t="str">
        <x:v>SMB</x:v>
      </x:c>
      <x:c r="I55" t="str">
        <x:v>Demo / Meeting</x:v>
      </x:c>
      <x:c r="J55" s="10" t="n">
        <x:v>46235</x:v>
      </x:c>
      <x:c r="K55" s="10"/>
      <x:c r="L55" s="22" t="n">
        <x:v>20200</x:v>
      </x:c>
      <x:c r="M55" s="24" t="n">
        <x:v>0</x:v>
      </x:c>
      <x:c r="N55" s="24" t="n">
        <x:v>0.4</x:v>
      </x:c>
      <x:c r="O55" t="str"/>
      <x:c r="P55" t="n">
        <x:v>3</x:v>
      </x:c>
      <x:c r="Q55" t="str">
        <x:f>IFERROR(XLOOKUP(E55,Lookups!$A$5:$A$24,Lookups!$B$5:$B$24),"Other")</x:f>
        <x:v>LinkedIn</x:v>
      </x:c>
      <x:c r="R55" t="str">
        <x:f>IFERROR(XLOOKUP(F55,Lookups!$D$5:$D$10,Lookups!$E$5:$E$10),"Unknown Product")</x:f>
        <x:v>NexaCRM Pro</x:v>
      </x:c>
      <x:c r="S55" t="str">
        <x:f>IFERROR(XLOOKUP(F55,Lookups!$D$5:$D$10,Lookups!$F$5:$F$10),"Unknown")</x:f>
        <x:v>CRM</x:v>
      </x:c>
      <x:c r="T55" t="str">
        <x:f>IF(L55&gt;=50000,"Enterprise",IF(L55&gt;=20000,"Mid-Market","SMB"))</x:f>
        <x:v>Mid-Market</x:v>
      </x:c>
      <x:c r="U55" t="str">
        <x:f>IF(I55="Closed Won","Won",IF(I55="Closed Lost","Lost","Open"))</x:f>
        <x:v>Open</x:v>
      </x:c>
      <x:c r="V55" s="22" t="n">
        <x:f>IF(U55="Won",L55*(1-M55),0)</x:f>
        <x:v>0</x:v>
      </x:c>
      <x:c r="W55" s="22" t="n">
        <x:f>IF(U55="Open",L55*N55,0)</x:f>
        <x:v>8080</x:v>
      </x:c>
      <x:c r="X55" s="26" t="str">
        <x:f>IF(U55="Open","",IFERROR(K55-B55,""))</x:f>
      </x:c>
      <x:c r="Y55" s="26" t="n">
        <x:f>IF(U55="Open",Lookups!$B$2-B55,X55)</x:f>
        <x:v>117</x:v>
      </x:c>
      <x:c r="Z55" t="str">
        <x:f>IF(AND(U55="Open",Y55&gt;30),"STALE","OK")</x:f>
        <x:v>STALE</x:v>
      </x:c>
      <x:c r="AA55" t="str">
        <x:f>TEXT(B55,"yyyy-mm")</x:f>
        <x:v>2026-05</x:v>
      </x:c>
      <x:c r="AB55" t="str">
        <x:f>IF(K55="","",TEXT(K55,"yyyy-mm"))</x:f>
      </x:c>
      <x:c r="AC55" t="str">
        <x:f>"Q"&amp;ROUNDUP(MONTH(B55)/3,0)&amp;"-"&amp;YEAR(B55)</x:f>
        <x:v>Q2-2026</x:v>
      </x:c>
      <x:c r="AD55" s="26" t="n">
        <x:f>MIN(100,IF(H55="Enterprise",30,IF(H55="Mid-Market",22,14))+IF(T55="Enterprise",25,IF(T55="Mid-Market",18,10))+IF(Q55="Referral",25,IF(Q55="Organic Search",20,IF(Q55="Email",18,14)))+IF(G55="Technology",10,5))</x:f>
        <x:v>51</x:v>
      </x:c>
      <x:c r="AE55" t="str">
        <x:f>IF(U55&lt;&gt;"Open",U55,IF(N55&gt;=0.8,"Commit",IF(N55&gt;=0.5,"Best Case","Pipeline")))</x:f>
        <x:v>Pipeline</x:v>
      </x:c>
    </x:row>
    <x:row r="56">
      <x:c r="A56" t="str">
        <x:v>L00055</x:v>
      </x:c>
      <x:c r="B56" s="10" t="n">
        <x:v>45899</x:v>
      </x:c>
      <x:c r="C56" t="str">
        <x:v>Duy Pham</x:v>
      </x:c>
      <x:c r="D56" t="str">
        <x:v>South</x:v>
      </x:c>
      <x:c r="E56" t="str">
        <x:v>SEO</x:v>
      </x:c>
      <x:c r="F56" t="str">
        <x:v>CS-CLOUD</x:v>
      </x:c>
      <x:c r="G56" t="str">
        <x:v>Technology</x:v>
      </x:c>
      <x:c r="H56" t="str">
        <x:v>Enterprise</x:v>
      </x:c>
      <x:c r="I56" t="str">
        <x:v>Negotiation</x:v>
      </x:c>
      <x:c r="J56" s="10" t="n">
        <x:v>46162</x:v>
      </x:c>
      <x:c r="K56" s="10"/>
      <x:c r="L56" s="22" t="n">
        <x:v>65000</x:v>
      </x:c>
      <x:c r="M56" s="24" t="n">
        <x:v>0</x:v>
      </x:c>
      <x:c r="N56" s="24" t="n">
        <x:v>0.85</x:v>
      </x:c>
      <x:c r="O56" t="str"/>
      <x:c r="P56" t="n">
        <x:v>5</x:v>
      </x:c>
      <x:c r="Q56" t="str">
        <x:f>IFERROR(XLOOKUP(E56,Lookups!$A$5:$A$24,Lookups!$B$5:$B$24),"Other")</x:f>
        <x:v>Organic Search</x:v>
      </x:c>
      <x:c r="R56" t="str">
        <x:f>IFERROR(XLOOKUP(F56,Lookups!$D$5:$D$10,Lookups!$E$5:$E$10),"Unknown Product")</x:f>
        <x:v>Service Cloud</x:v>
      </x:c>
      <x:c r="S56" t="str">
        <x:f>IFERROR(XLOOKUP(F56,Lookups!$D$5:$D$10,Lookups!$F$5:$F$10),"Unknown")</x:f>
        <x:v>Customer Service</x:v>
      </x:c>
      <x:c r="T56" t="str">
        <x:f>IF(L56&gt;=50000,"Enterprise",IF(L56&gt;=20000,"Mid-Market","SMB"))</x:f>
        <x:v>Enterprise</x:v>
      </x:c>
      <x:c r="U56" t="str">
        <x:f>IF(I56="Closed Won","Won",IF(I56="Closed Lost","Lost","Open"))</x:f>
        <x:v>Open</x:v>
      </x:c>
      <x:c r="V56" s="22" t="n">
        <x:f>IF(U56="Won",L56*(1-M56),0)</x:f>
        <x:v>0</x:v>
      </x:c>
      <x:c r="W56" s="22" t="n">
        <x:f>IF(U56="Open",L56*N56,0)</x:f>
        <x:v>55250</x:v>
      </x:c>
      <x:c r="X56" s="26" t="str">
        <x:f>IF(U56="Open","",IFERROR(K56-B56,""))</x:f>
      </x:c>
      <x:c r="Y56" s="26" t="n">
        <x:f>IF(U56="Open",Lookups!$B$2-B56,X56)</x:f>
        <x:v>367</x:v>
      </x:c>
      <x:c r="Z56" t="str">
        <x:f>IF(AND(U56="Open",Y56&gt;30),"STALE","OK")</x:f>
        <x:v>STALE</x:v>
      </x:c>
      <x:c r="AA56" t="str">
        <x:f>TEXT(B56,"yyyy-mm")</x:f>
        <x:v>2025-08</x:v>
      </x:c>
      <x:c r="AB56" t="str">
        <x:f>IF(K56="","",TEXT(K56,"yyyy-mm"))</x:f>
      </x:c>
      <x:c r="AC56" t="str">
        <x:f>"Q"&amp;ROUNDUP(MONTH(B56)/3,0)&amp;"-"&amp;YEAR(B56)</x:f>
        <x:v>Q3-2025</x:v>
      </x:c>
      <x:c r="AD56" s="26" t="n">
        <x:f>MIN(100,IF(H56="Enterprise",30,IF(H56="Mid-Market",22,14))+IF(T56="Enterprise",25,IF(T56="Mid-Market",18,10))+IF(Q56="Referral",25,IF(Q56="Organic Search",20,IF(Q56="Email",18,14)))+IF(G56="Technology",10,5))</x:f>
        <x:v>85</x:v>
      </x:c>
      <x:c r="AE56" t="str">
        <x:f>IF(U56&lt;&gt;"Open",U56,IF(N56&gt;=0.8,"Commit",IF(N56&gt;=0.5,"Best Case","Pipeline")))</x:f>
        <x:v>Commit</x:v>
      </x:c>
    </x:row>
    <x:row r="57">
      <x:c r="A57" t="str">
        <x:v>L00056</x:v>
      </x:c>
      <x:c r="B57" s="10" t="n">
        <x:v>46077</x:v>
      </x:c>
      <x:c r="C57" t="str">
        <x:v>Ha Vo</x:v>
      </x:c>
      <x:c r="D57" t="str">
        <x:v>North</x:v>
      </x:c>
      <x:c r="E57" t="str">
        <x:v>linkedin</x:v>
      </x:c>
      <x:c r="F57" t="str">
        <x:v>REV-OPS</x:v>
      </x:c>
      <x:c r="G57" t="str">
        <x:v>Manufacturing</x:v>
      </x:c>
      <x:c r="H57" t="str">
        <x:v>Enterprise</x:v>
      </x:c>
      <x:c r="I57" t="str">
        <x:v>Closed Lost</x:v>
      </x:c>
      <x:c r="J57" s="10" t="n">
        <x:v>46138</x:v>
      </x:c>
      <x:c r="K57" s="10" t="n">
        <x:v>46138</x:v>
      </x:c>
      <x:c r="L57" s="22" t="n">
        <x:v>119000</x:v>
      </x:c>
      <x:c r="M57" s="24" t="n">
        <x:v>0</x:v>
      </x:c>
      <x:c r="N57" s="24" t="n">
        <x:v>0</x:v>
      </x:c>
      <x:c r="O57" t="str">
        <x:v>Feature Gap</x:v>
      </x:c>
      <x:c r="P57" t="n">
        <x:v>4</x:v>
      </x:c>
      <x:c r="Q57" t="str">
        <x:f>IFERROR(XLOOKUP(E57,Lookups!$A$5:$A$24,Lookups!$B$5:$B$24),"Other")</x:f>
        <x:v>LinkedIn</x:v>
      </x:c>
      <x:c r="R57" t="str">
        <x:f>IFERROR(XLOOKUP(F57,Lookups!$D$5:$D$10,Lookups!$E$5:$E$10),"Unknown Product")</x:f>
        <x:v>Revenue Operations Suite</x:v>
      </x:c>
      <x:c r="S57" t="str">
        <x:f>IFERROR(XLOOKUP(F57,Lookups!$D$5:$D$10,Lookups!$F$5:$F$10),"Unknown")</x:f>
        <x:v>Revenue Ops</x:v>
      </x:c>
      <x:c r="T57" t="str">
        <x:f>IF(L57&gt;=50000,"Enterprise",IF(L57&gt;=20000,"Mid-Market","SMB"))</x:f>
        <x:v>Enterprise</x:v>
      </x:c>
      <x:c r="U57" t="str">
        <x:f>IF(I57="Closed Won","Won",IF(I57="Closed Lost","Lost","Open"))</x:f>
        <x:v>Lost</x:v>
      </x:c>
      <x:c r="V57" s="22" t="n">
        <x:f>IF(U57="Won",L57*(1-M57),0)</x:f>
        <x:v>0</x:v>
      </x:c>
      <x:c r="W57" s="22" t="n">
        <x:f>IF(U57="Open",L57*N57,0)</x:f>
        <x:v>0</x:v>
      </x:c>
      <x:c r="X57" s="26" t="n">
        <x:f>IF(U57="Open","",IFERROR(K57-B57,""))</x:f>
        <x:v>61</x:v>
      </x:c>
      <x:c r="Y57" s="26" t="n">
        <x:f>IF(U57="Open",Lookups!$B$2-B57,X57)</x:f>
        <x:v>61</x:v>
      </x:c>
      <x:c r="Z57" t="str">
        <x:f>IF(AND(U57="Open",Y57&gt;30),"STALE","OK")</x:f>
        <x:v>OK</x:v>
      </x:c>
      <x:c r="AA57" t="str">
        <x:f>TEXT(B57,"yyyy-mm")</x:f>
        <x:v>2026-02</x:v>
      </x:c>
      <x:c r="AB57" t="str">
        <x:f>IF(K57="","",TEXT(K57,"yyyy-mm"))</x:f>
        <x:v>2026-04</x:v>
      </x:c>
      <x:c r="AC57" t="str">
        <x:f>"Q"&amp;ROUNDUP(MONTH(B57)/3,0)&amp;"-"&amp;YEAR(B57)</x:f>
        <x:v>Q1-2026</x:v>
      </x:c>
      <x:c r="AD57" s="26" t="n">
        <x:f>MIN(100,IF(H57="Enterprise",30,IF(H57="Mid-Market",22,14))+IF(T57="Enterprise",25,IF(T57="Mid-Market",18,10))+IF(Q57="Referral",25,IF(Q57="Organic Search",20,IF(Q57="Email",18,14)))+IF(G57="Technology",10,5))</x:f>
        <x:v>74</x:v>
      </x:c>
      <x:c r="AE57" t="str">
        <x:f>IF(U57&lt;&gt;"Open",U57,IF(N57&gt;=0.8,"Commit",IF(N57&gt;=0.5,"Best Case","Pipeline")))</x:f>
        <x:v>Lost</x:v>
      </x:c>
    </x:row>
    <x:row r="58">
      <x:c r="A58" t="str">
        <x:v>L00057</x:v>
      </x:c>
      <x:c r="B58" s="10" t="n">
        <x:v>45711</x:v>
      </x:c>
      <x:c r="C58" t="str">
        <x:v>Bao Tran</x:v>
      </x:c>
      <x:c r="D58" t="str">
        <x:v>South</x:v>
      </x:c>
      <x:c r="E58" t="str">
        <x:v>SEO</x:v>
      </x:c>
      <x:c r="F58" t="str">
        <x:v>CRM-CORE</x:v>
      </x:c>
      <x:c r="G58" t="str">
        <x:v>Retail</x:v>
      </x:c>
      <x:c r="H58" t="str">
        <x:v>Mid-Market</x:v>
      </x:c>
      <x:c r="I58" t="str">
        <x:v>Closed Lost</x:v>
      </x:c>
      <x:c r="J58" s="10" t="n">
        <x:v>45743</x:v>
      </x:c>
      <x:c r="K58" s="10" t="n">
        <x:v>45743</x:v>
      </x:c>
      <x:c r="L58" s="22" t="n">
        <x:v>14300</x:v>
      </x:c>
      <x:c r="M58" s="24" t="n">
        <x:v>0</x:v>
      </x:c>
      <x:c r="N58" s="24" t="n">
        <x:v>0</x:v>
      </x:c>
      <x:c r="O58" t="str">
        <x:v>Timing</x:v>
      </x:c>
      <x:c r="P58" t="n">
        <x:v>3</x:v>
      </x:c>
      <x:c r="Q58" t="str">
        <x:f>IFERROR(XLOOKUP(E58,Lookups!$A$5:$A$24,Lookups!$B$5:$B$24),"Other")</x:f>
        <x:v>Organic Search</x:v>
      </x:c>
      <x:c r="R58" t="str">
        <x:f>IFERROR(XLOOKUP(F58,Lookups!$D$5:$D$10,Lookups!$E$5:$E$10),"Unknown Product")</x:f>
        <x:v>NexaCRM Core</x:v>
      </x:c>
      <x:c r="S58" t="str">
        <x:f>IFERROR(XLOOKUP(F58,Lookups!$D$5:$D$10,Lookups!$F$5:$F$10),"Unknown")</x:f>
        <x:v>CRM</x:v>
      </x:c>
      <x:c r="T58" t="str">
        <x:f>IF(L58&gt;=50000,"Enterprise",IF(L58&gt;=20000,"Mid-Market","SMB"))</x:f>
        <x:v>SMB</x:v>
      </x:c>
      <x:c r="U58" t="str">
        <x:f>IF(I58="Closed Won","Won",IF(I58="Closed Lost","Lost","Open"))</x:f>
        <x:v>Lost</x:v>
      </x:c>
      <x:c r="V58" s="22" t="n">
        <x:f>IF(U58="Won",L58*(1-M58),0)</x:f>
        <x:v>0</x:v>
      </x:c>
      <x:c r="W58" s="22" t="n">
        <x:f>IF(U58="Open",L58*N58,0)</x:f>
        <x:v>0</x:v>
      </x:c>
      <x:c r="X58" s="26" t="n">
        <x:f>IF(U58="Open","",IFERROR(K58-B58,""))</x:f>
        <x:v>32</x:v>
      </x:c>
      <x:c r="Y58" s="26" t="n">
        <x:f>IF(U58="Open",Lookups!$B$2-B58,X58)</x:f>
        <x:v>32</x:v>
      </x:c>
      <x:c r="Z58" t="str">
        <x:f>IF(AND(U58="Open",Y58&gt;30),"STALE","OK")</x:f>
        <x:v>OK</x:v>
      </x:c>
      <x:c r="AA58" t="str">
        <x:f>TEXT(B58,"yyyy-mm")</x:f>
        <x:v>2025-02</x:v>
      </x:c>
      <x:c r="AB58" t="str">
        <x:f>IF(K58="","",TEXT(K58,"yyyy-mm"))</x:f>
        <x:v>2025-03</x:v>
      </x:c>
      <x:c r="AC58" t="str">
        <x:f>"Q"&amp;ROUNDUP(MONTH(B58)/3,0)&amp;"-"&amp;YEAR(B58)</x:f>
        <x:v>Q1-2025</x:v>
      </x:c>
      <x:c r="AD58" s="26" t="n">
        <x:f>MIN(100,IF(H58="Enterprise",30,IF(H58="Mid-Market",22,14))+IF(T58="Enterprise",25,IF(T58="Mid-Market",18,10))+IF(Q58="Referral",25,IF(Q58="Organic Search",20,IF(Q58="Email",18,14)))+IF(G58="Technology",10,5))</x:f>
        <x:v>57</x:v>
      </x:c>
      <x:c r="AE58" t="str">
        <x:f>IF(U58&lt;&gt;"Open",U58,IF(N58&gt;=0.8,"Commit",IF(N58&gt;=0.5,"Best Case","Pipeline")))</x:f>
        <x:v>Lost</x:v>
      </x:c>
    </x:row>
    <x:row r="59">
      <x:c r="A59" t="str">
        <x:v>L00058</x:v>
      </x:c>
      <x:c r="B59" s="10" t="n">
        <x:v>46226</x:v>
      </x:c>
      <x:c r="C59" t="str">
        <x:v>Tuan Bui</x:v>
      </x:c>
      <x:c r="D59" t="str">
        <x:v>Central</x:v>
      </x:c>
      <x:c r="E59" t="str">
        <x:v>linkedin</x:v>
      </x:c>
      <x:c r="F59" t="str">
        <x:v>MKT-AUTO</x:v>
      </x:c>
      <x:c r="G59" t="str">
        <x:v>Healthcare</x:v>
      </x:c>
      <x:c r="H59" t="str">
        <x:v>SMB</x:v>
      </x:c>
      <x:c r="I59" t="str">
        <x:v>Qualified</x:v>
      </x:c>
      <x:c r="J59" s="10" t="n">
        <x:v>46251</x:v>
      </x:c>
      <x:c r="K59" s="10"/>
      <x:c r="L59" s="22" t="n">
        <x:v>13800</x:v>
      </x:c>
      <x:c r="M59" s="24" t="n">
        <x:v>0.03</x:v>
      </x:c>
      <x:c r="N59" s="24" t="n">
        <x:v>0.2</x:v>
      </x:c>
      <x:c r="O59" t="str"/>
      <x:c r="P59" t="n">
        <x:v>2</x:v>
      </x:c>
      <x:c r="Q59" t="str">
        <x:f>IFERROR(XLOOKUP(E59,Lookups!$A$5:$A$24,Lookups!$B$5:$B$24),"Other")</x:f>
        <x:v>LinkedIn</x:v>
      </x:c>
      <x:c r="R59" t="str">
        <x:f>IFERROR(XLOOKUP(F59,Lookups!$D$5:$D$10,Lookups!$E$5:$E$10),"Unknown Product")</x:f>
        <x:v>Marketing Automation</x:v>
      </x:c>
      <x:c r="S59" t="str">
        <x:f>IFERROR(XLOOKUP(F59,Lookups!$D$5:$D$10,Lookups!$F$5:$F$10),"Unknown")</x:f>
        <x:v>Marketing</x:v>
      </x:c>
      <x:c r="T59" t="str">
        <x:f>IF(L59&gt;=50000,"Enterprise",IF(L59&gt;=20000,"Mid-Market","SMB"))</x:f>
        <x:v>SMB</x:v>
      </x:c>
      <x:c r="U59" t="str">
        <x:f>IF(I59="Closed Won","Won",IF(I59="Closed Lost","Lost","Open"))</x:f>
        <x:v>Open</x:v>
      </x:c>
      <x:c r="V59" s="22" t="n">
        <x:f>IF(U59="Won",L59*(1-M59),0)</x:f>
        <x:v>0</x:v>
      </x:c>
      <x:c r="W59" s="22" t="n">
        <x:f>IF(U59="Open",L59*N59,0)</x:f>
        <x:v>2760</x:v>
      </x:c>
      <x:c r="X59" s="26" t="str">
        <x:f>IF(U59="Open","",IFERROR(K59-B59,""))</x:f>
      </x:c>
      <x:c r="Y59" s="26" t="n">
        <x:f>IF(U59="Open",Lookups!$B$2-B59,X59)</x:f>
        <x:v>40</x:v>
      </x:c>
      <x:c r="Z59" t="str">
        <x:f>IF(AND(U59="Open",Y59&gt;30),"STALE","OK")</x:f>
        <x:v>STALE</x:v>
      </x:c>
      <x:c r="AA59" t="str">
        <x:f>TEXT(B59,"yyyy-mm")</x:f>
        <x:v>2026-07</x:v>
      </x:c>
      <x:c r="AB59" t="str">
        <x:f>IF(K59="","",TEXT(K59,"yyyy-mm"))</x:f>
      </x:c>
      <x:c r="AC59" t="str">
        <x:f>"Q"&amp;ROUNDUP(MONTH(B59)/3,0)&amp;"-"&amp;YEAR(B59)</x:f>
        <x:v>Q3-2026</x:v>
      </x:c>
      <x:c r="AD59" s="26" t="n">
        <x:f>MIN(100,IF(H59="Enterprise",30,IF(H59="Mid-Market",22,14))+IF(T59="Enterprise",25,IF(T59="Mid-Market",18,10))+IF(Q59="Referral",25,IF(Q59="Organic Search",20,IF(Q59="Email",18,14)))+IF(G59="Technology",10,5))</x:f>
        <x:v>43</x:v>
      </x:c>
      <x:c r="AE59" t="str">
        <x:f>IF(U59&lt;&gt;"Open",U59,IF(N59&gt;=0.8,"Commit",IF(N59&gt;=0.5,"Best Case","Pipeline")))</x:f>
        <x:v>Pipeline</x:v>
      </x:c>
    </x:row>
    <x:row r="60">
      <x:c r="A60" t="str">
        <x:v>L00059</x:v>
      </x:c>
      <x:c r="B60" s="10" t="n">
        <x:v>45721</x:v>
      </x:c>
      <x:c r="C60" t="str">
        <x:v>Tuan Bui</x:v>
      </x:c>
      <x:c r="D60" t="str">
        <x:v>Central</x:v>
      </x:c>
      <x:c r="E60" t="str">
        <x:v>Email Campaign</x:v>
      </x:c>
      <x:c r="F60" t="str">
        <x:v>BI-PLUS</x:v>
      </x:c>
      <x:c r="G60" t="str">
        <x:v>Technology</x:v>
      </x:c>
      <x:c r="H60" t="str">
        <x:v>Mid-Market</x:v>
      </x:c>
      <x:c r="I60" t="str">
        <x:v>Closed Won</x:v>
      </x:c>
      <x:c r="J60" s="10" t="n">
        <x:v>45756</x:v>
      </x:c>
      <x:c r="K60" s="10" t="n">
        <x:v>45756</x:v>
      </x:c>
      <x:c r="L60" s="22" t="n">
        <x:v>44300</x:v>
      </x:c>
      <x:c r="M60" s="24" t="n">
        <x:v>0.12</x:v>
      </x:c>
      <x:c r="N60" s="24" t="n">
        <x:v>1</x:v>
      </x:c>
      <x:c r="O60" t="str"/>
      <x:c r="P60" t="n">
        <x:v>6</x:v>
      </x:c>
      <x:c r="Q60" t="str">
        <x:f>IFERROR(XLOOKUP(E60,Lookups!$A$5:$A$24,Lookups!$B$5:$B$24),"Other")</x:f>
        <x:v>Email</x:v>
      </x:c>
      <x:c r="R60" t="str">
        <x:f>IFERROR(XLOOKUP(F60,Lookups!$D$5:$D$10,Lookups!$E$5:$E$10),"Unknown Product")</x:f>
        <x:v>Analytics Plus</x:v>
      </x:c>
      <x:c r="S60" t="str">
        <x:f>IFERROR(XLOOKUP(F60,Lookups!$D$5:$D$10,Lookups!$F$5:$F$10),"Unknown")</x:f>
        <x:v>Analytics</x:v>
      </x:c>
      <x:c r="T60" t="str">
        <x:f>IF(L60&gt;=50000,"Enterprise",IF(L60&gt;=20000,"Mid-Market","SMB"))</x:f>
        <x:v>Mid-Market</x:v>
      </x:c>
      <x:c r="U60" t="str">
        <x:f>IF(I60="Closed Won","Won",IF(I60="Closed Lost","Lost","Open"))</x:f>
        <x:v>Won</x:v>
      </x:c>
      <x:c r="V60" s="22" t="n">
        <x:f>IF(U60="Won",L60*(1-M60),0)</x:f>
        <x:v>38984</x:v>
      </x:c>
      <x:c r="W60" s="22" t="n">
        <x:f>IF(U60="Open",L60*N60,0)</x:f>
        <x:v>0</x:v>
      </x:c>
      <x:c r="X60" s="26" t="n">
        <x:f>IF(U60="Open","",IFERROR(K60-B60,""))</x:f>
        <x:v>35</x:v>
      </x:c>
      <x:c r="Y60" s="26" t="n">
        <x:f>IF(U60="Open",Lookups!$B$2-B60,X60)</x:f>
        <x:v>35</x:v>
      </x:c>
      <x:c r="Z60" t="str">
        <x:f>IF(AND(U60="Open",Y60&gt;30),"STALE","OK")</x:f>
        <x:v>OK</x:v>
      </x:c>
      <x:c r="AA60" t="str">
        <x:f>TEXT(B60,"yyyy-mm")</x:f>
        <x:v>2025-03</x:v>
      </x:c>
      <x:c r="AB60" t="str">
        <x:f>IF(K60="","",TEXT(K60,"yyyy-mm"))</x:f>
        <x:v>2025-04</x:v>
      </x:c>
      <x:c r="AC60" t="str">
        <x:f>"Q"&amp;ROUNDUP(MONTH(B60)/3,0)&amp;"-"&amp;YEAR(B60)</x:f>
        <x:v>Q1-2025</x:v>
      </x:c>
      <x:c r="AD60" s="26" t="n">
        <x:f>MIN(100,IF(H60="Enterprise",30,IF(H60="Mid-Market",22,14))+IF(T60="Enterprise",25,IF(T60="Mid-Market",18,10))+IF(Q60="Referral",25,IF(Q60="Organic Search",20,IF(Q60="Email",18,14)))+IF(G60="Technology",10,5))</x:f>
        <x:v>68</x:v>
      </x:c>
      <x:c r="AE60" t="str">
        <x:f>IF(U60&lt;&gt;"Open",U60,IF(N60&gt;=0.8,"Commit",IF(N60&gt;=0.5,"Best Case","Pipeline")))</x:f>
        <x:v>Won</x:v>
      </x:c>
    </x:row>
    <x:row r="61">
      <x:c r="A61" t="str">
        <x:v>L00060</x:v>
      </x:c>
      <x:c r="B61" s="10" t="n">
        <x:v>46130</x:v>
      </x:c>
      <x:c r="C61" t="str">
        <x:v>Duy Pham</x:v>
      </x:c>
      <x:c r="D61" t="str">
        <x:v>South</x:v>
      </x:c>
      <x:c r="E61" t="str">
        <x:v>virtual event</x:v>
      </x:c>
      <x:c r="F61" t="str">
        <x:v>CRM-PRO</x:v>
      </x:c>
      <x:c r="G61" t="str">
        <x:v>Education</x:v>
      </x:c>
      <x:c r="H61" t="str">
        <x:v>SMB</x:v>
      </x:c>
      <x:c r="I61" t="str">
        <x:v>Closed Lost</x:v>
      </x:c>
      <x:c r="J61" s="10" t="n">
        <x:v>46182</x:v>
      </x:c>
      <x:c r="K61" s="10" t="n">
        <x:v>46182</x:v>
      </x:c>
      <x:c r="L61" s="22" t="n">
        <x:v>14100</x:v>
      </x:c>
      <x:c r="M61" s="24" t="n">
        <x:v>0</x:v>
      </x:c>
      <x:c r="N61" s="24" t="n">
        <x:v>0</x:v>
      </x:c>
      <x:c r="O61" t="str">
        <x:v>No Decision</x:v>
      </x:c>
      <x:c r="P61" t="n">
        <x:v>5</x:v>
      </x:c>
      <x:c r="Q61" t="str">
        <x:f>IFERROR(XLOOKUP(E61,Lookups!$A$5:$A$24,Lookups!$B$5:$B$24),"Other")</x:f>
        <x:v>Webinar</x:v>
      </x:c>
      <x:c r="R61" t="str">
        <x:f>IFERROR(XLOOKUP(F61,Lookups!$D$5:$D$10,Lookups!$E$5:$E$10),"Unknown Product")</x:f>
        <x:v>NexaCRM Pro</x:v>
      </x:c>
      <x:c r="S61" t="str">
        <x:f>IFERROR(XLOOKUP(F61,Lookups!$D$5:$D$10,Lookups!$F$5:$F$10),"Unknown")</x:f>
        <x:v>CRM</x:v>
      </x:c>
      <x:c r="T61" t="str">
        <x:f>IF(L61&gt;=50000,"Enterprise",IF(L61&gt;=20000,"Mid-Market","SMB"))</x:f>
        <x:v>SMB</x:v>
      </x:c>
      <x:c r="U61" t="str">
        <x:f>IF(I61="Closed Won","Won",IF(I61="Closed Lost","Lost","Open"))</x:f>
        <x:v>Lost</x:v>
      </x:c>
      <x:c r="V61" s="22" t="n">
        <x:f>IF(U61="Won",L61*(1-M61),0)</x:f>
        <x:v>0</x:v>
      </x:c>
      <x:c r="W61" s="22" t="n">
        <x:f>IF(U61="Open",L61*N61,0)</x:f>
        <x:v>0</x:v>
      </x:c>
      <x:c r="X61" s="26" t="n">
        <x:f>IF(U61="Open","",IFERROR(K61-B61,""))</x:f>
        <x:v>52</x:v>
      </x:c>
      <x:c r="Y61" s="26" t="n">
        <x:f>IF(U61="Open",Lookups!$B$2-B61,X61)</x:f>
        <x:v>52</x:v>
      </x:c>
      <x:c r="Z61" t="str">
        <x:f>IF(AND(U61="Open",Y61&gt;30),"STALE","OK")</x:f>
        <x:v>OK</x:v>
      </x:c>
      <x:c r="AA61" t="str">
        <x:f>TEXT(B61,"yyyy-mm")</x:f>
        <x:v>2026-04</x:v>
      </x:c>
      <x:c r="AB61" t="str">
        <x:f>IF(K61="","",TEXT(K61,"yyyy-mm"))</x:f>
        <x:v>2026-06</x:v>
      </x:c>
      <x:c r="AC61" t="str">
        <x:f>"Q"&amp;ROUNDUP(MONTH(B61)/3,0)&amp;"-"&amp;YEAR(B61)</x:f>
        <x:v>Q2-2026</x:v>
      </x:c>
      <x:c r="AD61" s="26" t="n">
        <x:f>MIN(100,IF(H61="Enterprise",30,IF(H61="Mid-Market",22,14))+IF(T61="Enterprise",25,IF(T61="Mid-Market",18,10))+IF(Q61="Referral",25,IF(Q61="Organic Search",20,IF(Q61="Email",18,14)))+IF(G61="Technology",10,5))</x:f>
        <x:v>43</x:v>
      </x:c>
      <x:c r="AE61" t="str">
        <x:f>IF(U61&lt;&gt;"Open",U61,IF(N61&gt;=0.8,"Commit",IF(N61&gt;=0.5,"Best Case","Pipeline")))</x:f>
        <x:v>Lost</x:v>
      </x:c>
    </x:row>
    <x:row r="62">
      <x:c r="A62" t="str">
        <x:v>L00061</x:v>
      </x:c>
      <x:c r="B62" s="10" t="n">
        <x:v>45919</x:v>
      </x:c>
      <x:c r="C62" t="str">
        <x:v>Bao Tran</x:v>
      </x:c>
      <x:c r="D62" t="str">
        <x:v>South</x:v>
      </x:c>
      <x:c r="E62" t="str">
        <x:v>Referral</x:v>
      </x:c>
      <x:c r="F62" t="str">
        <x:v>CRM-CORE</x:v>
      </x:c>
      <x:c r="G62" t="str">
        <x:v>Financial Services</x:v>
      </x:c>
      <x:c r="H62" t="str">
        <x:v>SMB</x:v>
      </x:c>
      <x:c r="I62" t="str">
        <x:v>Closed Lost</x:v>
      </x:c>
      <x:c r="J62" s="10" t="n">
        <x:v>45978</x:v>
      </x:c>
      <x:c r="K62" s="10" t="n">
        <x:v>45978</x:v>
      </x:c>
      <x:c r="L62" s="22" t="n">
        <x:v>9300</x:v>
      </x:c>
      <x:c r="M62" s="24" t="n">
        <x:v>0</x:v>
      </x:c>
      <x:c r="N62" s="24" t="n">
        <x:v>0</x:v>
      </x:c>
      <x:c r="O62" t="str">
        <x:v>Timing</x:v>
      </x:c>
      <x:c r="P62" t="n">
        <x:v>4</x:v>
      </x:c>
      <x:c r="Q62" t="str">
        <x:f>IFERROR(XLOOKUP(E62,Lookups!$A$5:$A$24,Lookups!$B$5:$B$24),"Other")</x:f>
        <x:v>Referral</x:v>
      </x:c>
      <x:c r="R62" t="str">
        <x:f>IFERROR(XLOOKUP(F62,Lookups!$D$5:$D$10,Lookups!$E$5:$E$10),"Unknown Product")</x:f>
        <x:v>NexaCRM Core</x:v>
      </x:c>
      <x:c r="S62" t="str">
        <x:f>IFERROR(XLOOKUP(F62,Lookups!$D$5:$D$10,Lookups!$F$5:$F$10),"Unknown")</x:f>
        <x:v>CRM</x:v>
      </x:c>
      <x:c r="T62" t="str">
        <x:f>IF(L62&gt;=50000,"Enterprise",IF(L62&gt;=20000,"Mid-Market","SMB"))</x:f>
        <x:v>SMB</x:v>
      </x:c>
      <x:c r="U62" t="str">
        <x:f>IF(I62="Closed Won","Won",IF(I62="Closed Lost","Lost","Open"))</x:f>
        <x:v>Lost</x:v>
      </x:c>
      <x:c r="V62" s="22" t="n">
        <x:f>IF(U62="Won",L62*(1-M62),0)</x:f>
        <x:v>0</x:v>
      </x:c>
      <x:c r="W62" s="22" t="n">
        <x:f>IF(U62="Open",L62*N62,0)</x:f>
        <x:v>0</x:v>
      </x:c>
      <x:c r="X62" s="26" t="n">
        <x:f>IF(U62="Open","",IFERROR(K62-B62,""))</x:f>
        <x:v>59</x:v>
      </x:c>
      <x:c r="Y62" s="26" t="n">
        <x:f>IF(U62="Open",Lookups!$B$2-B62,X62)</x:f>
        <x:v>59</x:v>
      </x:c>
      <x:c r="Z62" t="str">
        <x:f>IF(AND(U62="Open",Y62&gt;30),"STALE","OK")</x:f>
        <x:v>OK</x:v>
      </x:c>
      <x:c r="AA62" t="str">
        <x:f>TEXT(B62,"yyyy-mm")</x:f>
        <x:v>2025-09</x:v>
      </x:c>
      <x:c r="AB62" t="str">
        <x:f>IF(K62="","",TEXT(K62,"yyyy-mm"))</x:f>
        <x:v>2025-11</x:v>
      </x:c>
      <x:c r="AC62" t="str">
        <x:f>"Q"&amp;ROUNDUP(MONTH(B62)/3,0)&amp;"-"&amp;YEAR(B62)</x:f>
        <x:v>Q3-2025</x:v>
      </x:c>
      <x:c r="AD62" s="26" t="n">
        <x:f>MIN(100,IF(H62="Enterprise",30,IF(H62="Mid-Market",22,14))+IF(T62="Enterprise",25,IF(T62="Mid-Market",18,10))+IF(Q62="Referral",25,IF(Q62="Organic Search",20,IF(Q62="Email",18,14)))+IF(G62="Technology",10,5))</x:f>
        <x:v>54</x:v>
      </x:c>
      <x:c r="AE62" t="str">
        <x:f>IF(U62&lt;&gt;"Open",U62,IF(N62&gt;=0.8,"Commit",IF(N62&gt;=0.5,"Best Case","Pipeline")))</x:f>
        <x:v>Lost</x:v>
      </x:c>
    </x:row>
    <x:row r="63">
      <x:c r="A63" t="str">
        <x:v>L00062</x:v>
      </x:c>
      <x:c r="B63" s="10" t="n">
        <x:v>45912</x:v>
      </x:c>
      <x:c r="C63" t="str">
        <x:v>Ha Vo</x:v>
      </x:c>
      <x:c r="D63" t="str">
        <x:v>North</x:v>
      </x:c>
      <x:c r="E63" t="str">
        <x:v>Google Ads</x:v>
      </x:c>
      <x:c r="F63" t="str">
        <x:v>REV-OPS</x:v>
      </x:c>
      <x:c r="G63" t="str">
        <x:v>Professional Services</x:v>
      </x:c>
      <x:c r="H63" t="str">
        <x:v>SMB</x:v>
      </x:c>
      <x:c r="I63" t="str">
        <x:v>Closed Lost</x:v>
      </x:c>
      <x:c r="J63" s="10" t="n">
        <x:v>45933</x:v>
      </x:c>
      <x:c r="K63" s="10" t="n">
        <x:v>45933</x:v>
      </x:c>
      <x:c r="L63" s="22" t="n">
        <x:v>41400</x:v>
      </x:c>
      <x:c r="M63" s="24" t="n">
        <x:v>0</x:v>
      </x:c>
      <x:c r="N63" s="24" t="n">
        <x:v>0</x:v>
      </x:c>
      <x:c r="O63" t="str">
        <x:v>Price</x:v>
      </x:c>
      <x:c r="P63" t="n">
        <x:v>5</x:v>
      </x:c>
      <x:c r="Q63" t="str">
        <x:f>IFERROR(XLOOKUP(E63,Lookups!$A$5:$A$24,Lookups!$B$5:$B$24),"Other")</x:f>
        <x:v>Paid Search</x:v>
      </x:c>
      <x:c r="R63" t="str">
        <x:f>IFERROR(XLOOKUP(F63,Lookups!$D$5:$D$10,Lookups!$E$5:$E$10),"Unknown Product")</x:f>
        <x:v>Revenue Operations Suite</x:v>
      </x:c>
      <x:c r="S63" t="str">
        <x:f>IFERROR(XLOOKUP(F63,Lookups!$D$5:$D$10,Lookups!$F$5:$F$10),"Unknown")</x:f>
        <x:v>Revenue Ops</x:v>
      </x:c>
      <x:c r="T63" t="str">
        <x:f>IF(L63&gt;=50000,"Enterprise",IF(L63&gt;=20000,"Mid-Market","SMB"))</x:f>
        <x:v>Mid-Market</x:v>
      </x:c>
      <x:c r="U63" t="str">
        <x:f>IF(I63="Closed Won","Won",IF(I63="Closed Lost","Lost","Open"))</x:f>
        <x:v>Lost</x:v>
      </x:c>
      <x:c r="V63" s="22" t="n">
        <x:f>IF(U63="Won",L63*(1-M63),0)</x:f>
        <x:v>0</x:v>
      </x:c>
      <x:c r="W63" s="22" t="n">
        <x:f>IF(U63="Open",L63*N63,0)</x:f>
        <x:v>0</x:v>
      </x:c>
      <x:c r="X63" s="26" t="n">
        <x:f>IF(U63="Open","",IFERROR(K63-B63,""))</x:f>
        <x:v>21</x:v>
      </x:c>
      <x:c r="Y63" s="26" t="n">
        <x:f>IF(U63="Open",Lookups!$B$2-B63,X63)</x:f>
        <x:v>21</x:v>
      </x:c>
      <x:c r="Z63" t="str">
        <x:f>IF(AND(U63="Open",Y63&gt;30),"STALE","OK")</x:f>
        <x:v>OK</x:v>
      </x:c>
      <x:c r="AA63" t="str">
        <x:f>TEXT(B63,"yyyy-mm")</x:f>
        <x:v>2025-09</x:v>
      </x:c>
      <x:c r="AB63" t="str">
        <x:f>IF(K63="","",TEXT(K63,"yyyy-mm"))</x:f>
        <x:v>2025-10</x:v>
      </x:c>
      <x:c r="AC63" t="str">
        <x:f>"Q"&amp;ROUNDUP(MONTH(B63)/3,0)&amp;"-"&amp;YEAR(B63)</x:f>
        <x:v>Q3-2025</x:v>
      </x:c>
      <x:c r="AD63" s="26" t="n">
        <x:f>MIN(100,IF(H63="Enterprise",30,IF(H63="Mid-Market",22,14))+IF(T63="Enterprise",25,IF(T63="Mid-Market",18,10))+IF(Q63="Referral",25,IF(Q63="Organic Search",20,IF(Q63="Email",18,14)))+IF(G63="Technology",10,5))</x:f>
        <x:v>51</x:v>
      </x:c>
      <x:c r="AE63" t="str">
        <x:f>IF(U63&lt;&gt;"Open",U63,IF(N63&gt;=0.8,"Commit",IF(N63&gt;=0.5,"Best Case","Pipeline")))</x:f>
        <x:v>Lost</x:v>
      </x:c>
    </x:row>
    <x:row r="64">
      <x:c r="A64" t="str">
        <x:v>L00063</x:v>
      </x:c>
      <x:c r="B64" s="10" t="n">
        <x:v>46055</x:v>
      </x:c>
      <x:c r="C64" t="str">
        <x:v>Quynh Vu</x:v>
      </x:c>
      <x:c r="D64" t="str">
        <x:v>North</x:v>
      </x:c>
      <x:c r="E64" t="str">
        <x:v>organic search</x:v>
      </x:c>
      <x:c r="F64" t="str">
        <x:v>CRM-CORE</x:v>
      </x:c>
      <x:c r="G64" t="str">
        <x:v>Retail</x:v>
      </x:c>
      <x:c r="H64" t="str">
        <x:v>SMB</x:v>
      </x:c>
      <x:c r="I64" t="str">
        <x:v>Closed Lost</x:v>
      </x:c>
      <x:c r="J64" s="10" t="n">
        <x:v>46101</x:v>
      </x:c>
      <x:c r="K64" s="10" t="n">
        <x:v>46101</x:v>
      </x:c>
      <x:c r="L64" s="22" t="n">
        <x:v>5700</x:v>
      </x:c>
      <x:c r="M64" s="24" t="n">
        <x:v>0</x:v>
      </x:c>
      <x:c r="N64" s="24" t="n">
        <x:v>0</x:v>
      </x:c>
      <x:c r="O64" t="str">
        <x:v>No Decision</x:v>
      </x:c>
      <x:c r="P64" t="n">
        <x:v>4</x:v>
      </x:c>
      <x:c r="Q64" t="str">
        <x:f>IFERROR(XLOOKUP(E64,Lookups!$A$5:$A$24,Lookups!$B$5:$B$24),"Other")</x:f>
        <x:v>Organic Search</x:v>
      </x:c>
      <x:c r="R64" t="str">
        <x:f>IFERROR(XLOOKUP(F64,Lookups!$D$5:$D$10,Lookups!$E$5:$E$10),"Unknown Product")</x:f>
        <x:v>NexaCRM Core</x:v>
      </x:c>
      <x:c r="S64" t="str">
        <x:f>IFERROR(XLOOKUP(F64,Lookups!$D$5:$D$10,Lookups!$F$5:$F$10),"Unknown")</x:f>
        <x:v>CRM</x:v>
      </x:c>
      <x:c r="T64" t="str">
        <x:f>IF(L64&gt;=50000,"Enterprise",IF(L64&gt;=20000,"Mid-Market","SMB"))</x:f>
        <x:v>SMB</x:v>
      </x:c>
      <x:c r="U64" t="str">
        <x:f>IF(I64="Closed Won","Won",IF(I64="Closed Lost","Lost","Open"))</x:f>
        <x:v>Lost</x:v>
      </x:c>
      <x:c r="V64" s="22" t="n">
        <x:f>IF(U64="Won",L64*(1-M64),0)</x:f>
        <x:v>0</x:v>
      </x:c>
      <x:c r="W64" s="22" t="n">
        <x:f>IF(U64="Open",L64*N64,0)</x:f>
        <x:v>0</x:v>
      </x:c>
      <x:c r="X64" s="26" t="n">
        <x:f>IF(U64="Open","",IFERROR(K64-B64,""))</x:f>
        <x:v>46</x:v>
      </x:c>
      <x:c r="Y64" s="26" t="n">
        <x:f>IF(U64="Open",Lookups!$B$2-B64,X64)</x:f>
        <x:v>46</x:v>
      </x:c>
      <x:c r="Z64" t="str">
        <x:f>IF(AND(U64="Open",Y64&gt;30),"STALE","OK")</x:f>
        <x:v>OK</x:v>
      </x:c>
      <x:c r="AA64" t="str">
        <x:f>TEXT(B64,"yyyy-mm")</x:f>
        <x:v>2026-02</x:v>
      </x:c>
      <x:c r="AB64" t="str">
        <x:f>IF(K64="","",TEXT(K64,"yyyy-mm"))</x:f>
        <x:v>2026-03</x:v>
      </x:c>
      <x:c r="AC64" t="str">
        <x:f>"Q"&amp;ROUNDUP(MONTH(B64)/3,0)&amp;"-"&amp;YEAR(B64)</x:f>
        <x:v>Q1-2026</x:v>
      </x:c>
      <x:c r="AD64" s="26" t="n">
        <x:f>MIN(100,IF(H64="Enterprise",30,IF(H64="Mid-Market",22,14))+IF(T64="Enterprise",25,IF(T64="Mid-Market",18,10))+IF(Q64="Referral",25,IF(Q64="Organic Search",20,IF(Q64="Email",18,14)))+IF(G64="Technology",10,5))</x:f>
        <x:v>49</x:v>
      </x:c>
      <x:c r="AE64" t="str">
        <x:f>IF(U64&lt;&gt;"Open",U64,IF(N64&gt;=0.8,"Commit",IF(N64&gt;=0.5,"Best Case","Pipeline")))</x:f>
        <x:v>Lost</x:v>
      </x:c>
    </x:row>
    <x:row r="65">
      <x:c r="A65" t="str">
        <x:v>L00064</x:v>
      </x:c>
      <x:c r="B65" s="10" t="n">
        <x:v>46095</x:v>
      </x:c>
      <x:c r="C65" t="str">
        <x:v>Duy Pham</x:v>
      </x:c>
      <x:c r="D65" t="str">
        <x:v>South</x:v>
      </x:c>
      <x:c r="E65" t="str">
        <x:v>Partner Referral</x:v>
      </x:c>
      <x:c r="F65" t="str">
        <x:v>CS-CLOUD</x:v>
      </x:c>
      <x:c r="G65" t="str">
        <x:v>Professional Services</x:v>
      </x:c>
      <x:c r="H65" t="str">
        <x:v>SMB</x:v>
      </x:c>
      <x:c r="I65" t="str">
        <x:v>Closed Won</x:v>
      </x:c>
      <x:c r="J65" s="10" t="n">
        <x:v>46151</x:v>
      </x:c>
      <x:c r="K65" s="10" t="n">
        <x:v>46151</x:v>
      </x:c>
      <x:c r="L65" s="22" t="n">
        <x:v>27700</x:v>
      </x:c>
      <x:c r="M65" s="24" t="n">
        <x:v>0.12</x:v>
      </x:c>
      <x:c r="N65" s="24" t="n">
        <x:v>1</x:v>
      </x:c>
      <x:c r="O65" t="str"/>
      <x:c r="P65" t="n">
        <x:v>6</x:v>
      </x:c>
      <x:c r="Q65" t="str">
        <x:f>IFERROR(XLOOKUP(E65,Lookups!$A$5:$A$24,Lookups!$B$5:$B$24),"Other")</x:f>
        <x:v>Referral</x:v>
      </x:c>
      <x:c r="R65" t="str">
        <x:f>IFERROR(XLOOKUP(F65,Lookups!$D$5:$D$10,Lookups!$E$5:$E$10),"Unknown Product")</x:f>
        <x:v>Service Cloud</x:v>
      </x:c>
      <x:c r="S65" t="str">
        <x:f>IFERROR(XLOOKUP(F65,Lookups!$D$5:$D$10,Lookups!$F$5:$F$10),"Unknown")</x:f>
        <x:v>Customer Service</x:v>
      </x:c>
      <x:c r="T65" t="str">
        <x:f>IF(L65&gt;=50000,"Enterprise",IF(L65&gt;=20000,"Mid-Market","SMB"))</x:f>
        <x:v>Mid-Market</x:v>
      </x:c>
      <x:c r="U65" t="str">
        <x:f>IF(I65="Closed Won","Won",IF(I65="Closed Lost","Lost","Open"))</x:f>
        <x:v>Won</x:v>
      </x:c>
      <x:c r="V65" s="22" t="n">
        <x:f>IF(U65="Won",L65*(1-M65),0)</x:f>
        <x:v>24376</x:v>
      </x:c>
      <x:c r="W65" s="22" t="n">
        <x:f>IF(U65="Open",L65*N65,0)</x:f>
        <x:v>0</x:v>
      </x:c>
      <x:c r="X65" s="26" t="n">
        <x:f>IF(U65="Open","",IFERROR(K65-B65,""))</x:f>
        <x:v>56</x:v>
      </x:c>
      <x:c r="Y65" s="26" t="n">
        <x:f>IF(U65="Open",Lookups!$B$2-B65,X65)</x:f>
        <x:v>56</x:v>
      </x:c>
      <x:c r="Z65" t="str">
        <x:f>IF(AND(U65="Open",Y65&gt;30),"STALE","OK")</x:f>
        <x:v>OK</x:v>
      </x:c>
      <x:c r="AA65" t="str">
        <x:f>TEXT(B65,"yyyy-mm")</x:f>
        <x:v>2026-03</x:v>
      </x:c>
      <x:c r="AB65" t="str">
        <x:f>IF(K65="","",TEXT(K65,"yyyy-mm"))</x:f>
        <x:v>2026-05</x:v>
      </x:c>
      <x:c r="AC65" t="str">
        <x:f>"Q"&amp;ROUNDUP(MONTH(B65)/3,0)&amp;"-"&amp;YEAR(B65)</x:f>
        <x:v>Q1-2026</x:v>
      </x:c>
      <x:c r="AD65" s="26" t="n">
        <x:f>MIN(100,IF(H65="Enterprise",30,IF(H65="Mid-Market",22,14))+IF(T65="Enterprise",25,IF(T65="Mid-Market",18,10))+IF(Q65="Referral",25,IF(Q65="Organic Search",20,IF(Q65="Email",18,14)))+IF(G65="Technology",10,5))</x:f>
        <x:v>62</x:v>
      </x:c>
      <x:c r="AE65" t="str">
        <x:f>IF(U65&lt;&gt;"Open",U65,IF(N65&gt;=0.8,"Commit",IF(N65&gt;=0.5,"Best Case","Pipeline")))</x:f>
        <x:v>Won</x:v>
      </x:c>
    </x:row>
    <x:row r="66">
      <x:c r="A66" t="str">
        <x:v>L00065</x:v>
      </x:c>
      <x:c r="B66" s="10" t="n">
        <x:v>46227</x:v>
      </x:c>
      <x:c r="C66" t="str">
        <x:v>Minh Do</x:v>
      </x:c>
      <x:c r="D66" t="str">
        <x:v>North</x:v>
      </x:c>
      <x:c r="E66" t="str">
        <x:v>organic search</x:v>
      </x:c>
      <x:c r="F66" t="str">
        <x:v>MKT-AUTO</x:v>
      </x:c>
      <x:c r="G66" t="str">
        <x:v>Education</x:v>
      </x:c>
      <x:c r="H66" t="str">
        <x:v>Enterprise</x:v>
      </x:c>
      <x:c r="I66" t="str">
        <x:v>Demo / Meeting</x:v>
      </x:c>
      <x:c r="J66" s="10" t="n">
        <x:v>46251</x:v>
      </x:c>
      <x:c r="K66" s="10"/>
      <x:c r="L66" s="22" t="n">
        <x:v>35700</x:v>
      </x:c>
      <x:c r="M66" s="24" t="n">
        <x:v>0</x:v>
      </x:c>
      <x:c r="N66" s="24" t="n">
        <x:v>0.4</x:v>
      </x:c>
      <x:c r="O66" t="str"/>
      <x:c r="P66" t="n">
        <x:v>3</x:v>
      </x:c>
      <x:c r="Q66" t="str">
        <x:f>IFERROR(XLOOKUP(E66,Lookups!$A$5:$A$24,Lookups!$B$5:$B$24),"Other")</x:f>
        <x:v>Organic Search</x:v>
      </x:c>
      <x:c r="R66" t="str">
        <x:f>IFERROR(XLOOKUP(F66,Lookups!$D$5:$D$10,Lookups!$E$5:$E$10),"Unknown Product")</x:f>
        <x:v>Marketing Automation</x:v>
      </x:c>
      <x:c r="S66" t="str">
        <x:f>IFERROR(XLOOKUP(F66,Lookups!$D$5:$D$10,Lookups!$F$5:$F$10),"Unknown")</x:f>
        <x:v>Marketing</x:v>
      </x:c>
      <x:c r="T66" t="str">
        <x:f>IF(L66&gt;=50000,"Enterprise",IF(L66&gt;=20000,"Mid-Market","SMB"))</x:f>
        <x:v>Mid-Market</x:v>
      </x:c>
      <x:c r="U66" t="str">
        <x:f>IF(I66="Closed Won","Won",IF(I66="Closed Lost","Lost","Open"))</x:f>
        <x:v>Open</x:v>
      </x:c>
      <x:c r="V66" s="22" t="n">
        <x:f>IF(U66="Won",L66*(1-M66),0)</x:f>
        <x:v>0</x:v>
      </x:c>
      <x:c r="W66" s="22" t="n">
        <x:f>IF(U66="Open",L66*N66,0)</x:f>
        <x:v>14280</x:v>
      </x:c>
      <x:c r="X66" s="26" t="str">
        <x:f>IF(U66="Open","",IFERROR(K66-B66,""))</x:f>
      </x:c>
      <x:c r="Y66" s="26" t="n">
        <x:f>IF(U66="Open",Lookups!$B$2-B66,X66)</x:f>
        <x:v>39</x:v>
      </x:c>
      <x:c r="Z66" t="str">
        <x:f>IF(AND(U66="Open",Y66&gt;30),"STALE","OK")</x:f>
        <x:v>STALE</x:v>
      </x:c>
      <x:c r="AA66" t="str">
        <x:f>TEXT(B66,"yyyy-mm")</x:f>
        <x:v>2026-07</x:v>
      </x:c>
      <x:c r="AB66" t="str">
        <x:f>IF(K66="","",TEXT(K66,"yyyy-mm"))</x:f>
      </x:c>
      <x:c r="AC66" t="str">
        <x:f>"Q"&amp;ROUNDUP(MONTH(B66)/3,0)&amp;"-"&amp;YEAR(B66)</x:f>
        <x:v>Q3-2026</x:v>
      </x:c>
      <x:c r="AD66" s="26" t="n">
        <x:f>MIN(100,IF(H66="Enterprise",30,IF(H66="Mid-Market",22,14))+IF(T66="Enterprise",25,IF(T66="Mid-Market",18,10))+IF(Q66="Referral",25,IF(Q66="Organic Search",20,IF(Q66="Email",18,14)))+IF(G66="Technology",10,5))</x:f>
        <x:v>73</x:v>
      </x:c>
      <x:c r="AE66" t="str">
        <x:f>IF(U66&lt;&gt;"Open",U66,IF(N66&gt;=0.8,"Commit",IF(N66&gt;=0.5,"Best Case","Pipeline")))</x:f>
        <x:v>Pipeline</x:v>
      </x:c>
    </x:row>
    <x:row r="67">
      <x:c r="A67" t="str">
        <x:v>L00066</x:v>
      </x:c>
      <x:c r="B67" s="10" t="n">
        <x:v>45987</x:v>
      </x:c>
      <x:c r="C67" t="str">
        <x:v>Quynh Vu</x:v>
      </x:c>
      <x:c r="D67" t="str">
        <x:v>North</x:v>
      </x:c>
      <x:c r="E67" t="str">
        <x:v>google cpc</x:v>
      </x:c>
      <x:c r="F67" t="str">
        <x:v>BI-PLUS</x:v>
      </x:c>
      <x:c r="G67" t="str">
        <x:v>Manufacturing</x:v>
      </x:c>
      <x:c r="H67" t="str">
        <x:v>SMB</x:v>
      </x:c>
      <x:c r="I67" t="str">
        <x:v>Closed Lost</x:v>
      </x:c>
      <x:c r="J67" s="10" t="n">
        <x:v>46027</x:v>
      </x:c>
      <x:c r="K67" s="10" t="n">
        <x:v>46027</x:v>
      </x:c>
      <x:c r="L67" s="22" t="n">
        <x:v>13900</x:v>
      </x:c>
      <x:c r="M67" s="24" t="n">
        <x:v>0</x:v>
      </x:c>
      <x:c r="N67" s="24" t="n">
        <x:v>0</x:v>
      </x:c>
      <x:c r="O67" t="str">
        <x:v>Timing</x:v>
      </x:c>
      <x:c r="P67" t="n">
        <x:v>3</x:v>
      </x:c>
      <x:c r="Q67" t="str">
        <x:f>IFERROR(XLOOKUP(E67,Lookups!$A$5:$A$24,Lookups!$B$5:$B$24),"Other")</x:f>
        <x:v>Paid Search</x:v>
      </x:c>
      <x:c r="R67" t="str">
        <x:f>IFERROR(XLOOKUP(F67,Lookups!$D$5:$D$10,Lookups!$E$5:$E$10),"Unknown Product")</x:f>
        <x:v>Analytics Plus</x:v>
      </x:c>
      <x:c r="S67" t="str">
        <x:f>IFERROR(XLOOKUP(F67,Lookups!$D$5:$D$10,Lookups!$F$5:$F$10),"Unknown")</x:f>
        <x:v>Analytics</x:v>
      </x:c>
      <x:c r="T67" t="str">
        <x:f>IF(L67&gt;=50000,"Enterprise",IF(L67&gt;=20000,"Mid-Market","SMB"))</x:f>
        <x:v>SMB</x:v>
      </x:c>
      <x:c r="U67" t="str">
        <x:f>IF(I67="Closed Won","Won",IF(I67="Closed Lost","Lost","Open"))</x:f>
        <x:v>Lost</x:v>
      </x:c>
      <x:c r="V67" s="22" t="n">
        <x:f>IF(U67="Won",L67*(1-M67),0)</x:f>
        <x:v>0</x:v>
      </x:c>
      <x:c r="W67" s="22" t="n">
        <x:f>IF(U67="Open",L67*N67,0)</x:f>
        <x:v>0</x:v>
      </x:c>
      <x:c r="X67" s="26" t="n">
        <x:f>IF(U67="Open","",IFERROR(K67-B67,""))</x:f>
        <x:v>40</x:v>
      </x:c>
      <x:c r="Y67" s="26" t="n">
        <x:f>IF(U67="Open",Lookups!$B$2-B67,X67)</x:f>
        <x:v>40</x:v>
      </x:c>
      <x:c r="Z67" t="str">
        <x:f>IF(AND(U67="Open",Y67&gt;30),"STALE","OK")</x:f>
        <x:v>OK</x:v>
      </x:c>
      <x:c r="AA67" t="str">
        <x:f>TEXT(B67,"yyyy-mm")</x:f>
        <x:v>2025-11</x:v>
      </x:c>
      <x:c r="AB67" t="str">
        <x:f>IF(K67="","",TEXT(K67,"yyyy-mm"))</x:f>
        <x:v>2026-01</x:v>
      </x:c>
      <x:c r="AC67" t="str">
        <x:f>"Q"&amp;ROUNDUP(MONTH(B67)/3,0)&amp;"-"&amp;YEAR(B67)</x:f>
        <x:v>Q4-2025</x:v>
      </x:c>
      <x:c r="AD67" s="26" t="n">
        <x:f>MIN(100,IF(H67="Enterprise",30,IF(H67="Mid-Market",22,14))+IF(T67="Enterprise",25,IF(T67="Mid-Market",18,10))+IF(Q67="Referral",25,IF(Q67="Organic Search",20,IF(Q67="Email",18,14)))+IF(G67="Technology",10,5))</x:f>
        <x:v>43</x:v>
      </x:c>
      <x:c r="AE67" t="str">
        <x:f>IF(U67&lt;&gt;"Open",U67,IF(N67&gt;=0.8,"Commit",IF(N67&gt;=0.5,"Best Case","Pipeline")))</x:f>
        <x:v>Lost</x:v>
      </x:c>
    </x:row>
    <x:row r="68">
      <x:c r="A68" t="str">
        <x:v>L00067</x:v>
      </x:c>
      <x:c r="B68" s="10" t="n">
        <x:v>45784</x:v>
      </x:c>
      <x:c r="C68" t="str">
        <x:v>An Nguyen</x:v>
      </x:c>
      <x:c r="D68" t="str">
        <x:v>South</x:v>
      </x:c>
      <x:c r="E68" t="str">
        <x:v>customer referral</x:v>
      </x:c>
      <x:c r="F68" t="str">
        <x:v>CRM-PRO</x:v>
      </x:c>
      <x:c r="G68" t="str">
        <x:v>Financial Services</x:v>
      </x:c>
      <x:c r="H68" t="str">
        <x:v>Mid-Market</x:v>
      </x:c>
      <x:c r="I68" t="str">
        <x:v>Closed Won</x:v>
      </x:c>
      <x:c r="J68" s="10" t="n">
        <x:v>45832</x:v>
      </x:c>
      <x:c r="K68" s="10" t="n">
        <x:v>45832</x:v>
      </x:c>
      <x:c r="L68" s="22" t="n">
        <x:v>21400</x:v>
      </x:c>
      <x:c r="M68" s="24" t="n">
        <x:v>0.08</x:v>
      </x:c>
      <x:c r="N68" s="24" t="n">
        <x:v>1</x:v>
      </x:c>
      <x:c r="O68" t="str"/>
      <x:c r="P68" t="n">
        <x:v>6</x:v>
      </x:c>
      <x:c r="Q68" t="str">
        <x:f>IFERROR(XLOOKUP(E68,Lookups!$A$5:$A$24,Lookups!$B$5:$B$24),"Other")</x:f>
        <x:v>Referral</x:v>
      </x:c>
      <x:c r="R68" t="str">
        <x:f>IFERROR(XLOOKUP(F68,Lookups!$D$5:$D$10,Lookups!$E$5:$E$10),"Unknown Product")</x:f>
        <x:v>NexaCRM Pro</x:v>
      </x:c>
      <x:c r="S68" t="str">
        <x:f>IFERROR(XLOOKUP(F68,Lookups!$D$5:$D$10,Lookups!$F$5:$F$10),"Unknown")</x:f>
        <x:v>CRM</x:v>
      </x:c>
      <x:c r="T68" t="str">
        <x:f>IF(L68&gt;=50000,"Enterprise",IF(L68&gt;=20000,"Mid-Market","SMB"))</x:f>
        <x:v>Mid-Market</x:v>
      </x:c>
      <x:c r="U68" t="str">
        <x:f>IF(I68="Closed Won","Won",IF(I68="Closed Lost","Lost","Open"))</x:f>
        <x:v>Won</x:v>
      </x:c>
      <x:c r="V68" s="22" t="n">
        <x:f>IF(U68="Won",L68*(1-M68),0)</x:f>
        <x:v>19688</x:v>
      </x:c>
      <x:c r="W68" s="22" t="n">
        <x:f>IF(U68="Open",L68*N68,0)</x:f>
        <x:v>0</x:v>
      </x:c>
      <x:c r="X68" s="26" t="n">
        <x:f>IF(U68="Open","",IFERROR(K68-B68,""))</x:f>
        <x:v>48</x:v>
      </x:c>
      <x:c r="Y68" s="26" t="n">
        <x:f>IF(U68="Open",Lookups!$B$2-B68,X68)</x:f>
        <x:v>48</x:v>
      </x:c>
      <x:c r="Z68" t="str">
        <x:f>IF(AND(U68="Open",Y68&gt;30),"STALE","OK")</x:f>
        <x:v>OK</x:v>
      </x:c>
      <x:c r="AA68" t="str">
        <x:f>TEXT(B68,"yyyy-mm")</x:f>
        <x:v>2025-05</x:v>
      </x:c>
      <x:c r="AB68" t="str">
        <x:f>IF(K68="","",TEXT(K68,"yyyy-mm"))</x:f>
        <x:v>2025-06</x:v>
      </x:c>
      <x:c r="AC68" t="str">
        <x:f>"Q"&amp;ROUNDUP(MONTH(B68)/3,0)&amp;"-"&amp;YEAR(B68)</x:f>
        <x:v>Q2-2025</x:v>
      </x:c>
      <x:c r="AD68" s="26" t="n">
        <x:f>MIN(100,IF(H68="Enterprise",30,IF(H68="Mid-Market",22,14))+IF(T68="Enterprise",25,IF(T68="Mid-Market",18,10))+IF(Q68="Referral",25,IF(Q68="Organic Search",20,IF(Q68="Email",18,14)))+IF(G68="Technology",10,5))</x:f>
        <x:v>70</x:v>
      </x:c>
      <x:c r="AE68" t="str">
        <x:f>IF(U68&lt;&gt;"Open",U68,IF(N68&gt;=0.8,"Commit",IF(N68&gt;=0.5,"Best Case","Pipeline")))</x:f>
        <x:v>Won</x:v>
      </x:c>
    </x:row>
    <x:row r="69">
      <x:c r="A69" t="str">
        <x:v>L00068</x:v>
      </x:c>
      <x:c r="B69" s="10" t="n">
        <x:v>45935</x:v>
      </x:c>
      <x:c r="C69" t="str">
        <x:v>Minh Do</x:v>
      </x:c>
      <x:c r="D69" t="str">
        <x:v>North</x:v>
      </x:c>
      <x:c r="E69" t="str">
        <x:v>SDR Outreach</x:v>
      </x:c>
      <x:c r="F69" t="str">
        <x:v>BI-PLUS</x:v>
      </x:c>
      <x:c r="G69" t="str">
        <x:v>Healthcare</x:v>
      </x:c>
      <x:c r="H69" t="str">
        <x:v>Mid-Market</x:v>
      </x:c>
      <x:c r="I69" t="str">
        <x:v>Closed Lost</x:v>
      </x:c>
      <x:c r="J69" s="10" t="n">
        <x:v>45961</x:v>
      </x:c>
      <x:c r="K69" s="10" t="n">
        <x:v>45961</x:v>
      </x:c>
      <x:c r="L69" s="22" t="n">
        <x:v>29300</x:v>
      </x:c>
      <x:c r="M69" s="24" t="n">
        <x:v>0</x:v>
      </x:c>
      <x:c r="N69" s="24" t="n">
        <x:v>0</x:v>
      </x:c>
      <x:c r="O69" t="str">
        <x:v>No Decision</x:v>
      </x:c>
      <x:c r="P69" t="n">
        <x:v>2</x:v>
      </x:c>
      <x:c r="Q69" t="str">
        <x:f>IFERROR(XLOOKUP(E69,Lookups!$A$5:$A$24,Lookups!$B$5:$B$24),"Other")</x:f>
        <x:v>Outbound</x:v>
      </x:c>
      <x:c r="R69" t="str">
        <x:f>IFERROR(XLOOKUP(F69,Lookups!$D$5:$D$10,Lookups!$E$5:$E$10),"Unknown Product")</x:f>
        <x:v>Analytics Plus</x:v>
      </x:c>
      <x:c r="S69" t="str">
        <x:f>IFERROR(XLOOKUP(F69,Lookups!$D$5:$D$10,Lookups!$F$5:$F$10),"Unknown")</x:f>
        <x:v>Analytics</x:v>
      </x:c>
      <x:c r="T69" t="str">
        <x:f>IF(L69&gt;=50000,"Enterprise",IF(L69&gt;=20000,"Mid-Market","SMB"))</x:f>
        <x:v>Mid-Market</x:v>
      </x:c>
      <x:c r="U69" t="str">
        <x:f>IF(I69="Closed Won","Won",IF(I69="Closed Lost","Lost","Open"))</x:f>
        <x:v>Lost</x:v>
      </x:c>
      <x:c r="V69" s="22" t="n">
        <x:f>IF(U69="Won",L69*(1-M69),0)</x:f>
        <x:v>0</x:v>
      </x:c>
      <x:c r="W69" s="22" t="n">
        <x:f>IF(U69="Open",L69*N69,0)</x:f>
        <x:v>0</x:v>
      </x:c>
      <x:c r="X69" s="26" t="n">
        <x:f>IF(U69="Open","",IFERROR(K69-B69,""))</x:f>
        <x:v>26</x:v>
      </x:c>
      <x:c r="Y69" s="26" t="n">
        <x:f>IF(U69="Open",Lookups!$B$2-B69,X69)</x:f>
        <x:v>26</x:v>
      </x:c>
      <x:c r="Z69" t="str">
        <x:f>IF(AND(U69="Open",Y69&gt;30),"STALE","OK")</x:f>
        <x:v>OK</x:v>
      </x:c>
      <x:c r="AA69" t="str">
        <x:f>TEXT(B69,"yyyy-mm")</x:f>
        <x:v>2025-10</x:v>
      </x:c>
      <x:c r="AB69" t="str">
        <x:f>IF(K69="","",TEXT(K69,"yyyy-mm"))</x:f>
        <x:v>2025-10</x:v>
      </x:c>
      <x:c r="AC69" t="str">
        <x:f>"Q"&amp;ROUNDUP(MONTH(B69)/3,0)&amp;"-"&amp;YEAR(B69)</x:f>
        <x:v>Q4-2025</x:v>
      </x:c>
      <x:c r="AD69" s="26" t="n">
        <x:f>MIN(100,IF(H69="Enterprise",30,IF(H69="Mid-Market",22,14))+IF(T69="Enterprise",25,IF(T69="Mid-Market",18,10))+IF(Q69="Referral",25,IF(Q69="Organic Search",20,IF(Q69="Email",18,14)))+IF(G69="Technology",10,5))</x:f>
        <x:v>59</x:v>
      </x:c>
      <x:c r="AE69" t="str">
        <x:f>IF(U69&lt;&gt;"Open",U69,IF(N69&gt;=0.8,"Commit",IF(N69&gt;=0.5,"Best Case","Pipeline")))</x:f>
        <x:v>Lost</x:v>
      </x:c>
    </x:row>
    <x:row r="70">
      <x:c r="A70" t="str">
        <x:v>L00069</x:v>
      </x:c>
      <x:c r="B70" s="10" t="n">
        <x:v>46134</x:v>
      </x:c>
      <x:c r="C70" t="str">
        <x:v>Ha Vo</x:v>
      </x:c>
      <x:c r="D70" t="str">
        <x:v>North</x:v>
      </x:c>
      <x:c r="E70" t="str">
        <x:v>Outbound</x:v>
      </x:c>
      <x:c r="F70" t="str">
        <x:v>CRM-CORE</x:v>
      </x:c>
      <x:c r="G70" t="str">
        <x:v>Technology</x:v>
      </x:c>
      <x:c r="H70" t="str">
        <x:v>SMB</x:v>
      </x:c>
      <x:c r="I70" t="str">
        <x:v>Closed Lost</x:v>
      </x:c>
      <x:c r="J70" s="10" t="n">
        <x:v>46206</x:v>
      </x:c>
      <x:c r="K70" s="10" t="n">
        <x:v>46206</x:v>
      </x:c>
      <x:c r="L70" s="22" t="n">
        <x:v>9100</x:v>
      </x:c>
      <x:c r="M70" s="24" t="n">
        <x:v>0</x:v>
      </x:c>
      <x:c r="N70" s="24" t="n">
        <x:v>0</x:v>
      </x:c>
      <x:c r="O70" t="str">
        <x:v>Budget</x:v>
      </x:c>
      <x:c r="P70" t="n">
        <x:v>5</x:v>
      </x:c>
      <x:c r="Q70" t="str">
        <x:f>IFERROR(XLOOKUP(E70,Lookups!$A$5:$A$24,Lookups!$B$5:$B$24),"Other")</x:f>
        <x:v>Outbound</x:v>
      </x:c>
      <x:c r="R70" t="str">
        <x:f>IFERROR(XLOOKUP(F70,Lookups!$D$5:$D$10,Lookups!$E$5:$E$10),"Unknown Product")</x:f>
        <x:v>NexaCRM Core</x:v>
      </x:c>
      <x:c r="S70" t="str">
        <x:f>IFERROR(XLOOKUP(F70,Lookups!$D$5:$D$10,Lookups!$F$5:$F$10),"Unknown")</x:f>
        <x:v>CRM</x:v>
      </x:c>
      <x:c r="T70" t="str">
        <x:f>IF(L70&gt;=50000,"Enterprise",IF(L70&gt;=20000,"Mid-Market","SMB"))</x:f>
        <x:v>SMB</x:v>
      </x:c>
      <x:c r="U70" t="str">
        <x:f>IF(I70="Closed Won","Won",IF(I70="Closed Lost","Lost","Open"))</x:f>
        <x:v>Lost</x:v>
      </x:c>
      <x:c r="V70" s="22" t="n">
        <x:f>IF(U70="Won",L70*(1-M70),0)</x:f>
        <x:v>0</x:v>
      </x:c>
      <x:c r="W70" s="22" t="n">
        <x:f>IF(U70="Open",L70*N70,0)</x:f>
        <x:v>0</x:v>
      </x:c>
      <x:c r="X70" s="26" t="n">
        <x:f>IF(U70="Open","",IFERROR(K70-B70,""))</x:f>
        <x:v>72</x:v>
      </x:c>
      <x:c r="Y70" s="26" t="n">
        <x:f>IF(U70="Open",Lookups!$B$2-B70,X70)</x:f>
        <x:v>72</x:v>
      </x:c>
      <x:c r="Z70" t="str">
        <x:f>IF(AND(U70="Open",Y70&gt;30),"STALE","OK")</x:f>
        <x:v>OK</x:v>
      </x:c>
      <x:c r="AA70" t="str">
        <x:f>TEXT(B70,"yyyy-mm")</x:f>
        <x:v>2026-04</x:v>
      </x:c>
      <x:c r="AB70" t="str">
        <x:f>IF(K70="","",TEXT(K70,"yyyy-mm"))</x:f>
        <x:v>2026-07</x:v>
      </x:c>
      <x:c r="AC70" t="str">
        <x:f>"Q"&amp;ROUNDUP(MONTH(B70)/3,0)&amp;"-"&amp;YEAR(B70)</x:f>
        <x:v>Q2-2026</x:v>
      </x:c>
      <x:c r="AD70" s="26" t="n">
        <x:f>MIN(100,IF(H70="Enterprise",30,IF(H70="Mid-Market",22,14))+IF(T70="Enterprise",25,IF(T70="Mid-Market",18,10))+IF(Q70="Referral",25,IF(Q70="Organic Search",20,IF(Q70="Email",18,14)))+IF(G70="Technology",10,5))</x:f>
        <x:v>48</x:v>
      </x:c>
      <x:c r="AE70" t="str">
        <x:f>IF(U70&lt;&gt;"Open",U70,IF(N70&gt;=0.8,"Commit",IF(N70&gt;=0.5,"Best Case","Pipeline")))</x:f>
        <x:v>Lost</x:v>
      </x:c>
    </x:row>
    <x:row r="71">
      <x:c r="A71" t="str">
        <x:v>L00070</x:v>
      </x:c>
      <x:c r="B71" s="10" t="n">
        <x:v>46070</x:v>
      </x:c>
      <x:c r="C71" t="str">
        <x:v>Minh Do</x:v>
      </x:c>
      <x:c r="D71" t="str">
        <x:v>North</x:v>
      </x:c>
      <x:c r="E71" t="str">
        <x:v>organic search</x:v>
      </x:c>
      <x:c r="F71" t="str">
        <x:v>CS-CLOUD</x:v>
      </x:c>
      <x:c r="G71" t="str">
        <x:v>Professional Services</x:v>
      </x:c>
      <x:c r="H71" t="str">
        <x:v>SMB</x:v>
      </x:c>
      <x:c r="I71" t="str">
        <x:v>Closed Lost</x:v>
      </x:c>
      <x:c r="J71" s="10" t="n">
        <x:v>46138</x:v>
      </x:c>
      <x:c r="K71" s="10" t="n">
        <x:v>46138</x:v>
      </x:c>
      <x:c r="L71" s="22" t="n">
        <x:v>26300</x:v>
      </x:c>
      <x:c r="M71" s="24" t="n">
        <x:v>0</x:v>
      </x:c>
      <x:c r="N71" s="24" t="n">
        <x:v>0</x:v>
      </x:c>
      <x:c r="O71" t="str">
        <x:v>Price</x:v>
      </x:c>
      <x:c r="P71" t="n">
        <x:v>4</x:v>
      </x:c>
      <x:c r="Q71" t="str">
        <x:f>IFERROR(XLOOKUP(E71,Lookups!$A$5:$A$24,Lookups!$B$5:$B$24),"Other")</x:f>
        <x:v>Organic Search</x:v>
      </x:c>
      <x:c r="R71" t="str">
        <x:f>IFERROR(XLOOKUP(F71,Lookups!$D$5:$D$10,Lookups!$E$5:$E$10),"Unknown Product")</x:f>
        <x:v>Service Cloud</x:v>
      </x:c>
      <x:c r="S71" t="str">
        <x:f>IFERROR(XLOOKUP(F71,Lookups!$D$5:$D$10,Lookups!$F$5:$F$10),"Unknown")</x:f>
        <x:v>Customer Service</x:v>
      </x:c>
      <x:c r="T71" t="str">
        <x:f>IF(L71&gt;=50000,"Enterprise",IF(L71&gt;=20000,"Mid-Market","SMB"))</x:f>
        <x:v>Mid-Market</x:v>
      </x:c>
      <x:c r="U71" t="str">
        <x:f>IF(I71="Closed Won","Won",IF(I71="Closed Lost","Lost","Open"))</x:f>
        <x:v>Lost</x:v>
      </x:c>
      <x:c r="V71" s="22" t="n">
        <x:f>IF(U71="Won",L71*(1-M71),0)</x:f>
        <x:v>0</x:v>
      </x:c>
      <x:c r="W71" s="22" t="n">
        <x:f>IF(U71="Open",L71*N71,0)</x:f>
        <x:v>0</x:v>
      </x:c>
      <x:c r="X71" s="26" t="n">
        <x:f>IF(U71="Open","",IFERROR(K71-B71,""))</x:f>
        <x:v>68</x:v>
      </x:c>
      <x:c r="Y71" s="26" t="n">
        <x:f>IF(U71="Open",Lookups!$B$2-B71,X71)</x:f>
        <x:v>68</x:v>
      </x:c>
      <x:c r="Z71" t="str">
        <x:f>IF(AND(U71="Open",Y71&gt;30),"STALE","OK")</x:f>
        <x:v>OK</x:v>
      </x:c>
      <x:c r="AA71" t="str">
        <x:f>TEXT(B71,"yyyy-mm")</x:f>
        <x:v>2026-02</x:v>
      </x:c>
      <x:c r="AB71" t="str">
        <x:f>IF(K71="","",TEXT(K71,"yyyy-mm"))</x:f>
        <x:v>2026-04</x:v>
      </x:c>
      <x:c r="AC71" t="str">
        <x:f>"Q"&amp;ROUNDUP(MONTH(B71)/3,0)&amp;"-"&amp;YEAR(B71)</x:f>
        <x:v>Q1-2026</x:v>
      </x:c>
      <x:c r="AD71" s="26" t="n">
        <x:f>MIN(100,IF(H71="Enterprise",30,IF(H71="Mid-Market",22,14))+IF(T71="Enterprise",25,IF(T71="Mid-Market",18,10))+IF(Q71="Referral",25,IF(Q71="Organic Search",20,IF(Q71="Email",18,14)))+IF(G71="Technology",10,5))</x:f>
        <x:v>57</x:v>
      </x:c>
      <x:c r="AE71" t="str">
        <x:f>IF(U71&lt;&gt;"Open",U71,IF(N71&gt;=0.8,"Commit",IF(N71&gt;=0.5,"Best Case","Pipeline")))</x:f>
        <x:v>Lost</x:v>
      </x:c>
    </x:row>
    <x:row r="72">
      <x:c r="A72" t="str">
        <x:v>L00071</x:v>
      </x:c>
      <x:c r="B72" s="10" t="n">
        <x:v>45723</x:v>
      </x:c>
      <x:c r="C72" t="str">
        <x:v>An Nguyen</x:v>
      </x:c>
      <x:c r="D72" t="str">
        <x:v>South</x:v>
      </x:c>
      <x:c r="E72" t="str">
        <x:v>SEO</x:v>
      </x:c>
      <x:c r="F72" t="str">
        <x:v>CRM-CORE</x:v>
      </x:c>
      <x:c r="G72" t="str">
        <x:v>Manufacturing</x:v>
      </x:c>
      <x:c r="H72" t="str">
        <x:v>SMB</x:v>
      </x:c>
      <x:c r="I72" t="str">
        <x:v>Closed Won</x:v>
      </x:c>
      <x:c r="J72" s="10" t="n">
        <x:v>45798</x:v>
      </x:c>
      <x:c r="K72" s="10" t="n">
        <x:v>45798</x:v>
      </x:c>
      <x:c r="L72" s="22" t="n">
        <x:v>6500</x:v>
      </x:c>
      <x:c r="M72" s="24" t="n">
        <x:v>0</x:v>
      </x:c>
      <x:c r="N72" s="24" t="n">
        <x:v>1</x:v>
      </x:c>
      <x:c r="O72" t="str"/>
      <x:c r="P72" t="n">
        <x:v>6</x:v>
      </x:c>
      <x:c r="Q72" t="str">
        <x:f>IFERROR(XLOOKUP(E72,Lookups!$A$5:$A$24,Lookups!$B$5:$B$24),"Other")</x:f>
        <x:v>Organic Search</x:v>
      </x:c>
      <x:c r="R72" t="str">
        <x:f>IFERROR(XLOOKUP(F72,Lookups!$D$5:$D$10,Lookups!$E$5:$E$10),"Unknown Product")</x:f>
        <x:v>NexaCRM Core</x:v>
      </x:c>
      <x:c r="S72" t="str">
        <x:f>IFERROR(XLOOKUP(F72,Lookups!$D$5:$D$10,Lookups!$F$5:$F$10),"Unknown")</x:f>
        <x:v>CRM</x:v>
      </x:c>
      <x:c r="T72" t="str">
        <x:f>IF(L72&gt;=50000,"Enterprise",IF(L72&gt;=20000,"Mid-Market","SMB"))</x:f>
        <x:v>SMB</x:v>
      </x:c>
      <x:c r="U72" t="str">
        <x:f>IF(I72="Closed Won","Won",IF(I72="Closed Lost","Lost","Open"))</x:f>
        <x:v>Won</x:v>
      </x:c>
      <x:c r="V72" s="22" t="n">
        <x:f>IF(U72="Won",L72*(1-M72),0)</x:f>
        <x:v>6500</x:v>
      </x:c>
      <x:c r="W72" s="22" t="n">
        <x:f>IF(U72="Open",L72*N72,0)</x:f>
        <x:v>0</x:v>
      </x:c>
      <x:c r="X72" s="26" t="n">
        <x:f>IF(U72="Open","",IFERROR(K72-B72,""))</x:f>
        <x:v>75</x:v>
      </x:c>
      <x:c r="Y72" s="26" t="n">
        <x:f>IF(U72="Open",Lookups!$B$2-B72,X72)</x:f>
        <x:v>75</x:v>
      </x:c>
      <x:c r="Z72" t="str">
        <x:f>IF(AND(U72="Open",Y72&gt;30),"STALE","OK")</x:f>
        <x:v>OK</x:v>
      </x:c>
      <x:c r="AA72" t="str">
        <x:f>TEXT(B72,"yyyy-mm")</x:f>
        <x:v>2025-03</x:v>
      </x:c>
      <x:c r="AB72" t="str">
        <x:f>IF(K72="","",TEXT(K72,"yyyy-mm"))</x:f>
        <x:v>2025-05</x:v>
      </x:c>
      <x:c r="AC72" t="str">
        <x:f>"Q"&amp;ROUNDUP(MONTH(B72)/3,0)&amp;"-"&amp;YEAR(B72)</x:f>
        <x:v>Q1-2025</x:v>
      </x:c>
      <x:c r="AD72" s="26" t="n">
        <x:f>MIN(100,IF(H72="Enterprise",30,IF(H72="Mid-Market",22,14))+IF(T72="Enterprise",25,IF(T72="Mid-Market",18,10))+IF(Q72="Referral",25,IF(Q72="Organic Search",20,IF(Q72="Email",18,14)))+IF(G72="Technology",10,5))</x:f>
        <x:v>49</x:v>
      </x:c>
      <x:c r="AE72" t="str">
        <x:f>IF(U72&lt;&gt;"Open",U72,IF(N72&gt;=0.8,"Commit",IF(N72&gt;=0.5,"Best Case","Pipeline")))</x:f>
        <x:v>Won</x:v>
      </x:c>
    </x:row>
    <x:row r="73">
      <x:c r="A73" t="str">
        <x:v>L00072</x:v>
      </x:c>
      <x:c r="B73" s="10" t="n">
        <x:v>46184</x:v>
      </x:c>
      <x:c r="C73" t="str">
        <x:v>Chi Le</x:v>
      </x:c>
      <x:c r="D73" t="str">
        <x:v>South</x:v>
      </x:c>
      <x:c r="E73" t="str">
        <x:v>SEM - Google</x:v>
      </x:c>
      <x:c r="F73" t="str">
        <x:v>CS-CLOUD</x:v>
      </x:c>
      <x:c r="G73" t="str">
        <x:v>Retail</x:v>
      </x:c>
      <x:c r="H73" t="str">
        <x:v>SMB</x:v>
      </x:c>
      <x:c r="I73" t="str">
        <x:v>Demo / Meeting</x:v>
      </x:c>
      <x:c r="J73" s="10" t="n">
        <x:v>46218</x:v>
      </x:c>
      <x:c r="K73" s="10"/>
      <x:c r="L73" s="22" t="n">
        <x:v>22300</x:v>
      </x:c>
      <x:c r="M73" s="24" t="n">
        <x:v>0</x:v>
      </x:c>
      <x:c r="N73" s="24" t="n">
        <x:v>0.4</x:v>
      </x:c>
      <x:c r="O73" t="str"/>
      <x:c r="P73" t="n">
        <x:v>3</x:v>
      </x:c>
      <x:c r="Q73" t="str">
        <x:f>IFERROR(XLOOKUP(E73,Lookups!$A$5:$A$24,Lookups!$B$5:$B$24),"Other")</x:f>
        <x:v>Paid Search</x:v>
      </x:c>
      <x:c r="R73" t="str">
        <x:f>IFERROR(XLOOKUP(F73,Lookups!$D$5:$D$10,Lookups!$E$5:$E$10),"Unknown Product")</x:f>
        <x:v>Service Cloud</x:v>
      </x:c>
      <x:c r="S73" t="str">
        <x:f>IFERROR(XLOOKUP(F73,Lookups!$D$5:$D$10,Lookups!$F$5:$F$10),"Unknown")</x:f>
        <x:v>Customer Service</x:v>
      </x:c>
      <x:c r="T73" t="str">
        <x:f>IF(L73&gt;=50000,"Enterprise",IF(L73&gt;=20000,"Mid-Market","SMB"))</x:f>
        <x:v>Mid-Market</x:v>
      </x:c>
      <x:c r="U73" t="str">
        <x:f>IF(I73="Closed Won","Won",IF(I73="Closed Lost","Lost","Open"))</x:f>
        <x:v>Open</x:v>
      </x:c>
      <x:c r="V73" s="22" t="n">
        <x:f>IF(U73="Won",L73*(1-M73),0)</x:f>
        <x:v>0</x:v>
      </x:c>
      <x:c r="W73" s="22" t="n">
        <x:f>IF(U73="Open",L73*N73,0)</x:f>
        <x:v>8920</x:v>
      </x:c>
      <x:c r="X73" s="26" t="str">
        <x:f>IF(U73="Open","",IFERROR(K73-B73,""))</x:f>
      </x:c>
      <x:c r="Y73" s="26" t="n">
        <x:f>IF(U73="Open",Lookups!$B$2-B73,X73)</x:f>
        <x:v>82</x:v>
      </x:c>
      <x:c r="Z73" t="str">
        <x:f>IF(AND(U73="Open",Y73&gt;30),"STALE","OK")</x:f>
        <x:v>STALE</x:v>
      </x:c>
      <x:c r="AA73" t="str">
        <x:f>TEXT(B73,"yyyy-mm")</x:f>
        <x:v>2026-06</x:v>
      </x:c>
      <x:c r="AB73" t="str">
        <x:f>IF(K73="","",TEXT(K73,"yyyy-mm"))</x:f>
      </x:c>
      <x:c r="AC73" t="str">
        <x:f>"Q"&amp;ROUNDUP(MONTH(B73)/3,0)&amp;"-"&amp;YEAR(B73)</x:f>
        <x:v>Q2-2026</x:v>
      </x:c>
      <x:c r="AD73" s="26" t="n">
        <x:f>MIN(100,IF(H73="Enterprise",30,IF(H73="Mid-Market",22,14))+IF(T73="Enterprise",25,IF(T73="Mid-Market",18,10))+IF(Q73="Referral",25,IF(Q73="Organic Search",20,IF(Q73="Email",18,14)))+IF(G73="Technology",10,5))</x:f>
        <x:v>51</x:v>
      </x:c>
      <x:c r="AE73" t="str">
        <x:f>IF(U73&lt;&gt;"Open",U73,IF(N73&gt;=0.8,"Commit",IF(N73&gt;=0.5,"Best Case","Pipeline")))</x:f>
        <x:v>Pipeline</x:v>
      </x:c>
    </x:row>
    <x:row r="74">
      <x:c r="A74" t="str">
        <x:v>L00073</x:v>
      </x:c>
      <x:c r="B74" s="10" t="n">
        <x:v>45744</x:v>
      </x:c>
      <x:c r="C74" t="str">
        <x:v>Chi Le</x:v>
      </x:c>
      <x:c r="D74" t="str">
        <x:v>South</x:v>
      </x:c>
      <x:c r="E74" t="str">
        <x:v>google cpc</x:v>
      </x:c>
      <x:c r="F74" t="str">
        <x:v>MKT-AUTO</x:v>
      </x:c>
      <x:c r="G74" t="str">
        <x:v>Professional Services</x:v>
      </x:c>
      <x:c r="H74" t="str">
        <x:v>SMB</x:v>
      </x:c>
      <x:c r="I74" t="str">
        <x:v>Closed Lost</x:v>
      </x:c>
      <x:c r="J74" s="10" t="n">
        <x:v>45795</x:v>
      </x:c>
      <x:c r="K74" s="10" t="n">
        <x:v>45795</x:v>
      </x:c>
      <x:c r="L74" s="22" t="n">
        <x:v>18000</x:v>
      </x:c>
      <x:c r="M74" s="24" t="n">
        <x:v>0</x:v>
      </x:c>
      <x:c r="N74" s="24" t="n">
        <x:v>0</x:v>
      </x:c>
      <x:c r="O74" t="str">
        <x:v>Price</x:v>
      </x:c>
      <x:c r="P74" t="n">
        <x:v>5</x:v>
      </x:c>
      <x:c r="Q74" t="str">
        <x:f>IFERROR(XLOOKUP(E74,Lookups!$A$5:$A$24,Lookups!$B$5:$B$24),"Other")</x:f>
        <x:v>Paid Search</x:v>
      </x:c>
      <x:c r="R74" t="str">
        <x:f>IFERROR(XLOOKUP(F74,Lookups!$D$5:$D$10,Lookups!$E$5:$E$10),"Unknown Product")</x:f>
        <x:v>Marketing Automation</x:v>
      </x:c>
      <x:c r="S74" t="str">
        <x:f>IFERROR(XLOOKUP(F74,Lookups!$D$5:$D$10,Lookups!$F$5:$F$10),"Unknown")</x:f>
        <x:v>Marketing</x:v>
      </x:c>
      <x:c r="T74" t="str">
        <x:f>IF(L74&gt;=50000,"Enterprise",IF(L74&gt;=20000,"Mid-Market","SMB"))</x:f>
        <x:v>SMB</x:v>
      </x:c>
      <x:c r="U74" t="str">
        <x:f>IF(I74="Closed Won","Won",IF(I74="Closed Lost","Lost","Open"))</x:f>
        <x:v>Lost</x:v>
      </x:c>
      <x:c r="V74" s="22" t="n">
        <x:f>IF(U74="Won",L74*(1-M74),0)</x:f>
        <x:v>0</x:v>
      </x:c>
      <x:c r="W74" s="22" t="n">
        <x:f>IF(U74="Open",L74*N74,0)</x:f>
        <x:v>0</x:v>
      </x:c>
      <x:c r="X74" s="26" t="n">
        <x:f>IF(U74="Open","",IFERROR(K74-B74,""))</x:f>
        <x:v>51</x:v>
      </x:c>
      <x:c r="Y74" s="26" t="n">
        <x:f>IF(U74="Open",Lookups!$B$2-B74,X74)</x:f>
        <x:v>51</x:v>
      </x:c>
      <x:c r="Z74" t="str">
        <x:f>IF(AND(U74="Open",Y74&gt;30),"STALE","OK")</x:f>
        <x:v>OK</x:v>
      </x:c>
      <x:c r="AA74" t="str">
        <x:f>TEXT(B74,"yyyy-mm")</x:f>
        <x:v>2025-03</x:v>
      </x:c>
      <x:c r="AB74" t="str">
        <x:f>IF(K74="","",TEXT(K74,"yyyy-mm"))</x:f>
        <x:v>2025-05</x:v>
      </x:c>
      <x:c r="AC74" t="str">
        <x:f>"Q"&amp;ROUNDUP(MONTH(B74)/3,0)&amp;"-"&amp;YEAR(B74)</x:f>
        <x:v>Q1-2025</x:v>
      </x:c>
      <x:c r="AD74" s="26" t="n">
        <x:f>MIN(100,IF(H74="Enterprise",30,IF(H74="Mid-Market",22,14))+IF(T74="Enterprise",25,IF(T74="Mid-Market",18,10))+IF(Q74="Referral",25,IF(Q74="Organic Search",20,IF(Q74="Email",18,14)))+IF(G74="Technology",10,5))</x:f>
        <x:v>43</x:v>
      </x:c>
      <x:c r="AE74" t="str">
        <x:f>IF(U74&lt;&gt;"Open",U74,IF(N74&gt;=0.8,"Commit",IF(N74&gt;=0.5,"Best Case","Pipeline")))</x:f>
        <x:v>Lost</x:v>
      </x:c>
    </x:row>
    <x:row r="75">
      <x:c r="A75" t="str">
        <x:v>L00074</x:v>
      </x:c>
      <x:c r="B75" s="10" t="n">
        <x:v>45695</x:v>
      </x:c>
      <x:c r="C75" t="str">
        <x:v>Ha Vo</x:v>
      </x:c>
      <x:c r="D75" t="str">
        <x:v>North</x:v>
      </x:c>
      <x:c r="E75" t="str">
        <x:v>SDR Outreach</x:v>
      </x:c>
      <x:c r="F75" t="str">
        <x:v>CRM-PRO</x:v>
      </x:c>
      <x:c r="G75" t="str">
        <x:v>Professional Services</x:v>
      </x:c>
      <x:c r="H75" t="str">
        <x:v>SMB</x:v>
      </x:c>
      <x:c r="I75" t="str">
        <x:v>Negotiation</x:v>
      </x:c>
      <x:c r="J75" s="10" t="n">
        <x:v>45926</x:v>
      </x:c>
      <x:c r="K75" s="10"/>
      <x:c r="L75" s="22" t="n">
        <x:v>14700</x:v>
      </x:c>
      <x:c r="M75" s="24" t="n">
        <x:v>0.03</x:v>
      </x:c>
      <x:c r="N75" s="24" t="n">
        <x:v>0.85</x:v>
      </x:c>
      <x:c r="O75" t="str"/>
      <x:c r="P75" t="n">
        <x:v>5</x:v>
      </x:c>
      <x:c r="Q75" t="str">
        <x:f>IFERROR(XLOOKUP(E75,Lookups!$A$5:$A$24,Lookups!$B$5:$B$24),"Other")</x:f>
        <x:v>Outbound</x:v>
      </x:c>
      <x:c r="R75" t="str">
        <x:f>IFERROR(XLOOKUP(F75,Lookups!$D$5:$D$10,Lookups!$E$5:$E$10),"Unknown Product")</x:f>
        <x:v>NexaCRM Pro</x:v>
      </x:c>
      <x:c r="S75" t="str">
        <x:f>IFERROR(XLOOKUP(F75,Lookups!$D$5:$D$10,Lookups!$F$5:$F$10),"Unknown")</x:f>
        <x:v>CRM</x:v>
      </x:c>
      <x:c r="T75" t="str">
        <x:f>IF(L75&gt;=50000,"Enterprise",IF(L75&gt;=20000,"Mid-Market","SMB"))</x:f>
        <x:v>SMB</x:v>
      </x:c>
      <x:c r="U75" t="str">
        <x:f>IF(I75="Closed Won","Won",IF(I75="Closed Lost","Lost","Open"))</x:f>
        <x:v>Open</x:v>
      </x:c>
      <x:c r="V75" s="22" t="n">
        <x:f>IF(U75="Won",L75*(1-M75),0)</x:f>
        <x:v>0</x:v>
      </x:c>
      <x:c r="W75" s="22" t="n">
        <x:f>IF(U75="Open",L75*N75,0)</x:f>
        <x:v>12495</x:v>
      </x:c>
      <x:c r="X75" s="26" t="str">
        <x:f>IF(U75="Open","",IFERROR(K75-B75,""))</x:f>
      </x:c>
      <x:c r="Y75" s="26" t="n">
        <x:f>IF(U75="Open",Lookups!$B$2-B75,X75)</x:f>
        <x:v>571</x:v>
      </x:c>
      <x:c r="Z75" t="str">
        <x:f>IF(AND(U75="Open",Y75&gt;30),"STALE","OK")</x:f>
        <x:v>STALE</x:v>
      </x:c>
      <x:c r="AA75" t="str">
        <x:f>TEXT(B75,"yyyy-mm")</x:f>
        <x:v>2025-02</x:v>
      </x:c>
      <x:c r="AB75" t="str">
        <x:f>IF(K75="","",TEXT(K75,"yyyy-mm"))</x:f>
      </x:c>
      <x:c r="AC75" t="str">
        <x:f>"Q"&amp;ROUNDUP(MONTH(B75)/3,0)&amp;"-"&amp;YEAR(B75)</x:f>
        <x:v>Q1-2025</x:v>
      </x:c>
      <x:c r="AD75" s="26" t="n">
        <x:f>MIN(100,IF(H75="Enterprise",30,IF(H75="Mid-Market",22,14))+IF(T75="Enterprise",25,IF(T75="Mid-Market",18,10))+IF(Q75="Referral",25,IF(Q75="Organic Search",20,IF(Q75="Email",18,14)))+IF(G75="Technology",10,5))</x:f>
        <x:v>43</x:v>
      </x:c>
      <x:c r="AE75" t="str">
        <x:f>IF(U75&lt;&gt;"Open",U75,IF(N75&gt;=0.8,"Commit",IF(N75&gt;=0.5,"Best Case","Pipeline")))</x:f>
        <x:v>Commit</x:v>
      </x:c>
    </x:row>
    <x:row r="76">
      <x:c r="A76" t="str">
        <x:v>L00075</x:v>
      </x:c>
      <x:c r="B76" s="10" t="n">
        <x:v>46221</x:v>
      </x:c>
      <x:c r="C76" t="str">
        <x:v>Minh Do</x:v>
      </x:c>
      <x:c r="D76" t="str">
        <x:v>North</x:v>
      </x:c>
      <x:c r="E76" t="str">
        <x:v>LI Ads</x:v>
      </x:c>
      <x:c r="F76" t="str">
        <x:v>BI-PLUS</x:v>
      </x:c>
      <x:c r="G76" t="str">
        <x:v>Retail</x:v>
      </x:c>
      <x:c r="H76" t="str">
        <x:v>SMB</x:v>
      </x:c>
      <x:c r="I76" t="str">
        <x:v>Closed Lost</x:v>
      </x:c>
      <x:c r="J76" s="10" t="n">
        <x:v>46256</x:v>
      </x:c>
      <x:c r="K76" s="10" t="n">
        <x:v>46256</x:v>
      </x:c>
      <x:c r="L76" s="22" t="n">
        <x:v>17600</x:v>
      </x:c>
      <x:c r="M76" s="24" t="n">
        <x:v>0</x:v>
      </x:c>
      <x:c r="N76" s="24" t="n">
        <x:v>0</x:v>
      </x:c>
      <x:c r="O76" t="str">
        <x:v>Price</x:v>
      </x:c>
      <x:c r="P76" t="n">
        <x:v>4</x:v>
      </x:c>
      <x:c r="Q76" t="str">
        <x:f>IFERROR(XLOOKUP(E76,Lookups!$A$5:$A$24,Lookups!$B$5:$B$24),"Other")</x:f>
        <x:v>LinkedIn</x:v>
      </x:c>
      <x:c r="R76" t="str">
        <x:f>IFERROR(XLOOKUP(F76,Lookups!$D$5:$D$10,Lookups!$E$5:$E$10),"Unknown Product")</x:f>
        <x:v>Analytics Plus</x:v>
      </x:c>
      <x:c r="S76" t="str">
        <x:f>IFERROR(XLOOKUP(F76,Lookups!$D$5:$D$10,Lookups!$F$5:$F$10),"Unknown")</x:f>
        <x:v>Analytics</x:v>
      </x:c>
      <x:c r="T76" t="str">
        <x:f>IF(L76&gt;=50000,"Enterprise",IF(L76&gt;=20000,"Mid-Market","SMB"))</x:f>
        <x:v>SMB</x:v>
      </x:c>
      <x:c r="U76" t="str">
        <x:f>IF(I76="Closed Won","Won",IF(I76="Closed Lost","Lost","Open"))</x:f>
        <x:v>Lost</x:v>
      </x:c>
      <x:c r="V76" s="22" t="n">
        <x:f>IF(U76="Won",L76*(1-M76),0)</x:f>
        <x:v>0</x:v>
      </x:c>
      <x:c r="W76" s="22" t="n">
        <x:f>IF(U76="Open",L76*N76,0)</x:f>
        <x:v>0</x:v>
      </x:c>
      <x:c r="X76" s="26" t="n">
        <x:f>IF(U76="Open","",IFERROR(K76-B76,""))</x:f>
        <x:v>35</x:v>
      </x:c>
      <x:c r="Y76" s="26" t="n">
        <x:f>IF(U76="Open",Lookups!$B$2-B76,X76)</x:f>
        <x:v>35</x:v>
      </x:c>
      <x:c r="Z76" t="str">
        <x:f>IF(AND(U76="Open",Y76&gt;30),"STALE","OK")</x:f>
        <x:v>OK</x:v>
      </x:c>
      <x:c r="AA76" t="str">
        <x:f>TEXT(B76,"yyyy-mm")</x:f>
        <x:v>2026-07</x:v>
      </x:c>
      <x:c r="AB76" t="str">
        <x:f>IF(K76="","",TEXT(K76,"yyyy-mm"))</x:f>
        <x:v>2026-08</x:v>
      </x:c>
      <x:c r="AC76" t="str">
        <x:f>"Q"&amp;ROUNDUP(MONTH(B76)/3,0)&amp;"-"&amp;YEAR(B76)</x:f>
        <x:v>Q3-2026</x:v>
      </x:c>
      <x:c r="AD76" s="26" t="n">
        <x:f>MIN(100,IF(H76="Enterprise",30,IF(H76="Mid-Market",22,14))+IF(T76="Enterprise",25,IF(T76="Mid-Market",18,10))+IF(Q76="Referral",25,IF(Q76="Organic Search",20,IF(Q76="Email",18,14)))+IF(G76="Technology",10,5))</x:f>
        <x:v>43</x:v>
      </x:c>
      <x:c r="AE76" t="str">
        <x:f>IF(U76&lt;&gt;"Open",U76,IF(N76&gt;=0.8,"Commit",IF(N76&gt;=0.5,"Best Case","Pipeline")))</x:f>
        <x:v>Lost</x:v>
      </x:c>
    </x:row>
    <x:row r="77">
      <x:c r="A77" t="str">
        <x:v>L00076</x:v>
      </x:c>
      <x:c r="B77" s="10" t="n">
        <x:v>46218</x:v>
      </x:c>
      <x:c r="C77" t="str">
        <x:v>Duy Pham</x:v>
      </x:c>
      <x:c r="D77" t="str">
        <x:v>South</x:v>
      </x:c>
      <x:c r="E77" t="str">
        <x:v>Google Ads</x:v>
      </x:c>
      <x:c r="F77" t="str">
        <x:v>CRM-CORE</x:v>
      </x:c>
      <x:c r="G77" t="str">
        <x:v>Financial Services</x:v>
      </x:c>
      <x:c r="H77" t="str">
        <x:v>Enterprise</x:v>
      </x:c>
      <x:c r="I77" t="str">
        <x:v>Closed Won</x:v>
      </x:c>
      <x:c r="J77" s="10" t="n">
        <x:v>46266</x:v>
      </x:c>
      <x:c r="K77" s="10" t="n">
        <x:v>46266</x:v>
      </x:c>
      <x:c r="L77" s="22" t="n">
        <x:v>20000</x:v>
      </x:c>
      <x:c r="M77" s="24" t="n">
        <x:v>0</x:v>
      </x:c>
      <x:c r="N77" s="24" t="n">
        <x:v>1</x:v>
      </x:c>
      <x:c r="O77" t="str"/>
      <x:c r="P77" t="n">
        <x:v>6</x:v>
      </x:c>
      <x:c r="Q77" t="str">
        <x:f>IFERROR(XLOOKUP(E77,Lookups!$A$5:$A$24,Lookups!$B$5:$B$24),"Other")</x:f>
        <x:v>Paid Search</x:v>
      </x:c>
      <x:c r="R77" t="str">
        <x:f>IFERROR(XLOOKUP(F77,Lookups!$D$5:$D$10,Lookups!$E$5:$E$10),"Unknown Product")</x:f>
        <x:v>NexaCRM Core</x:v>
      </x:c>
      <x:c r="S77" t="str">
        <x:f>IFERROR(XLOOKUP(F77,Lookups!$D$5:$D$10,Lookups!$F$5:$F$10),"Unknown")</x:f>
        <x:v>CRM</x:v>
      </x:c>
      <x:c r="T77" t="str">
        <x:f>IF(L77&gt;=50000,"Enterprise",IF(L77&gt;=20000,"Mid-Market","SMB"))</x:f>
        <x:v>Mid-Market</x:v>
      </x:c>
      <x:c r="U77" t="str">
        <x:f>IF(I77="Closed Won","Won",IF(I77="Closed Lost","Lost","Open"))</x:f>
        <x:v>Won</x:v>
      </x:c>
      <x:c r="V77" s="22" t="n">
        <x:f>IF(U77="Won",L77*(1-M77),0)</x:f>
        <x:v>20000</x:v>
      </x:c>
      <x:c r="W77" s="22" t="n">
        <x:f>IF(U77="Open",L77*N77,0)</x:f>
        <x:v>0</x:v>
      </x:c>
      <x:c r="X77" s="26" t="n">
        <x:f>IF(U77="Open","",IFERROR(K77-B77,""))</x:f>
        <x:v>48</x:v>
      </x:c>
      <x:c r="Y77" s="26" t="n">
        <x:f>IF(U77="Open",Lookups!$B$2-B77,X77)</x:f>
        <x:v>48</x:v>
      </x:c>
      <x:c r="Z77" t="str">
        <x:f>IF(AND(U77="Open",Y77&gt;30),"STALE","OK")</x:f>
        <x:v>OK</x:v>
      </x:c>
      <x:c r="AA77" t="str">
        <x:f>TEXT(B77,"yyyy-mm")</x:f>
        <x:v>2026-07</x:v>
      </x:c>
      <x:c r="AB77" t="str">
        <x:f>IF(K77="","",TEXT(K77,"yyyy-mm"))</x:f>
        <x:v>2026-09</x:v>
      </x:c>
      <x:c r="AC77" t="str">
        <x:f>"Q"&amp;ROUNDUP(MONTH(B77)/3,0)&amp;"-"&amp;YEAR(B77)</x:f>
        <x:v>Q3-2026</x:v>
      </x:c>
      <x:c r="AD77" s="26" t="n">
        <x:f>MIN(100,IF(H77="Enterprise",30,IF(H77="Mid-Market",22,14))+IF(T77="Enterprise",25,IF(T77="Mid-Market",18,10))+IF(Q77="Referral",25,IF(Q77="Organic Search",20,IF(Q77="Email",18,14)))+IF(G77="Technology",10,5))</x:f>
        <x:v>67</x:v>
      </x:c>
      <x:c r="AE77" t="str">
        <x:f>IF(U77&lt;&gt;"Open",U77,IF(N77&gt;=0.8,"Commit",IF(N77&gt;=0.5,"Best Case","Pipeline")))</x:f>
        <x:v>Won</x:v>
      </x:c>
    </x:row>
    <x:row r="78">
      <x:c r="A78" t="str">
        <x:v>L00077</x:v>
      </x:c>
      <x:c r="B78" s="10" t="n">
        <x:v>46007</x:v>
      </x:c>
      <x:c r="C78" t="str">
        <x:v>Minh Do</x:v>
      </x:c>
      <x:c r="D78" t="str">
        <x:v>North</x:v>
      </x:c>
      <x:c r="E78" t="str">
        <x:v>SEO</x:v>
      </x:c>
      <x:c r="F78" t="str">
        <x:v>MKT-AUTO</x:v>
      </x:c>
      <x:c r="G78" t="str">
        <x:v>Technology</x:v>
      </x:c>
      <x:c r="H78" t="str">
        <x:v>Mid-Market</x:v>
      </x:c>
      <x:c r="I78" t="str">
        <x:v>Negotiation</x:v>
      </x:c>
      <x:c r="J78" s="10" t="n">
        <x:v>46168</x:v>
      </x:c>
      <x:c r="K78" s="10"/>
      <x:c r="L78" s="22" t="n">
        <x:v>29300</x:v>
      </x:c>
      <x:c r="M78" s="24" t="n">
        <x:v>0.05</x:v>
      </x:c>
      <x:c r="N78" s="24" t="n">
        <x:v>0.85</x:v>
      </x:c>
      <x:c r="O78" t="str"/>
      <x:c r="P78" t="n">
        <x:v>5</x:v>
      </x:c>
      <x:c r="Q78" t="str">
        <x:f>IFERROR(XLOOKUP(E78,Lookups!$A$5:$A$24,Lookups!$B$5:$B$24),"Other")</x:f>
        <x:v>Organic Search</x:v>
      </x:c>
      <x:c r="R78" t="str">
        <x:f>IFERROR(XLOOKUP(F78,Lookups!$D$5:$D$10,Lookups!$E$5:$E$10),"Unknown Product")</x:f>
        <x:v>Marketing Automation</x:v>
      </x:c>
      <x:c r="S78" t="str">
        <x:f>IFERROR(XLOOKUP(F78,Lookups!$D$5:$D$10,Lookups!$F$5:$F$10),"Unknown")</x:f>
        <x:v>Marketing</x:v>
      </x:c>
      <x:c r="T78" t="str">
        <x:f>IF(L78&gt;=50000,"Enterprise",IF(L78&gt;=20000,"Mid-Market","SMB"))</x:f>
        <x:v>Mid-Market</x:v>
      </x:c>
      <x:c r="U78" t="str">
        <x:f>IF(I78="Closed Won","Won",IF(I78="Closed Lost","Lost","Open"))</x:f>
        <x:v>Open</x:v>
      </x:c>
      <x:c r="V78" s="22" t="n">
        <x:f>IF(U78="Won",L78*(1-M78),0)</x:f>
        <x:v>0</x:v>
      </x:c>
      <x:c r="W78" s="22" t="n">
        <x:f>IF(U78="Open",L78*N78,0)</x:f>
        <x:v>24905</x:v>
      </x:c>
      <x:c r="X78" s="26" t="str">
        <x:f>IF(U78="Open","",IFERROR(K78-B78,""))</x:f>
      </x:c>
      <x:c r="Y78" s="26" t="n">
        <x:f>IF(U78="Open",Lookups!$B$2-B78,X78)</x:f>
        <x:v>259</x:v>
      </x:c>
      <x:c r="Z78" t="str">
        <x:f>IF(AND(U78="Open",Y78&gt;30),"STALE","OK")</x:f>
        <x:v>STALE</x:v>
      </x:c>
      <x:c r="AA78" t="str">
        <x:f>TEXT(B78,"yyyy-mm")</x:f>
        <x:v>2025-12</x:v>
      </x:c>
      <x:c r="AB78" t="str">
        <x:f>IF(K78="","",TEXT(K78,"yyyy-mm"))</x:f>
      </x:c>
      <x:c r="AC78" t="str">
        <x:f>"Q"&amp;ROUNDUP(MONTH(B78)/3,0)&amp;"-"&amp;YEAR(B78)</x:f>
        <x:v>Q4-2025</x:v>
      </x:c>
      <x:c r="AD78" s="26" t="n">
        <x:f>MIN(100,IF(H78="Enterprise",30,IF(H78="Mid-Market",22,14))+IF(T78="Enterprise",25,IF(T78="Mid-Market",18,10))+IF(Q78="Referral",25,IF(Q78="Organic Search",20,IF(Q78="Email",18,14)))+IF(G78="Technology",10,5))</x:f>
        <x:v>70</x:v>
      </x:c>
      <x:c r="AE78" t="str">
        <x:f>IF(U78&lt;&gt;"Open",U78,IF(N78&gt;=0.8,"Commit",IF(N78&gt;=0.5,"Best Case","Pipeline")))</x:f>
        <x:v>Commit</x:v>
      </x:c>
    </x:row>
    <x:row r="79">
      <x:c r="A79" t="str">
        <x:v>L00078</x:v>
      </x:c>
      <x:c r="B79" s="10" t="n">
        <x:v>46187</x:v>
      </x:c>
      <x:c r="C79" t="str">
        <x:v>Tuan Bui</x:v>
      </x:c>
      <x:c r="D79" t="str">
        <x:v>Central</x:v>
      </x:c>
      <x:c r="E79" t="str">
        <x:v>linkedin</x:v>
      </x:c>
      <x:c r="F79" t="str">
        <x:v>CS-CLOUD</x:v>
      </x:c>
      <x:c r="G79" t="str">
        <x:v>Healthcare</x:v>
      </x:c>
      <x:c r="H79" t="str">
        <x:v>SMB</x:v>
      </x:c>
      <x:c r="I79" t="str">
        <x:v>Closed Lost</x:v>
      </x:c>
      <x:c r="J79" s="10" t="n">
        <x:v>46237</x:v>
      </x:c>
      <x:c r="K79" s="10" t="n">
        <x:v>46237</x:v>
      </x:c>
      <x:c r="L79" s="22" t="n">
        <x:v>22700</x:v>
      </x:c>
      <x:c r="M79" s="24" t="n">
        <x:v>0</x:v>
      </x:c>
      <x:c r="N79" s="24" t="n">
        <x:v>0</x:v>
      </x:c>
      <x:c r="O79" t="str">
        <x:v>No Decision</x:v>
      </x:c>
      <x:c r="P79" t="n">
        <x:v>5</x:v>
      </x:c>
      <x:c r="Q79" t="str">
        <x:f>IFERROR(XLOOKUP(E79,Lookups!$A$5:$A$24,Lookups!$B$5:$B$24),"Other")</x:f>
        <x:v>LinkedIn</x:v>
      </x:c>
      <x:c r="R79" t="str">
        <x:f>IFERROR(XLOOKUP(F79,Lookups!$D$5:$D$10,Lookups!$E$5:$E$10),"Unknown Product")</x:f>
        <x:v>Service Cloud</x:v>
      </x:c>
      <x:c r="S79" t="str">
        <x:f>IFERROR(XLOOKUP(F79,Lookups!$D$5:$D$10,Lookups!$F$5:$F$10),"Unknown")</x:f>
        <x:v>Customer Service</x:v>
      </x:c>
      <x:c r="T79" t="str">
        <x:f>IF(L79&gt;=50000,"Enterprise",IF(L79&gt;=20000,"Mid-Market","SMB"))</x:f>
        <x:v>Mid-Market</x:v>
      </x:c>
      <x:c r="U79" t="str">
        <x:f>IF(I79="Closed Won","Won",IF(I79="Closed Lost","Lost","Open"))</x:f>
        <x:v>Lost</x:v>
      </x:c>
      <x:c r="V79" s="22" t="n">
        <x:f>IF(U79="Won",L79*(1-M79),0)</x:f>
        <x:v>0</x:v>
      </x:c>
      <x:c r="W79" s="22" t="n">
        <x:f>IF(U79="Open",L79*N79,0)</x:f>
        <x:v>0</x:v>
      </x:c>
      <x:c r="X79" s="26" t="n">
        <x:f>IF(U79="Open","",IFERROR(K79-B79,""))</x:f>
        <x:v>50</x:v>
      </x:c>
      <x:c r="Y79" s="26" t="n">
        <x:f>IF(U79="Open",Lookups!$B$2-B79,X79)</x:f>
        <x:v>50</x:v>
      </x:c>
      <x:c r="Z79" t="str">
        <x:f>IF(AND(U79="Open",Y79&gt;30),"STALE","OK")</x:f>
        <x:v>OK</x:v>
      </x:c>
      <x:c r="AA79" t="str">
        <x:f>TEXT(B79,"yyyy-mm")</x:f>
        <x:v>2026-06</x:v>
      </x:c>
      <x:c r="AB79" t="str">
        <x:f>IF(K79="","",TEXT(K79,"yyyy-mm"))</x:f>
        <x:v>2026-08</x:v>
      </x:c>
      <x:c r="AC79" t="str">
        <x:f>"Q"&amp;ROUNDUP(MONTH(B79)/3,0)&amp;"-"&amp;YEAR(B79)</x:f>
        <x:v>Q2-2026</x:v>
      </x:c>
      <x:c r="AD79" s="26" t="n">
        <x:f>MIN(100,IF(H79="Enterprise",30,IF(H79="Mid-Market",22,14))+IF(T79="Enterprise",25,IF(T79="Mid-Market",18,10))+IF(Q79="Referral",25,IF(Q79="Organic Search",20,IF(Q79="Email",18,14)))+IF(G79="Technology",10,5))</x:f>
        <x:v>51</x:v>
      </x:c>
      <x:c r="AE79" t="str">
        <x:f>IF(U79&lt;&gt;"Open",U79,IF(N79&gt;=0.8,"Commit",IF(N79&gt;=0.5,"Best Case","Pipeline")))</x:f>
        <x:v>Lost</x:v>
      </x:c>
    </x:row>
    <x:row r="80">
      <x:c r="A80" t="str">
        <x:v>L00079</x:v>
      </x:c>
      <x:c r="B80" s="10" t="n">
        <x:v>45909</x:v>
      </x:c>
      <x:c r="C80" t="str">
        <x:v>Tuan Bui</x:v>
      </x:c>
      <x:c r="D80" t="str">
        <x:v>Central</x:v>
      </x:c>
      <x:c r="E80" t="str">
        <x:v>SEO</x:v>
      </x:c>
      <x:c r="F80" t="str">
        <x:v>BI-PLUS</x:v>
      </x:c>
      <x:c r="G80" t="str">
        <x:v>Professional Services</x:v>
      </x:c>
      <x:c r="H80" t="str">
        <x:v>SMB</x:v>
      </x:c>
      <x:c r="I80" t="str">
        <x:v>Closed Won</x:v>
      </x:c>
      <x:c r="J80" s="10" t="n">
        <x:v>45969</x:v>
      </x:c>
      <x:c r="K80" s="10" t="n">
        <x:v>45969</x:v>
      </x:c>
      <x:c r="L80" s="22" t="n">
        <x:v>14700</x:v>
      </x:c>
      <x:c r="M80" s="24" t="n">
        <x:v>0</x:v>
      </x:c>
      <x:c r="N80" s="24" t="n">
        <x:v>1</x:v>
      </x:c>
      <x:c r="O80" t="str"/>
      <x:c r="P80" t="n">
        <x:v>6</x:v>
      </x:c>
      <x:c r="Q80" t="str">
        <x:f>IFERROR(XLOOKUP(E80,Lookups!$A$5:$A$24,Lookups!$B$5:$B$24),"Other")</x:f>
        <x:v>Organic Search</x:v>
      </x:c>
      <x:c r="R80" t="str">
        <x:f>IFERROR(XLOOKUP(F80,Lookups!$D$5:$D$10,Lookups!$E$5:$E$10),"Unknown Product")</x:f>
        <x:v>Analytics Plus</x:v>
      </x:c>
      <x:c r="S80" t="str">
        <x:f>IFERROR(XLOOKUP(F80,Lookups!$D$5:$D$10,Lookups!$F$5:$F$10),"Unknown")</x:f>
        <x:v>Analytics</x:v>
      </x:c>
      <x:c r="T80" t="str">
        <x:f>IF(L80&gt;=50000,"Enterprise",IF(L80&gt;=20000,"Mid-Market","SMB"))</x:f>
        <x:v>SMB</x:v>
      </x:c>
      <x:c r="U80" t="str">
        <x:f>IF(I80="Closed Won","Won",IF(I80="Closed Lost","Lost","Open"))</x:f>
        <x:v>Won</x:v>
      </x:c>
      <x:c r="V80" s="22" t="n">
        <x:f>IF(U80="Won",L80*(1-M80),0)</x:f>
        <x:v>14700</x:v>
      </x:c>
      <x:c r="W80" s="22" t="n">
        <x:f>IF(U80="Open",L80*N80,0)</x:f>
        <x:v>0</x:v>
      </x:c>
      <x:c r="X80" s="26" t="n">
        <x:f>IF(U80="Open","",IFERROR(K80-B80,""))</x:f>
        <x:v>60</x:v>
      </x:c>
      <x:c r="Y80" s="26" t="n">
        <x:f>IF(U80="Open",Lookups!$B$2-B80,X80)</x:f>
        <x:v>60</x:v>
      </x:c>
      <x:c r="Z80" t="str">
        <x:f>IF(AND(U80="Open",Y80&gt;30),"STALE","OK")</x:f>
        <x:v>OK</x:v>
      </x:c>
      <x:c r="AA80" t="str">
        <x:f>TEXT(B80,"yyyy-mm")</x:f>
        <x:v>2025-09</x:v>
      </x:c>
      <x:c r="AB80" t="str">
        <x:f>IF(K80="","",TEXT(K80,"yyyy-mm"))</x:f>
        <x:v>2025-11</x:v>
      </x:c>
      <x:c r="AC80" t="str">
        <x:f>"Q"&amp;ROUNDUP(MONTH(B80)/3,0)&amp;"-"&amp;YEAR(B80)</x:f>
        <x:v>Q3-2025</x:v>
      </x:c>
      <x:c r="AD80" s="26" t="n">
        <x:f>MIN(100,IF(H80="Enterprise",30,IF(H80="Mid-Market",22,14))+IF(T80="Enterprise",25,IF(T80="Mid-Market",18,10))+IF(Q80="Referral",25,IF(Q80="Organic Search",20,IF(Q80="Email",18,14)))+IF(G80="Technology",10,5))</x:f>
        <x:v>49</x:v>
      </x:c>
      <x:c r="AE80" t="str">
        <x:f>IF(U80&lt;&gt;"Open",U80,IF(N80&gt;=0.8,"Commit",IF(N80&gt;=0.5,"Best Case","Pipeline")))</x:f>
        <x:v>Won</x:v>
      </x:c>
    </x:row>
    <x:row r="81">
      <x:c r="A81" t="str">
        <x:v>L00080</x:v>
      </x:c>
      <x:c r="B81" s="10" t="n">
        <x:v>46192</x:v>
      </x:c>
      <x:c r="C81" t="str">
        <x:v>Quynh Vu</x:v>
      </x:c>
      <x:c r="D81" t="str">
        <x:v>North</x:v>
      </x:c>
      <x:c r="E81" t="str">
        <x:v>Offline List</x:v>
      </x:c>
      <x:c r="F81" t="str">
        <x:v>CRM-CORE</x:v>
      </x:c>
      <x:c r="G81" t="str">
        <x:v>Healthcare</x:v>
      </x:c>
      <x:c r="H81" t="str">
        <x:v>Mid-Market</x:v>
      </x:c>
      <x:c r="I81" t="str">
        <x:v>Closed Lost</x:v>
      </x:c>
      <x:c r="J81" s="10" t="n">
        <x:v>46250</x:v>
      </x:c>
      <x:c r="K81" s="10" t="n">
        <x:v>46250</x:v>
      </x:c>
      <x:c r="L81" s="22" t="n">
        <x:v>18000</x:v>
      </x:c>
      <x:c r="M81" s="24" t="n">
        <x:v>0</x:v>
      </x:c>
      <x:c r="N81" s="24" t="n">
        <x:v>0</x:v>
      </x:c>
      <x:c r="O81" t="str">
        <x:v>Competitor</x:v>
      </x:c>
      <x:c r="P81" t="n">
        <x:v>5</x:v>
      </x:c>
      <x:c r="Q81" t="str">
        <x:f>IFERROR(XLOOKUP(E81,Lookups!$A$5:$A$24,Lookups!$B$5:$B$24),"Other")</x:f>
        <x:v>Other</x:v>
      </x:c>
      <x:c r="R81" t="str">
        <x:f>IFERROR(XLOOKUP(F81,Lookups!$D$5:$D$10,Lookups!$E$5:$E$10),"Unknown Product")</x:f>
        <x:v>NexaCRM Core</x:v>
      </x:c>
      <x:c r="S81" t="str">
        <x:f>IFERROR(XLOOKUP(F81,Lookups!$D$5:$D$10,Lookups!$F$5:$F$10),"Unknown")</x:f>
        <x:v>CRM</x:v>
      </x:c>
      <x:c r="T81" t="str">
        <x:f>IF(L81&gt;=50000,"Enterprise",IF(L81&gt;=20000,"Mid-Market","SMB"))</x:f>
        <x:v>SMB</x:v>
      </x:c>
      <x:c r="U81" t="str">
        <x:f>IF(I81="Closed Won","Won",IF(I81="Closed Lost","Lost","Open"))</x:f>
        <x:v>Lost</x:v>
      </x:c>
      <x:c r="V81" s="22" t="n">
        <x:f>IF(U81="Won",L81*(1-M81),0)</x:f>
        <x:v>0</x:v>
      </x:c>
      <x:c r="W81" s="22" t="n">
        <x:f>IF(U81="Open",L81*N81,0)</x:f>
        <x:v>0</x:v>
      </x:c>
      <x:c r="X81" s="26" t="n">
        <x:f>IF(U81="Open","",IFERROR(K81-B81,""))</x:f>
        <x:v>58</x:v>
      </x:c>
      <x:c r="Y81" s="26" t="n">
        <x:f>IF(U81="Open",Lookups!$B$2-B81,X81)</x:f>
        <x:v>58</x:v>
      </x:c>
      <x:c r="Z81" t="str">
        <x:f>IF(AND(U81="Open",Y81&gt;30),"STALE","OK")</x:f>
        <x:v>OK</x:v>
      </x:c>
      <x:c r="AA81" t="str">
        <x:f>TEXT(B81,"yyyy-mm")</x:f>
        <x:v>2026-06</x:v>
      </x:c>
      <x:c r="AB81" t="str">
        <x:f>IF(K81="","",TEXT(K81,"yyyy-mm"))</x:f>
        <x:v>2026-08</x:v>
      </x:c>
      <x:c r="AC81" t="str">
        <x:f>"Q"&amp;ROUNDUP(MONTH(B81)/3,0)&amp;"-"&amp;YEAR(B81)</x:f>
        <x:v>Q2-2026</x:v>
      </x:c>
      <x:c r="AD81" s="26" t="n">
        <x:f>MIN(100,IF(H81="Enterprise",30,IF(H81="Mid-Market",22,14))+IF(T81="Enterprise",25,IF(T81="Mid-Market",18,10))+IF(Q81="Referral",25,IF(Q81="Organic Search",20,IF(Q81="Email",18,14)))+IF(G81="Technology",10,5))</x:f>
        <x:v>51</x:v>
      </x:c>
      <x:c r="AE81" t="str">
        <x:f>IF(U81&lt;&gt;"Open",U81,IF(N81&gt;=0.8,"Commit",IF(N81&gt;=0.5,"Best Case","Pipeline")))</x:f>
        <x:v>Lost</x:v>
      </x:c>
    </x:row>
    <x:row r="82">
      <x:c r="A82" t="str">
        <x:v>L00081</x:v>
      </x:c>
      <x:c r="B82" s="10" t="n">
        <x:v>46197</x:v>
      </x:c>
      <x:c r="C82" t="str">
        <x:v>Quynh Vu</x:v>
      </x:c>
      <x:c r="D82" t="str">
        <x:v>North</x:v>
      </x:c>
      <x:c r="E82" t="str">
        <x:v>LinkedIn Ads</x:v>
      </x:c>
      <x:c r="F82" t="str">
        <x:v>MKT-AUTO</x:v>
      </x:c>
      <x:c r="G82" t="str">
        <x:v>Professional Services</x:v>
      </x:c>
      <x:c r="H82" t="str">
        <x:v>Mid-Market</x:v>
      </x:c>
      <x:c r="I82" t="str">
        <x:v>Demo / Meeting</x:v>
      </x:c>
      <x:c r="J82" s="10" t="n">
        <x:v>46246</x:v>
      </x:c>
      <x:c r="K82" s="10"/>
      <x:c r="L82" s="22" t="n">
        <x:v>20100</x:v>
      </x:c>
      <x:c r="M82" s="24" t="n">
        <x:v>0.05</x:v>
      </x:c>
      <x:c r="N82" s="24" t="n">
        <x:v>0.4</x:v>
      </x:c>
      <x:c r="O82" t="str"/>
      <x:c r="P82" t="n">
        <x:v>3</x:v>
      </x:c>
      <x:c r="Q82" t="str">
        <x:f>IFERROR(XLOOKUP(E82,Lookups!$A$5:$A$24,Lookups!$B$5:$B$24),"Other")</x:f>
        <x:v>LinkedIn</x:v>
      </x:c>
      <x:c r="R82" t="str">
        <x:f>IFERROR(XLOOKUP(F82,Lookups!$D$5:$D$10,Lookups!$E$5:$E$10),"Unknown Product")</x:f>
        <x:v>Marketing Automation</x:v>
      </x:c>
      <x:c r="S82" t="str">
        <x:f>IFERROR(XLOOKUP(F82,Lookups!$D$5:$D$10,Lookups!$F$5:$F$10),"Unknown")</x:f>
        <x:v>Marketing</x:v>
      </x:c>
      <x:c r="T82" t="str">
        <x:f>IF(L82&gt;=50000,"Enterprise",IF(L82&gt;=20000,"Mid-Market","SMB"))</x:f>
        <x:v>Mid-Market</x:v>
      </x:c>
      <x:c r="U82" t="str">
        <x:f>IF(I82="Closed Won","Won",IF(I82="Closed Lost","Lost","Open"))</x:f>
        <x:v>Open</x:v>
      </x:c>
      <x:c r="V82" s="22" t="n">
        <x:f>IF(U82="Won",L82*(1-M82),0)</x:f>
        <x:v>0</x:v>
      </x:c>
      <x:c r="W82" s="22" t="n">
        <x:f>IF(U82="Open",L82*N82,0)</x:f>
        <x:v>8040</x:v>
      </x:c>
      <x:c r="X82" s="26" t="str">
        <x:f>IF(U82="Open","",IFERROR(K82-B82,""))</x:f>
      </x:c>
      <x:c r="Y82" s="26" t="n">
        <x:f>IF(U82="Open",Lookups!$B$2-B82,X82)</x:f>
        <x:v>69</x:v>
      </x:c>
      <x:c r="Z82" t="str">
        <x:f>IF(AND(U82="Open",Y82&gt;30),"STALE","OK")</x:f>
        <x:v>STALE</x:v>
      </x:c>
      <x:c r="AA82" t="str">
        <x:f>TEXT(B82,"yyyy-mm")</x:f>
        <x:v>2026-06</x:v>
      </x:c>
      <x:c r="AB82" t="str">
        <x:f>IF(K82="","",TEXT(K82,"yyyy-mm"))</x:f>
      </x:c>
      <x:c r="AC82" t="str">
        <x:f>"Q"&amp;ROUNDUP(MONTH(B82)/3,0)&amp;"-"&amp;YEAR(B82)</x:f>
        <x:v>Q2-2026</x:v>
      </x:c>
      <x:c r="AD82" s="26" t="n">
        <x:f>MIN(100,IF(H82="Enterprise",30,IF(H82="Mid-Market",22,14))+IF(T82="Enterprise",25,IF(T82="Mid-Market",18,10))+IF(Q82="Referral",25,IF(Q82="Organic Search",20,IF(Q82="Email",18,14)))+IF(G82="Technology",10,5))</x:f>
        <x:v>59</x:v>
      </x:c>
      <x:c r="AE82" t="str">
        <x:f>IF(U82&lt;&gt;"Open",U82,IF(N82&gt;=0.8,"Commit",IF(N82&gt;=0.5,"Best Case","Pipeline")))</x:f>
        <x:v>Pipeline</x:v>
      </x:c>
    </x:row>
    <x:row r="83">
      <x:c r="A83" t="str">
        <x:v>L00082</x:v>
      </x:c>
      <x:c r="B83" s="10" t="n">
        <x:v>46133</x:v>
      </x:c>
      <x:c r="C83" t="str">
        <x:v>Duy Pham</x:v>
      </x:c>
      <x:c r="D83" t="str">
        <x:v>South</x:v>
      </x:c>
      <x:c r="E83" t="str">
        <x:v>Google Ads</x:v>
      </x:c>
      <x:c r="F83" t="str">
        <x:v>CRM-PRO</x:v>
      </x:c>
      <x:c r="G83" t="str">
        <x:v>Education</x:v>
      </x:c>
      <x:c r="H83" t="str">
        <x:v>SMB</x:v>
      </x:c>
      <x:c r="I83" t="str">
        <x:v>Closed Won</x:v>
      </x:c>
      <x:c r="J83" s="10" t="n">
        <x:v>46201</x:v>
      </x:c>
      <x:c r="K83" s="10" t="n">
        <x:v>46201</x:v>
      </x:c>
      <x:c r="L83" s="22" t="n">
        <x:v>18000</x:v>
      </x:c>
      <x:c r="M83" s="24" t="n">
        <x:v>0.1</x:v>
      </x:c>
      <x:c r="N83" s="24" t="n">
        <x:v>1</x:v>
      </x:c>
      <x:c r="O83" t="str"/>
      <x:c r="P83" t="n">
        <x:v>6</x:v>
      </x:c>
      <x:c r="Q83" t="str">
        <x:f>IFERROR(XLOOKUP(E83,Lookups!$A$5:$A$24,Lookups!$B$5:$B$24),"Other")</x:f>
        <x:v>Paid Search</x:v>
      </x:c>
      <x:c r="R83" t="str">
        <x:f>IFERROR(XLOOKUP(F83,Lookups!$D$5:$D$10,Lookups!$E$5:$E$10),"Unknown Product")</x:f>
        <x:v>NexaCRM Pro</x:v>
      </x:c>
      <x:c r="S83" t="str">
        <x:f>IFERROR(XLOOKUP(F83,Lookups!$D$5:$D$10,Lookups!$F$5:$F$10),"Unknown")</x:f>
        <x:v>CRM</x:v>
      </x:c>
      <x:c r="T83" t="str">
        <x:f>IF(L83&gt;=50000,"Enterprise",IF(L83&gt;=20000,"Mid-Market","SMB"))</x:f>
        <x:v>SMB</x:v>
      </x:c>
      <x:c r="U83" t="str">
        <x:f>IF(I83="Closed Won","Won",IF(I83="Closed Lost","Lost","Open"))</x:f>
        <x:v>Won</x:v>
      </x:c>
      <x:c r="V83" s="22" t="n">
        <x:f>IF(U83="Won",L83*(1-M83),0)</x:f>
        <x:v>16200</x:v>
      </x:c>
      <x:c r="W83" s="22" t="n">
        <x:f>IF(U83="Open",L83*N83,0)</x:f>
        <x:v>0</x:v>
      </x:c>
      <x:c r="X83" s="26" t="n">
        <x:f>IF(U83="Open","",IFERROR(K83-B83,""))</x:f>
        <x:v>68</x:v>
      </x:c>
      <x:c r="Y83" s="26" t="n">
        <x:f>IF(U83="Open",Lookups!$B$2-B83,X83)</x:f>
        <x:v>68</x:v>
      </x:c>
      <x:c r="Z83" t="str">
        <x:f>IF(AND(U83="Open",Y83&gt;30),"STALE","OK")</x:f>
        <x:v>OK</x:v>
      </x:c>
      <x:c r="AA83" t="str">
        <x:f>TEXT(B83,"yyyy-mm")</x:f>
        <x:v>2026-04</x:v>
      </x:c>
      <x:c r="AB83" t="str">
        <x:f>IF(K83="","",TEXT(K83,"yyyy-mm"))</x:f>
        <x:v>2026-06</x:v>
      </x:c>
      <x:c r="AC83" t="str">
        <x:f>"Q"&amp;ROUNDUP(MONTH(B83)/3,0)&amp;"-"&amp;YEAR(B83)</x:f>
        <x:v>Q2-2026</x:v>
      </x:c>
      <x:c r="AD83" s="26" t="n">
        <x:f>MIN(100,IF(H83="Enterprise",30,IF(H83="Mid-Market",22,14))+IF(T83="Enterprise",25,IF(T83="Mid-Market",18,10))+IF(Q83="Referral",25,IF(Q83="Organic Search",20,IF(Q83="Email",18,14)))+IF(G83="Technology",10,5))</x:f>
        <x:v>43</x:v>
      </x:c>
      <x:c r="AE83" t="str">
        <x:f>IF(U83&lt;&gt;"Open",U83,IF(N83&gt;=0.8,"Commit",IF(N83&gt;=0.5,"Best Case","Pipeline")))</x:f>
        <x:v>Won</x:v>
      </x:c>
    </x:row>
    <x:row r="84">
      <x:c r="A84" t="str">
        <x:v>L00083</x:v>
      </x:c>
      <x:c r="B84" s="10" t="n">
        <x:v>45701</x:v>
      </x:c>
      <x:c r="C84" t="str">
        <x:v>Quynh Vu</x:v>
      </x:c>
      <x:c r="D84" t="str">
        <x:v>North</x:v>
      </x:c>
      <x:c r="E84" t="str">
        <x:v>Partner Referral</x:v>
      </x:c>
      <x:c r="F84" t="str">
        <x:v>CS-CLOUD</x:v>
      </x:c>
      <x:c r="G84" t="str">
        <x:v>Financial Services</x:v>
      </x:c>
      <x:c r="H84" t="str">
        <x:v>Mid-Market</x:v>
      </x:c>
      <x:c r="I84" t="str">
        <x:v>Negotiation</x:v>
      </x:c>
      <x:c r="J84" s="10" t="n">
        <x:v>45913</x:v>
      </x:c>
      <x:c r="K84" s="10"/>
      <x:c r="L84" s="22" t="n">
        <x:v>36100</x:v>
      </x:c>
      <x:c r="M84" s="24" t="n">
        <x:v>0.05</x:v>
      </x:c>
      <x:c r="N84" s="24" t="n">
        <x:v>0.85</x:v>
      </x:c>
      <x:c r="O84" t="str"/>
      <x:c r="P84" t="n">
        <x:v>5</x:v>
      </x:c>
      <x:c r="Q84" t="str">
        <x:f>IFERROR(XLOOKUP(E84,Lookups!$A$5:$A$24,Lookups!$B$5:$B$24),"Other")</x:f>
        <x:v>Referral</x:v>
      </x:c>
      <x:c r="R84" t="str">
        <x:f>IFERROR(XLOOKUP(F84,Lookups!$D$5:$D$10,Lookups!$E$5:$E$10),"Unknown Product")</x:f>
        <x:v>Service Cloud</x:v>
      </x:c>
      <x:c r="S84" t="str">
        <x:f>IFERROR(XLOOKUP(F84,Lookups!$D$5:$D$10,Lookups!$F$5:$F$10),"Unknown")</x:f>
        <x:v>Customer Service</x:v>
      </x:c>
      <x:c r="T84" t="str">
        <x:f>IF(L84&gt;=50000,"Enterprise",IF(L84&gt;=20000,"Mid-Market","SMB"))</x:f>
        <x:v>Mid-Market</x:v>
      </x:c>
      <x:c r="U84" t="str">
        <x:f>IF(I84="Closed Won","Won",IF(I84="Closed Lost","Lost","Open"))</x:f>
        <x:v>Open</x:v>
      </x:c>
      <x:c r="V84" s="22" t="n">
        <x:f>IF(U84="Won",L84*(1-M84),0)</x:f>
        <x:v>0</x:v>
      </x:c>
      <x:c r="W84" s="22" t="n">
        <x:f>IF(U84="Open",L84*N84,0)</x:f>
        <x:v>30685</x:v>
      </x:c>
      <x:c r="X84" s="26" t="str">
        <x:f>IF(U84="Open","",IFERROR(K84-B84,""))</x:f>
      </x:c>
      <x:c r="Y84" s="26" t="n">
        <x:f>IF(U84="Open",Lookups!$B$2-B84,X84)</x:f>
        <x:v>565</x:v>
      </x:c>
      <x:c r="Z84" t="str">
        <x:f>IF(AND(U84="Open",Y84&gt;30),"STALE","OK")</x:f>
        <x:v>STALE</x:v>
      </x:c>
      <x:c r="AA84" t="str">
        <x:f>TEXT(B84,"yyyy-mm")</x:f>
        <x:v>2025-02</x:v>
      </x:c>
      <x:c r="AB84" t="str">
        <x:f>IF(K84="","",TEXT(K84,"yyyy-mm"))</x:f>
      </x:c>
      <x:c r="AC84" t="str">
        <x:f>"Q"&amp;ROUNDUP(MONTH(B84)/3,0)&amp;"-"&amp;YEAR(B84)</x:f>
        <x:v>Q1-2025</x:v>
      </x:c>
      <x:c r="AD84" s="26" t="n">
        <x:f>MIN(100,IF(H84="Enterprise",30,IF(H84="Mid-Market",22,14))+IF(T84="Enterprise",25,IF(T84="Mid-Market",18,10))+IF(Q84="Referral",25,IF(Q84="Organic Search",20,IF(Q84="Email",18,14)))+IF(G84="Technology",10,5))</x:f>
        <x:v>70</x:v>
      </x:c>
      <x:c r="AE84" t="str">
        <x:f>IF(U84&lt;&gt;"Open",U84,IF(N84&gt;=0.8,"Commit",IF(N84&gt;=0.5,"Best Case","Pipeline")))</x:f>
        <x:v>Commit</x:v>
      </x:c>
    </x:row>
    <x:row r="85">
      <x:c r="A85" t="str">
        <x:v>L00084</x:v>
      </x:c>
      <x:c r="B85" s="10" t="n">
        <x:v>46265</x:v>
      </x:c>
      <x:c r="C85" t="str">
        <x:v>Chi Le</x:v>
      </x:c>
      <x:c r="D85" t="str">
        <x:v>South</x:v>
      </x:c>
      <x:c r="E85" t="str">
        <x:v>google cpc</x:v>
      </x:c>
      <x:c r="F85" t="str">
        <x:v>CRM-CORE</x:v>
      </x:c>
      <x:c r="G85" t="str">
        <x:v>Technology</x:v>
      </x:c>
      <x:c r="H85" t="str">
        <x:v>SMB</x:v>
      </x:c>
      <x:c r="I85" t="str">
        <x:v>New</x:v>
      </x:c>
      <x:c r="J85" s="10" t="n">
        <x:v>46266</x:v>
      </x:c>
      <x:c r="K85" s="10"/>
      <x:c r="L85" s="22" t="n">
        <x:v>4500</x:v>
      </x:c>
      <x:c r="M85" s="24" t="n">
        <x:v>0.05</x:v>
      </x:c>
      <x:c r="N85" s="24" t="n">
        <x:v>0.05</x:v>
      </x:c>
      <x:c r="O85" t="str"/>
      <x:c r="P85" t="n">
        <x:v>1</x:v>
      </x:c>
      <x:c r="Q85" t="str">
        <x:f>IFERROR(XLOOKUP(E85,Lookups!$A$5:$A$24,Lookups!$B$5:$B$24),"Other")</x:f>
        <x:v>Paid Search</x:v>
      </x:c>
      <x:c r="R85" t="str">
        <x:f>IFERROR(XLOOKUP(F85,Lookups!$D$5:$D$10,Lookups!$E$5:$E$10),"Unknown Product")</x:f>
        <x:v>NexaCRM Core</x:v>
      </x:c>
      <x:c r="S85" t="str">
        <x:f>IFERROR(XLOOKUP(F85,Lookups!$D$5:$D$10,Lookups!$F$5:$F$10),"Unknown")</x:f>
        <x:v>CRM</x:v>
      </x:c>
      <x:c r="T85" t="str">
        <x:f>IF(L85&gt;=50000,"Enterprise",IF(L85&gt;=20000,"Mid-Market","SMB"))</x:f>
        <x:v>SMB</x:v>
      </x:c>
      <x:c r="U85" t="str">
        <x:f>IF(I85="Closed Won","Won",IF(I85="Closed Lost","Lost","Open"))</x:f>
        <x:v>Open</x:v>
      </x:c>
      <x:c r="V85" s="22" t="n">
        <x:f>IF(U85="Won",L85*(1-M85),0)</x:f>
        <x:v>0</x:v>
      </x:c>
      <x:c r="W85" s="22" t="n">
        <x:f>IF(U85="Open",L85*N85,0)</x:f>
        <x:v>225</x:v>
      </x:c>
      <x:c r="X85" s="26" t="str">
        <x:f>IF(U85="Open","",IFERROR(K85-B85,""))</x:f>
      </x:c>
      <x:c r="Y85" s="26" t="n">
        <x:f>IF(U85="Open",Lookups!$B$2-B85,X85)</x:f>
        <x:v>1</x:v>
      </x:c>
      <x:c r="Z85" t="str">
        <x:f>IF(AND(U85="Open",Y85&gt;30),"STALE","OK")</x:f>
        <x:v>OK</x:v>
      </x:c>
      <x:c r="AA85" t="str">
        <x:f>TEXT(B85,"yyyy-mm")</x:f>
        <x:v>2026-08</x:v>
      </x:c>
      <x:c r="AB85" t="str">
        <x:f>IF(K85="","",TEXT(K85,"yyyy-mm"))</x:f>
      </x:c>
      <x:c r="AC85" t="str">
        <x:f>"Q"&amp;ROUNDUP(MONTH(B85)/3,0)&amp;"-"&amp;YEAR(B85)</x:f>
        <x:v>Q3-2026</x:v>
      </x:c>
      <x:c r="AD85" s="26" t="n">
        <x:f>MIN(100,IF(H85="Enterprise",30,IF(H85="Mid-Market",22,14))+IF(T85="Enterprise",25,IF(T85="Mid-Market",18,10))+IF(Q85="Referral",25,IF(Q85="Organic Search",20,IF(Q85="Email",18,14)))+IF(G85="Technology",10,5))</x:f>
        <x:v>48</x:v>
      </x:c>
      <x:c r="AE85" t="str">
        <x:f>IF(U85&lt;&gt;"Open",U85,IF(N85&gt;=0.8,"Commit",IF(N85&gt;=0.5,"Best Case","Pipeline")))</x:f>
        <x:v>Pipeline</x:v>
      </x:c>
    </x:row>
    <x:row r="86">
      <x:c r="A86" t="str">
        <x:v>L00085</x:v>
      </x:c>
      <x:c r="B86" s="10" t="n">
        <x:v>46135</x:v>
      </x:c>
      <x:c r="C86" t="str">
        <x:v>Duy Pham</x:v>
      </x:c>
      <x:c r="D86" t="str">
        <x:v>South</x:v>
      </x:c>
      <x:c r="E86" t="str">
        <x:v>Cold Email</x:v>
      </x:c>
      <x:c r="F86" t="str">
        <x:v>MKT-AUTO</x:v>
      </x:c>
      <x:c r="G86" t="str">
        <x:v>Technology</x:v>
      </x:c>
      <x:c r="H86" t="str">
        <x:v>SMB</x:v>
      </x:c>
      <x:c r="I86" t="str">
        <x:v>Closed Lost</x:v>
      </x:c>
      <x:c r="J86" s="10" t="n">
        <x:v>46179</x:v>
      </x:c>
      <x:c r="K86" s="10" t="n">
        <x:v>46179</x:v>
      </x:c>
      <x:c r="L86" s="22" t="n">
        <x:v>13400</x:v>
      </x:c>
      <x:c r="M86" s="24" t="n">
        <x:v>0</x:v>
      </x:c>
      <x:c r="N86" s="24" t="n">
        <x:v>0</x:v>
      </x:c>
      <x:c r="O86" t="str">
        <x:v>Competitor</x:v>
      </x:c>
      <x:c r="P86" t="n">
        <x:v>4</x:v>
      </x:c>
      <x:c r="Q86" t="str">
        <x:f>IFERROR(XLOOKUP(E86,Lookups!$A$5:$A$24,Lookups!$B$5:$B$24),"Other")</x:f>
        <x:v>Outbound</x:v>
      </x:c>
      <x:c r="R86" t="str">
        <x:f>IFERROR(XLOOKUP(F86,Lookups!$D$5:$D$10,Lookups!$E$5:$E$10),"Unknown Product")</x:f>
        <x:v>Marketing Automation</x:v>
      </x:c>
      <x:c r="S86" t="str">
        <x:f>IFERROR(XLOOKUP(F86,Lookups!$D$5:$D$10,Lookups!$F$5:$F$10),"Unknown")</x:f>
        <x:v>Marketing</x:v>
      </x:c>
      <x:c r="T86" t="str">
        <x:f>IF(L86&gt;=50000,"Enterprise",IF(L86&gt;=20000,"Mid-Market","SMB"))</x:f>
        <x:v>SMB</x:v>
      </x:c>
      <x:c r="U86" t="str">
        <x:f>IF(I86="Closed Won","Won",IF(I86="Closed Lost","Lost","Open"))</x:f>
        <x:v>Lost</x:v>
      </x:c>
      <x:c r="V86" s="22" t="n">
        <x:f>IF(U86="Won",L86*(1-M86),0)</x:f>
        <x:v>0</x:v>
      </x:c>
      <x:c r="W86" s="22" t="n">
        <x:f>IF(U86="Open",L86*N86,0)</x:f>
        <x:v>0</x:v>
      </x:c>
      <x:c r="X86" s="26" t="n">
        <x:f>IF(U86="Open","",IFERROR(K86-B86,""))</x:f>
        <x:v>44</x:v>
      </x:c>
      <x:c r="Y86" s="26" t="n">
        <x:f>IF(U86="Open",Lookups!$B$2-B86,X86)</x:f>
        <x:v>44</x:v>
      </x:c>
      <x:c r="Z86" t="str">
        <x:f>IF(AND(U86="Open",Y86&gt;30),"STALE","OK")</x:f>
        <x:v>OK</x:v>
      </x:c>
      <x:c r="AA86" t="str">
        <x:f>TEXT(B86,"yyyy-mm")</x:f>
        <x:v>2026-04</x:v>
      </x:c>
      <x:c r="AB86" t="str">
        <x:f>IF(K86="","",TEXT(K86,"yyyy-mm"))</x:f>
        <x:v>2026-06</x:v>
      </x:c>
      <x:c r="AC86" t="str">
        <x:f>"Q"&amp;ROUNDUP(MONTH(B86)/3,0)&amp;"-"&amp;YEAR(B86)</x:f>
        <x:v>Q2-2026</x:v>
      </x:c>
      <x:c r="AD86" s="26" t="n">
        <x:f>MIN(100,IF(H86="Enterprise",30,IF(H86="Mid-Market",22,14))+IF(T86="Enterprise",25,IF(T86="Mid-Market",18,10))+IF(Q86="Referral",25,IF(Q86="Organic Search",20,IF(Q86="Email",18,14)))+IF(G86="Technology",10,5))</x:f>
        <x:v>48</x:v>
      </x:c>
      <x:c r="AE86" t="str">
        <x:f>IF(U86&lt;&gt;"Open",U86,IF(N86&gt;=0.8,"Commit",IF(N86&gt;=0.5,"Best Case","Pipeline")))</x:f>
        <x:v>Lost</x:v>
      </x:c>
    </x:row>
    <x:row r="87">
      <x:c r="A87" t="str">
        <x:v>L00086</x:v>
      </x:c>
      <x:c r="B87" s="10" t="n">
        <x:v>45782</x:v>
      </x:c>
      <x:c r="C87" t="str">
        <x:v>Ha Vo</x:v>
      </x:c>
      <x:c r="D87" t="str">
        <x:v>North</x:v>
      </x:c>
      <x:c r="E87" t="str">
        <x:v>customer referral</x:v>
      </x:c>
      <x:c r="F87" t="str">
        <x:v>MKT-AUTO</x:v>
      </x:c>
      <x:c r="G87" t="str">
        <x:v>Healthcare</x:v>
      </x:c>
      <x:c r="H87" t="str">
        <x:v>SMB</x:v>
      </x:c>
      <x:c r="I87" t="str">
        <x:v>Closed Lost</x:v>
      </x:c>
      <x:c r="J87" s="10" t="n">
        <x:v>45828</x:v>
      </x:c>
      <x:c r="K87" s="10" t="n">
        <x:v>45828</x:v>
      </x:c>
      <x:c r="L87" s="22" t="n">
        <x:v>15600</x:v>
      </x:c>
      <x:c r="M87" s="24" t="n">
        <x:v>0</x:v>
      </x:c>
      <x:c r="N87" s="24" t="n">
        <x:v>0</x:v>
      </x:c>
      <x:c r="O87" t="str">
        <x:v>Competitor</x:v>
      </x:c>
      <x:c r="P87" t="n">
        <x:v>5</x:v>
      </x:c>
      <x:c r="Q87" t="str">
        <x:f>IFERROR(XLOOKUP(E87,Lookups!$A$5:$A$24,Lookups!$B$5:$B$24),"Other")</x:f>
        <x:v>Referral</x:v>
      </x:c>
      <x:c r="R87" t="str">
        <x:f>IFERROR(XLOOKUP(F87,Lookups!$D$5:$D$10,Lookups!$E$5:$E$10),"Unknown Product")</x:f>
        <x:v>Marketing Automation</x:v>
      </x:c>
      <x:c r="S87" t="str">
        <x:f>IFERROR(XLOOKUP(F87,Lookups!$D$5:$D$10,Lookups!$F$5:$F$10),"Unknown")</x:f>
        <x:v>Marketing</x:v>
      </x:c>
      <x:c r="T87" t="str">
        <x:f>IF(L87&gt;=50000,"Enterprise",IF(L87&gt;=20000,"Mid-Market","SMB"))</x:f>
        <x:v>SMB</x:v>
      </x:c>
      <x:c r="U87" t="str">
        <x:f>IF(I87="Closed Won","Won",IF(I87="Closed Lost","Lost","Open"))</x:f>
        <x:v>Lost</x:v>
      </x:c>
      <x:c r="V87" s="22" t="n">
        <x:f>IF(U87="Won",L87*(1-M87),0)</x:f>
        <x:v>0</x:v>
      </x:c>
      <x:c r="W87" s="22" t="n">
        <x:f>IF(U87="Open",L87*N87,0)</x:f>
        <x:v>0</x:v>
      </x:c>
      <x:c r="X87" s="26" t="n">
        <x:f>IF(U87="Open","",IFERROR(K87-B87,""))</x:f>
        <x:v>46</x:v>
      </x:c>
      <x:c r="Y87" s="26" t="n">
        <x:f>IF(U87="Open",Lookups!$B$2-B87,X87)</x:f>
        <x:v>46</x:v>
      </x:c>
      <x:c r="Z87" t="str">
        <x:f>IF(AND(U87="Open",Y87&gt;30),"STALE","OK")</x:f>
        <x:v>OK</x:v>
      </x:c>
      <x:c r="AA87" t="str">
        <x:f>TEXT(B87,"yyyy-mm")</x:f>
        <x:v>2025-05</x:v>
      </x:c>
      <x:c r="AB87" t="str">
        <x:f>IF(K87="","",TEXT(K87,"yyyy-mm"))</x:f>
        <x:v>2025-06</x:v>
      </x:c>
      <x:c r="AC87" t="str">
        <x:f>"Q"&amp;ROUNDUP(MONTH(B87)/3,0)&amp;"-"&amp;YEAR(B87)</x:f>
        <x:v>Q2-2025</x:v>
      </x:c>
      <x:c r="AD87" s="26" t="n">
        <x:f>MIN(100,IF(H87="Enterprise",30,IF(H87="Mid-Market",22,14))+IF(T87="Enterprise",25,IF(T87="Mid-Market",18,10))+IF(Q87="Referral",25,IF(Q87="Organic Search",20,IF(Q87="Email",18,14)))+IF(G87="Technology",10,5))</x:f>
        <x:v>54</x:v>
      </x:c>
      <x:c r="AE87" t="str">
        <x:f>IF(U87&lt;&gt;"Open",U87,IF(N87&gt;=0.8,"Commit",IF(N87&gt;=0.5,"Best Case","Pipeline")))</x:f>
        <x:v>Lost</x:v>
      </x:c>
    </x:row>
    <x:row r="88">
      <x:c r="A88" t="str">
        <x:v>L00087</x:v>
      </x:c>
      <x:c r="B88" s="10" t="n">
        <x:v>46042</x:v>
      </x:c>
      <x:c r="C88" t="str">
        <x:v>Chi Le</x:v>
      </x:c>
      <x:c r="D88" t="str">
        <x:v>South</x:v>
      </x:c>
      <x:c r="E88" t="str">
        <x:v>SDR Outreach</x:v>
      </x:c>
      <x:c r="F88" t="str">
        <x:v>CRM-CORE</x:v>
      </x:c>
      <x:c r="G88" t="str">
        <x:v>Financial Services</x:v>
      </x:c>
      <x:c r="H88" t="str">
        <x:v>SMB</x:v>
      </x:c>
      <x:c r="I88" t="str">
        <x:v>Closed Lost</x:v>
      </x:c>
      <x:c r="J88" s="10" t="n">
        <x:v>46105</x:v>
      </x:c>
      <x:c r="K88" s="10" t="n">
        <x:v>46105</x:v>
      </x:c>
      <x:c r="L88" s="22" t="n">
        <x:v>7600</x:v>
      </x:c>
      <x:c r="M88" s="24" t="n">
        <x:v>0</x:v>
      </x:c>
      <x:c r="N88" s="24" t="n">
        <x:v>0</x:v>
      </x:c>
      <x:c r="O88" t="str">
        <x:v>No Decision</x:v>
      </x:c>
      <x:c r="P88" t="n">
        <x:v>3</x:v>
      </x:c>
      <x:c r="Q88" t="str">
        <x:f>IFERROR(XLOOKUP(E88,Lookups!$A$5:$A$24,Lookups!$B$5:$B$24),"Other")</x:f>
        <x:v>Outbound</x:v>
      </x:c>
      <x:c r="R88" t="str">
        <x:f>IFERROR(XLOOKUP(F88,Lookups!$D$5:$D$10,Lookups!$E$5:$E$10),"Unknown Product")</x:f>
        <x:v>NexaCRM Core</x:v>
      </x:c>
      <x:c r="S88" t="str">
        <x:f>IFERROR(XLOOKUP(F88,Lookups!$D$5:$D$10,Lookups!$F$5:$F$10),"Unknown")</x:f>
        <x:v>CRM</x:v>
      </x:c>
      <x:c r="T88" t="str">
        <x:f>IF(L88&gt;=50000,"Enterprise",IF(L88&gt;=20000,"Mid-Market","SMB"))</x:f>
        <x:v>SMB</x:v>
      </x:c>
      <x:c r="U88" t="str">
        <x:f>IF(I88="Closed Won","Won",IF(I88="Closed Lost","Lost","Open"))</x:f>
        <x:v>Lost</x:v>
      </x:c>
      <x:c r="V88" s="22" t="n">
        <x:f>IF(U88="Won",L88*(1-M88),0)</x:f>
        <x:v>0</x:v>
      </x:c>
      <x:c r="W88" s="22" t="n">
        <x:f>IF(U88="Open",L88*N88,0)</x:f>
        <x:v>0</x:v>
      </x:c>
      <x:c r="X88" s="26" t="n">
        <x:f>IF(U88="Open","",IFERROR(K88-B88,""))</x:f>
        <x:v>63</x:v>
      </x:c>
      <x:c r="Y88" s="26" t="n">
        <x:f>IF(U88="Open",Lookups!$B$2-B88,X88)</x:f>
        <x:v>63</x:v>
      </x:c>
      <x:c r="Z88" t="str">
        <x:f>IF(AND(U88="Open",Y88&gt;30),"STALE","OK")</x:f>
        <x:v>OK</x:v>
      </x:c>
      <x:c r="AA88" t="str">
        <x:f>TEXT(B88,"yyyy-mm")</x:f>
        <x:v>2026-01</x:v>
      </x:c>
      <x:c r="AB88" t="str">
        <x:f>IF(K88="","",TEXT(K88,"yyyy-mm"))</x:f>
        <x:v>2026-03</x:v>
      </x:c>
      <x:c r="AC88" t="str">
        <x:f>"Q"&amp;ROUNDUP(MONTH(B88)/3,0)&amp;"-"&amp;YEAR(B88)</x:f>
        <x:v>Q1-2026</x:v>
      </x:c>
      <x:c r="AD88" s="26" t="n">
        <x:f>MIN(100,IF(H88="Enterprise",30,IF(H88="Mid-Market",22,14))+IF(T88="Enterprise",25,IF(T88="Mid-Market",18,10))+IF(Q88="Referral",25,IF(Q88="Organic Search",20,IF(Q88="Email",18,14)))+IF(G88="Technology",10,5))</x:f>
        <x:v>43</x:v>
      </x:c>
      <x:c r="AE88" t="str">
        <x:f>IF(U88&lt;&gt;"Open",U88,IF(N88&gt;=0.8,"Commit",IF(N88&gt;=0.5,"Best Case","Pipeline")))</x:f>
        <x:v>Lost</x:v>
      </x:c>
    </x:row>
    <x:row r="89">
      <x:c r="A89" t="str">
        <x:v>L00088</x:v>
      </x:c>
      <x:c r="B89" s="10" t="n">
        <x:v>45694</x:v>
      </x:c>
      <x:c r="C89" t="str">
        <x:v>Ha Vo</x:v>
      </x:c>
      <x:c r="D89" t="str">
        <x:v>North</x:v>
      </x:c>
      <x:c r="E89" t="str">
        <x:v>SEM - Google</x:v>
      </x:c>
      <x:c r="F89" t="str">
        <x:v>MKT-AUTO</x:v>
      </x:c>
      <x:c r="G89" t="str">
        <x:v>Healthcare</x:v>
      </x:c>
      <x:c r="H89" t="str">
        <x:v>SMB</x:v>
      </x:c>
      <x:c r="I89" t="str">
        <x:v>Closed Won</x:v>
      </x:c>
      <x:c r="J89" s="10" t="n">
        <x:v>45729</x:v>
      </x:c>
      <x:c r="K89" s="10" t="n">
        <x:v>45729</x:v>
      </x:c>
      <x:c r="L89" s="22" t="n">
        <x:v>17500</x:v>
      </x:c>
      <x:c r="M89" s="24" t="n">
        <x:v>0.03</x:v>
      </x:c>
      <x:c r="N89" s="24" t="n">
        <x:v>1</x:v>
      </x:c>
      <x:c r="O89" t="str"/>
      <x:c r="P89" t="n">
        <x:v>6</x:v>
      </x:c>
      <x:c r="Q89" t="str">
        <x:f>IFERROR(XLOOKUP(E89,Lookups!$A$5:$A$24,Lookups!$B$5:$B$24),"Other")</x:f>
        <x:v>Paid Search</x:v>
      </x:c>
      <x:c r="R89" t="str">
        <x:f>IFERROR(XLOOKUP(F89,Lookups!$D$5:$D$10,Lookups!$E$5:$E$10),"Unknown Product")</x:f>
        <x:v>Marketing Automation</x:v>
      </x:c>
      <x:c r="S89" t="str">
        <x:f>IFERROR(XLOOKUP(F89,Lookups!$D$5:$D$10,Lookups!$F$5:$F$10),"Unknown")</x:f>
        <x:v>Marketing</x:v>
      </x:c>
      <x:c r="T89" t="str">
        <x:f>IF(L89&gt;=50000,"Enterprise",IF(L89&gt;=20000,"Mid-Market","SMB"))</x:f>
        <x:v>SMB</x:v>
      </x:c>
      <x:c r="U89" t="str">
        <x:f>IF(I89="Closed Won","Won",IF(I89="Closed Lost","Lost","Open"))</x:f>
        <x:v>Won</x:v>
      </x:c>
      <x:c r="V89" s="22" t="n">
        <x:f>IF(U89="Won",L89*(1-M89),0)</x:f>
        <x:v>16975</x:v>
      </x:c>
      <x:c r="W89" s="22" t="n">
        <x:f>IF(U89="Open",L89*N89,0)</x:f>
        <x:v>0</x:v>
      </x:c>
      <x:c r="X89" s="26" t="n">
        <x:f>IF(U89="Open","",IFERROR(K89-B89,""))</x:f>
        <x:v>35</x:v>
      </x:c>
      <x:c r="Y89" s="26" t="n">
        <x:f>IF(U89="Open",Lookups!$B$2-B89,X89)</x:f>
        <x:v>35</x:v>
      </x:c>
      <x:c r="Z89" t="str">
        <x:f>IF(AND(U89="Open",Y89&gt;30),"STALE","OK")</x:f>
        <x:v>OK</x:v>
      </x:c>
      <x:c r="AA89" t="str">
        <x:f>TEXT(B89,"yyyy-mm")</x:f>
        <x:v>2025-02</x:v>
      </x:c>
      <x:c r="AB89" t="str">
        <x:f>IF(K89="","",TEXT(K89,"yyyy-mm"))</x:f>
        <x:v>2025-03</x:v>
      </x:c>
      <x:c r="AC89" t="str">
        <x:f>"Q"&amp;ROUNDUP(MONTH(B89)/3,0)&amp;"-"&amp;YEAR(B89)</x:f>
        <x:v>Q1-2025</x:v>
      </x:c>
      <x:c r="AD89" s="26" t="n">
        <x:f>MIN(100,IF(H89="Enterprise",30,IF(H89="Mid-Market",22,14))+IF(T89="Enterprise",25,IF(T89="Mid-Market",18,10))+IF(Q89="Referral",25,IF(Q89="Organic Search",20,IF(Q89="Email",18,14)))+IF(G89="Technology",10,5))</x:f>
        <x:v>43</x:v>
      </x:c>
      <x:c r="AE89" t="str">
        <x:f>IF(U89&lt;&gt;"Open",U89,IF(N89&gt;=0.8,"Commit",IF(N89&gt;=0.5,"Best Case","Pipeline")))</x:f>
        <x:v>Won</x:v>
      </x:c>
    </x:row>
    <x:row r="90">
      <x:c r="A90" t="str">
        <x:v>L00089</x:v>
      </x:c>
      <x:c r="B90" s="10" t="n">
        <x:v>46024</x:v>
      </x:c>
      <x:c r="C90" t="str">
        <x:v>Quynh Vu</x:v>
      </x:c>
      <x:c r="D90" t="str">
        <x:v>North</x:v>
      </x:c>
      <x:c r="E90" t="str">
        <x:v>Email Campaign</x:v>
      </x:c>
      <x:c r="F90" t="str">
        <x:v>CRM-CORE</x:v>
      </x:c>
      <x:c r="G90" t="str">
        <x:v>Retail</x:v>
      </x:c>
      <x:c r="H90" t="str">
        <x:v>Mid-Market</x:v>
      </x:c>
      <x:c r="I90" t="str">
        <x:v>Closed Lost</x:v>
      </x:c>
      <x:c r="J90" s="10" t="n">
        <x:v>46036</x:v>
      </x:c>
      <x:c r="K90" s="10" t="n">
        <x:v>46036</x:v>
      </x:c>
      <x:c r="L90" s="22" t="n">
        <x:v>16200</x:v>
      </x:c>
      <x:c r="M90" s="24" t="n">
        <x:v>0</x:v>
      </x:c>
      <x:c r="N90" s="24" t="n">
        <x:v>0</x:v>
      </x:c>
      <x:c r="O90" t="str">
        <x:v>No Decision</x:v>
      </x:c>
      <x:c r="P90" t="n">
        <x:v>3</x:v>
      </x:c>
      <x:c r="Q90" t="str">
        <x:f>IFERROR(XLOOKUP(E90,Lookups!$A$5:$A$24,Lookups!$B$5:$B$24),"Other")</x:f>
        <x:v>Email</x:v>
      </x:c>
      <x:c r="R90" t="str">
        <x:f>IFERROR(XLOOKUP(F90,Lookups!$D$5:$D$10,Lookups!$E$5:$E$10),"Unknown Product")</x:f>
        <x:v>NexaCRM Core</x:v>
      </x:c>
      <x:c r="S90" t="str">
        <x:f>IFERROR(XLOOKUP(F90,Lookups!$D$5:$D$10,Lookups!$F$5:$F$10),"Unknown")</x:f>
        <x:v>CRM</x:v>
      </x:c>
      <x:c r="T90" t="str">
        <x:f>IF(L90&gt;=50000,"Enterprise",IF(L90&gt;=20000,"Mid-Market","SMB"))</x:f>
        <x:v>SMB</x:v>
      </x:c>
      <x:c r="U90" t="str">
        <x:f>IF(I90="Closed Won","Won",IF(I90="Closed Lost","Lost","Open"))</x:f>
        <x:v>Lost</x:v>
      </x:c>
      <x:c r="V90" s="22" t="n">
        <x:f>IF(U90="Won",L90*(1-M90),0)</x:f>
        <x:v>0</x:v>
      </x:c>
      <x:c r="W90" s="22" t="n">
        <x:f>IF(U90="Open",L90*N90,0)</x:f>
        <x:v>0</x:v>
      </x:c>
      <x:c r="X90" s="26" t="n">
        <x:f>IF(U90="Open","",IFERROR(K90-B90,""))</x:f>
        <x:v>12</x:v>
      </x:c>
      <x:c r="Y90" s="26" t="n">
        <x:f>IF(U90="Open",Lookups!$B$2-B90,X90)</x:f>
        <x:v>12</x:v>
      </x:c>
      <x:c r="Z90" t="str">
        <x:f>IF(AND(U90="Open",Y90&gt;30),"STALE","OK")</x:f>
        <x:v>OK</x:v>
      </x:c>
      <x:c r="AA90" t="str">
        <x:f>TEXT(B90,"yyyy-mm")</x:f>
        <x:v>2026-01</x:v>
      </x:c>
      <x:c r="AB90" t="str">
        <x:f>IF(K90="","",TEXT(K90,"yyyy-mm"))</x:f>
        <x:v>2026-01</x:v>
      </x:c>
      <x:c r="AC90" t="str">
        <x:f>"Q"&amp;ROUNDUP(MONTH(B90)/3,0)&amp;"-"&amp;YEAR(B90)</x:f>
        <x:v>Q1-2026</x:v>
      </x:c>
      <x:c r="AD90" s="26" t="n">
        <x:f>MIN(100,IF(H90="Enterprise",30,IF(H90="Mid-Market",22,14))+IF(T90="Enterprise",25,IF(T90="Mid-Market",18,10))+IF(Q90="Referral",25,IF(Q90="Organic Search",20,IF(Q90="Email",18,14)))+IF(G90="Technology",10,5))</x:f>
        <x:v>55</x:v>
      </x:c>
      <x:c r="AE90" t="str">
        <x:f>IF(U90&lt;&gt;"Open",U90,IF(N90&gt;=0.8,"Commit",IF(N90&gt;=0.5,"Best Case","Pipeline")))</x:f>
        <x:v>Lost</x:v>
      </x:c>
    </x:row>
    <x:row r="91">
      <x:c r="A91" t="str">
        <x:v>L00090</x:v>
      </x:c>
      <x:c r="B91" s="10" t="n">
        <x:v>46007</x:v>
      </x:c>
      <x:c r="C91" t="str">
        <x:v>Chi Le</x:v>
      </x:c>
      <x:c r="D91" t="str">
        <x:v>South</x:v>
      </x:c>
      <x:c r="E91" t="str">
        <x:v>SEO</x:v>
      </x:c>
      <x:c r="F91" t="str">
        <x:v>REV-OPS</x:v>
      </x:c>
      <x:c r="G91" t="str">
        <x:v>Retail</x:v>
      </x:c>
      <x:c r="H91" t="str">
        <x:v>Enterprise</x:v>
      </x:c>
      <x:c r="I91" t="str">
        <x:v>Closed Won</x:v>
      </x:c>
      <x:c r="J91" s="10" t="n">
        <x:v>46072</x:v>
      </x:c>
      <x:c r="K91" s="10" t="n">
        <x:v>46072</x:v>
      </x:c>
      <x:c r="L91" s="22" t="n">
        <x:v>74500</x:v>
      </x:c>
      <x:c r="M91" s="24" t="n">
        <x:v>0.12</x:v>
      </x:c>
      <x:c r="N91" s="24" t="n">
        <x:v>1</x:v>
      </x:c>
      <x:c r="O91" t="str"/>
      <x:c r="P91" t="n">
        <x:v>6</x:v>
      </x:c>
      <x:c r="Q91" t="str">
        <x:f>IFERROR(XLOOKUP(E91,Lookups!$A$5:$A$24,Lookups!$B$5:$B$24),"Other")</x:f>
        <x:v>Organic Search</x:v>
      </x:c>
      <x:c r="R91" t="str">
        <x:f>IFERROR(XLOOKUP(F91,Lookups!$D$5:$D$10,Lookups!$E$5:$E$10),"Unknown Product")</x:f>
        <x:v>Revenue Operations Suite</x:v>
      </x:c>
      <x:c r="S91" t="str">
        <x:f>IFERROR(XLOOKUP(F91,Lookups!$D$5:$D$10,Lookups!$F$5:$F$10),"Unknown")</x:f>
        <x:v>Revenue Ops</x:v>
      </x:c>
      <x:c r="T91" t="str">
        <x:f>IF(L91&gt;=50000,"Enterprise",IF(L91&gt;=20000,"Mid-Market","SMB"))</x:f>
        <x:v>Enterprise</x:v>
      </x:c>
      <x:c r="U91" t="str">
        <x:f>IF(I91="Closed Won","Won",IF(I91="Closed Lost","Lost","Open"))</x:f>
        <x:v>Won</x:v>
      </x:c>
      <x:c r="V91" s="22" t="n">
        <x:f>IF(U91="Won",L91*(1-M91),0)</x:f>
        <x:v>65560</x:v>
      </x:c>
      <x:c r="W91" s="22" t="n">
        <x:f>IF(U91="Open",L91*N91,0)</x:f>
        <x:v>0</x:v>
      </x:c>
      <x:c r="X91" s="26" t="n">
        <x:f>IF(U91="Open","",IFERROR(K91-B91,""))</x:f>
        <x:v>65</x:v>
      </x:c>
      <x:c r="Y91" s="26" t="n">
        <x:f>IF(U91="Open",Lookups!$B$2-B91,X91)</x:f>
        <x:v>65</x:v>
      </x:c>
      <x:c r="Z91" t="str">
        <x:f>IF(AND(U91="Open",Y91&gt;30),"STALE","OK")</x:f>
        <x:v>OK</x:v>
      </x:c>
      <x:c r="AA91" t="str">
        <x:f>TEXT(B91,"yyyy-mm")</x:f>
        <x:v>2025-12</x:v>
      </x:c>
      <x:c r="AB91" t="str">
        <x:f>IF(K91="","",TEXT(K91,"yyyy-mm"))</x:f>
        <x:v>2026-02</x:v>
      </x:c>
      <x:c r="AC91" t="str">
        <x:f>"Q"&amp;ROUNDUP(MONTH(B91)/3,0)&amp;"-"&amp;YEAR(B91)</x:f>
        <x:v>Q4-2025</x:v>
      </x:c>
      <x:c r="AD91" s="26" t="n">
        <x:f>MIN(100,IF(H91="Enterprise",30,IF(H91="Mid-Market",22,14))+IF(T91="Enterprise",25,IF(T91="Mid-Market",18,10))+IF(Q91="Referral",25,IF(Q91="Organic Search",20,IF(Q91="Email",18,14)))+IF(G91="Technology",10,5))</x:f>
        <x:v>80</x:v>
      </x:c>
      <x:c r="AE91" t="str">
        <x:f>IF(U91&lt;&gt;"Open",U91,IF(N91&gt;=0.8,"Commit",IF(N91&gt;=0.5,"Best Case","Pipeline")))</x:f>
        <x:v>Won</x:v>
      </x:c>
    </x:row>
    <x:row r="92">
      <x:c r="A92" t="str">
        <x:v>L00091</x:v>
      </x:c>
      <x:c r="B92" s="10" t="n">
        <x:v>45873</x:v>
      </x:c>
      <x:c r="C92" t="str">
        <x:v>Minh Do</x:v>
      </x:c>
      <x:c r="D92" t="str">
        <x:v>North</x:v>
      </x:c>
      <x:c r="E92" t="str">
        <x:v>SEO</x:v>
      </x:c>
      <x:c r="F92" t="str">
        <x:v>CRM-CORE</x:v>
      </x:c>
      <x:c r="G92" t="str">
        <x:v>Retail</x:v>
      </x:c>
      <x:c r="H92" t="str">
        <x:v>SMB</x:v>
      </x:c>
      <x:c r="I92" t="str">
        <x:v>Negotiation</x:v>
      </x:c>
      <x:c r="J92" s="10" t="n">
        <x:v>46097</x:v>
      </x:c>
      <x:c r="K92" s="10"/>
      <x:c r="L92" s="22" t="n">
        <x:v>6700</x:v>
      </x:c>
      <x:c r="M92" s="24" t="n">
        <x:v>0</x:v>
      </x:c>
      <x:c r="N92" s="24" t="n">
        <x:v>0.85</x:v>
      </x:c>
      <x:c r="O92" t="str"/>
      <x:c r="P92" t="n">
        <x:v>5</x:v>
      </x:c>
      <x:c r="Q92" t="str">
        <x:f>IFERROR(XLOOKUP(E92,Lookups!$A$5:$A$24,Lookups!$B$5:$B$24),"Other")</x:f>
        <x:v>Organic Search</x:v>
      </x:c>
      <x:c r="R92" t="str">
        <x:f>IFERROR(XLOOKUP(F92,Lookups!$D$5:$D$10,Lookups!$E$5:$E$10),"Unknown Product")</x:f>
        <x:v>NexaCRM Core</x:v>
      </x:c>
      <x:c r="S92" t="str">
        <x:f>IFERROR(XLOOKUP(F92,Lookups!$D$5:$D$10,Lookups!$F$5:$F$10),"Unknown")</x:f>
        <x:v>CRM</x:v>
      </x:c>
      <x:c r="T92" t="str">
        <x:f>IF(L92&gt;=50000,"Enterprise",IF(L92&gt;=20000,"Mid-Market","SMB"))</x:f>
        <x:v>SMB</x:v>
      </x:c>
      <x:c r="U92" t="str">
        <x:f>IF(I92="Closed Won","Won",IF(I92="Closed Lost","Lost","Open"))</x:f>
        <x:v>Open</x:v>
      </x:c>
      <x:c r="V92" s="22" t="n">
        <x:f>IF(U92="Won",L92*(1-M92),0)</x:f>
        <x:v>0</x:v>
      </x:c>
      <x:c r="W92" s="22" t="n">
        <x:f>IF(U92="Open",L92*N92,0)</x:f>
        <x:v>5695</x:v>
      </x:c>
      <x:c r="X92" s="26" t="str">
        <x:f>IF(U92="Open","",IFERROR(K92-B92,""))</x:f>
      </x:c>
      <x:c r="Y92" s="26" t="n">
        <x:f>IF(U92="Open",Lookups!$B$2-B92,X92)</x:f>
        <x:v>393</x:v>
      </x:c>
      <x:c r="Z92" t="str">
        <x:f>IF(AND(U92="Open",Y92&gt;30),"STALE","OK")</x:f>
        <x:v>STALE</x:v>
      </x:c>
      <x:c r="AA92" t="str">
        <x:f>TEXT(B92,"yyyy-mm")</x:f>
        <x:v>2025-08</x:v>
      </x:c>
      <x:c r="AB92" t="str">
        <x:f>IF(K92="","",TEXT(K92,"yyyy-mm"))</x:f>
      </x:c>
      <x:c r="AC92" t="str">
        <x:f>"Q"&amp;ROUNDUP(MONTH(B92)/3,0)&amp;"-"&amp;YEAR(B92)</x:f>
        <x:v>Q3-2025</x:v>
      </x:c>
      <x:c r="AD92" s="26" t="n">
        <x:f>MIN(100,IF(H92="Enterprise",30,IF(H92="Mid-Market",22,14))+IF(T92="Enterprise",25,IF(T92="Mid-Market",18,10))+IF(Q92="Referral",25,IF(Q92="Organic Search",20,IF(Q92="Email",18,14)))+IF(G92="Technology",10,5))</x:f>
        <x:v>49</x:v>
      </x:c>
      <x:c r="AE92" t="str">
        <x:f>IF(U92&lt;&gt;"Open",U92,IF(N92&gt;=0.8,"Commit",IF(N92&gt;=0.5,"Best Case","Pipeline")))</x:f>
        <x:v>Commit</x:v>
      </x:c>
    </x:row>
    <x:row r="93">
      <x:c r="A93" t="str">
        <x:v>L00092</x:v>
      </x:c>
      <x:c r="B93" s="10" t="n">
        <x:v>45822</x:v>
      </x:c>
      <x:c r="C93" t="str">
        <x:v>Tuan Bui</x:v>
      </x:c>
      <x:c r="D93" t="str">
        <x:v>Central</x:v>
      </x:c>
      <x:c r="E93" t="str">
        <x:v>Google Ads</x:v>
      </x:c>
      <x:c r="F93" t="str">
        <x:v>CS-CLOUD</x:v>
      </x:c>
      <x:c r="G93" t="str">
        <x:v>Education</x:v>
      </x:c>
      <x:c r="H93" t="str">
        <x:v>SMB</x:v>
      </x:c>
      <x:c r="I93" t="str">
        <x:v>Closed Lost</x:v>
      </x:c>
      <x:c r="J93" s="10" t="n">
        <x:v>45840</x:v>
      </x:c>
      <x:c r="K93" s="10" t="n">
        <x:v>45840</x:v>
      </x:c>
      <x:c r="L93" s="22" t="n">
        <x:v>27100</x:v>
      </x:c>
      <x:c r="M93" s="24" t="n">
        <x:v>0</x:v>
      </x:c>
      <x:c r="N93" s="24" t="n">
        <x:v>0</x:v>
      </x:c>
      <x:c r="O93" t="str">
        <x:v>Price</x:v>
      </x:c>
      <x:c r="P93" t="n">
        <x:v>2</x:v>
      </x:c>
      <x:c r="Q93" t="str">
        <x:f>IFERROR(XLOOKUP(E93,Lookups!$A$5:$A$24,Lookups!$B$5:$B$24),"Other")</x:f>
        <x:v>Paid Search</x:v>
      </x:c>
      <x:c r="R93" t="str">
        <x:f>IFERROR(XLOOKUP(F93,Lookups!$D$5:$D$10,Lookups!$E$5:$E$10),"Unknown Product")</x:f>
        <x:v>Service Cloud</x:v>
      </x:c>
      <x:c r="S93" t="str">
        <x:f>IFERROR(XLOOKUP(F93,Lookups!$D$5:$D$10,Lookups!$F$5:$F$10),"Unknown")</x:f>
        <x:v>Customer Service</x:v>
      </x:c>
      <x:c r="T93" t="str">
        <x:f>IF(L93&gt;=50000,"Enterprise",IF(L93&gt;=20000,"Mid-Market","SMB"))</x:f>
        <x:v>Mid-Market</x:v>
      </x:c>
      <x:c r="U93" t="str">
        <x:f>IF(I93="Closed Won","Won",IF(I93="Closed Lost","Lost","Open"))</x:f>
        <x:v>Lost</x:v>
      </x:c>
      <x:c r="V93" s="22" t="n">
        <x:f>IF(U93="Won",L93*(1-M93),0)</x:f>
        <x:v>0</x:v>
      </x:c>
      <x:c r="W93" s="22" t="n">
        <x:f>IF(U93="Open",L93*N93,0)</x:f>
        <x:v>0</x:v>
      </x:c>
      <x:c r="X93" s="26" t="n">
        <x:f>IF(U93="Open","",IFERROR(K93-B93,""))</x:f>
        <x:v>18</x:v>
      </x:c>
      <x:c r="Y93" s="26" t="n">
        <x:f>IF(U93="Open",Lookups!$B$2-B93,X93)</x:f>
        <x:v>18</x:v>
      </x:c>
      <x:c r="Z93" t="str">
        <x:f>IF(AND(U93="Open",Y93&gt;30),"STALE","OK")</x:f>
        <x:v>OK</x:v>
      </x:c>
      <x:c r="AA93" t="str">
        <x:f>TEXT(B93,"yyyy-mm")</x:f>
        <x:v>2025-06</x:v>
      </x:c>
      <x:c r="AB93" t="str">
        <x:f>IF(K93="","",TEXT(K93,"yyyy-mm"))</x:f>
        <x:v>2025-07</x:v>
      </x:c>
      <x:c r="AC93" t="str">
        <x:f>"Q"&amp;ROUNDUP(MONTH(B93)/3,0)&amp;"-"&amp;YEAR(B93)</x:f>
        <x:v>Q2-2025</x:v>
      </x:c>
      <x:c r="AD93" s="26" t="n">
        <x:f>MIN(100,IF(H93="Enterprise",30,IF(H93="Mid-Market",22,14))+IF(T93="Enterprise",25,IF(T93="Mid-Market",18,10))+IF(Q93="Referral",25,IF(Q93="Organic Search",20,IF(Q93="Email",18,14)))+IF(G93="Technology",10,5))</x:f>
        <x:v>51</x:v>
      </x:c>
      <x:c r="AE93" t="str">
        <x:f>IF(U93&lt;&gt;"Open",U93,IF(N93&gt;=0.8,"Commit",IF(N93&gt;=0.5,"Best Case","Pipeline")))</x:f>
        <x:v>Lost</x:v>
      </x:c>
    </x:row>
    <x:row r="94">
      <x:c r="A94" t="str">
        <x:v>L00093</x:v>
      </x:c>
      <x:c r="B94" s="10" t="n">
        <x:v>45701</x:v>
      </x:c>
      <x:c r="C94" t="str">
        <x:v>Quynh Vu</x:v>
      </x:c>
      <x:c r="D94" t="str">
        <x:v>North</x:v>
      </x:c>
      <x:c r="E94" t="str">
        <x:v>email nurture</x:v>
      </x:c>
      <x:c r="F94" t="str">
        <x:v>CS-CLOUD</x:v>
      </x:c>
      <x:c r="G94" t="str">
        <x:v>Financial Services</x:v>
      </x:c>
      <x:c r="H94" t="str">
        <x:v>Mid-Market</x:v>
      </x:c>
      <x:c r="I94" t="str">
        <x:v>Closed Won</x:v>
      </x:c>
      <x:c r="J94" s="10" t="n">
        <x:v>45722</x:v>
      </x:c>
      <x:c r="K94" s="10" t="n">
        <x:v>45722</x:v>
      </x:c>
      <x:c r="L94" s="22" t="n">
        <x:v>32900</x:v>
      </x:c>
      <x:c r="M94" s="24" t="n">
        <x:v>0.03</x:v>
      </x:c>
      <x:c r="N94" s="24" t="n">
        <x:v>1</x:v>
      </x:c>
      <x:c r="O94" t="str"/>
      <x:c r="P94" t="n">
        <x:v>6</x:v>
      </x:c>
      <x:c r="Q94" t="str">
        <x:f>IFERROR(XLOOKUP(E94,Lookups!$A$5:$A$24,Lookups!$B$5:$B$24),"Other")</x:f>
        <x:v>Email</x:v>
      </x:c>
      <x:c r="R94" t="str">
        <x:f>IFERROR(XLOOKUP(F94,Lookups!$D$5:$D$10,Lookups!$E$5:$E$10),"Unknown Product")</x:f>
        <x:v>Service Cloud</x:v>
      </x:c>
      <x:c r="S94" t="str">
        <x:f>IFERROR(XLOOKUP(F94,Lookups!$D$5:$D$10,Lookups!$F$5:$F$10),"Unknown")</x:f>
        <x:v>Customer Service</x:v>
      </x:c>
      <x:c r="T94" t="str">
        <x:f>IF(L94&gt;=50000,"Enterprise",IF(L94&gt;=20000,"Mid-Market","SMB"))</x:f>
        <x:v>Mid-Market</x:v>
      </x:c>
      <x:c r="U94" t="str">
        <x:f>IF(I94="Closed Won","Won",IF(I94="Closed Lost","Lost","Open"))</x:f>
        <x:v>Won</x:v>
      </x:c>
      <x:c r="V94" s="22" t="n">
        <x:f>IF(U94="Won",L94*(1-M94),0)</x:f>
        <x:v>31913</x:v>
      </x:c>
      <x:c r="W94" s="22" t="n">
        <x:f>IF(U94="Open",L94*N94,0)</x:f>
        <x:v>0</x:v>
      </x:c>
      <x:c r="X94" s="26" t="n">
        <x:f>IF(U94="Open","",IFERROR(K94-B94,""))</x:f>
        <x:v>21</x:v>
      </x:c>
      <x:c r="Y94" s="26" t="n">
        <x:f>IF(U94="Open",Lookups!$B$2-B94,X94)</x:f>
        <x:v>21</x:v>
      </x:c>
      <x:c r="Z94" t="str">
        <x:f>IF(AND(U94="Open",Y94&gt;30),"STALE","OK")</x:f>
        <x:v>OK</x:v>
      </x:c>
      <x:c r="AA94" t="str">
        <x:f>TEXT(B94,"yyyy-mm")</x:f>
        <x:v>2025-02</x:v>
      </x:c>
      <x:c r="AB94" t="str">
        <x:f>IF(K94="","",TEXT(K94,"yyyy-mm"))</x:f>
        <x:v>2025-03</x:v>
      </x:c>
      <x:c r="AC94" t="str">
        <x:f>"Q"&amp;ROUNDUP(MONTH(B94)/3,0)&amp;"-"&amp;YEAR(B94)</x:f>
        <x:v>Q1-2025</x:v>
      </x:c>
      <x:c r="AD94" s="26" t="n">
        <x:f>MIN(100,IF(H94="Enterprise",30,IF(H94="Mid-Market",22,14))+IF(T94="Enterprise",25,IF(T94="Mid-Market",18,10))+IF(Q94="Referral",25,IF(Q94="Organic Search",20,IF(Q94="Email",18,14)))+IF(G94="Technology",10,5))</x:f>
        <x:v>63</x:v>
      </x:c>
      <x:c r="AE94" t="str">
        <x:f>IF(U94&lt;&gt;"Open",U94,IF(N94&gt;=0.8,"Commit",IF(N94&gt;=0.5,"Best Case","Pipeline")))</x:f>
        <x:v>Won</x:v>
      </x:c>
    </x:row>
    <x:row r="95">
      <x:c r="A95" t="str">
        <x:v>L00094</x:v>
      </x:c>
      <x:c r="B95" s="10" t="n">
        <x:v>45689</x:v>
      </x:c>
      <x:c r="C95" t="str">
        <x:v>An Nguyen</x:v>
      </x:c>
      <x:c r="D95" t="str">
        <x:v>South</x:v>
      </x:c>
      <x:c r="E95" t="str">
        <x:v>SEO</x:v>
      </x:c>
      <x:c r="F95" t="str">
        <x:v>CRM-CORE</x:v>
      </x:c>
      <x:c r="G95" t="str">
        <x:v>Retail</x:v>
      </x:c>
      <x:c r="H95" t="str">
        <x:v>Enterprise</x:v>
      </x:c>
      <x:c r="I95" t="str">
        <x:v>Closed Won</x:v>
      </x:c>
      <x:c r="J95" s="10" t="n">
        <x:v>45774</x:v>
      </x:c>
      <x:c r="K95" s="10" t="n">
        <x:v>45774</x:v>
      </x:c>
      <x:c r="L95" s="22" t="n">
        <x:v>17600</x:v>
      </x:c>
      <x:c r="M95" s="24" t="n">
        <x:v>0.05</x:v>
      </x:c>
      <x:c r="N95" s="24" t="n">
        <x:v>1</x:v>
      </x:c>
      <x:c r="O95" t="str"/>
      <x:c r="P95" t="n">
        <x:v>6</x:v>
      </x:c>
      <x:c r="Q95" t="str">
        <x:f>IFERROR(XLOOKUP(E95,Lookups!$A$5:$A$24,Lookups!$B$5:$B$24),"Other")</x:f>
        <x:v>Organic Search</x:v>
      </x:c>
      <x:c r="R95" t="str">
        <x:f>IFERROR(XLOOKUP(F95,Lookups!$D$5:$D$10,Lookups!$E$5:$E$10),"Unknown Product")</x:f>
        <x:v>NexaCRM Core</x:v>
      </x:c>
      <x:c r="S95" t="str">
        <x:f>IFERROR(XLOOKUP(F95,Lookups!$D$5:$D$10,Lookups!$F$5:$F$10),"Unknown")</x:f>
        <x:v>CRM</x:v>
      </x:c>
      <x:c r="T95" t="str">
        <x:f>IF(L95&gt;=50000,"Enterprise",IF(L95&gt;=20000,"Mid-Market","SMB"))</x:f>
        <x:v>SMB</x:v>
      </x:c>
      <x:c r="U95" t="str">
        <x:f>IF(I95="Closed Won","Won",IF(I95="Closed Lost","Lost","Open"))</x:f>
        <x:v>Won</x:v>
      </x:c>
      <x:c r="V95" s="22" t="n">
        <x:f>IF(U95="Won",L95*(1-M95),0)</x:f>
        <x:v>16720</x:v>
      </x:c>
      <x:c r="W95" s="22" t="n">
        <x:f>IF(U95="Open",L95*N95,0)</x:f>
        <x:v>0</x:v>
      </x:c>
      <x:c r="X95" s="26" t="n">
        <x:f>IF(U95="Open","",IFERROR(K95-B95,""))</x:f>
        <x:v>85</x:v>
      </x:c>
      <x:c r="Y95" s="26" t="n">
        <x:f>IF(U95="Open",Lookups!$B$2-B95,X95)</x:f>
        <x:v>85</x:v>
      </x:c>
      <x:c r="Z95" t="str">
        <x:f>IF(AND(U95="Open",Y95&gt;30),"STALE","OK")</x:f>
        <x:v>OK</x:v>
      </x:c>
      <x:c r="AA95" t="str">
        <x:f>TEXT(B95,"yyyy-mm")</x:f>
        <x:v>2025-02</x:v>
      </x:c>
      <x:c r="AB95" t="str">
        <x:f>IF(K95="","",TEXT(K95,"yyyy-mm"))</x:f>
        <x:v>2025-04</x:v>
      </x:c>
      <x:c r="AC95" t="str">
        <x:f>"Q"&amp;ROUNDUP(MONTH(B95)/3,0)&amp;"-"&amp;YEAR(B95)</x:f>
        <x:v>Q1-2025</x:v>
      </x:c>
      <x:c r="AD95" s="26" t="n">
        <x:f>MIN(100,IF(H95="Enterprise",30,IF(H95="Mid-Market",22,14))+IF(T95="Enterprise",25,IF(T95="Mid-Market",18,10))+IF(Q95="Referral",25,IF(Q95="Organic Search",20,IF(Q95="Email",18,14)))+IF(G95="Technology",10,5))</x:f>
        <x:v>65</x:v>
      </x:c>
      <x:c r="AE95" t="str">
        <x:f>IF(U95&lt;&gt;"Open",U95,IF(N95&gt;=0.8,"Commit",IF(N95&gt;=0.5,"Best Case","Pipeline")))</x:f>
        <x:v>Won</x:v>
      </x:c>
    </x:row>
    <x:row r="96">
      <x:c r="A96" t="str">
        <x:v>L00095</x:v>
      </x:c>
      <x:c r="B96" s="10" t="n">
        <x:v>45683</x:v>
      </x:c>
      <x:c r="C96" t="str">
        <x:v>Tuan Bui</x:v>
      </x:c>
      <x:c r="D96" t="str">
        <x:v>Central</x:v>
      </x:c>
      <x:c r="E96" t="str">
        <x:v>LI Ads</x:v>
      </x:c>
      <x:c r="F96" t="str">
        <x:v>CRM-CORE</x:v>
      </x:c>
      <x:c r="G96" t="str">
        <x:v>Professional Services</x:v>
      </x:c>
      <x:c r="H96" t="str">
        <x:v>SMB</x:v>
      </x:c>
      <x:c r="I96" t="str">
        <x:v>Closed Lost</x:v>
      </x:c>
      <x:c r="J96" s="10" t="n">
        <x:v>45762</x:v>
      </x:c>
      <x:c r="K96" s="10" t="n">
        <x:v>45762</x:v>
      </x:c>
      <x:c r="L96" s="22" t="n">
        <x:v>9600</x:v>
      </x:c>
      <x:c r="M96" s="24" t="n">
        <x:v>0</x:v>
      </x:c>
      <x:c r="N96" s="24" t="n">
        <x:v>0</x:v>
      </x:c>
      <x:c r="O96" t="str">
        <x:v>Price</x:v>
      </x:c>
      <x:c r="P96" t="n">
        <x:v>4</x:v>
      </x:c>
      <x:c r="Q96" t="str">
        <x:f>IFERROR(XLOOKUP(E96,Lookups!$A$5:$A$24,Lookups!$B$5:$B$24),"Other")</x:f>
        <x:v>LinkedIn</x:v>
      </x:c>
      <x:c r="R96" t="str">
        <x:f>IFERROR(XLOOKUP(F96,Lookups!$D$5:$D$10,Lookups!$E$5:$E$10),"Unknown Product")</x:f>
        <x:v>NexaCRM Core</x:v>
      </x:c>
      <x:c r="S96" t="str">
        <x:f>IFERROR(XLOOKUP(F96,Lookups!$D$5:$D$10,Lookups!$F$5:$F$10),"Unknown")</x:f>
        <x:v>CRM</x:v>
      </x:c>
      <x:c r="T96" t="str">
        <x:f>IF(L96&gt;=50000,"Enterprise",IF(L96&gt;=20000,"Mid-Market","SMB"))</x:f>
        <x:v>SMB</x:v>
      </x:c>
      <x:c r="U96" t="str">
        <x:f>IF(I96="Closed Won","Won",IF(I96="Closed Lost","Lost","Open"))</x:f>
        <x:v>Lost</x:v>
      </x:c>
      <x:c r="V96" s="22" t="n">
        <x:f>IF(U96="Won",L96*(1-M96),0)</x:f>
        <x:v>0</x:v>
      </x:c>
      <x:c r="W96" s="22" t="n">
        <x:f>IF(U96="Open",L96*N96,0)</x:f>
        <x:v>0</x:v>
      </x:c>
      <x:c r="X96" s="26" t="n">
        <x:f>IF(U96="Open","",IFERROR(K96-B96,""))</x:f>
        <x:v>79</x:v>
      </x:c>
      <x:c r="Y96" s="26" t="n">
        <x:f>IF(U96="Open",Lookups!$B$2-B96,X96)</x:f>
        <x:v>79</x:v>
      </x:c>
      <x:c r="Z96" t="str">
        <x:f>IF(AND(U96="Open",Y96&gt;30),"STALE","OK")</x:f>
        <x:v>OK</x:v>
      </x:c>
      <x:c r="AA96" t="str">
        <x:f>TEXT(B96,"yyyy-mm")</x:f>
        <x:v>2025-01</x:v>
      </x:c>
      <x:c r="AB96" t="str">
        <x:f>IF(K96="","",TEXT(K96,"yyyy-mm"))</x:f>
        <x:v>2025-04</x:v>
      </x:c>
      <x:c r="AC96" t="str">
        <x:f>"Q"&amp;ROUNDUP(MONTH(B96)/3,0)&amp;"-"&amp;YEAR(B96)</x:f>
        <x:v>Q1-2025</x:v>
      </x:c>
      <x:c r="AD96" s="26" t="n">
        <x:f>MIN(100,IF(H96="Enterprise",30,IF(H96="Mid-Market",22,14))+IF(T96="Enterprise",25,IF(T96="Mid-Market",18,10))+IF(Q96="Referral",25,IF(Q96="Organic Search",20,IF(Q96="Email",18,14)))+IF(G96="Technology",10,5))</x:f>
        <x:v>43</x:v>
      </x:c>
      <x:c r="AE96" t="str">
        <x:f>IF(U96&lt;&gt;"Open",U96,IF(N96&gt;=0.8,"Commit",IF(N96&gt;=0.5,"Best Case","Pipeline")))</x:f>
        <x:v>Lost</x:v>
      </x:c>
    </x:row>
    <x:row r="97">
      <x:c r="A97" t="str">
        <x:v>L00096</x:v>
      </x:c>
      <x:c r="B97" s="10" t="n">
        <x:v>46101</x:v>
      </x:c>
      <x:c r="C97" t="str">
        <x:v>Chi Le</x:v>
      </x:c>
      <x:c r="D97" t="str">
        <x:v>South</x:v>
      </x:c>
      <x:c r="E97" t="str">
        <x:v>Unknown Event</x:v>
      </x:c>
      <x:c r="F97" t="str">
        <x:v>BI-PLUS</x:v>
      </x:c>
      <x:c r="G97" t="str">
        <x:v>Financial Services</x:v>
      </x:c>
      <x:c r="H97" t="str">
        <x:v>Enterprise</x:v>
      </x:c>
      <x:c r="I97" t="str">
        <x:v>Closed Won</x:v>
      </x:c>
      <x:c r="J97" s="10" t="n">
        <x:v>46200</x:v>
      </x:c>
      <x:c r="K97" s="10" t="n">
        <x:v>46200</x:v>
      </x:c>
      <x:c r="L97" s="22" t="n">
        <x:v>86700</x:v>
      </x:c>
      <x:c r="M97" s="24" t="n">
        <x:v>0.08</x:v>
      </x:c>
      <x:c r="N97" s="24" t="n">
        <x:v>1</x:v>
      </x:c>
      <x:c r="O97" t="str"/>
      <x:c r="P97" t="n">
        <x:v>6</x:v>
      </x:c>
      <x:c r="Q97" t="str">
        <x:f>IFERROR(XLOOKUP(E97,Lookups!$A$5:$A$24,Lookups!$B$5:$B$24),"Other")</x:f>
        <x:v>Other</x:v>
      </x:c>
      <x:c r="R97" t="str">
        <x:f>IFERROR(XLOOKUP(F97,Lookups!$D$5:$D$10,Lookups!$E$5:$E$10),"Unknown Product")</x:f>
        <x:v>Analytics Plus</x:v>
      </x:c>
      <x:c r="S97" t="str">
        <x:f>IFERROR(XLOOKUP(F97,Lookups!$D$5:$D$10,Lookups!$F$5:$F$10),"Unknown")</x:f>
        <x:v>Analytics</x:v>
      </x:c>
      <x:c r="T97" t="str">
        <x:f>IF(L97&gt;=50000,"Enterprise",IF(L97&gt;=20000,"Mid-Market","SMB"))</x:f>
        <x:v>Enterprise</x:v>
      </x:c>
      <x:c r="U97" t="str">
        <x:f>IF(I97="Closed Won","Won",IF(I97="Closed Lost","Lost","Open"))</x:f>
        <x:v>Won</x:v>
      </x:c>
      <x:c r="V97" s="22" t="n">
        <x:f>IF(U97="Won",L97*(1-M97),0)</x:f>
        <x:v>79764</x:v>
      </x:c>
      <x:c r="W97" s="22" t="n">
        <x:f>IF(U97="Open",L97*N97,0)</x:f>
        <x:v>0</x:v>
      </x:c>
      <x:c r="X97" s="26" t="n">
        <x:f>IF(U97="Open","",IFERROR(K97-B97,""))</x:f>
        <x:v>99</x:v>
      </x:c>
      <x:c r="Y97" s="26" t="n">
        <x:f>IF(U97="Open",Lookups!$B$2-B97,X97)</x:f>
        <x:v>99</x:v>
      </x:c>
      <x:c r="Z97" t="str">
        <x:f>IF(AND(U97="Open",Y97&gt;30),"STALE","OK")</x:f>
        <x:v>OK</x:v>
      </x:c>
      <x:c r="AA97" t="str">
        <x:f>TEXT(B97,"yyyy-mm")</x:f>
        <x:v>2026-03</x:v>
      </x:c>
      <x:c r="AB97" t="str">
        <x:f>IF(K97="","",TEXT(K97,"yyyy-mm"))</x:f>
        <x:v>2026-06</x:v>
      </x:c>
      <x:c r="AC97" t="str">
        <x:f>"Q"&amp;ROUNDUP(MONTH(B97)/3,0)&amp;"-"&amp;YEAR(B97)</x:f>
        <x:v>Q1-2026</x:v>
      </x:c>
      <x:c r="AD97" s="26" t="n">
        <x:f>MIN(100,IF(H97="Enterprise",30,IF(H97="Mid-Market",22,14))+IF(T97="Enterprise",25,IF(T97="Mid-Market",18,10))+IF(Q97="Referral",25,IF(Q97="Organic Search",20,IF(Q97="Email",18,14)))+IF(G97="Technology",10,5))</x:f>
        <x:v>74</x:v>
      </x:c>
      <x:c r="AE97" t="str">
        <x:f>IF(U97&lt;&gt;"Open",U97,IF(N97&gt;=0.8,"Commit",IF(N97&gt;=0.5,"Best Case","Pipeline")))</x:f>
        <x:v>Won</x:v>
      </x:c>
    </x:row>
    <x:row r="98">
      <x:c r="A98" t="str">
        <x:v>L00097</x:v>
      </x:c>
      <x:c r="B98" s="10" t="n">
        <x:v>45939</x:v>
      </x:c>
      <x:c r="C98" t="str">
        <x:v>Minh Do</x:v>
      </x:c>
      <x:c r="D98" t="str">
        <x:v>North</x:v>
      </x:c>
      <x:c r="E98" t="str">
        <x:v>Webinar</x:v>
      </x:c>
      <x:c r="F98" t="str">
        <x:v>MKT-AUTO</x:v>
      </x:c>
      <x:c r="G98" t="str">
        <x:v>Retail</x:v>
      </x:c>
      <x:c r="H98" t="str">
        <x:v>Enterprise</x:v>
      </x:c>
      <x:c r="I98" t="str">
        <x:v>Closed Lost</x:v>
      </x:c>
      <x:c r="J98" s="10" t="n">
        <x:v>46025</x:v>
      </x:c>
      <x:c r="K98" s="10" t="n">
        <x:v>46025</x:v>
      </x:c>
      <x:c r="L98" s="22" t="n">
        <x:v>33500</x:v>
      </x:c>
      <x:c r="M98" s="24" t="n">
        <x:v>0</x:v>
      </x:c>
      <x:c r="N98" s="24" t="n">
        <x:v>0</x:v>
      </x:c>
      <x:c r="O98" t="str">
        <x:v>Budget</x:v>
      </x:c>
      <x:c r="P98" t="n">
        <x:v>3</x:v>
      </x:c>
      <x:c r="Q98" t="str">
        <x:f>IFERROR(XLOOKUP(E98,Lookups!$A$5:$A$24,Lookups!$B$5:$B$24),"Other")</x:f>
        <x:v>Webinar</x:v>
      </x:c>
      <x:c r="R98" t="str">
        <x:f>IFERROR(XLOOKUP(F98,Lookups!$D$5:$D$10,Lookups!$E$5:$E$10),"Unknown Product")</x:f>
        <x:v>Marketing Automation</x:v>
      </x:c>
      <x:c r="S98" t="str">
        <x:f>IFERROR(XLOOKUP(F98,Lookups!$D$5:$D$10,Lookups!$F$5:$F$10),"Unknown")</x:f>
        <x:v>Marketing</x:v>
      </x:c>
      <x:c r="T98" t="str">
        <x:f>IF(L98&gt;=50000,"Enterprise",IF(L98&gt;=20000,"Mid-Market","SMB"))</x:f>
        <x:v>Mid-Market</x:v>
      </x:c>
      <x:c r="U98" t="str">
        <x:f>IF(I98="Closed Won","Won",IF(I98="Closed Lost","Lost","Open"))</x:f>
        <x:v>Lost</x:v>
      </x:c>
      <x:c r="V98" s="22" t="n">
        <x:f>IF(U98="Won",L98*(1-M98),0)</x:f>
        <x:v>0</x:v>
      </x:c>
      <x:c r="W98" s="22" t="n">
        <x:f>IF(U98="Open",L98*N98,0)</x:f>
        <x:v>0</x:v>
      </x:c>
      <x:c r="X98" s="26" t="n">
        <x:f>IF(U98="Open","",IFERROR(K98-B98,""))</x:f>
        <x:v>86</x:v>
      </x:c>
      <x:c r="Y98" s="26" t="n">
        <x:f>IF(U98="Open",Lookups!$B$2-B98,X98)</x:f>
        <x:v>86</x:v>
      </x:c>
      <x:c r="Z98" t="str">
        <x:f>IF(AND(U98="Open",Y98&gt;30),"STALE","OK")</x:f>
        <x:v>OK</x:v>
      </x:c>
      <x:c r="AA98" t="str">
        <x:f>TEXT(B98,"yyyy-mm")</x:f>
        <x:v>2025-10</x:v>
      </x:c>
      <x:c r="AB98" t="str">
        <x:f>IF(K98="","",TEXT(K98,"yyyy-mm"))</x:f>
        <x:v>2026-01</x:v>
      </x:c>
      <x:c r="AC98" t="str">
        <x:f>"Q"&amp;ROUNDUP(MONTH(B98)/3,0)&amp;"-"&amp;YEAR(B98)</x:f>
        <x:v>Q4-2025</x:v>
      </x:c>
      <x:c r="AD98" s="26" t="n">
        <x:f>MIN(100,IF(H98="Enterprise",30,IF(H98="Mid-Market",22,14))+IF(T98="Enterprise",25,IF(T98="Mid-Market",18,10))+IF(Q98="Referral",25,IF(Q98="Organic Search",20,IF(Q98="Email",18,14)))+IF(G98="Technology",10,5))</x:f>
        <x:v>67</x:v>
      </x:c>
      <x:c r="AE98" t="str">
        <x:f>IF(U98&lt;&gt;"Open",U98,IF(N98&gt;=0.8,"Commit",IF(N98&gt;=0.5,"Best Case","Pipeline")))</x:f>
        <x:v>Lost</x:v>
      </x:c>
    </x:row>
    <x:row r="99">
      <x:c r="A99" t="str">
        <x:v>L00098</x:v>
      </x:c>
      <x:c r="B99" s="10" t="n">
        <x:v>46025</x:v>
      </x:c>
      <x:c r="C99" t="str">
        <x:v>Quynh Vu</x:v>
      </x:c>
      <x:c r="D99" t="str">
        <x:v>North</x:v>
      </x:c>
      <x:c r="E99" t="str">
        <x:v>SEO</x:v>
      </x:c>
      <x:c r="F99" t="str">
        <x:v>MKT-AUTO</x:v>
      </x:c>
      <x:c r="G99" t="str">
        <x:v>Manufacturing</x:v>
      </x:c>
      <x:c r="H99" t="str">
        <x:v>SMB</x:v>
      </x:c>
      <x:c r="I99" t="str">
        <x:v>Closed Lost</x:v>
      </x:c>
      <x:c r="J99" s="10" t="n">
        <x:v>46077</x:v>
      </x:c>
      <x:c r="K99" s="10" t="n">
        <x:v>46077</x:v>
      </x:c>
      <x:c r="L99" s="22" t="n">
        <x:v>15900</x:v>
      </x:c>
      <x:c r="M99" s="24" t="n">
        <x:v>0</x:v>
      </x:c>
      <x:c r="N99" s="24" t="n">
        <x:v>0</x:v>
      </x:c>
      <x:c r="O99" t="str">
        <x:v>Timing</x:v>
      </x:c>
      <x:c r="P99" t="n">
        <x:v>2</x:v>
      </x:c>
      <x:c r="Q99" t="str">
        <x:f>IFERROR(XLOOKUP(E99,Lookups!$A$5:$A$24,Lookups!$B$5:$B$24),"Other")</x:f>
        <x:v>Organic Search</x:v>
      </x:c>
      <x:c r="R99" t="str">
        <x:f>IFERROR(XLOOKUP(F99,Lookups!$D$5:$D$10,Lookups!$E$5:$E$10),"Unknown Product")</x:f>
        <x:v>Marketing Automation</x:v>
      </x:c>
      <x:c r="S99" t="str">
        <x:f>IFERROR(XLOOKUP(F99,Lookups!$D$5:$D$10,Lookups!$F$5:$F$10),"Unknown")</x:f>
        <x:v>Marketing</x:v>
      </x:c>
      <x:c r="T99" t="str">
        <x:f>IF(L99&gt;=50000,"Enterprise",IF(L99&gt;=20000,"Mid-Market","SMB"))</x:f>
        <x:v>SMB</x:v>
      </x:c>
      <x:c r="U99" t="str">
        <x:f>IF(I99="Closed Won","Won",IF(I99="Closed Lost","Lost","Open"))</x:f>
        <x:v>Lost</x:v>
      </x:c>
      <x:c r="V99" s="22" t="n">
        <x:f>IF(U99="Won",L99*(1-M99),0)</x:f>
        <x:v>0</x:v>
      </x:c>
      <x:c r="W99" s="22" t="n">
        <x:f>IF(U99="Open",L99*N99,0)</x:f>
        <x:v>0</x:v>
      </x:c>
      <x:c r="X99" s="26" t="n">
        <x:f>IF(U99="Open","",IFERROR(K99-B99,""))</x:f>
        <x:v>52</x:v>
      </x:c>
      <x:c r="Y99" s="26" t="n">
        <x:f>IF(U99="Open",Lookups!$B$2-B99,X99)</x:f>
        <x:v>52</x:v>
      </x:c>
      <x:c r="Z99" t="str">
        <x:f>IF(AND(U99="Open",Y99&gt;30),"STALE","OK")</x:f>
        <x:v>OK</x:v>
      </x:c>
      <x:c r="AA99" t="str">
        <x:f>TEXT(B99,"yyyy-mm")</x:f>
        <x:v>2026-01</x:v>
      </x:c>
      <x:c r="AB99" t="str">
        <x:f>IF(K99="","",TEXT(K99,"yyyy-mm"))</x:f>
        <x:v>2026-02</x:v>
      </x:c>
      <x:c r="AC99" t="str">
        <x:f>"Q"&amp;ROUNDUP(MONTH(B99)/3,0)&amp;"-"&amp;YEAR(B99)</x:f>
        <x:v>Q1-2026</x:v>
      </x:c>
      <x:c r="AD99" s="26" t="n">
        <x:f>MIN(100,IF(H99="Enterprise",30,IF(H99="Mid-Market",22,14))+IF(T99="Enterprise",25,IF(T99="Mid-Market",18,10))+IF(Q99="Referral",25,IF(Q99="Organic Search",20,IF(Q99="Email",18,14)))+IF(G99="Technology",10,5))</x:f>
        <x:v>49</x:v>
      </x:c>
      <x:c r="AE99" t="str">
        <x:f>IF(U99&lt;&gt;"Open",U99,IF(N99&gt;=0.8,"Commit",IF(N99&gt;=0.5,"Best Case","Pipeline")))</x:f>
        <x:v>Lost</x:v>
      </x:c>
    </x:row>
    <x:row r="100">
      <x:c r="A100" t="str">
        <x:v>L00099</x:v>
      </x:c>
      <x:c r="B100" s="10" t="n">
        <x:v>45735</x:v>
      </x:c>
      <x:c r="C100" t="str">
        <x:v>Quynh Vu</x:v>
      </x:c>
      <x:c r="D100" t="str">
        <x:v>North</x:v>
      </x:c>
      <x:c r="E100" t="str">
        <x:v>Outbound</x:v>
      </x:c>
      <x:c r="F100" t="str">
        <x:v>MKT-AUTO</x:v>
      </x:c>
      <x:c r="G100" t="str">
        <x:v>Manufacturing</x:v>
      </x:c>
      <x:c r="H100" t="str">
        <x:v>Enterprise</x:v>
      </x:c>
      <x:c r="I100" t="str">
        <x:v>Closed Lost</x:v>
      </x:c>
      <x:c r="J100" s="10" t="n">
        <x:v>45762</x:v>
      </x:c>
      <x:c r="K100" s="10" t="n">
        <x:v>45762</x:v>
      </x:c>
      <x:c r="L100" s="22" t="n">
        <x:v>65100</x:v>
      </x:c>
      <x:c r="M100" s="24" t="n">
        <x:v>0</x:v>
      </x:c>
      <x:c r="N100" s="24" t="n">
        <x:v>0</x:v>
      </x:c>
      <x:c r="O100" t="str">
        <x:v>Price</x:v>
      </x:c>
      <x:c r="P100" t="n">
        <x:v>3</x:v>
      </x:c>
      <x:c r="Q100" t="str">
        <x:f>IFERROR(XLOOKUP(E100,Lookups!$A$5:$A$24,Lookups!$B$5:$B$24),"Other")</x:f>
        <x:v>Outbound</x:v>
      </x:c>
      <x:c r="R100" t="str">
        <x:f>IFERROR(XLOOKUP(F100,Lookups!$D$5:$D$10,Lookups!$E$5:$E$10),"Unknown Product")</x:f>
        <x:v>Marketing Automation</x:v>
      </x:c>
      <x:c r="S100" t="str">
        <x:f>IFERROR(XLOOKUP(F100,Lookups!$D$5:$D$10,Lookups!$F$5:$F$10),"Unknown")</x:f>
        <x:v>Marketing</x:v>
      </x:c>
      <x:c r="T100" t="str">
        <x:f>IF(L100&gt;=50000,"Enterprise",IF(L100&gt;=20000,"Mid-Market","SMB"))</x:f>
        <x:v>Enterprise</x:v>
      </x:c>
      <x:c r="U100" t="str">
        <x:f>IF(I100="Closed Won","Won",IF(I100="Closed Lost","Lost","Open"))</x:f>
        <x:v>Lost</x:v>
      </x:c>
      <x:c r="V100" s="22" t="n">
        <x:f>IF(U100="Won",L100*(1-M100),0)</x:f>
        <x:v>0</x:v>
      </x:c>
      <x:c r="W100" s="22" t="n">
        <x:f>IF(U100="Open",L100*N100,0)</x:f>
        <x:v>0</x:v>
      </x:c>
      <x:c r="X100" s="26" t="n">
        <x:f>IF(U100="Open","",IFERROR(K100-B100,""))</x:f>
        <x:v>27</x:v>
      </x:c>
      <x:c r="Y100" s="26" t="n">
        <x:f>IF(U100="Open",Lookups!$B$2-B100,X100)</x:f>
        <x:v>27</x:v>
      </x:c>
      <x:c r="Z100" t="str">
        <x:f>IF(AND(U100="Open",Y100&gt;30),"STALE","OK")</x:f>
        <x:v>OK</x:v>
      </x:c>
      <x:c r="AA100" t="str">
        <x:f>TEXT(B100,"yyyy-mm")</x:f>
        <x:v>2025-03</x:v>
      </x:c>
      <x:c r="AB100" t="str">
        <x:f>IF(K100="","",TEXT(K100,"yyyy-mm"))</x:f>
        <x:v>2025-04</x:v>
      </x:c>
      <x:c r="AC100" t="str">
        <x:f>"Q"&amp;ROUNDUP(MONTH(B100)/3,0)&amp;"-"&amp;YEAR(B100)</x:f>
        <x:v>Q1-2025</x:v>
      </x:c>
      <x:c r="AD100" s="26" t="n">
        <x:f>MIN(100,IF(H100="Enterprise",30,IF(H100="Mid-Market",22,14))+IF(T100="Enterprise",25,IF(T100="Mid-Market",18,10))+IF(Q100="Referral",25,IF(Q100="Organic Search",20,IF(Q100="Email",18,14)))+IF(G100="Technology",10,5))</x:f>
        <x:v>74</x:v>
      </x:c>
      <x:c r="AE100" t="str">
        <x:f>IF(U100&lt;&gt;"Open",U100,IF(N100&gt;=0.8,"Commit",IF(N100&gt;=0.5,"Best Case","Pipeline")))</x:f>
        <x:v>Lost</x:v>
      </x:c>
    </x:row>
    <x:row r="101">
      <x:c r="A101" t="str">
        <x:v>L00100</x:v>
      </x:c>
      <x:c r="B101" s="10" t="n">
        <x:v>46148</x:v>
      </x:c>
      <x:c r="C101" t="str">
        <x:v>Quynh Vu</x:v>
      </x:c>
      <x:c r="D101" t="str">
        <x:v>North</x:v>
      </x:c>
      <x:c r="E101" t="str">
        <x:v>LinkedIn Ads</x:v>
      </x:c>
      <x:c r="F101" t="str">
        <x:v>REV-OPS</x:v>
      </x:c>
      <x:c r="G101" t="str">
        <x:v>Technology</x:v>
      </x:c>
      <x:c r="H101" t="str">
        <x:v>Enterprise</x:v>
      </x:c>
      <x:c r="I101" t="str">
        <x:v>Closed Lost</x:v>
      </x:c>
      <x:c r="J101" s="10" t="n">
        <x:v>46198</x:v>
      </x:c>
      <x:c r="K101" s="10" t="n">
        <x:v>46198</x:v>
      </x:c>
      <x:c r="L101" s="22" t="n">
        <x:v>101200</x:v>
      </x:c>
      <x:c r="M101" s="24" t="n">
        <x:v>0</x:v>
      </x:c>
      <x:c r="N101" s="24" t="n">
        <x:v>0</x:v>
      </x:c>
      <x:c r="O101" t="str">
        <x:v>Price</x:v>
      </x:c>
      <x:c r="P101" t="n">
        <x:v>2</x:v>
      </x:c>
      <x:c r="Q101" t="str">
        <x:f>IFERROR(XLOOKUP(E101,Lookups!$A$5:$A$24,Lookups!$B$5:$B$24),"Other")</x:f>
        <x:v>LinkedIn</x:v>
      </x:c>
      <x:c r="R101" t="str">
        <x:f>IFERROR(XLOOKUP(F101,Lookups!$D$5:$D$10,Lookups!$E$5:$E$10),"Unknown Product")</x:f>
        <x:v>Revenue Operations Suite</x:v>
      </x:c>
      <x:c r="S101" t="str">
        <x:f>IFERROR(XLOOKUP(F101,Lookups!$D$5:$D$10,Lookups!$F$5:$F$10),"Unknown")</x:f>
        <x:v>Revenue Ops</x:v>
      </x:c>
      <x:c r="T101" t="str">
        <x:f>IF(L101&gt;=50000,"Enterprise",IF(L101&gt;=20000,"Mid-Market","SMB"))</x:f>
        <x:v>Enterprise</x:v>
      </x:c>
      <x:c r="U101" t="str">
        <x:f>IF(I101="Closed Won","Won",IF(I101="Closed Lost","Lost","Open"))</x:f>
        <x:v>Lost</x:v>
      </x:c>
      <x:c r="V101" s="22" t="n">
        <x:f>IF(U101="Won",L101*(1-M101),0)</x:f>
        <x:v>0</x:v>
      </x:c>
      <x:c r="W101" s="22" t="n">
        <x:f>IF(U101="Open",L101*N101,0)</x:f>
        <x:v>0</x:v>
      </x:c>
      <x:c r="X101" s="26" t="n">
        <x:f>IF(U101="Open","",IFERROR(K101-B101,""))</x:f>
        <x:v>50</x:v>
      </x:c>
      <x:c r="Y101" s="26" t="n">
        <x:f>IF(U101="Open",Lookups!$B$2-B101,X101)</x:f>
        <x:v>50</x:v>
      </x:c>
      <x:c r="Z101" t="str">
        <x:f>IF(AND(U101="Open",Y101&gt;30),"STALE","OK")</x:f>
        <x:v>OK</x:v>
      </x:c>
      <x:c r="AA101" t="str">
        <x:f>TEXT(B101,"yyyy-mm")</x:f>
        <x:v>2026-05</x:v>
      </x:c>
      <x:c r="AB101" t="str">
        <x:f>IF(K101="","",TEXT(K101,"yyyy-mm"))</x:f>
        <x:v>2026-06</x:v>
      </x:c>
      <x:c r="AC101" t="str">
        <x:f>"Q"&amp;ROUNDUP(MONTH(B101)/3,0)&amp;"-"&amp;YEAR(B101)</x:f>
        <x:v>Q2-2026</x:v>
      </x:c>
      <x:c r="AD101" s="26" t="n">
        <x:f>MIN(100,IF(H101="Enterprise",30,IF(H101="Mid-Market",22,14))+IF(T101="Enterprise",25,IF(T101="Mid-Market",18,10))+IF(Q101="Referral",25,IF(Q101="Organic Search",20,IF(Q101="Email",18,14)))+IF(G101="Technology",10,5))</x:f>
        <x:v>79</x:v>
      </x:c>
      <x:c r="AE101" t="str">
        <x:f>IF(U101&lt;&gt;"Open",U101,IF(N101&gt;=0.8,"Commit",IF(N101&gt;=0.5,"Best Case","Pipeline")))</x:f>
        <x:v>Lost</x:v>
      </x:c>
    </x:row>
    <x:row r="102">
      <x:c r="A102" t="str">
        <x:v>L00101</x:v>
      </x:c>
      <x:c r="B102" s="10" t="n">
        <x:v>45775</x:v>
      </x:c>
      <x:c r="C102" t="str">
        <x:v>Minh Do</x:v>
      </x:c>
      <x:c r="D102" t="str">
        <x:v>North</x:v>
      </x:c>
      <x:c r="E102" t="str">
        <x:v>email nurture</x:v>
      </x:c>
      <x:c r="F102" t="str">
        <x:v>REV-OPS</x:v>
      </x:c>
      <x:c r="G102" t="str">
        <x:v>Financial Services</x:v>
      </x:c>
      <x:c r="H102" t="str">
        <x:v>Mid-Market</x:v>
      </x:c>
      <x:c r="I102" t="str">
        <x:v>Closed Won</x:v>
      </x:c>
      <x:c r="J102" s="10" t="n">
        <x:v>45798</x:v>
      </x:c>
      <x:c r="K102" s="10" t="n">
        <x:v>45798</x:v>
      </x:c>
      <x:c r="L102" s="22" t="n">
        <x:v>82500</x:v>
      </x:c>
      <x:c r="M102" s="24" t="n">
        <x:v>0.08</x:v>
      </x:c>
      <x:c r="N102" s="24" t="n">
        <x:v>1</x:v>
      </x:c>
      <x:c r="O102" t="str"/>
      <x:c r="P102" t="n">
        <x:v>6</x:v>
      </x:c>
      <x:c r="Q102" t="str">
        <x:f>IFERROR(XLOOKUP(E102,Lookups!$A$5:$A$24,Lookups!$B$5:$B$24),"Other")</x:f>
        <x:v>Email</x:v>
      </x:c>
      <x:c r="R102" t="str">
        <x:f>IFERROR(XLOOKUP(F102,Lookups!$D$5:$D$10,Lookups!$E$5:$E$10),"Unknown Product")</x:f>
        <x:v>Revenue Operations Suite</x:v>
      </x:c>
      <x:c r="S102" t="str">
        <x:f>IFERROR(XLOOKUP(F102,Lookups!$D$5:$D$10,Lookups!$F$5:$F$10),"Unknown")</x:f>
        <x:v>Revenue Ops</x:v>
      </x:c>
      <x:c r="T102" t="str">
        <x:f>IF(L102&gt;=50000,"Enterprise",IF(L102&gt;=20000,"Mid-Market","SMB"))</x:f>
        <x:v>Enterprise</x:v>
      </x:c>
      <x:c r="U102" t="str">
        <x:f>IF(I102="Closed Won","Won",IF(I102="Closed Lost","Lost","Open"))</x:f>
        <x:v>Won</x:v>
      </x:c>
      <x:c r="V102" s="22" t="n">
        <x:f>IF(U102="Won",L102*(1-M102),0)</x:f>
        <x:v>75900</x:v>
      </x:c>
      <x:c r="W102" s="22" t="n">
        <x:f>IF(U102="Open",L102*N102,0)</x:f>
        <x:v>0</x:v>
      </x:c>
      <x:c r="X102" s="26" t="n">
        <x:f>IF(U102="Open","",IFERROR(K102-B102,""))</x:f>
        <x:v>23</x:v>
      </x:c>
      <x:c r="Y102" s="26" t="n">
        <x:f>IF(U102="Open",Lookups!$B$2-B102,X102)</x:f>
        <x:v>23</x:v>
      </x:c>
      <x:c r="Z102" t="str">
        <x:f>IF(AND(U102="Open",Y102&gt;30),"STALE","OK")</x:f>
        <x:v>OK</x:v>
      </x:c>
      <x:c r="AA102" t="str">
        <x:f>TEXT(B102,"yyyy-mm")</x:f>
        <x:v>2025-04</x:v>
      </x:c>
      <x:c r="AB102" t="str">
        <x:f>IF(K102="","",TEXT(K102,"yyyy-mm"))</x:f>
        <x:v>2025-05</x:v>
      </x:c>
      <x:c r="AC102" t="str">
        <x:f>"Q"&amp;ROUNDUP(MONTH(B102)/3,0)&amp;"-"&amp;YEAR(B102)</x:f>
        <x:v>Q2-2025</x:v>
      </x:c>
      <x:c r="AD102" s="26" t="n">
        <x:f>MIN(100,IF(H102="Enterprise",30,IF(H102="Mid-Market",22,14))+IF(T102="Enterprise",25,IF(T102="Mid-Market",18,10))+IF(Q102="Referral",25,IF(Q102="Organic Search",20,IF(Q102="Email",18,14)))+IF(G102="Technology",10,5))</x:f>
        <x:v>70</x:v>
      </x:c>
      <x:c r="AE102" t="str">
        <x:f>IF(U102&lt;&gt;"Open",U102,IF(N102&gt;=0.8,"Commit",IF(N102&gt;=0.5,"Best Case","Pipeline")))</x:f>
        <x:v>Won</x:v>
      </x:c>
    </x:row>
    <x:row r="103">
      <x:c r="A103" t="str">
        <x:v>L00102</x:v>
      </x:c>
      <x:c r="B103" s="10" t="n">
        <x:v>45893</x:v>
      </x:c>
      <x:c r="C103" t="str">
        <x:v>Duy Pham</x:v>
      </x:c>
      <x:c r="D103" t="str">
        <x:v>South</x:v>
      </x:c>
      <x:c r="E103" t="str">
        <x:v>organic search</x:v>
      </x:c>
      <x:c r="F103" t="str">
        <x:v>CS-CLOUD</x:v>
      </x:c>
      <x:c r="G103" t="str">
        <x:v>Healthcare</x:v>
      </x:c>
      <x:c r="H103" t="str">
        <x:v>Mid-Market</x:v>
      </x:c>
      <x:c r="I103" t="str">
        <x:v>Closed Lost</x:v>
      </x:c>
      <x:c r="J103" s="10" t="n">
        <x:v>45901</x:v>
      </x:c>
      <x:c r="K103" s="10" t="n">
        <x:v>45901</x:v>
      </x:c>
      <x:c r="L103" s="22" t="n">
        <x:v>23400</x:v>
      </x:c>
      <x:c r="M103" s="24" t="n">
        <x:v>0</x:v>
      </x:c>
      <x:c r="N103" s="24" t="n">
        <x:v>0</x:v>
      </x:c>
      <x:c r="O103" t="str">
        <x:v>No Decision</x:v>
      </x:c>
      <x:c r="P103" t="n">
        <x:v>2</x:v>
      </x:c>
      <x:c r="Q103" t="str">
        <x:f>IFERROR(XLOOKUP(E103,Lookups!$A$5:$A$24,Lookups!$B$5:$B$24),"Other")</x:f>
        <x:v>Organic Search</x:v>
      </x:c>
      <x:c r="R103" t="str">
        <x:f>IFERROR(XLOOKUP(F103,Lookups!$D$5:$D$10,Lookups!$E$5:$E$10),"Unknown Product")</x:f>
        <x:v>Service Cloud</x:v>
      </x:c>
      <x:c r="S103" t="str">
        <x:f>IFERROR(XLOOKUP(F103,Lookups!$D$5:$D$10,Lookups!$F$5:$F$10),"Unknown")</x:f>
        <x:v>Customer Service</x:v>
      </x:c>
      <x:c r="T103" t="str">
        <x:f>IF(L103&gt;=50000,"Enterprise",IF(L103&gt;=20000,"Mid-Market","SMB"))</x:f>
        <x:v>Mid-Market</x:v>
      </x:c>
      <x:c r="U103" t="str">
        <x:f>IF(I103="Closed Won","Won",IF(I103="Closed Lost","Lost","Open"))</x:f>
        <x:v>Lost</x:v>
      </x:c>
      <x:c r="V103" s="22" t="n">
        <x:f>IF(U103="Won",L103*(1-M103),0)</x:f>
        <x:v>0</x:v>
      </x:c>
      <x:c r="W103" s="22" t="n">
        <x:f>IF(U103="Open",L103*N103,0)</x:f>
        <x:v>0</x:v>
      </x:c>
      <x:c r="X103" s="26" t="n">
        <x:f>IF(U103="Open","",IFERROR(K103-B103,""))</x:f>
        <x:v>8</x:v>
      </x:c>
      <x:c r="Y103" s="26" t="n">
        <x:f>IF(U103="Open",Lookups!$B$2-B103,X103)</x:f>
        <x:v>8</x:v>
      </x:c>
      <x:c r="Z103" t="str">
        <x:f>IF(AND(U103="Open",Y103&gt;30),"STALE","OK")</x:f>
        <x:v>OK</x:v>
      </x:c>
      <x:c r="AA103" t="str">
        <x:f>TEXT(B103,"yyyy-mm")</x:f>
        <x:v>2025-08</x:v>
      </x:c>
      <x:c r="AB103" t="str">
        <x:f>IF(K103="","",TEXT(K103,"yyyy-mm"))</x:f>
        <x:v>2025-09</x:v>
      </x:c>
      <x:c r="AC103" t="str">
        <x:f>"Q"&amp;ROUNDUP(MONTH(B103)/3,0)&amp;"-"&amp;YEAR(B103)</x:f>
        <x:v>Q3-2025</x:v>
      </x:c>
      <x:c r="AD103" s="26" t="n">
        <x:f>MIN(100,IF(H103="Enterprise",30,IF(H103="Mid-Market",22,14))+IF(T103="Enterprise",25,IF(T103="Mid-Market",18,10))+IF(Q103="Referral",25,IF(Q103="Organic Search",20,IF(Q103="Email",18,14)))+IF(G103="Technology",10,5))</x:f>
        <x:v>65</x:v>
      </x:c>
      <x:c r="AE103" t="str">
        <x:f>IF(U103&lt;&gt;"Open",U103,IF(N103&gt;=0.8,"Commit",IF(N103&gt;=0.5,"Best Case","Pipeline")))</x:f>
        <x:v>Lost</x:v>
      </x:c>
    </x:row>
    <x:row r="104">
      <x:c r="A104" t="str">
        <x:v>L00103</x:v>
      </x:c>
      <x:c r="B104" s="10" t="n">
        <x:v>46019</x:v>
      </x:c>
      <x:c r="C104" t="str">
        <x:v>Quynh Vu</x:v>
      </x:c>
      <x:c r="D104" t="str">
        <x:v>North</x:v>
      </x:c>
      <x:c r="E104" t="str">
        <x:v>Google Organic</x:v>
      </x:c>
      <x:c r="F104" t="str">
        <x:v>BI-PLUS</x:v>
      </x:c>
      <x:c r="G104" t="str">
        <x:v>Manufacturing</x:v>
      </x:c>
      <x:c r="H104" t="str">
        <x:v>SMB</x:v>
      </x:c>
      <x:c r="I104" t="str">
        <x:v>Closed Lost</x:v>
      </x:c>
      <x:c r="J104" s="10" t="n">
        <x:v>46036</x:v>
      </x:c>
      <x:c r="K104" s="10" t="n">
        <x:v>46036</x:v>
      </x:c>
      <x:c r="L104" s="22" t="n">
        <x:v>20100</x:v>
      </x:c>
      <x:c r="M104" s="24" t="n">
        <x:v>0</x:v>
      </x:c>
      <x:c r="N104" s="24" t="n">
        <x:v>0</x:v>
      </x:c>
      <x:c r="O104" t="str">
        <x:v>No Decision</x:v>
      </x:c>
      <x:c r="P104" t="n">
        <x:v>4</x:v>
      </x:c>
      <x:c r="Q104" t="str">
        <x:f>IFERROR(XLOOKUP(E104,Lookups!$A$5:$A$24,Lookups!$B$5:$B$24),"Other")</x:f>
        <x:v>Organic Search</x:v>
      </x:c>
      <x:c r="R104" t="str">
        <x:f>IFERROR(XLOOKUP(F104,Lookups!$D$5:$D$10,Lookups!$E$5:$E$10),"Unknown Product")</x:f>
        <x:v>Analytics Plus</x:v>
      </x:c>
      <x:c r="S104" t="str">
        <x:f>IFERROR(XLOOKUP(F104,Lookups!$D$5:$D$10,Lookups!$F$5:$F$10),"Unknown")</x:f>
        <x:v>Analytics</x:v>
      </x:c>
      <x:c r="T104" t="str">
        <x:f>IF(L104&gt;=50000,"Enterprise",IF(L104&gt;=20000,"Mid-Market","SMB"))</x:f>
        <x:v>Mid-Market</x:v>
      </x:c>
      <x:c r="U104" t="str">
        <x:f>IF(I104="Closed Won","Won",IF(I104="Closed Lost","Lost","Open"))</x:f>
        <x:v>Lost</x:v>
      </x:c>
      <x:c r="V104" s="22" t="n">
        <x:f>IF(U104="Won",L104*(1-M104),0)</x:f>
        <x:v>0</x:v>
      </x:c>
      <x:c r="W104" s="22" t="n">
        <x:f>IF(U104="Open",L104*N104,0)</x:f>
        <x:v>0</x:v>
      </x:c>
      <x:c r="X104" s="26" t="n">
        <x:f>IF(U104="Open","",IFERROR(K104-B104,""))</x:f>
        <x:v>17</x:v>
      </x:c>
      <x:c r="Y104" s="26" t="n">
        <x:f>IF(U104="Open",Lookups!$B$2-B104,X104)</x:f>
        <x:v>17</x:v>
      </x:c>
      <x:c r="Z104" t="str">
        <x:f>IF(AND(U104="Open",Y104&gt;30),"STALE","OK")</x:f>
        <x:v>OK</x:v>
      </x:c>
      <x:c r="AA104" t="str">
        <x:f>TEXT(B104,"yyyy-mm")</x:f>
        <x:v>2025-12</x:v>
      </x:c>
      <x:c r="AB104" t="str">
        <x:f>IF(K104="","",TEXT(K104,"yyyy-mm"))</x:f>
        <x:v>2026-01</x:v>
      </x:c>
      <x:c r="AC104" t="str">
        <x:f>"Q"&amp;ROUNDUP(MONTH(B104)/3,0)&amp;"-"&amp;YEAR(B104)</x:f>
        <x:v>Q4-2025</x:v>
      </x:c>
      <x:c r="AD104" s="26" t="n">
        <x:f>MIN(100,IF(H104="Enterprise",30,IF(H104="Mid-Market",22,14))+IF(T104="Enterprise",25,IF(T104="Mid-Market",18,10))+IF(Q104="Referral",25,IF(Q104="Organic Search",20,IF(Q104="Email",18,14)))+IF(G104="Technology",10,5))</x:f>
        <x:v>57</x:v>
      </x:c>
      <x:c r="AE104" t="str">
        <x:f>IF(U104&lt;&gt;"Open",U104,IF(N104&gt;=0.8,"Commit",IF(N104&gt;=0.5,"Best Case","Pipeline")))</x:f>
        <x:v>Lost</x:v>
      </x:c>
    </x:row>
    <x:row r="105">
      <x:c r="A105" t="str">
        <x:v>L00104</x:v>
      </x:c>
      <x:c r="B105" s="10" t="n">
        <x:v>46142</x:v>
      </x:c>
      <x:c r="C105" t="str">
        <x:v>Duy Pham</x:v>
      </x:c>
      <x:c r="D105" t="str">
        <x:v>South</x:v>
      </x:c>
      <x:c r="E105" t="str">
        <x:v>Google Organic</x:v>
      </x:c>
      <x:c r="F105" t="str">
        <x:v>MKT-AUTO</x:v>
      </x:c>
      <x:c r="G105" t="str">
        <x:v>Technology</x:v>
      </x:c>
      <x:c r="H105" t="str">
        <x:v>SMB</x:v>
      </x:c>
      <x:c r="I105" t="str">
        <x:v>Closed Won</x:v>
      </x:c>
      <x:c r="J105" s="10" t="n">
        <x:v>46208</x:v>
      </x:c>
      <x:c r="K105" s="10" t="n">
        <x:v>46208</x:v>
      </x:c>
      <x:c r="L105" s="22" t="n">
        <x:v>16500</x:v>
      </x:c>
      <x:c r="M105" s="24" t="n">
        <x:v>0.05</x:v>
      </x:c>
      <x:c r="N105" s="24" t="n">
        <x:v>1</x:v>
      </x:c>
      <x:c r="O105" t="str"/>
      <x:c r="P105" t="n">
        <x:v>6</x:v>
      </x:c>
      <x:c r="Q105" t="str">
        <x:f>IFERROR(XLOOKUP(E105,Lookups!$A$5:$A$24,Lookups!$B$5:$B$24),"Other")</x:f>
        <x:v>Organic Search</x:v>
      </x:c>
      <x:c r="R105" t="str">
        <x:f>IFERROR(XLOOKUP(F105,Lookups!$D$5:$D$10,Lookups!$E$5:$E$10),"Unknown Product")</x:f>
        <x:v>Marketing Automation</x:v>
      </x:c>
      <x:c r="S105" t="str">
        <x:f>IFERROR(XLOOKUP(F105,Lookups!$D$5:$D$10,Lookups!$F$5:$F$10),"Unknown")</x:f>
        <x:v>Marketing</x:v>
      </x:c>
      <x:c r="T105" t="str">
        <x:f>IF(L105&gt;=50000,"Enterprise",IF(L105&gt;=20000,"Mid-Market","SMB"))</x:f>
        <x:v>SMB</x:v>
      </x:c>
      <x:c r="U105" t="str">
        <x:f>IF(I105="Closed Won","Won",IF(I105="Closed Lost","Lost","Open"))</x:f>
        <x:v>Won</x:v>
      </x:c>
      <x:c r="V105" s="22" t="n">
        <x:f>IF(U105="Won",L105*(1-M105),0)</x:f>
        <x:v>15675</x:v>
      </x:c>
      <x:c r="W105" s="22" t="n">
        <x:f>IF(U105="Open",L105*N105,0)</x:f>
        <x:v>0</x:v>
      </x:c>
      <x:c r="X105" s="26" t="n">
        <x:f>IF(U105="Open","",IFERROR(K105-B105,""))</x:f>
        <x:v>66</x:v>
      </x:c>
      <x:c r="Y105" s="26" t="n">
        <x:f>IF(U105="Open",Lookups!$B$2-B105,X105)</x:f>
        <x:v>66</x:v>
      </x:c>
      <x:c r="Z105" t="str">
        <x:f>IF(AND(U105="Open",Y105&gt;30),"STALE","OK")</x:f>
        <x:v>OK</x:v>
      </x:c>
      <x:c r="AA105" t="str">
        <x:f>TEXT(B105,"yyyy-mm")</x:f>
        <x:v>2026-04</x:v>
      </x:c>
      <x:c r="AB105" t="str">
        <x:f>IF(K105="","",TEXT(K105,"yyyy-mm"))</x:f>
        <x:v>2026-07</x:v>
      </x:c>
      <x:c r="AC105" t="str">
        <x:f>"Q"&amp;ROUNDUP(MONTH(B105)/3,0)&amp;"-"&amp;YEAR(B105)</x:f>
        <x:v>Q2-2026</x:v>
      </x:c>
      <x:c r="AD105" s="26" t="n">
        <x:f>MIN(100,IF(H105="Enterprise",30,IF(H105="Mid-Market",22,14))+IF(T105="Enterprise",25,IF(T105="Mid-Market",18,10))+IF(Q105="Referral",25,IF(Q105="Organic Search",20,IF(Q105="Email",18,14)))+IF(G105="Technology",10,5))</x:f>
        <x:v>54</x:v>
      </x:c>
      <x:c r="AE105" t="str">
        <x:f>IF(U105&lt;&gt;"Open",U105,IF(N105&gt;=0.8,"Commit",IF(N105&gt;=0.5,"Best Case","Pipeline")))</x:f>
        <x:v>Won</x:v>
      </x:c>
    </x:row>
    <x:row r="106">
      <x:c r="A106" t="str">
        <x:v>L00105</x:v>
      </x:c>
      <x:c r="B106" s="10" t="n">
        <x:v>46203</x:v>
      </x:c>
      <x:c r="C106" t="str">
        <x:v>Tuan Bui</x:v>
      </x:c>
      <x:c r="D106" t="str">
        <x:v>Central</x:v>
      </x:c>
      <x:c r="E106" t="str">
        <x:v>LI Ads</x:v>
      </x:c>
      <x:c r="F106" t="str">
        <x:v>MKT-AUTO</x:v>
      </x:c>
      <x:c r="G106" t="str">
        <x:v>Manufacturing</x:v>
      </x:c>
      <x:c r="H106" t="str">
        <x:v>SMB</x:v>
      </x:c>
      <x:c r="I106" t="str">
        <x:v>Qualified</x:v>
      </x:c>
      <x:c r="J106" s="10" t="n">
        <x:v>46256</x:v>
      </x:c>
      <x:c r="K106" s="10"/>
      <x:c r="L106" s="22" t="n">
        <x:v>12100</x:v>
      </x:c>
      <x:c r="M106" s="24" t="n">
        <x:v>0</x:v>
      </x:c>
      <x:c r="N106" s="24" t="n">
        <x:v>0.2</x:v>
      </x:c>
      <x:c r="O106" t="str"/>
      <x:c r="P106" t="n">
        <x:v>2</x:v>
      </x:c>
      <x:c r="Q106" t="str">
        <x:f>IFERROR(XLOOKUP(E106,Lookups!$A$5:$A$24,Lookups!$B$5:$B$24),"Other")</x:f>
        <x:v>LinkedIn</x:v>
      </x:c>
      <x:c r="R106" t="str">
        <x:f>IFERROR(XLOOKUP(F106,Lookups!$D$5:$D$10,Lookups!$E$5:$E$10),"Unknown Product")</x:f>
        <x:v>Marketing Automation</x:v>
      </x:c>
      <x:c r="S106" t="str">
        <x:f>IFERROR(XLOOKUP(F106,Lookups!$D$5:$D$10,Lookups!$F$5:$F$10),"Unknown")</x:f>
        <x:v>Marketing</x:v>
      </x:c>
      <x:c r="T106" t="str">
        <x:f>IF(L106&gt;=50000,"Enterprise",IF(L106&gt;=20000,"Mid-Market","SMB"))</x:f>
        <x:v>SMB</x:v>
      </x:c>
      <x:c r="U106" t="str">
        <x:f>IF(I106="Closed Won","Won",IF(I106="Closed Lost","Lost","Open"))</x:f>
        <x:v>Open</x:v>
      </x:c>
      <x:c r="V106" s="22" t="n">
        <x:f>IF(U106="Won",L106*(1-M106),0)</x:f>
        <x:v>0</x:v>
      </x:c>
      <x:c r="W106" s="22" t="n">
        <x:f>IF(U106="Open",L106*N106,0)</x:f>
        <x:v>2420</x:v>
      </x:c>
      <x:c r="X106" s="26" t="str">
        <x:f>IF(U106="Open","",IFERROR(K106-B106,""))</x:f>
      </x:c>
      <x:c r="Y106" s="26" t="n">
        <x:f>IF(U106="Open",Lookups!$B$2-B106,X106)</x:f>
        <x:v>63</x:v>
      </x:c>
      <x:c r="Z106" t="str">
        <x:f>IF(AND(U106="Open",Y106&gt;30),"STALE","OK")</x:f>
        <x:v>STALE</x:v>
      </x:c>
      <x:c r="AA106" t="str">
        <x:f>TEXT(B106,"yyyy-mm")</x:f>
        <x:v>2026-06</x:v>
      </x:c>
      <x:c r="AB106" t="str">
        <x:f>IF(K106="","",TEXT(K106,"yyyy-mm"))</x:f>
      </x:c>
      <x:c r="AC106" t="str">
        <x:f>"Q"&amp;ROUNDUP(MONTH(B106)/3,0)&amp;"-"&amp;YEAR(B106)</x:f>
        <x:v>Q2-2026</x:v>
      </x:c>
      <x:c r="AD106" s="26" t="n">
        <x:f>MIN(100,IF(H106="Enterprise",30,IF(H106="Mid-Market",22,14))+IF(T106="Enterprise",25,IF(T106="Mid-Market",18,10))+IF(Q106="Referral",25,IF(Q106="Organic Search",20,IF(Q106="Email",18,14)))+IF(G106="Technology",10,5))</x:f>
        <x:v>43</x:v>
      </x:c>
      <x:c r="AE106" t="str">
        <x:f>IF(U106&lt;&gt;"Open",U106,IF(N106&gt;=0.8,"Commit",IF(N106&gt;=0.5,"Best Case","Pipeline")))</x:f>
        <x:v>Pipeline</x:v>
      </x:c>
    </x:row>
    <x:row r="107">
      <x:c r="A107" t="str">
        <x:v>L00106</x:v>
      </x:c>
      <x:c r="B107" s="10" t="n">
        <x:v>46259</x:v>
      </x:c>
      <x:c r="C107" t="str">
        <x:v>Quynh Vu</x:v>
      </x:c>
      <x:c r="D107" t="str">
        <x:v>North</x:v>
      </x:c>
      <x:c r="E107" t="str">
        <x:v>SEM - Google</x:v>
      </x:c>
      <x:c r="F107" t="str">
        <x:v>BI-PLUS</x:v>
      </x:c>
      <x:c r="G107" t="str">
        <x:v>Technology</x:v>
      </x:c>
      <x:c r="H107" t="str">
        <x:v>SMB</x:v>
      </x:c>
      <x:c r="I107" t="str">
        <x:v>New</x:v>
      </x:c>
      <x:c r="J107" s="10" t="n">
        <x:v>46261</x:v>
      </x:c>
      <x:c r="K107" s="10"/>
      <x:c r="L107" s="22" t="n">
        <x:v>16500</x:v>
      </x:c>
      <x:c r="M107" s="24" t="n">
        <x:v>0.05</x:v>
      </x:c>
      <x:c r="N107" s="24" t="n">
        <x:v>0.05</x:v>
      </x:c>
      <x:c r="O107" t="str"/>
      <x:c r="P107" t="n">
        <x:v>1</x:v>
      </x:c>
      <x:c r="Q107" t="str">
        <x:f>IFERROR(XLOOKUP(E107,Lookups!$A$5:$A$24,Lookups!$B$5:$B$24),"Other")</x:f>
        <x:v>Paid Search</x:v>
      </x:c>
      <x:c r="R107" t="str">
        <x:f>IFERROR(XLOOKUP(F107,Lookups!$D$5:$D$10,Lookups!$E$5:$E$10),"Unknown Product")</x:f>
        <x:v>Analytics Plus</x:v>
      </x:c>
      <x:c r="S107" t="str">
        <x:f>IFERROR(XLOOKUP(F107,Lookups!$D$5:$D$10,Lookups!$F$5:$F$10),"Unknown")</x:f>
        <x:v>Analytics</x:v>
      </x:c>
      <x:c r="T107" t="str">
        <x:f>IF(L107&gt;=50000,"Enterprise",IF(L107&gt;=20000,"Mid-Market","SMB"))</x:f>
        <x:v>SMB</x:v>
      </x:c>
      <x:c r="U107" t="str">
        <x:f>IF(I107="Closed Won","Won",IF(I107="Closed Lost","Lost","Open"))</x:f>
        <x:v>Open</x:v>
      </x:c>
      <x:c r="V107" s="22" t="n">
        <x:f>IF(U107="Won",L107*(1-M107),0)</x:f>
        <x:v>0</x:v>
      </x:c>
      <x:c r="W107" s="22" t="n">
        <x:f>IF(U107="Open",L107*N107,0)</x:f>
        <x:v>825</x:v>
      </x:c>
      <x:c r="X107" s="26" t="str">
        <x:f>IF(U107="Open","",IFERROR(K107-B107,""))</x:f>
      </x:c>
      <x:c r="Y107" s="26" t="n">
        <x:f>IF(U107="Open",Lookups!$B$2-B107,X107)</x:f>
        <x:v>7</x:v>
      </x:c>
      <x:c r="Z107" t="str">
        <x:f>IF(AND(U107="Open",Y107&gt;30),"STALE","OK")</x:f>
        <x:v>OK</x:v>
      </x:c>
      <x:c r="AA107" t="str">
        <x:f>TEXT(B107,"yyyy-mm")</x:f>
        <x:v>2026-08</x:v>
      </x:c>
      <x:c r="AB107" t="str">
        <x:f>IF(K107="","",TEXT(K107,"yyyy-mm"))</x:f>
      </x:c>
      <x:c r="AC107" t="str">
        <x:f>"Q"&amp;ROUNDUP(MONTH(B107)/3,0)&amp;"-"&amp;YEAR(B107)</x:f>
        <x:v>Q3-2026</x:v>
      </x:c>
      <x:c r="AD107" s="26" t="n">
        <x:f>MIN(100,IF(H107="Enterprise",30,IF(H107="Mid-Market",22,14))+IF(T107="Enterprise",25,IF(T107="Mid-Market",18,10))+IF(Q107="Referral",25,IF(Q107="Organic Search",20,IF(Q107="Email",18,14)))+IF(G107="Technology",10,5))</x:f>
        <x:v>48</x:v>
      </x:c>
      <x:c r="AE107" t="str">
        <x:f>IF(U107&lt;&gt;"Open",U107,IF(N107&gt;=0.8,"Commit",IF(N107&gt;=0.5,"Best Case","Pipeline")))</x:f>
        <x:v>Pipeline</x:v>
      </x:c>
    </x:row>
    <x:row r="108">
      <x:c r="A108" t="str">
        <x:v>L00107</x:v>
      </x:c>
      <x:c r="B108" s="10" t="n">
        <x:v>45908</x:v>
      </x:c>
      <x:c r="C108" t="str">
        <x:v>Chi Le</x:v>
      </x:c>
      <x:c r="D108" t="str">
        <x:v>South</x:v>
      </x:c>
      <x:c r="E108" t="str">
        <x:v>google cpc</x:v>
      </x:c>
      <x:c r="F108" t="str">
        <x:v>CRM-PRO</x:v>
      </x:c>
      <x:c r="G108" t="str">
        <x:v>Healthcare</x:v>
      </x:c>
      <x:c r="H108" t="str">
        <x:v>Enterprise</x:v>
      </x:c>
      <x:c r="I108" t="str">
        <x:v>Negotiation</x:v>
      </x:c>
      <x:c r="J108" s="10" t="n">
        <x:v>46193</x:v>
      </x:c>
      <x:c r="K108" s="10"/>
      <x:c r="L108" s="22" t="n">
        <x:v>72000</x:v>
      </x:c>
      <x:c r="M108" s="24" t="n">
        <x:v>0</x:v>
      </x:c>
      <x:c r="N108" s="24" t="n">
        <x:v>0.85</x:v>
      </x:c>
      <x:c r="O108" t="str"/>
      <x:c r="P108" t="n">
        <x:v>5</x:v>
      </x:c>
      <x:c r="Q108" t="str">
        <x:f>IFERROR(XLOOKUP(E108,Lookups!$A$5:$A$24,Lookups!$B$5:$B$24),"Other")</x:f>
        <x:v>Paid Search</x:v>
      </x:c>
      <x:c r="R108" t="str">
        <x:f>IFERROR(XLOOKUP(F108,Lookups!$D$5:$D$10,Lookups!$E$5:$E$10),"Unknown Product")</x:f>
        <x:v>NexaCRM Pro</x:v>
      </x:c>
      <x:c r="S108" t="str">
        <x:f>IFERROR(XLOOKUP(F108,Lookups!$D$5:$D$10,Lookups!$F$5:$F$10),"Unknown")</x:f>
        <x:v>CRM</x:v>
      </x:c>
      <x:c r="T108" t="str">
        <x:f>IF(L108&gt;=50000,"Enterprise",IF(L108&gt;=20000,"Mid-Market","SMB"))</x:f>
        <x:v>Enterprise</x:v>
      </x:c>
      <x:c r="U108" t="str">
        <x:f>IF(I108="Closed Won","Won",IF(I108="Closed Lost","Lost","Open"))</x:f>
        <x:v>Open</x:v>
      </x:c>
      <x:c r="V108" s="22" t="n">
        <x:f>IF(U108="Won",L108*(1-M108),0)</x:f>
        <x:v>0</x:v>
      </x:c>
      <x:c r="W108" s="22" t="n">
        <x:f>IF(U108="Open",L108*N108,0)</x:f>
        <x:v>61200</x:v>
      </x:c>
      <x:c r="X108" s="26" t="str">
        <x:f>IF(U108="Open","",IFERROR(K108-B108,""))</x:f>
      </x:c>
      <x:c r="Y108" s="26" t="n">
        <x:f>IF(U108="Open",Lookups!$B$2-B108,X108)</x:f>
        <x:v>358</x:v>
      </x:c>
      <x:c r="Z108" t="str">
        <x:f>IF(AND(U108="Open",Y108&gt;30),"STALE","OK")</x:f>
        <x:v>STALE</x:v>
      </x:c>
      <x:c r="AA108" t="str">
        <x:f>TEXT(B108,"yyyy-mm")</x:f>
        <x:v>2025-09</x:v>
      </x:c>
      <x:c r="AB108" t="str">
        <x:f>IF(K108="","",TEXT(K108,"yyyy-mm"))</x:f>
      </x:c>
      <x:c r="AC108" t="str">
        <x:f>"Q"&amp;ROUNDUP(MONTH(B108)/3,0)&amp;"-"&amp;YEAR(B108)</x:f>
        <x:v>Q3-2025</x:v>
      </x:c>
      <x:c r="AD108" s="26" t="n">
        <x:f>MIN(100,IF(H108="Enterprise",30,IF(H108="Mid-Market",22,14))+IF(T108="Enterprise",25,IF(T108="Mid-Market",18,10))+IF(Q108="Referral",25,IF(Q108="Organic Search",20,IF(Q108="Email",18,14)))+IF(G108="Technology",10,5))</x:f>
        <x:v>74</x:v>
      </x:c>
      <x:c r="AE108" t="str">
        <x:f>IF(U108&lt;&gt;"Open",U108,IF(N108&gt;=0.8,"Commit",IF(N108&gt;=0.5,"Best Case","Pipeline")))</x:f>
        <x:v>Commit</x:v>
      </x:c>
    </x:row>
    <x:row r="109">
      <x:c r="A109" t="str">
        <x:v>L00108</x:v>
      </x:c>
      <x:c r="B109" s="10" t="n">
        <x:v>45843</x:v>
      </x:c>
      <x:c r="C109" t="str">
        <x:v>Chi Le</x:v>
      </x:c>
      <x:c r="D109" t="str">
        <x:v>South</x:v>
      </x:c>
      <x:c r="E109" t="str">
        <x:v>SEO</x:v>
      </x:c>
      <x:c r="F109" t="str">
        <x:v>CRM-CORE</x:v>
      </x:c>
      <x:c r="G109" t="str">
        <x:v>Manufacturing</x:v>
      </x:c>
      <x:c r="H109" t="str">
        <x:v>SMB</x:v>
      </x:c>
      <x:c r="I109" t="str">
        <x:v>Closed Lost</x:v>
      </x:c>
      <x:c r="J109" s="10" t="n">
        <x:v>45876</x:v>
      </x:c>
      <x:c r="K109" s="10" t="n">
        <x:v>45876</x:v>
      </x:c>
      <x:c r="L109" s="22" t="n">
        <x:v>9900</x:v>
      </x:c>
      <x:c r="M109" s="24" t="n">
        <x:v>0</x:v>
      </x:c>
      <x:c r="N109" s="24" t="n">
        <x:v>0</x:v>
      </x:c>
      <x:c r="O109" t="str">
        <x:v>Competitor</x:v>
      </x:c>
      <x:c r="P109" t="n">
        <x:v>3</x:v>
      </x:c>
      <x:c r="Q109" t="str">
        <x:f>IFERROR(XLOOKUP(E109,Lookups!$A$5:$A$24,Lookups!$B$5:$B$24),"Other")</x:f>
        <x:v>Organic Search</x:v>
      </x:c>
      <x:c r="R109" t="str">
        <x:f>IFERROR(XLOOKUP(F109,Lookups!$D$5:$D$10,Lookups!$E$5:$E$10),"Unknown Product")</x:f>
        <x:v>NexaCRM Core</x:v>
      </x:c>
      <x:c r="S109" t="str">
        <x:f>IFERROR(XLOOKUP(F109,Lookups!$D$5:$D$10,Lookups!$F$5:$F$10),"Unknown")</x:f>
        <x:v>CRM</x:v>
      </x:c>
      <x:c r="T109" t="str">
        <x:f>IF(L109&gt;=50000,"Enterprise",IF(L109&gt;=20000,"Mid-Market","SMB"))</x:f>
        <x:v>SMB</x:v>
      </x:c>
      <x:c r="U109" t="str">
        <x:f>IF(I109="Closed Won","Won",IF(I109="Closed Lost","Lost","Open"))</x:f>
        <x:v>Lost</x:v>
      </x:c>
      <x:c r="V109" s="22" t="n">
        <x:f>IF(U109="Won",L109*(1-M109),0)</x:f>
        <x:v>0</x:v>
      </x:c>
      <x:c r="W109" s="22" t="n">
        <x:f>IF(U109="Open",L109*N109,0)</x:f>
        <x:v>0</x:v>
      </x:c>
      <x:c r="X109" s="26" t="n">
        <x:f>IF(U109="Open","",IFERROR(K109-B109,""))</x:f>
        <x:v>33</x:v>
      </x:c>
      <x:c r="Y109" s="26" t="n">
        <x:f>IF(U109="Open",Lookups!$B$2-B109,X109)</x:f>
        <x:v>33</x:v>
      </x:c>
      <x:c r="Z109" t="str">
        <x:f>IF(AND(U109="Open",Y109&gt;30),"STALE","OK")</x:f>
        <x:v>OK</x:v>
      </x:c>
      <x:c r="AA109" t="str">
        <x:f>TEXT(B109,"yyyy-mm")</x:f>
        <x:v>2025-07</x:v>
      </x:c>
      <x:c r="AB109" t="str">
        <x:f>IF(K109="","",TEXT(K109,"yyyy-mm"))</x:f>
        <x:v>2025-08</x:v>
      </x:c>
      <x:c r="AC109" t="str">
        <x:f>"Q"&amp;ROUNDUP(MONTH(B109)/3,0)&amp;"-"&amp;YEAR(B109)</x:f>
        <x:v>Q3-2025</x:v>
      </x:c>
      <x:c r="AD109" s="26" t="n">
        <x:f>MIN(100,IF(H109="Enterprise",30,IF(H109="Mid-Market",22,14))+IF(T109="Enterprise",25,IF(T109="Mid-Market",18,10))+IF(Q109="Referral",25,IF(Q109="Organic Search",20,IF(Q109="Email",18,14)))+IF(G109="Technology",10,5))</x:f>
        <x:v>49</x:v>
      </x:c>
      <x:c r="AE109" t="str">
        <x:f>IF(U109&lt;&gt;"Open",U109,IF(N109&gt;=0.8,"Commit",IF(N109&gt;=0.5,"Best Case","Pipeline")))</x:f>
        <x:v>Lost</x:v>
      </x:c>
    </x:row>
    <x:row r="110">
      <x:c r="A110" t="str">
        <x:v>L00109</x:v>
      </x:c>
      <x:c r="B110" s="10" t="n">
        <x:v>46078</x:v>
      </x:c>
      <x:c r="C110" t="str">
        <x:v>Quynh Vu</x:v>
      </x:c>
      <x:c r="D110" t="str">
        <x:v>North</x:v>
      </x:c>
      <x:c r="E110" t="str">
        <x:v>virtual event</x:v>
      </x:c>
      <x:c r="F110" t="str">
        <x:v>BI-PLUS</x:v>
      </x:c>
      <x:c r="G110" t="str">
        <x:v>Education</x:v>
      </x:c>
      <x:c r="H110" t="str">
        <x:v>Enterprise</x:v>
      </x:c>
      <x:c r="I110" t="str">
        <x:v>Closed Won</x:v>
      </x:c>
      <x:c r="J110" s="10" t="n">
        <x:v>46123</x:v>
      </x:c>
      <x:c r="K110" s="10" t="n">
        <x:v>46123</x:v>
      </x:c>
      <x:c r="L110" s="22" t="n">
        <x:v>97600</x:v>
      </x:c>
      <x:c r="M110" s="24" t="n">
        <x:v>0.05</x:v>
      </x:c>
      <x:c r="N110" s="24" t="n">
        <x:v>1</x:v>
      </x:c>
      <x:c r="O110" t="str"/>
      <x:c r="P110" t="n">
        <x:v>6</x:v>
      </x:c>
      <x:c r="Q110" t="str">
        <x:f>IFERROR(XLOOKUP(E110,Lookups!$A$5:$A$24,Lookups!$B$5:$B$24),"Other")</x:f>
        <x:v>Webinar</x:v>
      </x:c>
      <x:c r="R110" t="str">
        <x:f>IFERROR(XLOOKUP(F110,Lookups!$D$5:$D$10,Lookups!$E$5:$E$10),"Unknown Product")</x:f>
        <x:v>Analytics Plus</x:v>
      </x:c>
      <x:c r="S110" t="str">
        <x:f>IFERROR(XLOOKUP(F110,Lookups!$D$5:$D$10,Lookups!$F$5:$F$10),"Unknown")</x:f>
        <x:v>Analytics</x:v>
      </x:c>
      <x:c r="T110" t="str">
        <x:f>IF(L110&gt;=50000,"Enterprise",IF(L110&gt;=20000,"Mid-Market","SMB"))</x:f>
        <x:v>Enterprise</x:v>
      </x:c>
      <x:c r="U110" t="str">
        <x:f>IF(I110="Closed Won","Won",IF(I110="Closed Lost","Lost","Open"))</x:f>
        <x:v>Won</x:v>
      </x:c>
      <x:c r="V110" s="22" t="n">
        <x:f>IF(U110="Won",L110*(1-M110),0)</x:f>
        <x:v>92720</x:v>
      </x:c>
      <x:c r="W110" s="22" t="n">
        <x:f>IF(U110="Open",L110*N110,0)</x:f>
        <x:v>0</x:v>
      </x:c>
      <x:c r="X110" s="26" t="n">
        <x:f>IF(U110="Open","",IFERROR(K110-B110,""))</x:f>
        <x:v>45</x:v>
      </x:c>
      <x:c r="Y110" s="26" t="n">
        <x:f>IF(U110="Open",Lookups!$B$2-B110,X110)</x:f>
        <x:v>45</x:v>
      </x:c>
      <x:c r="Z110" t="str">
        <x:f>IF(AND(U110="Open",Y110&gt;30),"STALE","OK")</x:f>
        <x:v>OK</x:v>
      </x:c>
      <x:c r="AA110" t="str">
        <x:f>TEXT(B110,"yyyy-mm")</x:f>
        <x:v>2026-02</x:v>
      </x:c>
      <x:c r="AB110" t="str">
        <x:f>IF(K110="","",TEXT(K110,"yyyy-mm"))</x:f>
        <x:v>2026-04</x:v>
      </x:c>
      <x:c r="AC110" t="str">
        <x:f>"Q"&amp;ROUNDUP(MONTH(B110)/3,0)&amp;"-"&amp;YEAR(B110)</x:f>
        <x:v>Q1-2026</x:v>
      </x:c>
      <x:c r="AD110" s="26" t="n">
        <x:f>MIN(100,IF(H110="Enterprise",30,IF(H110="Mid-Market",22,14))+IF(T110="Enterprise",25,IF(T110="Mid-Market",18,10))+IF(Q110="Referral",25,IF(Q110="Organic Search",20,IF(Q110="Email",18,14)))+IF(G110="Technology",10,5))</x:f>
        <x:v>74</x:v>
      </x:c>
      <x:c r="AE110" t="str">
        <x:f>IF(U110&lt;&gt;"Open",U110,IF(N110&gt;=0.8,"Commit",IF(N110&gt;=0.5,"Best Case","Pipeline")))</x:f>
        <x:v>Won</x:v>
      </x:c>
    </x:row>
    <x:row r="111">
      <x:c r="A111" t="str">
        <x:v>L00110</x:v>
      </x:c>
      <x:c r="B111" s="10" t="n">
        <x:v>45914</x:v>
      </x:c>
      <x:c r="C111" t="str">
        <x:v>An Nguyen</x:v>
      </x:c>
      <x:c r="D111" t="str">
        <x:v>South</x:v>
      </x:c>
      <x:c r="E111" t="str">
        <x:v>newsletter</x:v>
      </x:c>
      <x:c r="F111" t="str">
        <x:v>MKT-AUTO</x:v>
      </x:c>
      <x:c r="G111" t="str">
        <x:v>Healthcare</x:v>
      </x:c>
      <x:c r="H111" t="str">
        <x:v>SMB</x:v>
      </x:c>
      <x:c r="I111" t="str">
        <x:v>Closed Won</x:v>
      </x:c>
      <x:c r="J111" s="10" t="n">
        <x:v>45978</x:v>
      </x:c>
      <x:c r="K111" s="10" t="n">
        <x:v>45978</x:v>
      </x:c>
      <x:c r="L111" s="22" t="n">
        <x:v>17500</x:v>
      </x:c>
      <x:c r="M111" s="24" t="n">
        <x:v>0.08</x:v>
      </x:c>
      <x:c r="N111" s="24" t="n">
        <x:v>1</x:v>
      </x:c>
      <x:c r="O111" t="str"/>
      <x:c r="P111" t="n">
        <x:v>6</x:v>
      </x:c>
      <x:c r="Q111" t="str">
        <x:f>IFERROR(XLOOKUP(E111,Lookups!$A$5:$A$24,Lookups!$B$5:$B$24),"Other")</x:f>
        <x:v>Email</x:v>
      </x:c>
      <x:c r="R111" t="str">
        <x:f>IFERROR(XLOOKUP(F111,Lookups!$D$5:$D$10,Lookups!$E$5:$E$10),"Unknown Product")</x:f>
        <x:v>Marketing Automation</x:v>
      </x:c>
      <x:c r="S111" t="str">
        <x:f>IFERROR(XLOOKUP(F111,Lookups!$D$5:$D$10,Lookups!$F$5:$F$10),"Unknown")</x:f>
        <x:v>Marketing</x:v>
      </x:c>
      <x:c r="T111" t="str">
        <x:f>IF(L111&gt;=50000,"Enterprise",IF(L111&gt;=20000,"Mid-Market","SMB"))</x:f>
        <x:v>SMB</x:v>
      </x:c>
      <x:c r="U111" t="str">
        <x:f>IF(I111="Closed Won","Won",IF(I111="Closed Lost","Lost","Open"))</x:f>
        <x:v>Won</x:v>
      </x:c>
      <x:c r="V111" s="22" t="n">
        <x:f>IF(U111="Won",L111*(1-M111),0)</x:f>
        <x:v>16100</x:v>
      </x:c>
      <x:c r="W111" s="22" t="n">
        <x:f>IF(U111="Open",L111*N111,0)</x:f>
        <x:v>0</x:v>
      </x:c>
      <x:c r="X111" s="26" t="n">
        <x:f>IF(U111="Open","",IFERROR(K111-B111,""))</x:f>
        <x:v>64</x:v>
      </x:c>
      <x:c r="Y111" s="26" t="n">
        <x:f>IF(U111="Open",Lookups!$B$2-B111,X111)</x:f>
        <x:v>64</x:v>
      </x:c>
      <x:c r="Z111" t="str">
        <x:f>IF(AND(U111="Open",Y111&gt;30),"STALE","OK")</x:f>
        <x:v>OK</x:v>
      </x:c>
      <x:c r="AA111" t="str">
        <x:f>TEXT(B111,"yyyy-mm")</x:f>
        <x:v>2025-09</x:v>
      </x:c>
      <x:c r="AB111" t="str">
        <x:f>IF(K111="","",TEXT(K111,"yyyy-mm"))</x:f>
        <x:v>2025-11</x:v>
      </x:c>
      <x:c r="AC111" t="str">
        <x:f>"Q"&amp;ROUNDUP(MONTH(B111)/3,0)&amp;"-"&amp;YEAR(B111)</x:f>
        <x:v>Q3-2025</x:v>
      </x:c>
      <x:c r="AD111" s="26" t="n">
        <x:f>MIN(100,IF(H111="Enterprise",30,IF(H111="Mid-Market",22,14))+IF(T111="Enterprise",25,IF(T111="Mid-Market",18,10))+IF(Q111="Referral",25,IF(Q111="Organic Search",20,IF(Q111="Email",18,14)))+IF(G111="Technology",10,5))</x:f>
        <x:v>47</x:v>
      </x:c>
      <x:c r="AE111" t="str">
        <x:f>IF(U111&lt;&gt;"Open",U111,IF(N111&gt;=0.8,"Commit",IF(N111&gt;=0.5,"Best Case","Pipeline")))</x:f>
        <x:v>Won</x:v>
      </x:c>
    </x:row>
    <x:row r="112">
      <x:c r="A112" t="str">
        <x:v>L00111</x:v>
      </x:c>
      <x:c r="B112" s="10" t="n">
        <x:v>46058</x:v>
      </x:c>
      <x:c r="C112" t="str">
        <x:v>Quynh Vu</x:v>
      </x:c>
      <x:c r="D112" t="str">
        <x:v>North</x:v>
      </x:c>
      <x:c r="E112" t="str">
        <x:v>google cpc</x:v>
      </x:c>
      <x:c r="F112" t="str">
        <x:v>CS-CLOUD</x:v>
      </x:c>
      <x:c r="G112" t="str">
        <x:v>Retail</x:v>
      </x:c>
      <x:c r="H112" t="str">
        <x:v>Mid-Market</x:v>
      </x:c>
      <x:c r="I112" t="str">
        <x:v>Closed Won</x:v>
      </x:c>
      <x:c r="J112" s="10" t="n">
        <x:v>46121</x:v>
      </x:c>
      <x:c r="K112" s="10" t="n">
        <x:v>46121</x:v>
      </x:c>
      <x:c r="L112" s="22" t="n">
        <x:v>47900</x:v>
      </x:c>
      <x:c r="M112" s="24" t="n">
        <x:v>0.1</x:v>
      </x:c>
      <x:c r="N112" s="24" t="n">
        <x:v>1</x:v>
      </x:c>
      <x:c r="O112" t="str"/>
      <x:c r="P112" t="n">
        <x:v>6</x:v>
      </x:c>
      <x:c r="Q112" t="str">
        <x:f>IFERROR(XLOOKUP(E112,Lookups!$A$5:$A$24,Lookups!$B$5:$B$24),"Other")</x:f>
        <x:v>Paid Search</x:v>
      </x:c>
      <x:c r="R112" t="str">
        <x:f>IFERROR(XLOOKUP(F112,Lookups!$D$5:$D$10,Lookups!$E$5:$E$10),"Unknown Product")</x:f>
        <x:v>Service Cloud</x:v>
      </x:c>
      <x:c r="S112" t="str">
        <x:f>IFERROR(XLOOKUP(F112,Lookups!$D$5:$D$10,Lookups!$F$5:$F$10),"Unknown")</x:f>
        <x:v>Customer Service</x:v>
      </x:c>
      <x:c r="T112" t="str">
        <x:f>IF(L112&gt;=50000,"Enterprise",IF(L112&gt;=20000,"Mid-Market","SMB"))</x:f>
        <x:v>Mid-Market</x:v>
      </x:c>
      <x:c r="U112" t="str">
        <x:f>IF(I112="Closed Won","Won",IF(I112="Closed Lost","Lost","Open"))</x:f>
        <x:v>Won</x:v>
      </x:c>
      <x:c r="V112" s="22" t="n">
        <x:f>IF(U112="Won",L112*(1-M112),0)</x:f>
        <x:v>43110</x:v>
      </x:c>
      <x:c r="W112" s="22" t="n">
        <x:f>IF(U112="Open",L112*N112,0)</x:f>
        <x:v>0</x:v>
      </x:c>
      <x:c r="X112" s="26" t="n">
        <x:f>IF(U112="Open","",IFERROR(K112-B112,""))</x:f>
        <x:v>63</x:v>
      </x:c>
      <x:c r="Y112" s="26" t="n">
        <x:f>IF(U112="Open",Lookups!$B$2-B112,X112)</x:f>
        <x:v>63</x:v>
      </x:c>
      <x:c r="Z112" t="str">
        <x:f>IF(AND(U112="Open",Y112&gt;30),"STALE","OK")</x:f>
        <x:v>OK</x:v>
      </x:c>
      <x:c r="AA112" t="str">
        <x:f>TEXT(B112,"yyyy-mm")</x:f>
        <x:v>2026-02</x:v>
      </x:c>
      <x:c r="AB112" t="str">
        <x:f>IF(K112="","",TEXT(K112,"yyyy-mm"))</x:f>
        <x:v>2026-04</x:v>
      </x:c>
      <x:c r="AC112" t="str">
        <x:f>"Q"&amp;ROUNDUP(MONTH(B112)/3,0)&amp;"-"&amp;YEAR(B112)</x:f>
        <x:v>Q1-2026</x:v>
      </x:c>
      <x:c r="AD112" s="26" t="n">
        <x:f>MIN(100,IF(H112="Enterprise",30,IF(H112="Mid-Market",22,14))+IF(T112="Enterprise",25,IF(T112="Mid-Market",18,10))+IF(Q112="Referral",25,IF(Q112="Organic Search",20,IF(Q112="Email",18,14)))+IF(G112="Technology",10,5))</x:f>
        <x:v>59</x:v>
      </x:c>
      <x:c r="AE112" t="str">
        <x:f>IF(U112&lt;&gt;"Open",U112,IF(N112&gt;=0.8,"Commit",IF(N112&gt;=0.5,"Best Case","Pipeline")))</x:f>
        <x:v>Won</x:v>
      </x:c>
    </x:row>
    <x:row r="113">
      <x:c r="A113" t="str">
        <x:v>L00112</x:v>
      </x:c>
      <x:c r="B113" s="10" t="n">
        <x:v>46129</x:v>
      </x:c>
      <x:c r="C113" t="str">
        <x:v>Duy Pham</x:v>
      </x:c>
      <x:c r="D113" t="str">
        <x:v>South</x:v>
      </x:c>
      <x:c r="E113" t="str">
        <x:v>Email Campaign</x:v>
      </x:c>
      <x:c r="F113" t="str">
        <x:v>CRM-PRO</x:v>
      </x:c>
      <x:c r="G113" t="str">
        <x:v>Manufacturing</x:v>
      </x:c>
      <x:c r="H113" t="str">
        <x:v>Enterprise</x:v>
      </x:c>
      <x:c r="I113" t="str">
        <x:v>Proposal</x:v>
      </x:c>
      <x:c r="J113" s="10" t="n">
        <x:v>46217</x:v>
      </x:c>
      <x:c r="K113" s="10"/>
      <x:c r="L113" s="22" t="n">
        <x:v>48800</x:v>
      </x:c>
      <x:c r="M113" s="24" t="n">
        <x:v>0</x:v>
      </x:c>
      <x:c r="N113" s="24" t="n">
        <x:v>0.65</x:v>
      </x:c>
      <x:c r="O113" t="str"/>
      <x:c r="P113" t="n">
        <x:v>4</x:v>
      </x:c>
      <x:c r="Q113" t="str">
        <x:f>IFERROR(XLOOKUP(E113,Lookups!$A$5:$A$24,Lookups!$B$5:$B$24),"Other")</x:f>
        <x:v>Email</x:v>
      </x:c>
      <x:c r="R113" t="str">
        <x:f>IFERROR(XLOOKUP(F113,Lookups!$D$5:$D$10,Lookups!$E$5:$E$10),"Unknown Product")</x:f>
        <x:v>NexaCRM Pro</x:v>
      </x:c>
      <x:c r="S113" t="str">
        <x:f>IFERROR(XLOOKUP(F113,Lookups!$D$5:$D$10,Lookups!$F$5:$F$10),"Unknown")</x:f>
        <x:v>CRM</x:v>
      </x:c>
      <x:c r="T113" t="str">
        <x:f>IF(L113&gt;=50000,"Enterprise",IF(L113&gt;=20000,"Mid-Market","SMB"))</x:f>
        <x:v>Mid-Market</x:v>
      </x:c>
      <x:c r="U113" t="str">
        <x:f>IF(I113="Closed Won","Won",IF(I113="Closed Lost","Lost","Open"))</x:f>
        <x:v>Open</x:v>
      </x:c>
      <x:c r="V113" s="22" t="n">
        <x:f>IF(U113="Won",L113*(1-M113),0)</x:f>
        <x:v>0</x:v>
      </x:c>
      <x:c r="W113" s="22" t="n">
        <x:f>IF(U113="Open",L113*N113,0)</x:f>
        <x:v>31720</x:v>
      </x:c>
      <x:c r="X113" s="26" t="str">
        <x:f>IF(U113="Open","",IFERROR(K113-B113,""))</x:f>
      </x:c>
      <x:c r="Y113" s="26" t="n">
        <x:f>IF(U113="Open",Lookups!$B$2-B113,X113)</x:f>
        <x:v>137</x:v>
      </x:c>
      <x:c r="Z113" t="str">
        <x:f>IF(AND(U113="Open",Y113&gt;30),"STALE","OK")</x:f>
        <x:v>STALE</x:v>
      </x:c>
      <x:c r="AA113" t="str">
        <x:f>TEXT(B113,"yyyy-mm")</x:f>
        <x:v>2026-04</x:v>
      </x:c>
      <x:c r="AB113" t="str">
        <x:f>IF(K113="","",TEXT(K113,"yyyy-mm"))</x:f>
      </x:c>
      <x:c r="AC113" t="str">
        <x:f>"Q"&amp;ROUNDUP(MONTH(B113)/3,0)&amp;"-"&amp;YEAR(B113)</x:f>
        <x:v>Q2-2026</x:v>
      </x:c>
      <x:c r="AD113" s="26" t="n">
        <x:f>MIN(100,IF(H113="Enterprise",30,IF(H113="Mid-Market",22,14))+IF(T113="Enterprise",25,IF(T113="Mid-Market",18,10))+IF(Q113="Referral",25,IF(Q113="Organic Search",20,IF(Q113="Email",18,14)))+IF(G113="Technology",10,5))</x:f>
        <x:v>71</x:v>
      </x:c>
      <x:c r="AE113" t="str">
        <x:f>IF(U113&lt;&gt;"Open",U113,IF(N113&gt;=0.8,"Commit",IF(N113&gt;=0.5,"Best Case","Pipeline")))</x:f>
        <x:v>Best Case</x:v>
      </x:c>
    </x:row>
    <x:row r="114">
      <x:c r="A114" t="str">
        <x:v>L00113</x:v>
      </x:c>
      <x:c r="B114" s="10" t="n">
        <x:v>45814</x:v>
      </x:c>
      <x:c r="C114" t="str">
        <x:v>Minh Do</x:v>
      </x:c>
      <x:c r="D114" t="str">
        <x:v>North</x:v>
      </x:c>
      <x:c r="E114" t="str">
        <x:v>customer referral</x:v>
      </x:c>
      <x:c r="F114" t="str">
        <x:v>REV-OPS</x:v>
      </x:c>
      <x:c r="G114" t="str">
        <x:v>Education</x:v>
      </x:c>
      <x:c r="H114" t="str">
        <x:v>Enterprise</x:v>
      </x:c>
      <x:c r="I114" t="str">
        <x:v>Closed Lost</x:v>
      </x:c>
      <x:c r="J114" s="10" t="n">
        <x:v>45862</x:v>
      </x:c>
      <x:c r="K114" s="10" t="n">
        <x:v>45862</x:v>
      </x:c>
      <x:c r="L114" s="22" t="n">
        <x:v>146800</x:v>
      </x:c>
      <x:c r="M114" s="24" t="n">
        <x:v>0</x:v>
      </x:c>
      <x:c r="N114" s="24" t="n">
        <x:v>0</x:v>
      </x:c>
      <x:c r="O114" t="str">
        <x:v>Budget</x:v>
      </x:c>
      <x:c r="P114" t="n">
        <x:v>2</x:v>
      </x:c>
      <x:c r="Q114" t="str">
        <x:f>IFERROR(XLOOKUP(E114,Lookups!$A$5:$A$24,Lookups!$B$5:$B$24),"Other")</x:f>
        <x:v>Referral</x:v>
      </x:c>
      <x:c r="R114" t="str">
        <x:f>IFERROR(XLOOKUP(F114,Lookups!$D$5:$D$10,Lookups!$E$5:$E$10),"Unknown Product")</x:f>
        <x:v>Revenue Operations Suite</x:v>
      </x:c>
      <x:c r="S114" t="str">
        <x:f>IFERROR(XLOOKUP(F114,Lookups!$D$5:$D$10,Lookups!$F$5:$F$10),"Unknown")</x:f>
        <x:v>Revenue Ops</x:v>
      </x:c>
      <x:c r="T114" t="str">
        <x:f>IF(L114&gt;=50000,"Enterprise",IF(L114&gt;=20000,"Mid-Market","SMB"))</x:f>
        <x:v>Enterprise</x:v>
      </x:c>
      <x:c r="U114" t="str">
        <x:f>IF(I114="Closed Won","Won",IF(I114="Closed Lost","Lost","Open"))</x:f>
        <x:v>Lost</x:v>
      </x:c>
      <x:c r="V114" s="22" t="n">
        <x:f>IF(U114="Won",L114*(1-M114),0)</x:f>
        <x:v>0</x:v>
      </x:c>
      <x:c r="W114" s="22" t="n">
        <x:f>IF(U114="Open",L114*N114,0)</x:f>
        <x:v>0</x:v>
      </x:c>
      <x:c r="X114" s="26" t="n">
        <x:f>IF(U114="Open","",IFERROR(K114-B114,""))</x:f>
        <x:v>48</x:v>
      </x:c>
      <x:c r="Y114" s="26" t="n">
        <x:f>IF(U114="Open",Lookups!$B$2-B114,X114)</x:f>
        <x:v>48</x:v>
      </x:c>
      <x:c r="Z114" t="str">
        <x:f>IF(AND(U114="Open",Y114&gt;30),"STALE","OK")</x:f>
        <x:v>OK</x:v>
      </x:c>
      <x:c r="AA114" t="str">
        <x:f>TEXT(B114,"yyyy-mm")</x:f>
        <x:v>2025-06</x:v>
      </x:c>
      <x:c r="AB114" t="str">
        <x:f>IF(K114="","",TEXT(K114,"yyyy-mm"))</x:f>
        <x:v>2025-07</x:v>
      </x:c>
      <x:c r="AC114" t="str">
        <x:f>"Q"&amp;ROUNDUP(MONTH(B114)/3,0)&amp;"-"&amp;YEAR(B114)</x:f>
        <x:v>Q2-2025</x:v>
      </x:c>
      <x:c r="AD114" s="26" t="n">
        <x:f>MIN(100,IF(H114="Enterprise",30,IF(H114="Mid-Market",22,14))+IF(T114="Enterprise",25,IF(T114="Mid-Market",18,10))+IF(Q114="Referral",25,IF(Q114="Organic Search",20,IF(Q114="Email",18,14)))+IF(G114="Technology",10,5))</x:f>
        <x:v>85</x:v>
      </x:c>
      <x:c r="AE114" t="str">
        <x:f>IF(U114&lt;&gt;"Open",U114,IF(N114&gt;=0.8,"Commit",IF(N114&gt;=0.5,"Best Case","Pipeline")))</x:f>
        <x:v>Lost</x:v>
      </x:c>
    </x:row>
    <x:row r="115">
      <x:c r="A115" t="str">
        <x:v>L00114</x:v>
      </x:c>
      <x:c r="B115" s="10" t="n">
        <x:v>45995</x:v>
      </x:c>
      <x:c r="C115" t="str">
        <x:v>Bao Tran</x:v>
      </x:c>
      <x:c r="D115" t="str">
        <x:v>South</x:v>
      </x:c>
      <x:c r="E115" t="str">
        <x:v>SDR Outreach</x:v>
      </x:c>
      <x:c r="F115" t="str">
        <x:v>MKT-AUTO</x:v>
      </x:c>
      <x:c r="G115" t="str">
        <x:v>Technology</x:v>
      </x:c>
      <x:c r="H115" t="str">
        <x:v>SMB</x:v>
      </x:c>
      <x:c r="I115" t="str">
        <x:v>Negotiation</x:v>
      </x:c>
      <x:c r="J115" s="10" t="n">
        <x:v>46142</x:v>
      </x:c>
      <x:c r="K115" s="10"/>
      <x:c r="L115" s="22" t="n">
        <x:v>14700</x:v>
      </x:c>
      <x:c r="M115" s="24" t="n">
        <x:v>0</x:v>
      </x:c>
      <x:c r="N115" s="24" t="n">
        <x:v>0.85</x:v>
      </x:c>
      <x:c r="O115" t="str"/>
      <x:c r="P115" t="n">
        <x:v>5</x:v>
      </x:c>
      <x:c r="Q115" t="str">
        <x:f>IFERROR(XLOOKUP(E115,Lookups!$A$5:$A$24,Lookups!$B$5:$B$24),"Other")</x:f>
        <x:v>Outbound</x:v>
      </x:c>
      <x:c r="R115" t="str">
        <x:f>IFERROR(XLOOKUP(F115,Lookups!$D$5:$D$10,Lookups!$E$5:$E$10),"Unknown Product")</x:f>
        <x:v>Marketing Automation</x:v>
      </x:c>
      <x:c r="S115" t="str">
        <x:f>IFERROR(XLOOKUP(F115,Lookups!$D$5:$D$10,Lookups!$F$5:$F$10),"Unknown")</x:f>
        <x:v>Marketing</x:v>
      </x:c>
      <x:c r="T115" t="str">
        <x:f>IF(L115&gt;=50000,"Enterprise",IF(L115&gt;=20000,"Mid-Market","SMB"))</x:f>
        <x:v>SMB</x:v>
      </x:c>
      <x:c r="U115" t="str">
        <x:f>IF(I115="Closed Won","Won",IF(I115="Closed Lost","Lost","Open"))</x:f>
        <x:v>Open</x:v>
      </x:c>
      <x:c r="V115" s="22" t="n">
        <x:f>IF(U115="Won",L115*(1-M115),0)</x:f>
        <x:v>0</x:v>
      </x:c>
      <x:c r="W115" s="22" t="n">
        <x:f>IF(U115="Open",L115*N115,0)</x:f>
        <x:v>12495</x:v>
      </x:c>
      <x:c r="X115" s="26" t="str">
        <x:f>IF(U115="Open","",IFERROR(K115-B115,""))</x:f>
      </x:c>
      <x:c r="Y115" s="26" t="n">
        <x:f>IF(U115="Open",Lookups!$B$2-B115,X115)</x:f>
        <x:v>271</x:v>
      </x:c>
      <x:c r="Z115" t="str">
        <x:f>IF(AND(U115="Open",Y115&gt;30),"STALE","OK")</x:f>
        <x:v>STALE</x:v>
      </x:c>
      <x:c r="AA115" t="str">
        <x:f>TEXT(B115,"yyyy-mm")</x:f>
        <x:v>2025-12</x:v>
      </x:c>
      <x:c r="AB115" t="str">
        <x:f>IF(K115="","",TEXT(K115,"yyyy-mm"))</x:f>
      </x:c>
      <x:c r="AC115" t="str">
        <x:f>"Q"&amp;ROUNDUP(MONTH(B115)/3,0)&amp;"-"&amp;YEAR(B115)</x:f>
        <x:v>Q4-2025</x:v>
      </x:c>
      <x:c r="AD115" s="26" t="n">
        <x:f>MIN(100,IF(H115="Enterprise",30,IF(H115="Mid-Market",22,14))+IF(T115="Enterprise",25,IF(T115="Mid-Market",18,10))+IF(Q115="Referral",25,IF(Q115="Organic Search",20,IF(Q115="Email",18,14)))+IF(G115="Technology",10,5))</x:f>
        <x:v>48</x:v>
      </x:c>
      <x:c r="AE115" t="str">
        <x:f>IF(U115&lt;&gt;"Open",U115,IF(N115&gt;=0.8,"Commit",IF(N115&gt;=0.5,"Best Case","Pipeline")))</x:f>
        <x:v>Commit</x:v>
      </x:c>
    </x:row>
    <x:row r="116">
      <x:c r="A116" t="str">
        <x:v>L00115</x:v>
      </x:c>
      <x:c r="B116" s="10" t="n">
        <x:v>45995</x:v>
      </x:c>
      <x:c r="C116" t="str">
        <x:v>Tuan Bui</x:v>
      </x:c>
      <x:c r="D116" t="str">
        <x:v>Central</x:v>
      </x:c>
      <x:c r="E116" t="str">
        <x:v>Partner Referral</x:v>
      </x:c>
      <x:c r="F116" t="str">
        <x:v>CS-CLOUD</x:v>
      </x:c>
      <x:c r="G116" t="str">
        <x:v>Healthcare</x:v>
      </x:c>
      <x:c r="H116" t="str">
        <x:v>SMB</x:v>
      </x:c>
      <x:c r="I116" t="str">
        <x:v>Closed Won</x:v>
      </x:c>
      <x:c r="J116" s="10" t="n">
        <x:v>46066</x:v>
      </x:c>
      <x:c r="K116" s="10" t="n">
        <x:v>46066</x:v>
      </x:c>
      <x:c r="L116" s="22" t="n">
        <x:v>12800</x:v>
      </x:c>
      <x:c r="M116" s="24" t="n">
        <x:v>0.12</x:v>
      </x:c>
      <x:c r="N116" s="24" t="n">
        <x:v>1</x:v>
      </x:c>
      <x:c r="O116" t="str"/>
      <x:c r="P116" t="n">
        <x:v>6</x:v>
      </x:c>
      <x:c r="Q116" t="str">
        <x:f>IFERROR(XLOOKUP(E116,Lookups!$A$5:$A$24,Lookups!$B$5:$B$24),"Other")</x:f>
        <x:v>Referral</x:v>
      </x:c>
      <x:c r="R116" t="str">
        <x:f>IFERROR(XLOOKUP(F116,Lookups!$D$5:$D$10,Lookups!$E$5:$E$10),"Unknown Product")</x:f>
        <x:v>Service Cloud</x:v>
      </x:c>
      <x:c r="S116" t="str">
        <x:f>IFERROR(XLOOKUP(F116,Lookups!$D$5:$D$10,Lookups!$F$5:$F$10),"Unknown")</x:f>
        <x:v>Customer Service</x:v>
      </x:c>
      <x:c r="T116" t="str">
        <x:f>IF(L116&gt;=50000,"Enterprise",IF(L116&gt;=20000,"Mid-Market","SMB"))</x:f>
        <x:v>SMB</x:v>
      </x:c>
      <x:c r="U116" t="str">
        <x:f>IF(I116="Closed Won","Won",IF(I116="Closed Lost","Lost","Open"))</x:f>
        <x:v>Won</x:v>
      </x:c>
      <x:c r="V116" s="22" t="n">
        <x:f>IF(U116="Won",L116*(1-M116),0)</x:f>
        <x:v>11264</x:v>
      </x:c>
      <x:c r="W116" s="22" t="n">
        <x:f>IF(U116="Open",L116*N116,0)</x:f>
        <x:v>0</x:v>
      </x:c>
      <x:c r="X116" s="26" t="n">
        <x:f>IF(U116="Open","",IFERROR(K116-B116,""))</x:f>
        <x:v>71</x:v>
      </x:c>
      <x:c r="Y116" s="26" t="n">
        <x:f>IF(U116="Open",Lookups!$B$2-B116,X116)</x:f>
        <x:v>71</x:v>
      </x:c>
      <x:c r="Z116" t="str">
        <x:f>IF(AND(U116="Open",Y116&gt;30),"STALE","OK")</x:f>
        <x:v>OK</x:v>
      </x:c>
      <x:c r="AA116" t="str">
        <x:f>TEXT(B116,"yyyy-mm")</x:f>
        <x:v>2025-12</x:v>
      </x:c>
      <x:c r="AB116" t="str">
        <x:f>IF(K116="","",TEXT(K116,"yyyy-mm"))</x:f>
        <x:v>2026-02</x:v>
      </x:c>
      <x:c r="AC116" t="str">
        <x:f>"Q"&amp;ROUNDUP(MONTH(B116)/3,0)&amp;"-"&amp;YEAR(B116)</x:f>
        <x:v>Q4-2025</x:v>
      </x:c>
      <x:c r="AD116" s="26" t="n">
        <x:f>MIN(100,IF(H116="Enterprise",30,IF(H116="Mid-Market",22,14))+IF(T116="Enterprise",25,IF(T116="Mid-Market",18,10))+IF(Q116="Referral",25,IF(Q116="Organic Search",20,IF(Q116="Email",18,14)))+IF(G116="Technology",10,5))</x:f>
        <x:v>54</x:v>
      </x:c>
      <x:c r="AE116" t="str">
        <x:f>IF(U116&lt;&gt;"Open",U116,IF(N116&gt;=0.8,"Commit",IF(N116&gt;=0.5,"Best Case","Pipeline")))</x:f>
        <x:v>Won</x:v>
      </x:c>
    </x:row>
    <x:row r="117">
      <x:c r="A117" t="str">
        <x:v>L00116</x:v>
      </x:c>
      <x:c r="B117" s="10" t="n">
        <x:v>45874</x:v>
      </x:c>
      <x:c r="C117" t="str">
        <x:v>An Nguyen</x:v>
      </x:c>
      <x:c r="D117" t="str">
        <x:v>South</x:v>
      </x:c>
      <x:c r="E117" t="str">
        <x:v>Email Campaign</x:v>
      </x:c>
      <x:c r="F117" t="str">
        <x:v>CS-CLOUD</x:v>
      </x:c>
      <x:c r="G117" t="str">
        <x:v>Financial Services</x:v>
      </x:c>
      <x:c r="H117" t="str">
        <x:v>Enterprise</x:v>
      </x:c>
      <x:c r="I117" t="str">
        <x:v>Negotiation</x:v>
      </x:c>
      <x:c r="J117" s="10" t="n">
        <x:v>46127</x:v>
      </x:c>
      <x:c r="K117" s="10"/>
      <x:c r="L117" s="22" t="n">
        <x:v>90700</x:v>
      </x:c>
      <x:c r="M117" s="24" t="n">
        <x:v>0</x:v>
      </x:c>
      <x:c r="N117" s="24" t="n">
        <x:v>0.85</x:v>
      </x:c>
      <x:c r="O117" t="str"/>
      <x:c r="P117" t="n">
        <x:v>5</x:v>
      </x:c>
      <x:c r="Q117" t="str">
        <x:f>IFERROR(XLOOKUP(E117,Lookups!$A$5:$A$24,Lookups!$B$5:$B$24),"Other")</x:f>
        <x:v>Email</x:v>
      </x:c>
      <x:c r="R117" t="str">
        <x:f>IFERROR(XLOOKUP(F117,Lookups!$D$5:$D$10,Lookups!$E$5:$E$10),"Unknown Product")</x:f>
        <x:v>Service Cloud</x:v>
      </x:c>
      <x:c r="S117" t="str">
        <x:f>IFERROR(XLOOKUP(F117,Lookups!$D$5:$D$10,Lookups!$F$5:$F$10),"Unknown")</x:f>
        <x:v>Customer Service</x:v>
      </x:c>
      <x:c r="T117" t="str">
        <x:f>IF(L117&gt;=50000,"Enterprise",IF(L117&gt;=20000,"Mid-Market","SMB"))</x:f>
        <x:v>Enterprise</x:v>
      </x:c>
      <x:c r="U117" t="str">
        <x:f>IF(I117="Closed Won","Won",IF(I117="Closed Lost","Lost","Open"))</x:f>
        <x:v>Open</x:v>
      </x:c>
      <x:c r="V117" s="22" t="n">
        <x:f>IF(U117="Won",L117*(1-M117),0)</x:f>
        <x:v>0</x:v>
      </x:c>
      <x:c r="W117" s="22" t="n">
        <x:f>IF(U117="Open",L117*N117,0)</x:f>
        <x:v>77095</x:v>
      </x:c>
      <x:c r="X117" s="26" t="str">
        <x:f>IF(U117="Open","",IFERROR(K117-B117,""))</x:f>
      </x:c>
      <x:c r="Y117" s="26" t="n">
        <x:f>IF(U117="Open",Lookups!$B$2-B117,X117)</x:f>
        <x:v>392</x:v>
      </x:c>
      <x:c r="Z117" t="str">
        <x:f>IF(AND(U117="Open",Y117&gt;30),"STALE","OK")</x:f>
        <x:v>STALE</x:v>
      </x:c>
      <x:c r="AA117" t="str">
        <x:f>TEXT(B117,"yyyy-mm")</x:f>
        <x:v>2025-08</x:v>
      </x:c>
      <x:c r="AB117" t="str">
        <x:f>IF(K117="","",TEXT(K117,"yyyy-mm"))</x:f>
      </x:c>
      <x:c r="AC117" t="str">
        <x:f>"Q"&amp;ROUNDUP(MONTH(B117)/3,0)&amp;"-"&amp;YEAR(B117)</x:f>
        <x:v>Q3-2025</x:v>
      </x:c>
      <x:c r="AD117" s="26" t="n">
        <x:f>MIN(100,IF(H117="Enterprise",30,IF(H117="Mid-Market",22,14))+IF(T117="Enterprise",25,IF(T117="Mid-Market",18,10))+IF(Q117="Referral",25,IF(Q117="Organic Search",20,IF(Q117="Email",18,14)))+IF(G117="Technology",10,5))</x:f>
        <x:v>78</x:v>
      </x:c>
      <x:c r="AE117" t="str">
        <x:f>IF(U117&lt;&gt;"Open",U117,IF(N117&gt;=0.8,"Commit",IF(N117&gt;=0.5,"Best Case","Pipeline")))</x:f>
        <x:v>Commit</x:v>
      </x:c>
    </x:row>
    <x:row r="118">
      <x:c r="A118" t="str">
        <x:v>L00117</x:v>
      </x:c>
      <x:c r="B118" s="10" t="n">
        <x:v>45841</x:v>
      </x:c>
      <x:c r="C118" t="str">
        <x:v>Chi Le</x:v>
      </x:c>
      <x:c r="D118" t="str">
        <x:v>South</x:v>
      </x:c>
      <x:c r="E118" t="str">
        <x:v>Google Ads</x:v>
      </x:c>
      <x:c r="F118" t="str">
        <x:v>MKT-AUTO</x:v>
      </x:c>
      <x:c r="G118" t="str">
        <x:v>Professional Services</x:v>
      </x:c>
      <x:c r="H118" t="str">
        <x:v>Mid-Market</x:v>
      </x:c>
      <x:c r="I118" t="str">
        <x:v>Negotiation</x:v>
      </x:c>
      <x:c r="J118" s="10" t="n">
        <x:v>45999</x:v>
      </x:c>
      <x:c r="K118" s="10"/>
      <x:c r="L118" s="22" t="n">
        <x:v>20100</x:v>
      </x:c>
      <x:c r="M118" s="24" t="n">
        <x:v>0</x:v>
      </x:c>
      <x:c r="N118" s="24" t="n">
        <x:v>0.85</x:v>
      </x:c>
      <x:c r="O118" t="str"/>
      <x:c r="P118" t="n">
        <x:v>5</x:v>
      </x:c>
      <x:c r="Q118" t="str">
        <x:f>IFERROR(XLOOKUP(E118,Lookups!$A$5:$A$24,Lookups!$B$5:$B$24),"Other")</x:f>
        <x:v>Paid Search</x:v>
      </x:c>
      <x:c r="R118" t="str">
        <x:f>IFERROR(XLOOKUP(F118,Lookups!$D$5:$D$10,Lookups!$E$5:$E$10),"Unknown Product")</x:f>
        <x:v>Marketing Automation</x:v>
      </x:c>
      <x:c r="S118" t="str">
        <x:f>IFERROR(XLOOKUP(F118,Lookups!$D$5:$D$10,Lookups!$F$5:$F$10),"Unknown")</x:f>
        <x:v>Marketing</x:v>
      </x:c>
      <x:c r="T118" t="str">
        <x:f>IF(L118&gt;=50000,"Enterprise",IF(L118&gt;=20000,"Mid-Market","SMB"))</x:f>
        <x:v>Mid-Market</x:v>
      </x:c>
      <x:c r="U118" t="str">
        <x:f>IF(I118="Closed Won","Won",IF(I118="Closed Lost","Lost","Open"))</x:f>
        <x:v>Open</x:v>
      </x:c>
      <x:c r="V118" s="22" t="n">
        <x:f>IF(U118="Won",L118*(1-M118),0)</x:f>
        <x:v>0</x:v>
      </x:c>
      <x:c r="W118" s="22" t="n">
        <x:f>IF(U118="Open",L118*N118,0)</x:f>
        <x:v>17085</x:v>
      </x:c>
      <x:c r="X118" s="26" t="str">
        <x:f>IF(U118="Open","",IFERROR(K118-B118,""))</x:f>
      </x:c>
      <x:c r="Y118" s="26" t="n">
        <x:f>IF(U118="Open",Lookups!$B$2-B118,X118)</x:f>
        <x:v>425</x:v>
      </x:c>
      <x:c r="Z118" t="str">
        <x:f>IF(AND(U118="Open",Y118&gt;30),"STALE","OK")</x:f>
        <x:v>STALE</x:v>
      </x:c>
      <x:c r="AA118" t="str">
        <x:f>TEXT(B118,"yyyy-mm")</x:f>
        <x:v>2025-07</x:v>
      </x:c>
      <x:c r="AB118" t="str">
        <x:f>IF(K118="","",TEXT(K118,"yyyy-mm"))</x:f>
      </x:c>
      <x:c r="AC118" t="str">
        <x:f>"Q"&amp;ROUNDUP(MONTH(B118)/3,0)&amp;"-"&amp;YEAR(B118)</x:f>
        <x:v>Q3-2025</x:v>
      </x:c>
      <x:c r="AD118" s="26" t="n">
        <x:f>MIN(100,IF(H118="Enterprise",30,IF(H118="Mid-Market",22,14))+IF(T118="Enterprise",25,IF(T118="Mid-Market",18,10))+IF(Q118="Referral",25,IF(Q118="Organic Search",20,IF(Q118="Email",18,14)))+IF(G118="Technology",10,5))</x:f>
        <x:v>59</x:v>
      </x:c>
      <x:c r="AE118" t="str">
        <x:f>IF(U118&lt;&gt;"Open",U118,IF(N118&gt;=0.8,"Commit",IF(N118&gt;=0.5,"Best Case","Pipeline")))</x:f>
        <x:v>Commit</x:v>
      </x:c>
    </x:row>
    <x:row r="119">
      <x:c r="A119" t="str">
        <x:v>L00118</x:v>
      </x:c>
      <x:c r="B119" s="10" t="n">
        <x:v>45970</x:v>
      </x:c>
      <x:c r="C119" t="str">
        <x:v>Quynh Vu</x:v>
      </x:c>
      <x:c r="D119" t="str">
        <x:v>North</x:v>
      </x:c>
      <x:c r="E119" t="str">
        <x:v>linkedin</x:v>
      </x:c>
      <x:c r="F119" t="str">
        <x:v>BI-PLUS</x:v>
      </x:c>
      <x:c r="G119" t="str">
        <x:v>Retail</x:v>
      </x:c>
      <x:c r="H119" t="str">
        <x:v>Mid-Market</x:v>
      </x:c>
      <x:c r="I119" t="str">
        <x:v>Negotiation</x:v>
      </x:c>
      <x:c r="J119" s="10" t="n">
        <x:v>46197</x:v>
      </x:c>
      <x:c r="K119" s="10"/>
      <x:c r="L119" s="22" t="n">
        <x:v>23100</x:v>
      </x:c>
      <x:c r="M119" s="24" t="n">
        <x:v>0.03</x:v>
      </x:c>
      <x:c r="N119" s="24" t="n">
        <x:v>0.85</x:v>
      </x:c>
      <x:c r="O119" t="str"/>
      <x:c r="P119" t="n">
        <x:v>5</x:v>
      </x:c>
      <x:c r="Q119" t="str">
        <x:f>IFERROR(XLOOKUP(E119,Lookups!$A$5:$A$24,Lookups!$B$5:$B$24),"Other")</x:f>
        <x:v>LinkedIn</x:v>
      </x:c>
      <x:c r="R119" t="str">
        <x:f>IFERROR(XLOOKUP(F119,Lookups!$D$5:$D$10,Lookups!$E$5:$E$10),"Unknown Product")</x:f>
        <x:v>Analytics Plus</x:v>
      </x:c>
      <x:c r="S119" t="str">
        <x:f>IFERROR(XLOOKUP(F119,Lookups!$D$5:$D$10,Lookups!$F$5:$F$10),"Unknown")</x:f>
        <x:v>Analytics</x:v>
      </x:c>
      <x:c r="T119" t="str">
        <x:f>IF(L119&gt;=50000,"Enterprise",IF(L119&gt;=20000,"Mid-Market","SMB"))</x:f>
        <x:v>Mid-Market</x:v>
      </x:c>
      <x:c r="U119" t="str">
        <x:f>IF(I119="Closed Won","Won",IF(I119="Closed Lost","Lost","Open"))</x:f>
        <x:v>Open</x:v>
      </x:c>
      <x:c r="V119" s="22" t="n">
        <x:f>IF(U119="Won",L119*(1-M119),0)</x:f>
        <x:v>0</x:v>
      </x:c>
      <x:c r="W119" s="22" t="n">
        <x:f>IF(U119="Open",L119*N119,0)</x:f>
        <x:v>19635</x:v>
      </x:c>
      <x:c r="X119" s="26" t="str">
        <x:f>IF(U119="Open","",IFERROR(K119-B119,""))</x:f>
      </x:c>
      <x:c r="Y119" s="26" t="n">
        <x:f>IF(U119="Open",Lookups!$B$2-B119,X119)</x:f>
        <x:v>296</x:v>
      </x:c>
      <x:c r="Z119" t="str">
        <x:f>IF(AND(U119="Open",Y119&gt;30),"STALE","OK")</x:f>
        <x:v>STALE</x:v>
      </x:c>
      <x:c r="AA119" t="str">
        <x:f>TEXT(B119,"yyyy-mm")</x:f>
        <x:v>2025-11</x:v>
      </x:c>
      <x:c r="AB119" t="str">
        <x:f>IF(K119="","",TEXT(K119,"yyyy-mm"))</x:f>
      </x:c>
      <x:c r="AC119" t="str">
        <x:f>"Q"&amp;ROUNDUP(MONTH(B119)/3,0)&amp;"-"&amp;YEAR(B119)</x:f>
        <x:v>Q4-2025</x:v>
      </x:c>
      <x:c r="AD119" s="26" t="n">
        <x:f>MIN(100,IF(H119="Enterprise",30,IF(H119="Mid-Market",22,14))+IF(T119="Enterprise",25,IF(T119="Mid-Market",18,10))+IF(Q119="Referral",25,IF(Q119="Organic Search",20,IF(Q119="Email",18,14)))+IF(G119="Technology",10,5))</x:f>
        <x:v>59</x:v>
      </x:c>
      <x:c r="AE119" t="str">
        <x:f>IF(U119&lt;&gt;"Open",U119,IF(N119&gt;=0.8,"Commit",IF(N119&gt;=0.5,"Best Case","Pipeline")))</x:f>
        <x:v>Commit</x:v>
      </x:c>
    </x:row>
    <x:row r="120">
      <x:c r="A120" t="str">
        <x:v>L00119</x:v>
      </x:c>
      <x:c r="B120" s="10" t="n">
        <x:v>46238</x:v>
      </x:c>
      <x:c r="C120" t="str">
        <x:v>Minh Do</x:v>
      </x:c>
      <x:c r="D120" t="str">
        <x:v>North</x:v>
      </x:c>
      <x:c r="E120" t="str">
        <x:v>LI Ads</x:v>
      </x:c>
      <x:c r="F120" t="str">
        <x:v>CRM-PRO</x:v>
      </x:c>
      <x:c r="G120" t="str">
        <x:v>Professional Services</x:v>
      </x:c>
      <x:c r="H120" t="str">
        <x:v>Mid-Market</x:v>
      </x:c>
      <x:c r="I120" t="str">
        <x:v>Qualified</x:v>
      </x:c>
      <x:c r="J120" s="10" t="n">
        <x:v>46262</x:v>
      </x:c>
      <x:c r="K120" s="10"/>
      <x:c r="L120" s="22" t="n">
        <x:v>39700</x:v>
      </x:c>
      <x:c r="M120" s="24" t="n">
        <x:v>0</x:v>
      </x:c>
      <x:c r="N120" s="24" t="n">
        <x:v>0.2</x:v>
      </x:c>
      <x:c r="O120" t="str"/>
      <x:c r="P120" t="n">
        <x:v>2</x:v>
      </x:c>
      <x:c r="Q120" t="str">
        <x:f>IFERROR(XLOOKUP(E120,Lookups!$A$5:$A$24,Lookups!$B$5:$B$24),"Other")</x:f>
        <x:v>LinkedIn</x:v>
      </x:c>
      <x:c r="R120" t="str">
        <x:f>IFERROR(XLOOKUP(F120,Lookups!$D$5:$D$10,Lookups!$E$5:$E$10),"Unknown Product")</x:f>
        <x:v>NexaCRM Pro</x:v>
      </x:c>
      <x:c r="S120" t="str">
        <x:f>IFERROR(XLOOKUP(F120,Lookups!$D$5:$D$10,Lookups!$F$5:$F$10),"Unknown")</x:f>
        <x:v>CRM</x:v>
      </x:c>
      <x:c r="T120" t="str">
        <x:f>IF(L120&gt;=50000,"Enterprise",IF(L120&gt;=20000,"Mid-Market","SMB"))</x:f>
        <x:v>Mid-Market</x:v>
      </x:c>
      <x:c r="U120" t="str">
        <x:f>IF(I120="Closed Won","Won",IF(I120="Closed Lost","Lost","Open"))</x:f>
        <x:v>Open</x:v>
      </x:c>
      <x:c r="V120" s="22" t="n">
        <x:f>IF(U120="Won",L120*(1-M120),0)</x:f>
        <x:v>0</x:v>
      </x:c>
      <x:c r="W120" s="22" t="n">
        <x:f>IF(U120="Open",L120*N120,0)</x:f>
        <x:v>7940</x:v>
      </x:c>
      <x:c r="X120" s="26" t="str">
        <x:f>IF(U120="Open","",IFERROR(K120-B120,""))</x:f>
      </x:c>
      <x:c r="Y120" s="26" t="n">
        <x:f>IF(U120="Open",Lookups!$B$2-B120,X120)</x:f>
        <x:v>28</x:v>
      </x:c>
      <x:c r="Z120" t="str">
        <x:f>IF(AND(U120="Open",Y120&gt;30),"STALE","OK")</x:f>
        <x:v>OK</x:v>
      </x:c>
      <x:c r="AA120" t="str">
        <x:f>TEXT(B120,"yyyy-mm")</x:f>
        <x:v>2026-08</x:v>
      </x:c>
      <x:c r="AB120" t="str">
        <x:f>IF(K120="","",TEXT(K120,"yyyy-mm"))</x:f>
      </x:c>
      <x:c r="AC120" t="str">
        <x:f>"Q"&amp;ROUNDUP(MONTH(B120)/3,0)&amp;"-"&amp;YEAR(B120)</x:f>
        <x:v>Q3-2026</x:v>
      </x:c>
      <x:c r="AD120" s="26" t="n">
        <x:f>MIN(100,IF(H120="Enterprise",30,IF(H120="Mid-Market",22,14))+IF(T120="Enterprise",25,IF(T120="Mid-Market",18,10))+IF(Q120="Referral",25,IF(Q120="Organic Search",20,IF(Q120="Email",18,14)))+IF(G120="Technology",10,5))</x:f>
        <x:v>59</x:v>
      </x:c>
      <x:c r="AE120" t="str">
        <x:f>IF(U120&lt;&gt;"Open",U120,IF(N120&gt;=0.8,"Commit",IF(N120&gt;=0.5,"Best Case","Pipeline")))</x:f>
        <x:v>Pipeline</x:v>
      </x:c>
    </x:row>
    <x:row r="121">
      <x:c r="A121" t="str">
        <x:v>L00120</x:v>
      </x:c>
      <x:c r="B121" s="10" t="n">
        <x:v>46010</x:v>
      </x:c>
      <x:c r="C121" t="str">
        <x:v>Minh Do</x:v>
      </x:c>
      <x:c r="D121" t="str">
        <x:v>North</x:v>
      </x:c>
      <x:c r="E121" t="str">
        <x:v>SDR Outreach</x:v>
      </x:c>
      <x:c r="F121" t="str">
        <x:v>CRM-PRO</x:v>
      </x:c>
      <x:c r="G121" t="str">
        <x:v>Education</x:v>
      </x:c>
      <x:c r="H121" t="str">
        <x:v>Mid-Market</x:v>
      </x:c>
      <x:c r="I121" t="str">
        <x:v>Negotiation</x:v>
      </x:c>
      <x:c r="J121" s="10" t="n">
        <x:v>46234</x:v>
      </x:c>
      <x:c r="K121" s="10"/>
      <x:c r="L121" s="22" t="n">
        <x:v>32900</x:v>
      </x:c>
      <x:c r="M121" s="24" t="n">
        <x:v>0.03</x:v>
      </x:c>
      <x:c r="N121" s="24" t="n">
        <x:v>0.85</x:v>
      </x:c>
      <x:c r="O121" t="str"/>
      <x:c r="P121" t="n">
        <x:v>5</x:v>
      </x:c>
      <x:c r="Q121" t="str">
        <x:f>IFERROR(XLOOKUP(E121,Lookups!$A$5:$A$24,Lookups!$B$5:$B$24),"Other")</x:f>
        <x:v>Outbound</x:v>
      </x:c>
      <x:c r="R121" t="str">
        <x:f>IFERROR(XLOOKUP(F121,Lookups!$D$5:$D$10,Lookups!$E$5:$E$10),"Unknown Product")</x:f>
        <x:v>NexaCRM Pro</x:v>
      </x:c>
      <x:c r="S121" t="str">
        <x:f>IFERROR(XLOOKUP(F121,Lookups!$D$5:$D$10,Lookups!$F$5:$F$10),"Unknown")</x:f>
        <x:v>CRM</x:v>
      </x:c>
      <x:c r="T121" t="str">
        <x:f>IF(L121&gt;=50000,"Enterprise",IF(L121&gt;=20000,"Mid-Market","SMB"))</x:f>
        <x:v>Mid-Market</x:v>
      </x:c>
      <x:c r="U121" t="str">
        <x:f>IF(I121="Closed Won","Won",IF(I121="Closed Lost","Lost","Open"))</x:f>
        <x:v>Open</x:v>
      </x:c>
      <x:c r="V121" s="22" t="n">
        <x:f>IF(U121="Won",L121*(1-M121),0)</x:f>
        <x:v>0</x:v>
      </x:c>
      <x:c r="W121" s="22" t="n">
        <x:f>IF(U121="Open",L121*N121,0)</x:f>
        <x:v>27965</x:v>
      </x:c>
      <x:c r="X121" s="26" t="str">
        <x:f>IF(U121="Open","",IFERROR(K121-B121,""))</x:f>
      </x:c>
      <x:c r="Y121" s="26" t="n">
        <x:f>IF(U121="Open",Lookups!$B$2-B121,X121)</x:f>
        <x:v>256</x:v>
      </x:c>
      <x:c r="Z121" t="str">
        <x:f>IF(AND(U121="Open",Y121&gt;30),"STALE","OK")</x:f>
        <x:v>STALE</x:v>
      </x:c>
      <x:c r="AA121" t="str">
        <x:f>TEXT(B121,"yyyy-mm")</x:f>
        <x:v>2025-12</x:v>
      </x:c>
      <x:c r="AB121" t="str">
        <x:f>IF(K121="","",TEXT(K121,"yyyy-mm"))</x:f>
      </x:c>
      <x:c r="AC121" t="str">
        <x:f>"Q"&amp;ROUNDUP(MONTH(B121)/3,0)&amp;"-"&amp;YEAR(B121)</x:f>
        <x:v>Q4-2025</x:v>
      </x:c>
      <x:c r="AD121" s="26" t="n">
        <x:f>MIN(100,IF(H121="Enterprise",30,IF(H121="Mid-Market",22,14))+IF(T121="Enterprise",25,IF(T121="Mid-Market",18,10))+IF(Q121="Referral",25,IF(Q121="Organic Search",20,IF(Q121="Email",18,14)))+IF(G121="Technology",10,5))</x:f>
        <x:v>59</x:v>
      </x:c>
      <x:c r="AE121" t="str">
        <x:f>IF(U121&lt;&gt;"Open",U121,IF(N121&gt;=0.8,"Commit",IF(N121&gt;=0.5,"Best Case","Pipeline")))</x:f>
        <x:v>Commit</x:v>
      </x:c>
    </x:row>
    <x:row r="122">
      <x:c r="A122" t="str">
        <x:v>L00121</x:v>
      </x:c>
      <x:c r="B122" s="10" t="n">
        <x:v>45951</x:v>
      </x:c>
      <x:c r="C122" t="str">
        <x:v>Bao Tran</x:v>
      </x:c>
      <x:c r="D122" t="str">
        <x:v>South</x:v>
      </x:c>
      <x:c r="E122" t="str">
        <x:v>email nurture</x:v>
      </x:c>
      <x:c r="F122" t="str">
        <x:v>CRM-CORE</x:v>
      </x:c>
      <x:c r="G122" t="str">
        <x:v>Professional Services</x:v>
      </x:c>
      <x:c r="H122" t="str">
        <x:v>Mid-Market</x:v>
      </x:c>
      <x:c r="I122" t="str">
        <x:v>Closed Lost</x:v>
      </x:c>
      <x:c r="J122" s="10" t="n">
        <x:v>46018</x:v>
      </x:c>
      <x:c r="K122" s="10" t="n">
        <x:v>46018</x:v>
      </x:c>
      <x:c r="L122" s="22" t="n">
        <x:v>10200</x:v>
      </x:c>
      <x:c r="M122" s="24" t="n">
        <x:v>0</x:v>
      </x:c>
      <x:c r="N122" s="24" t="n">
        <x:v>0</x:v>
      </x:c>
      <x:c r="O122" t="str">
        <x:v>Competitor</x:v>
      </x:c>
      <x:c r="P122" t="n">
        <x:v>2</x:v>
      </x:c>
      <x:c r="Q122" t="str">
        <x:f>IFERROR(XLOOKUP(E122,Lookups!$A$5:$A$24,Lookups!$B$5:$B$24),"Other")</x:f>
        <x:v>Email</x:v>
      </x:c>
      <x:c r="R122" t="str">
        <x:f>IFERROR(XLOOKUP(F122,Lookups!$D$5:$D$10,Lookups!$E$5:$E$10),"Unknown Product")</x:f>
        <x:v>NexaCRM Core</x:v>
      </x:c>
      <x:c r="S122" t="str">
        <x:f>IFERROR(XLOOKUP(F122,Lookups!$D$5:$D$10,Lookups!$F$5:$F$10),"Unknown")</x:f>
        <x:v>CRM</x:v>
      </x:c>
      <x:c r="T122" t="str">
        <x:f>IF(L122&gt;=50000,"Enterprise",IF(L122&gt;=20000,"Mid-Market","SMB"))</x:f>
        <x:v>SMB</x:v>
      </x:c>
      <x:c r="U122" t="str">
        <x:f>IF(I122="Closed Won","Won",IF(I122="Closed Lost","Lost","Open"))</x:f>
        <x:v>Lost</x:v>
      </x:c>
      <x:c r="V122" s="22" t="n">
        <x:f>IF(U122="Won",L122*(1-M122),0)</x:f>
        <x:v>0</x:v>
      </x:c>
      <x:c r="W122" s="22" t="n">
        <x:f>IF(U122="Open",L122*N122,0)</x:f>
        <x:v>0</x:v>
      </x:c>
      <x:c r="X122" s="26" t="n">
        <x:f>IF(U122="Open","",IFERROR(K122-B122,""))</x:f>
        <x:v>67</x:v>
      </x:c>
      <x:c r="Y122" s="26" t="n">
        <x:f>IF(U122="Open",Lookups!$B$2-B122,X122)</x:f>
        <x:v>67</x:v>
      </x:c>
      <x:c r="Z122" t="str">
        <x:f>IF(AND(U122="Open",Y122&gt;30),"STALE","OK")</x:f>
        <x:v>OK</x:v>
      </x:c>
      <x:c r="AA122" t="str">
        <x:f>TEXT(B122,"yyyy-mm")</x:f>
        <x:v>2025-10</x:v>
      </x:c>
      <x:c r="AB122" t="str">
        <x:f>IF(K122="","",TEXT(K122,"yyyy-mm"))</x:f>
        <x:v>2025-12</x:v>
      </x:c>
      <x:c r="AC122" t="str">
        <x:f>"Q"&amp;ROUNDUP(MONTH(B122)/3,0)&amp;"-"&amp;YEAR(B122)</x:f>
        <x:v>Q4-2025</x:v>
      </x:c>
      <x:c r="AD122" s="26" t="n">
        <x:f>MIN(100,IF(H122="Enterprise",30,IF(H122="Mid-Market",22,14))+IF(T122="Enterprise",25,IF(T122="Mid-Market",18,10))+IF(Q122="Referral",25,IF(Q122="Organic Search",20,IF(Q122="Email",18,14)))+IF(G122="Technology",10,5))</x:f>
        <x:v>55</x:v>
      </x:c>
      <x:c r="AE122" t="str">
        <x:f>IF(U122&lt;&gt;"Open",U122,IF(N122&gt;=0.8,"Commit",IF(N122&gt;=0.5,"Best Case","Pipeline")))</x:f>
        <x:v>Lost</x:v>
      </x:c>
    </x:row>
    <x:row r="123">
      <x:c r="A123" t="str">
        <x:v>L00122</x:v>
      </x:c>
      <x:c r="B123" s="10" t="n">
        <x:v>46072</x:v>
      </x:c>
      <x:c r="C123" t="str">
        <x:v>Minh Do</x:v>
      </x:c>
      <x:c r="D123" t="str">
        <x:v>North</x:v>
      </x:c>
      <x:c r="E123" t="str">
        <x:v>google cpc</x:v>
      </x:c>
      <x:c r="F123" t="str">
        <x:v>BI-PLUS</x:v>
      </x:c>
      <x:c r="G123" t="str">
        <x:v>Technology</x:v>
      </x:c>
      <x:c r="H123" t="str">
        <x:v>Mid-Market</x:v>
      </x:c>
      <x:c r="I123" t="str">
        <x:v>Closed Won</x:v>
      </x:c>
      <x:c r="J123" s="10" t="n">
        <x:v>46114</x:v>
      </x:c>
      <x:c r="K123" s="10" t="n">
        <x:v>46114</x:v>
      </x:c>
      <x:c r="L123" s="22" t="n">
        <x:v>32600</x:v>
      </x:c>
      <x:c r="M123" s="24" t="n">
        <x:v>0.12</x:v>
      </x:c>
      <x:c r="N123" s="24" t="n">
        <x:v>1</x:v>
      </x:c>
      <x:c r="O123" t="str"/>
      <x:c r="P123" t="n">
        <x:v>6</x:v>
      </x:c>
      <x:c r="Q123" t="str">
        <x:f>IFERROR(XLOOKUP(E123,Lookups!$A$5:$A$24,Lookups!$B$5:$B$24),"Other")</x:f>
        <x:v>Paid Search</x:v>
      </x:c>
      <x:c r="R123" t="str">
        <x:f>IFERROR(XLOOKUP(F123,Lookups!$D$5:$D$10,Lookups!$E$5:$E$10),"Unknown Product")</x:f>
        <x:v>Analytics Plus</x:v>
      </x:c>
      <x:c r="S123" t="str">
        <x:f>IFERROR(XLOOKUP(F123,Lookups!$D$5:$D$10,Lookups!$F$5:$F$10),"Unknown")</x:f>
        <x:v>Analytics</x:v>
      </x:c>
      <x:c r="T123" t="str">
        <x:f>IF(L123&gt;=50000,"Enterprise",IF(L123&gt;=20000,"Mid-Market","SMB"))</x:f>
        <x:v>Mid-Market</x:v>
      </x:c>
      <x:c r="U123" t="str">
        <x:f>IF(I123="Closed Won","Won",IF(I123="Closed Lost","Lost","Open"))</x:f>
        <x:v>Won</x:v>
      </x:c>
      <x:c r="V123" s="22" t="n">
        <x:f>IF(U123="Won",L123*(1-M123),0)</x:f>
        <x:v>28688</x:v>
      </x:c>
      <x:c r="W123" s="22" t="n">
        <x:f>IF(U123="Open",L123*N123,0)</x:f>
        <x:v>0</x:v>
      </x:c>
      <x:c r="X123" s="26" t="n">
        <x:f>IF(U123="Open","",IFERROR(K123-B123,""))</x:f>
        <x:v>42</x:v>
      </x:c>
      <x:c r="Y123" s="26" t="n">
        <x:f>IF(U123="Open",Lookups!$B$2-B123,X123)</x:f>
        <x:v>42</x:v>
      </x:c>
      <x:c r="Z123" t="str">
        <x:f>IF(AND(U123="Open",Y123&gt;30),"STALE","OK")</x:f>
        <x:v>OK</x:v>
      </x:c>
      <x:c r="AA123" t="str">
        <x:f>TEXT(B123,"yyyy-mm")</x:f>
        <x:v>2026-02</x:v>
      </x:c>
      <x:c r="AB123" t="str">
        <x:f>IF(K123="","",TEXT(K123,"yyyy-mm"))</x:f>
        <x:v>2026-04</x:v>
      </x:c>
      <x:c r="AC123" t="str">
        <x:f>"Q"&amp;ROUNDUP(MONTH(B123)/3,0)&amp;"-"&amp;YEAR(B123)</x:f>
        <x:v>Q1-2026</x:v>
      </x:c>
      <x:c r="AD123" s="26" t="n">
        <x:f>MIN(100,IF(H123="Enterprise",30,IF(H123="Mid-Market",22,14))+IF(T123="Enterprise",25,IF(T123="Mid-Market",18,10))+IF(Q123="Referral",25,IF(Q123="Organic Search",20,IF(Q123="Email",18,14)))+IF(G123="Technology",10,5))</x:f>
        <x:v>64</x:v>
      </x:c>
      <x:c r="AE123" t="str">
        <x:f>IF(U123&lt;&gt;"Open",U123,IF(N123&gt;=0.8,"Commit",IF(N123&gt;=0.5,"Best Case","Pipeline")))</x:f>
        <x:v>Won</x:v>
      </x:c>
    </x:row>
    <x:row r="124">
      <x:c r="A124" t="str">
        <x:v>L00123</x:v>
      </x:c>
      <x:c r="B124" s="10" t="n">
        <x:v>45944</x:v>
      </x:c>
      <x:c r="C124" t="str">
        <x:v>Ha Vo</x:v>
      </x:c>
      <x:c r="D124" t="str">
        <x:v>North</x:v>
      </x:c>
      <x:c r="E124" t="str">
        <x:v>LI Ads</x:v>
      </x:c>
      <x:c r="F124" t="str">
        <x:v>BI-PLUS</x:v>
      </x:c>
      <x:c r="G124" t="str">
        <x:v>Healthcare</x:v>
      </x:c>
      <x:c r="H124" t="str">
        <x:v>SMB</x:v>
      </x:c>
      <x:c r="I124" t="str">
        <x:v>Closed Lost</x:v>
      </x:c>
      <x:c r="J124" s="10" t="n">
        <x:v>45981</x:v>
      </x:c>
      <x:c r="K124" s="10" t="n">
        <x:v>45981</x:v>
      </x:c>
      <x:c r="L124" s="22" t="n">
        <x:v>28200</x:v>
      </x:c>
      <x:c r="M124" s="24" t="n">
        <x:v>0</x:v>
      </x:c>
      <x:c r="N124" s="24" t="n">
        <x:v>0</x:v>
      </x:c>
      <x:c r="O124" t="str">
        <x:v>Budget</x:v>
      </x:c>
      <x:c r="P124" t="n">
        <x:v>5</x:v>
      </x:c>
      <x:c r="Q124" t="str">
        <x:f>IFERROR(XLOOKUP(E124,Lookups!$A$5:$A$24,Lookups!$B$5:$B$24),"Other")</x:f>
        <x:v>LinkedIn</x:v>
      </x:c>
      <x:c r="R124" t="str">
        <x:f>IFERROR(XLOOKUP(F124,Lookups!$D$5:$D$10,Lookups!$E$5:$E$10),"Unknown Product")</x:f>
        <x:v>Analytics Plus</x:v>
      </x:c>
      <x:c r="S124" t="str">
        <x:f>IFERROR(XLOOKUP(F124,Lookups!$D$5:$D$10,Lookups!$F$5:$F$10),"Unknown")</x:f>
        <x:v>Analytics</x:v>
      </x:c>
      <x:c r="T124" t="str">
        <x:f>IF(L124&gt;=50000,"Enterprise",IF(L124&gt;=20000,"Mid-Market","SMB"))</x:f>
        <x:v>Mid-Market</x:v>
      </x:c>
      <x:c r="U124" t="str">
        <x:f>IF(I124="Closed Won","Won",IF(I124="Closed Lost","Lost","Open"))</x:f>
        <x:v>Lost</x:v>
      </x:c>
      <x:c r="V124" s="22" t="n">
        <x:f>IF(U124="Won",L124*(1-M124),0)</x:f>
        <x:v>0</x:v>
      </x:c>
      <x:c r="W124" s="22" t="n">
        <x:f>IF(U124="Open",L124*N124,0)</x:f>
        <x:v>0</x:v>
      </x:c>
      <x:c r="X124" s="26" t="n">
        <x:f>IF(U124="Open","",IFERROR(K124-B124,""))</x:f>
        <x:v>37</x:v>
      </x:c>
      <x:c r="Y124" s="26" t="n">
        <x:f>IF(U124="Open",Lookups!$B$2-B124,X124)</x:f>
        <x:v>37</x:v>
      </x:c>
      <x:c r="Z124" t="str">
        <x:f>IF(AND(U124="Open",Y124&gt;30),"STALE","OK")</x:f>
        <x:v>OK</x:v>
      </x:c>
      <x:c r="AA124" t="str">
        <x:f>TEXT(B124,"yyyy-mm")</x:f>
        <x:v>2025-10</x:v>
      </x:c>
      <x:c r="AB124" t="str">
        <x:f>IF(K124="","",TEXT(K124,"yyyy-mm"))</x:f>
        <x:v>2025-11</x:v>
      </x:c>
      <x:c r="AC124" t="str">
        <x:f>"Q"&amp;ROUNDUP(MONTH(B124)/3,0)&amp;"-"&amp;YEAR(B124)</x:f>
        <x:v>Q4-2025</x:v>
      </x:c>
      <x:c r="AD124" s="26" t="n">
        <x:f>MIN(100,IF(H124="Enterprise",30,IF(H124="Mid-Market",22,14))+IF(T124="Enterprise",25,IF(T124="Mid-Market",18,10))+IF(Q124="Referral",25,IF(Q124="Organic Search",20,IF(Q124="Email",18,14)))+IF(G124="Technology",10,5))</x:f>
        <x:v>51</x:v>
      </x:c>
      <x:c r="AE124" t="str">
        <x:f>IF(U124&lt;&gt;"Open",U124,IF(N124&gt;=0.8,"Commit",IF(N124&gt;=0.5,"Best Case","Pipeline")))</x:f>
        <x:v>Lost</x:v>
      </x:c>
    </x:row>
    <x:row r="125">
      <x:c r="A125" t="str">
        <x:v>L00124</x:v>
      </x:c>
      <x:c r="B125" s="10" t="n">
        <x:v>45688</x:v>
      </x:c>
      <x:c r="C125" t="str">
        <x:v>Bao Tran</x:v>
      </x:c>
      <x:c r="D125" t="str">
        <x:v>South</x:v>
      </x:c>
      <x:c r="E125" t="str">
        <x:v>SEM - Google</x:v>
      </x:c>
      <x:c r="F125" t="str">
        <x:v>BI-PLUS</x:v>
      </x:c>
      <x:c r="G125" t="str">
        <x:v>Education</x:v>
      </x:c>
      <x:c r="H125" t="str">
        <x:v>SMB</x:v>
      </x:c>
      <x:c r="I125" t="str">
        <x:v>Closed Won</x:v>
      </x:c>
      <x:c r="J125" s="10" t="n">
        <x:v>45766</x:v>
      </x:c>
      <x:c r="K125" s="10" t="n">
        <x:v>45766</x:v>
      </x:c>
      <x:c r="L125" s="22" t="n">
        <x:v>27300</x:v>
      </x:c>
      <x:c r="M125" s="24" t="n">
        <x:v>0.05</x:v>
      </x:c>
      <x:c r="N125" s="24" t="n">
        <x:v>1</x:v>
      </x:c>
      <x:c r="O125" t="str"/>
      <x:c r="P125" t="n">
        <x:v>6</x:v>
      </x:c>
      <x:c r="Q125" t="str">
        <x:f>IFERROR(XLOOKUP(E125,Lookups!$A$5:$A$24,Lookups!$B$5:$B$24),"Other")</x:f>
        <x:v>Paid Search</x:v>
      </x:c>
      <x:c r="R125" t="str">
        <x:f>IFERROR(XLOOKUP(F125,Lookups!$D$5:$D$10,Lookups!$E$5:$E$10),"Unknown Product")</x:f>
        <x:v>Analytics Plus</x:v>
      </x:c>
      <x:c r="S125" t="str">
        <x:f>IFERROR(XLOOKUP(F125,Lookups!$D$5:$D$10,Lookups!$F$5:$F$10),"Unknown")</x:f>
        <x:v>Analytics</x:v>
      </x:c>
      <x:c r="T125" t="str">
        <x:f>IF(L125&gt;=50000,"Enterprise",IF(L125&gt;=20000,"Mid-Market","SMB"))</x:f>
        <x:v>Mid-Market</x:v>
      </x:c>
      <x:c r="U125" t="str">
        <x:f>IF(I125="Closed Won","Won",IF(I125="Closed Lost","Lost","Open"))</x:f>
        <x:v>Won</x:v>
      </x:c>
      <x:c r="V125" s="22" t="n">
        <x:f>IF(U125="Won",L125*(1-M125),0)</x:f>
        <x:v>25935</x:v>
      </x:c>
      <x:c r="W125" s="22" t="n">
        <x:f>IF(U125="Open",L125*N125,0)</x:f>
        <x:v>0</x:v>
      </x:c>
      <x:c r="X125" s="26" t="n">
        <x:f>IF(U125="Open","",IFERROR(K125-B125,""))</x:f>
        <x:v>78</x:v>
      </x:c>
      <x:c r="Y125" s="26" t="n">
        <x:f>IF(U125="Open",Lookups!$B$2-B125,X125)</x:f>
        <x:v>78</x:v>
      </x:c>
      <x:c r="Z125" t="str">
        <x:f>IF(AND(U125="Open",Y125&gt;30),"STALE","OK")</x:f>
        <x:v>OK</x:v>
      </x:c>
      <x:c r="AA125" t="str">
        <x:f>TEXT(B125,"yyyy-mm")</x:f>
        <x:v>2025-01</x:v>
      </x:c>
      <x:c r="AB125" t="str">
        <x:f>IF(K125="","",TEXT(K125,"yyyy-mm"))</x:f>
        <x:v>2025-04</x:v>
      </x:c>
      <x:c r="AC125" t="str">
        <x:f>"Q"&amp;ROUNDUP(MONTH(B125)/3,0)&amp;"-"&amp;YEAR(B125)</x:f>
        <x:v>Q1-2025</x:v>
      </x:c>
      <x:c r="AD125" s="26" t="n">
        <x:f>MIN(100,IF(H125="Enterprise",30,IF(H125="Mid-Market",22,14))+IF(T125="Enterprise",25,IF(T125="Mid-Market",18,10))+IF(Q125="Referral",25,IF(Q125="Organic Search",20,IF(Q125="Email",18,14)))+IF(G125="Technology",10,5))</x:f>
        <x:v>51</x:v>
      </x:c>
      <x:c r="AE125" t="str">
        <x:f>IF(U125&lt;&gt;"Open",U125,IF(N125&gt;=0.8,"Commit",IF(N125&gt;=0.5,"Best Case","Pipeline")))</x:f>
        <x:v>Won</x:v>
      </x:c>
    </x:row>
    <x:row r="126">
      <x:c r="A126" t="str">
        <x:v>L00125</x:v>
      </x:c>
      <x:c r="B126" s="10" t="n">
        <x:v>45782</x:v>
      </x:c>
      <x:c r="C126" t="str">
        <x:v>Quynh Vu</x:v>
      </x:c>
      <x:c r="D126" t="str">
        <x:v>North</x:v>
      </x:c>
      <x:c r="E126" t="str">
        <x:v>google cpc</x:v>
      </x:c>
      <x:c r="F126" t="str">
        <x:v>CS-CLOUD</x:v>
      </x:c>
      <x:c r="G126" t="str">
        <x:v>Financial Services</x:v>
      </x:c>
      <x:c r="H126" t="str">
        <x:v>SMB</x:v>
      </x:c>
      <x:c r="I126" t="str">
        <x:v>Closed Lost</x:v>
      </x:c>
      <x:c r="J126" s="10" t="n">
        <x:v>45803</x:v>
      </x:c>
      <x:c r="K126" s="10" t="n">
        <x:v>45803</x:v>
      </x:c>
      <x:c r="L126" s="22" t="n">
        <x:v>26500</x:v>
      </x:c>
      <x:c r="M126" s="24" t="n">
        <x:v>0</x:v>
      </x:c>
      <x:c r="N126" s="24" t="n">
        <x:v>0</x:v>
      </x:c>
      <x:c r="O126" t="str">
        <x:v>Price</x:v>
      </x:c>
      <x:c r="P126" t="n">
        <x:v>4</x:v>
      </x:c>
      <x:c r="Q126" t="str">
        <x:f>IFERROR(XLOOKUP(E126,Lookups!$A$5:$A$24,Lookups!$B$5:$B$24),"Other")</x:f>
        <x:v>Paid Search</x:v>
      </x:c>
      <x:c r="R126" t="str">
        <x:f>IFERROR(XLOOKUP(F126,Lookups!$D$5:$D$10,Lookups!$E$5:$E$10),"Unknown Product")</x:f>
        <x:v>Service Cloud</x:v>
      </x:c>
      <x:c r="S126" t="str">
        <x:f>IFERROR(XLOOKUP(F126,Lookups!$D$5:$D$10,Lookups!$F$5:$F$10),"Unknown")</x:f>
        <x:v>Customer Service</x:v>
      </x:c>
      <x:c r="T126" t="str">
        <x:f>IF(L126&gt;=50000,"Enterprise",IF(L126&gt;=20000,"Mid-Market","SMB"))</x:f>
        <x:v>Mid-Market</x:v>
      </x:c>
      <x:c r="U126" t="str">
        <x:f>IF(I126="Closed Won","Won",IF(I126="Closed Lost","Lost","Open"))</x:f>
        <x:v>Lost</x:v>
      </x:c>
      <x:c r="V126" s="22" t="n">
        <x:f>IF(U126="Won",L126*(1-M126),0)</x:f>
        <x:v>0</x:v>
      </x:c>
      <x:c r="W126" s="22" t="n">
        <x:f>IF(U126="Open",L126*N126,0)</x:f>
        <x:v>0</x:v>
      </x:c>
      <x:c r="X126" s="26" t="n">
        <x:f>IF(U126="Open","",IFERROR(K126-B126,""))</x:f>
        <x:v>21</x:v>
      </x:c>
      <x:c r="Y126" s="26" t="n">
        <x:f>IF(U126="Open",Lookups!$B$2-B126,X126)</x:f>
        <x:v>21</x:v>
      </x:c>
      <x:c r="Z126" t="str">
        <x:f>IF(AND(U126="Open",Y126&gt;30),"STALE","OK")</x:f>
        <x:v>OK</x:v>
      </x:c>
      <x:c r="AA126" t="str">
        <x:f>TEXT(B126,"yyyy-mm")</x:f>
        <x:v>2025-05</x:v>
      </x:c>
      <x:c r="AB126" t="str">
        <x:f>IF(K126="","",TEXT(K126,"yyyy-mm"))</x:f>
        <x:v>2025-05</x:v>
      </x:c>
      <x:c r="AC126" t="str">
        <x:f>"Q"&amp;ROUNDUP(MONTH(B126)/3,0)&amp;"-"&amp;YEAR(B126)</x:f>
        <x:v>Q2-2025</x:v>
      </x:c>
      <x:c r="AD126" s="26" t="n">
        <x:f>MIN(100,IF(H126="Enterprise",30,IF(H126="Mid-Market",22,14))+IF(T126="Enterprise",25,IF(T126="Mid-Market",18,10))+IF(Q126="Referral",25,IF(Q126="Organic Search",20,IF(Q126="Email",18,14)))+IF(G126="Technology",10,5))</x:f>
        <x:v>51</x:v>
      </x:c>
      <x:c r="AE126" t="str">
        <x:f>IF(U126&lt;&gt;"Open",U126,IF(N126&gt;=0.8,"Commit",IF(N126&gt;=0.5,"Best Case","Pipeline")))</x:f>
        <x:v>Lost</x:v>
      </x:c>
    </x:row>
    <x:row r="127">
      <x:c r="A127" t="str">
        <x:v>L00126</x:v>
      </x:c>
      <x:c r="B127" s="10" t="n">
        <x:v>45906</x:v>
      </x:c>
      <x:c r="C127" t="str">
        <x:v>Minh Do</x:v>
      </x:c>
      <x:c r="D127" t="str">
        <x:v>North</x:v>
      </x:c>
      <x:c r="E127" t="str">
        <x:v>Unknown Event</x:v>
      </x:c>
      <x:c r="F127" t="str">
        <x:v>REV-OPS</x:v>
      </x:c>
      <x:c r="G127" t="str">
        <x:v>Retail</x:v>
      </x:c>
      <x:c r="H127" t="str">
        <x:v>Mid-Market</x:v>
      </x:c>
      <x:c r="I127" t="str">
        <x:v>Closed Lost</x:v>
      </x:c>
      <x:c r="J127" s="10" t="n">
        <x:v>45966</x:v>
      </x:c>
      <x:c r="K127" s="10" t="n">
        <x:v>45966</x:v>
      </x:c>
      <x:c r="L127" s="22" t="n">
        <x:v>52300</x:v>
      </x:c>
      <x:c r="M127" s="24" t="n">
        <x:v>0</x:v>
      </x:c>
      <x:c r="N127" s="24" t="n">
        <x:v>0</x:v>
      </x:c>
      <x:c r="O127" t="str">
        <x:v>Competitor</x:v>
      </x:c>
      <x:c r="P127" t="n">
        <x:v>3</x:v>
      </x:c>
      <x:c r="Q127" t="str">
        <x:f>IFERROR(XLOOKUP(E127,Lookups!$A$5:$A$24,Lookups!$B$5:$B$24),"Other")</x:f>
        <x:v>Other</x:v>
      </x:c>
      <x:c r="R127" t="str">
        <x:f>IFERROR(XLOOKUP(F127,Lookups!$D$5:$D$10,Lookups!$E$5:$E$10),"Unknown Product")</x:f>
        <x:v>Revenue Operations Suite</x:v>
      </x:c>
      <x:c r="S127" t="str">
        <x:f>IFERROR(XLOOKUP(F127,Lookups!$D$5:$D$10,Lookups!$F$5:$F$10),"Unknown")</x:f>
        <x:v>Revenue Ops</x:v>
      </x:c>
      <x:c r="T127" t="str">
        <x:f>IF(L127&gt;=50000,"Enterprise",IF(L127&gt;=20000,"Mid-Market","SMB"))</x:f>
        <x:v>Enterprise</x:v>
      </x:c>
      <x:c r="U127" t="str">
        <x:f>IF(I127="Closed Won","Won",IF(I127="Closed Lost","Lost","Open"))</x:f>
        <x:v>Lost</x:v>
      </x:c>
      <x:c r="V127" s="22" t="n">
        <x:f>IF(U127="Won",L127*(1-M127),0)</x:f>
        <x:v>0</x:v>
      </x:c>
      <x:c r="W127" s="22" t="n">
        <x:f>IF(U127="Open",L127*N127,0)</x:f>
        <x:v>0</x:v>
      </x:c>
      <x:c r="X127" s="26" t="n">
        <x:f>IF(U127="Open","",IFERROR(K127-B127,""))</x:f>
        <x:v>60</x:v>
      </x:c>
      <x:c r="Y127" s="26" t="n">
        <x:f>IF(U127="Open",Lookups!$B$2-B127,X127)</x:f>
        <x:v>60</x:v>
      </x:c>
      <x:c r="Z127" t="str">
        <x:f>IF(AND(U127="Open",Y127&gt;30),"STALE","OK")</x:f>
        <x:v>OK</x:v>
      </x:c>
      <x:c r="AA127" t="str">
        <x:f>TEXT(B127,"yyyy-mm")</x:f>
        <x:v>2025-09</x:v>
      </x:c>
      <x:c r="AB127" t="str">
        <x:f>IF(K127="","",TEXT(K127,"yyyy-mm"))</x:f>
        <x:v>2025-11</x:v>
      </x:c>
      <x:c r="AC127" t="str">
        <x:f>"Q"&amp;ROUNDUP(MONTH(B127)/3,0)&amp;"-"&amp;YEAR(B127)</x:f>
        <x:v>Q3-2025</x:v>
      </x:c>
      <x:c r="AD127" s="26" t="n">
        <x:f>MIN(100,IF(H127="Enterprise",30,IF(H127="Mid-Market",22,14))+IF(T127="Enterprise",25,IF(T127="Mid-Market",18,10))+IF(Q127="Referral",25,IF(Q127="Organic Search",20,IF(Q127="Email",18,14)))+IF(G127="Technology",10,5))</x:f>
        <x:v>66</x:v>
      </x:c>
      <x:c r="AE127" t="str">
        <x:f>IF(U127&lt;&gt;"Open",U127,IF(N127&gt;=0.8,"Commit",IF(N127&gt;=0.5,"Best Case","Pipeline")))</x:f>
        <x:v>Lost</x:v>
      </x:c>
    </x:row>
    <x:row r="128">
      <x:c r="A128" t="str">
        <x:v>L00127</x:v>
      </x:c>
      <x:c r="B128" s="10" t="n">
        <x:v>45747</x:v>
      </x:c>
      <x:c r="C128" t="str">
        <x:v>Duy Pham</x:v>
      </x:c>
      <x:c r="D128" t="str">
        <x:v>South</x:v>
      </x:c>
      <x:c r="E128" t="str">
        <x:v>virtual event</x:v>
      </x:c>
      <x:c r="F128" t="str">
        <x:v>CRM-CORE</x:v>
      </x:c>
      <x:c r="G128" t="str">
        <x:v>Education</x:v>
      </x:c>
      <x:c r="H128" t="str">
        <x:v>SMB</x:v>
      </x:c>
      <x:c r="I128" t="str">
        <x:v>Closed Lost</x:v>
      </x:c>
      <x:c r="J128" s="10" t="n">
        <x:v>45810</x:v>
      </x:c>
      <x:c r="K128" s="10" t="n">
        <x:v>45810</x:v>
      </x:c>
      <x:c r="L128" s="22" t="n">
        <x:v>8400</x:v>
      </x:c>
      <x:c r="M128" s="24" t="n">
        <x:v>0</x:v>
      </x:c>
      <x:c r="N128" s="24" t="n">
        <x:v>0</x:v>
      </x:c>
      <x:c r="O128" t="str">
        <x:v>Competitor</x:v>
      </x:c>
      <x:c r="P128" t="n">
        <x:v>3</x:v>
      </x:c>
      <x:c r="Q128" t="str">
        <x:f>IFERROR(XLOOKUP(E128,Lookups!$A$5:$A$24,Lookups!$B$5:$B$24),"Other")</x:f>
        <x:v>Webinar</x:v>
      </x:c>
      <x:c r="R128" t="str">
        <x:f>IFERROR(XLOOKUP(F128,Lookups!$D$5:$D$10,Lookups!$E$5:$E$10),"Unknown Product")</x:f>
        <x:v>NexaCRM Core</x:v>
      </x:c>
      <x:c r="S128" t="str">
        <x:f>IFERROR(XLOOKUP(F128,Lookups!$D$5:$D$10,Lookups!$F$5:$F$10),"Unknown")</x:f>
        <x:v>CRM</x:v>
      </x:c>
      <x:c r="T128" t="str">
        <x:f>IF(L128&gt;=50000,"Enterprise",IF(L128&gt;=20000,"Mid-Market","SMB"))</x:f>
        <x:v>SMB</x:v>
      </x:c>
      <x:c r="U128" t="str">
        <x:f>IF(I128="Closed Won","Won",IF(I128="Closed Lost","Lost","Open"))</x:f>
        <x:v>Lost</x:v>
      </x:c>
      <x:c r="V128" s="22" t="n">
        <x:f>IF(U128="Won",L128*(1-M128),0)</x:f>
        <x:v>0</x:v>
      </x:c>
      <x:c r="W128" s="22" t="n">
        <x:f>IF(U128="Open",L128*N128,0)</x:f>
        <x:v>0</x:v>
      </x:c>
      <x:c r="X128" s="26" t="n">
        <x:f>IF(U128="Open","",IFERROR(K128-B128,""))</x:f>
        <x:v>63</x:v>
      </x:c>
      <x:c r="Y128" s="26" t="n">
        <x:f>IF(U128="Open",Lookups!$B$2-B128,X128)</x:f>
        <x:v>63</x:v>
      </x:c>
      <x:c r="Z128" t="str">
        <x:f>IF(AND(U128="Open",Y128&gt;30),"STALE","OK")</x:f>
        <x:v>OK</x:v>
      </x:c>
      <x:c r="AA128" t="str">
        <x:f>TEXT(B128,"yyyy-mm")</x:f>
        <x:v>2025-03</x:v>
      </x:c>
      <x:c r="AB128" t="str">
        <x:f>IF(K128="","",TEXT(K128,"yyyy-mm"))</x:f>
        <x:v>2025-06</x:v>
      </x:c>
      <x:c r="AC128" t="str">
        <x:f>"Q"&amp;ROUNDUP(MONTH(B128)/3,0)&amp;"-"&amp;YEAR(B128)</x:f>
        <x:v>Q1-2025</x:v>
      </x:c>
      <x:c r="AD128" s="26" t="n">
        <x:f>MIN(100,IF(H128="Enterprise",30,IF(H128="Mid-Market",22,14))+IF(T128="Enterprise",25,IF(T128="Mid-Market",18,10))+IF(Q128="Referral",25,IF(Q128="Organic Search",20,IF(Q128="Email",18,14)))+IF(G128="Technology",10,5))</x:f>
        <x:v>43</x:v>
      </x:c>
      <x:c r="AE128" t="str">
        <x:f>IF(U128&lt;&gt;"Open",U128,IF(N128&gt;=0.8,"Commit",IF(N128&gt;=0.5,"Best Case","Pipeline")))</x:f>
        <x:v>Lost</x:v>
      </x:c>
    </x:row>
    <x:row r="129">
      <x:c r="A129" t="str">
        <x:v>L00128</x:v>
      </x:c>
      <x:c r="B129" s="10" t="n">
        <x:v>45684</x:v>
      </x:c>
      <x:c r="C129" t="str">
        <x:v>Tuan Bui</x:v>
      </x:c>
      <x:c r="D129" t="str">
        <x:v>Central</x:v>
      </x:c>
      <x:c r="E129" t="str">
        <x:v>email nurture</x:v>
      </x:c>
      <x:c r="F129" t="str">
        <x:v>CRM-CORE</x:v>
      </x:c>
      <x:c r="G129" t="str">
        <x:v>Professional Services</x:v>
      </x:c>
      <x:c r="H129" t="str">
        <x:v>SMB</x:v>
      </x:c>
      <x:c r="I129" t="str">
        <x:v>Closed Lost</x:v>
      </x:c>
      <x:c r="J129" s="10" t="n">
        <x:v>45714</x:v>
      </x:c>
      <x:c r="K129" s="10" t="n">
        <x:v>45714</x:v>
      </x:c>
      <x:c r="L129" s="22" t="n">
        <x:v>4900</x:v>
      </x:c>
      <x:c r="M129" s="24" t="n">
        <x:v>0</x:v>
      </x:c>
      <x:c r="N129" s="24" t="n">
        <x:v>0</x:v>
      </x:c>
      <x:c r="O129" t="str">
        <x:v>Competitor</x:v>
      </x:c>
      <x:c r="P129" t="n">
        <x:v>5</x:v>
      </x:c>
      <x:c r="Q129" t="str">
        <x:f>IFERROR(XLOOKUP(E129,Lookups!$A$5:$A$24,Lookups!$B$5:$B$24),"Other")</x:f>
        <x:v>Email</x:v>
      </x:c>
      <x:c r="R129" t="str">
        <x:f>IFERROR(XLOOKUP(F129,Lookups!$D$5:$D$10,Lookups!$E$5:$E$10),"Unknown Product")</x:f>
        <x:v>NexaCRM Core</x:v>
      </x:c>
      <x:c r="S129" t="str">
        <x:f>IFERROR(XLOOKUP(F129,Lookups!$D$5:$D$10,Lookups!$F$5:$F$10),"Unknown")</x:f>
        <x:v>CRM</x:v>
      </x:c>
      <x:c r="T129" t="str">
        <x:f>IF(L129&gt;=50000,"Enterprise",IF(L129&gt;=20000,"Mid-Market","SMB"))</x:f>
        <x:v>SMB</x:v>
      </x:c>
      <x:c r="U129" t="str">
        <x:f>IF(I129="Closed Won","Won",IF(I129="Closed Lost","Lost","Open"))</x:f>
        <x:v>Lost</x:v>
      </x:c>
      <x:c r="V129" s="22" t="n">
        <x:f>IF(U129="Won",L129*(1-M129),0)</x:f>
        <x:v>0</x:v>
      </x:c>
      <x:c r="W129" s="22" t="n">
        <x:f>IF(U129="Open",L129*N129,0)</x:f>
        <x:v>0</x:v>
      </x:c>
      <x:c r="X129" s="26" t="n">
        <x:f>IF(U129="Open","",IFERROR(K129-B129,""))</x:f>
        <x:v>30</x:v>
      </x:c>
      <x:c r="Y129" s="26" t="n">
        <x:f>IF(U129="Open",Lookups!$B$2-B129,X129)</x:f>
        <x:v>30</x:v>
      </x:c>
      <x:c r="Z129" t="str">
        <x:f>IF(AND(U129="Open",Y129&gt;30),"STALE","OK")</x:f>
        <x:v>OK</x:v>
      </x:c>
      <x:c r="AA129" t="str">
        <x:f>TEXT(B129,"yyyy-mm")</x:f>
        <x:v>2025-01</x:v>
      </x:c>
      <x:c r="AB129" t="str">
        <x:f>IF(K129="","",TEXT(K129,"yyyy-mm"))</x:f>
        <x:v>2025-02</x:v>
      </x:c>
      <x:c r="AC129" t="str">
        <x:f>"Q"&amp;ROUNDUP(MONTH(B129)/3,0)&amp;"-"&amp;YEAR(B129)</x:f>
        <x:v>Q1-2025</x:v>
      </x:c>
      <x:c r="AD129" s="26" t="n">
        <x:f>MIN(100,IF(H129="Enterprise",30,IF(H129="Mid-Market",22,14))+IF(T129="Enterprise",25,IF(T129="Mid-Market",18,10))+IF(Q129="Referral",25,IF(Q129="Organic Search",20,IF(Q129="Email",18,14)))+IF(G129="Technology",10,5))</x:f>
        <x:v>47</x:v>
      </x:c>
      <x:c r="AE129" t="str">
        <x:f>IF(U129&lt;&gt;"Open",U129,IF(N129&gt;=0.8,"Commit",IF(N129&gt;=0.5,"Best Case","Pipeline")))</x:f>
        <x:v>Lost</x:v>
      </x:c>
    </x:row>
    <x:row r="130">
      <x:c r="A130" t="str">
        <x:v>L00129</x:v>
      </x:c>
      <x:c r="B130" s="10" t="n">
        <x:v>46049</x:v>
      </x:c>
      <x:c r="C130" t="str">
        <x:v>Chi Le</x:v>
      </x:c>
      <x:c r="D130" t="str">
        <x:v>South</x:v>
      </x:c>
      <x:c r="E130" t="str">
        <x:v>SEM - Google</x:v>
      </x:c>
      <x:c r="F130" t="str">
        <x:v>CRM-PRO</x:v>
      </x:c>
      <x:c r="G130" t="str">
        <x:v>Retail</x:v>
      </x:c>
      <x:c r="H130" t="str">
        <x:v>Enterprise</x:v>
      </x:c>
      <x:c r="I130" t="str">
        <x:v>Closed Lost</x:v>
      </x:c>
      <x:c r="J130" s="10" t="n">
        <x:v>46084</x:v>
      </x:c>
      <x:c r="K130" s="10" t="n">
        <x:v>46084</x:v>
      </x:c>
      <x:c r="L130" s="22" t="n">
        <x:v>86800</x:v>
      </x:c>
      <x:c r="M130" s="24" t="n">
        <x:v>0</x:v>
      </x:c>
      <x:c r="N130" s="24" t="n">
        <x:v>0</x:v>
      </x:c>
      <x:c r="O130" t="str">
        <x:v>Competitor</x:v>
      </x:c>
      <x:c r="P130" t="n">
        <x:v>2</x:v>
      </x:c>
      <x:c r="Q130" t="str">
        <x:f>IFERROR(XLOOKUP(E130,Lookups!$A$5:$A$24,Lookups!$B$5:$B$24),"Other")</x:f>
        <x:v>Paid Search</x:v>
      </x:c>
      <x:c r="R130" t="str">
        <x:f>IFERROR(XLOOKUP(F130,Lookups!$D$5:$D$10,Lookups!$E$5:$E$10),"Unknown Product")</x:f>
        <x:v>NexaCRM Pro</x:v>
      </x:c>
      <x:c r="S130" t="str">
        <x:f>IFERROR(XLOOKUP(F130,Lookups!$D$5:$D$10,Lookups!$F$5:$F$10),"Unknown")</x:f>
        <x:v>CRM</x:v>
      </x:c>
      <x:c r="T130" t="str">
        <x:f>IF(L130&gt;=50000,"Enterprise",IF(L130&gt;=20000,"Mid-Market","SMB"))</x:f>
        <x:v>Enterprise</x:v>
      </x:c>
      <x:c r="U130" t="str">
        <x:f>IF(I130="Closed Won","Won",IF(I130="Closed Lost","Lost","Open"))</x:f>
        <x:v>Lost</x:v>
      </x:c>
      <x:c r="V130" s="22" t="n">
        <x:f>IF(U130="Won",L130*(1-M130),0)</x:f>
        <x:v>0</x:v>
      </x:c>
      <x:c r="W130" s="22" t="n">
        <x:f>IF(U130="Open",L130*N130,0)</x:f>
        <x:v>0</x:v>
      </x:c>
      <x:c r="X130" s="26" t="n">
        <x:f>IF(U130="Open","",IFERROR(K130-B130,""))</x:f>
        <x:v>35</x:v>
      </x:c>
      <x:c r="Y130" s="26" t="n">
        <x:f>IF(U130="Open",Lookups!$B$2-B130,X130)</x:f>
        <x:v>35</x:v>
      </x:c>
      <x:c r="Z130" t="str">
        <x:f>IF(AND(U130="Open",Y130&gt;30),"STALE","OK")</x:f>
        <x:v>OK</x:v>
      </x:c>
      <x:c r="AA130" t="str">
        <x:f>TEXT(B130,"yyyy-mm")</x:f>
        <x:v>2026-01</x:v>
      </x:c>
      <x:c r="AB130" t="str">
        <x:f>IF(K130="","",TEXT(K130,"yyyy-mm"))</x:f>
        <x:v>2026-03</x:v>
      </x:c>
      <x:c r="AC130" t="str">
        <x:f>"Q"&amp;ROUNDUP(MONTH(B130)/3,0)&amp;"-"&amp;YEAR(B130)</x:f>
        <x:v>Q1-2026</x:v>
      </x:c>
      <x:c r="AD130" s="26" t="n">
        <x:f>MIN(100,IF(H130="Enterprise",30,IF(H130="Mid-Market",22,14))+IF(T130="Enterprise",25,IF(T130="Mid-Market",18,10))+IF(Q130="Referral",25,IF(Q130="Organic Search",20,IF(Q130="Email",18,14)))+IF(G130="Technology",10,5))</x:f>
        <x:v>74</x:v>
      </x:c>
      <x:c r="AE130" t="str">
        <x:f>IF(U130&lt;&gt;"Open",U130,IF(N130&gt;=0.8,"Commit",IF(N130&gt;=0.5,"Best Case","Pipeline")))</x:f>
        <x:v>Lost</x:v>
      </x:c>
    </x:row>
    <x:row r="131">
      <x:c r="A131" t="str">
        <x:v>L00130</x:v>
      </x:c>
      <x:c r="B131" s="10" t="n">
        <x:v>46081</x:v>
      </x:c>
      <x:c r="C131" t="str">
        <x:v>Bao Tran</x:v>
      </x:c>
      <x:c r="D131" t="str">
        <x:v>South</x:v>
      </x:c>
      <x:c r="E131" t="str">
        <x:v>Partner Referral</x:v>
      </x:c>
      <x:c r="F131" t="str">
        <x:v>CRM-PRO</x:v>
      </x:c>
      <x:c r="G131" t="str">
        <x:v>Healthcare</x:v>
      </x:c>
      <x:c r="H131" t="str">
        <x:v>SMB</x:v>
      </x:c>
      <x:c r="I131" t="str">
        <x:v>Closed Won</x:v>
      </x:c>
      <x:c r="J131" s="10" t="n">
        <x:v>46134</x:v>
      </x:c>
      <x:c r="K131" s="10" t="n">
        <x:v>46134</x:v>
      </x:c>
      <x:c r="L131" s="22" t="n">
        <x:v>11100</x:v>
      </x:c>
      <x:c r="M131" s="24" t="n">
        <x:v>0</x:v>
      </x:c>
      <x:c r="N131" s="24" t="n">
        <x:v>1</x:v>
      </x:c>
      <x:c r="O131" t="str"/>
      <x:c r="P131" t="n">
        <x:v>6</x:v>
      </x:c>
      <x:c r="Q131" t="str">
        <x:f>IFERROR(XLOOKUP(E131,Lookups!$A$5:$A$24,Lookups!$B$5:$B$24),"Other")</x:f>
        <x:v>Referral</x:v>
      </x:c>
      <x:c r="R131" t="str">
        <x:f>IFERROR(XLOOKUP(F131,Lookups!$D$5:$D$10,Lookups!$E$5:$E$10),"Unknown Product")</x:f>
        <x:v>NexaCRM Pro</x:v>
      </x:c>
      <x:c r="S131" t="str">
        <x:f>IFERROR(XLOOKUP(F131,Lookups!$D$5:$D$10,Lookups!$F$5:$F$10),"Unknown")</x:f>
        <x:v>CRM</x:v>
      </x:c>
      <x:c r="T131" t="str">
        <x:f>IF(L131&gt;=50000,"Enterprise",IF(L131&gt;=20000,"Mid-Market","SMB"))</x:f>
        <x:v>SMB</x:v>
      </x:c>
      <x:c r="U131" t="str">
        <x:f>IF(I131="Closed Won","Won",IF(I131="Closed Lost","Lost","Open"))</x:f>
        <x:v>Won</x:v>
      </x:c>
      <x:c r="V131" s="22" t="n">
        <x:f>IF(U131="Won",L131*(1-M131),0)</x:f>
        <x:v>11100</x:v>
      </x:c>
      <x:c r="W131" s="22" t="n">
        <x:f>IF(U131="Open",L131*N131,0)</x:f>
        <x:v>0</x:v>
      </x:c>
      <x:c r="X131" s="26" t="n">
        <x:f>IF(U131="Open","",IFERROR(K131-B131,""))</x:f>
        <x:v>53</x:v>
      </x:c>
      <x:c r="Y131" s="26" t="n">
        <x:f>IF(U131="Open",Lookups!$B$2-B131,X131)</x:f>
        <x:v>53</x:v>
      </x:c>
      <x:c r="Z131" t="str">
        <x:f>IF(AND(U131="Open",Y131&gt;30),"STALE","OK")</x:f>
        <x:v>OK</x:v>
      </x:c>
      <x:c r="AA131" t="str">
        <x:f>TEXT(B131,"yyyy-mm")</x:f>
        <x:v>2026-02</x:v>
      </x:c>
      <x:c r="AB131" t="str">
        <x:f>IF(K131="","",TEXT(K131,"yyyy-mm"))</x:f>
        <x:v>2026-04</x:v>
      </x:c>
      <x:c r="AC131" t="str">
        <x:f>"Q"&amp;ROUNDUP(MONTH(B131)/3,0)&amp;"-"&amp;YEAR(B131)</x:f>
        <x:v>Q1-2026</x:v>
      </x:c>
      <x:c r="AD131" s="26" t="n">
        <x:f>MIN(100,IF(H131="Enterprise",30,IF(H131="Mid-Market",22,14))+IF(T131="Enterprise",25,IF(T131="Mid-Market",18,10))+IF(Q131="Referral",25,IF(Q131="Organic Search",20,IF(Q131="Email",18,14)))+IF(G131="Technology",10,5))</x:f>
        <x:v>54</x:v>
      </x:c>
      <x:c r="AE131" t="str">
        <x:f>IF(U131&lt;&gt;"Open",U131,IF(N131&gt;=0.8,"Commit",IF(N131&gt;=0.5,"Best Case","Pipeline")))</x:f>
        <x:v>Won</x:v>
      </x:c>
    </x:row>
    <x:row r="132">
      <x:c r="A132" t="str">
        <x:v>L00131</x:v>
      </x:c>
      <x:c r="B132" s="10" t="n">
        <x:v>45740</x:v>
      </x:c>
      <x:c r="C132" t="str">
        <x:v>An Nguyen</x:v>
      </x:c>
      <x:c r="D132" t="str">
        <x:v>South</x:v>
      </x:c>
      <x:c r="E132" t="str">
        <x:v>SEM - Google</x:v>
      </x:c>
      <x:c r="F132" t="str">
        <x:v>CRM-CORE</x:v>
      </x:c>
      <x:c r="G132" t="str">
        <x:v>Education</x:v>
      </x:c>
      <x:c r="H132" t="str">
        <x:v>Mid-Market</x:v>
      </x:c>
      <x:c r="I132" t="str">
        <x:v>Closed Lost</x:v>
      </x:c>
      <x:c r="J132" s="10" t="n">
        <x:v>45817</x:v>
      </x:c>
      <x:c r="K132" s="10" t="n">
        <x:v>45817</x:v>
      </x:c>
      <x:c r="L132" s="22" t="n">
        <x:v>16800</x:v>
      </x:c>
      <x:c r="M132" s="24" t="n">
        <x:v>0</x:v>
      </x:c>
      <x:c r="N132" s="24" t="n">
        <x:v>0</x:v>
      </x:c>
      <x:c r="O132" t="str">
        <x:v>No Decision</x:v>
      </x:c>
      <x:c r="P132" t="n">
        <x:v>4</x:v>
      </x:c>
      <x:c r="Q132" t="str">
        <x:f>IFERROR(XLOOKUP(E132,Lookups!$A$5:$A$24,Lookups!$B$5:$B$24),"Other")</x:f>
        <x:v>Paid Search</x:v>
      </x:c>
      <x:c r="R132" t="str">
        <x:f>IFERROR(XLOOKUP(F132,Lookups!$D$5:$D$10,Lookups!$E$5:$E$10),"Unknown Product")</x:f>
        <x:v>NexaCRM Core</x:v>
      </x:c>
      <x:c r="S132" t="str">
        <x:f>IFERROR(XLOOKUP(F132,Lookups!$D$5:$D$10,Lookups!$F$5:$F$10),"Unknown")</x:f>
        <x:v>CRM</x:v>
      </x:c>
      <x:c r="T132" t="str">
        <x:f>IF(L132&gt;=50000,"Enterprise",IF(L132&gt;=20000,"Mid-Market","SMB"))</x:f>
        <x:v>SMB</x:v>
      </x:c>
      <x:c r="U132" t="str">
        <x:f>IF(I132="Closed Won","Won",IF(I132="Closed Lost","Lost","Open"))</x:f>
        <x:v>Lost</x:v>
      </x:c>
      <x:c r="V132" s="22" t="n">
        <x:f>IF(U132="Won",L132*(1-M132),0)</x:f>
        <x:v>0</x:v>
      </x:c>
      <x:c r="W132" s="22" t="n">
        <x:f>IF(U132="Open",L132*N132,0)</x:f>
        <x:v>0</x:v>
      </x:c>
      <x:c r="X132" s="26" t="n">
        <x:f>IF(U132="Open","",IFERROR(K132-B132,""))</x:f>
        <x:v>77</x:v>
      </x:c>
      <x:c r="Y132" s="26" t="n">
        <x:f>IF(U132="Open",Lookups!$B$2-B132,X132)</x:f>
        <x:v>77</x:v>
      </x:c>
      <x:c r="Z132" t="str">
        <x:f>IF(AND(U132="Open",Y132&gt;30),"STALE","OK")</x:f>
        <x:v>OK</x:v>
      </x:c>
      <x:c r="AA132" t="str">
        <x:f>TEXT(B132,"yyyy-mm")</x:f>
        <x:v>2025-03</x:v>
      </x:c>
      <x:c r="AB132" t="str">
        <x:f>IF(K132="","",TEXT(K132,"yyyy-mm"))</x:f>
        <x:v>2025-06</x:v>
      </x:c>
      <x:c r="AC132" t="str">
        <x:f>"Q"&amp;ROUNDUP(MONTH(B132)/3,0)&amp;"-"&amp;YEAR(B132)</x:f>
        <x:v>Q1-2025</x:v>
      </x:c>
      <x:c r="AD132" s="26" t="n">
        <x:f>MIN(100,IF(H132="Enterprise",30,IF(H132="Mid-Market",22,14))+IF(T132="Enterprise",25,IF(T132="Mid-Market",18,10))+IF(Q132="Referral",25,IF(Q132="Organic Search",20,IF(Q132="Email",18,14)))+IF(G132="Technology",10,5))</x:f>
        <x:v>51</x:v>
      </x:c>
      <x:c r="AE132" t="str">
        <x:f>IF(U132&lt;&gt;"Open",U132,IF(N132&gt;=0.8,"Commit",IF(N132&gt;=0.5,"Best Case","Pipeline")))</x:f>
        <x:v>Lost</x:v>
      </x:c>
    </x:row>
    <x:row r="133">
      <x:c r="A133" t="str">
        <x:v>L00132</x:v>
      </x:c>
      <x:c r="B133" s="10" t="n">
        <x:v>45737</x:v>
      </x:c>
      <x:c r="C133" t="str">
        <x:v>Ha Vo</x:v>
      </x:c>
      <x:c r="D133" t="str">
        <x:v>North</x:v>
      </x:c>
      <x:c r="E133" t="str">
        <x:v>Google Ads</x:v>
      </x:c>
      <x:c r="F133" t="str">
        <x:v>CRM-CORE</x:v>
      </x:c>
      <x:c r="G133" t="str">
        <x:v>Financial Services</x:v>
      </x:c>
      <x:c r="H133" t="str">
        <x:v>SMB</x:v>
      </x:c>
      <x:c r="I133" t="str">
        <x:v>Closed Lost</x:v>
      </x:c>
      <x:c r="J133" s="10" t="n">
        <x:v>45762</x:v>
      </x:c>
      <x:c r="K133" s="10" t="n">
        <x:v>45762</x:v>
      </x:c>
      <x:c r="L133" s="22" t="n">
        <x:v>5000</x:v>
      </x:c>
      <x:c r="M133" s="24" t="n">
        <x:v>0</x:v>
      </x:c>
      <x:c r="N133" s="24" t="n">
        <x:v>0</x:v>
      </x:c>
      <x:c r="O133" t="str">
        <x:v>Price</x:v>
      </x:c>
      <x:c r="P133" t="n">
        <x:v>3</x:v>
      </x:c>
      <x:c r="Q133" t="str">
        <x:f>IFERROR(XLOOKUP(E133,Lookups!$A$5:$A$24,Lookups!$B$5:$B$24),"Other")</x:f>
        <x:v>Paid Search</x:v>
      </x:c>
      <x:c r="R133" t="str">
        <x:f>IFERROR(XLOOKUP(F133,Lookups!$D$5:$D$10,Lookups!$E$5:$E$10),"Unknown Product")</x:f>
        <x:v>NexaCRM Core</x:v>
      </x:c>
      <x:c r="S133" t="str">
        <x:f>IFERROR(XLOOKUP(F133,Lookups!$D$5:$D$10,Lookups!$F$5:$F$10),"Unknown")</x:f>
        <x:v>CRM</x:v>
      </x:c>
      <x:c r="T133" t="str">
        <x:f>IF(L133&gt;=50000,"Enterprise",IF(L133&gt;=20000,"Mid-Market","SMB"))</x:f>
        <x:v>SMB</x:v>
      </x:c>
      <x:c r="U133" t="str">
        <x:f>IF(I133="Closed Won","Won",IF(I133="Closed Lost","Lost","Open"))</x:f>
        <x:v>Lost</x:v>
      </x:c>
      <x:c r="V133" s="22" t="n">
        <x:f>IF(U133="Won",L133*(1-M133),0)</x:f>
        <x:v>0</x:v>
      </x:c>
      <x:c r="W133" s="22" t="n">
        <x:f>IF(U133="Open",L133*N133,0)</x:f>
        <x:v>0</x:v>
      </x:c>
      <x:c r="X133" s="26" t="n">
        <x:f>IF(U133="Open","",IFERROR(K133-B133,""))</x:f>
        <x:v>25</x:v>
      </x:c>
      <x:c r="Y133" s="26" t="n">
        <x:f>IF(U133="Open",Lookups!$B$2-B133,X133)</x:f>
        <x:v>25</x:v>
      </x:c>
      <x:c r="Z133" t="str">
        <x:f>IF(AND(U133="Open",Y133&gt;30),"STALE","OK")</x:f>
        <x:v>OK</x:v>
      </x:c>
      <x:c r="AA133" t="str">
        <x:f>TEXT(B133,"yyyy-mm")</x:f>
        <x:v>2025-03</x:v>
      </x:c>
      <x:c r="AB133" t="str">
        <x:f>IF(K133="","",TEXT(K133,"yyyy-mm"))</x:f>
        <x:v>2025-04</x:v>
      </x:c>
      <x:c r="AC133" t="str">
        <x:f>"Q"&amp;ROUNDUP(MONTH(B133)/3,0)&amp;"-"&amp;YEAR(B133)</x:f>
        <x:v>Q1-2025</x:v>
      </x:c>
      <x:c r="AD133" s="26" t="n">
        <x:f>MIN(100,IF(H133="Enterprise",30,IF(H133="Mid-Market",22,14))+IF(T133="Enterprise",25,IF(T133="Mid-Market",18,10))+IF(Q133="Referral",25,IF(Q133="Organic Search",20,IF(Q133="Email",18,14)))+IF(G133="Technology",10,5))</x:f>
        <x:v>43</x:v>
      </x:c>
      <x:c r="AE133" t="str">
        <x:f>IF(U133&lt;&gt;"Open",U133,IF(N133&gt;=0.8,"Commit",IF(N133&gt;=0.5,"Best Case","Pipeline")))</x:f>
        <x:v>Lost</x:v>
      </x:c>
    </x:row>
    <x:row r="134">
      <x:c r="A134" t="str">
        <x:v>L00133</x:v>
      </x:c>
      <x:c r="B134" s="10" t="n">
        <x:v>46009</x:v>
      </x:c>
      <x:c r="C134" t="str">
        <x:v>Quynh Vu</x:v>
      </x:c>
      <x:c r="D134" t="str">
        <x:v>North</x:v>
      </x:c>
      <x:c r="E134" t="str">
        <x:v>google cpc</x:v>
      </x:c>
      <x:c r="F134" t="str">
        <x:v>CRM-CORE</x:v>
      </x:c>
      <x:c r="G134" t="str">
        <x:v>Retail</x:v>
      </x:c>
      <x:c r="H134" t="str">
        <x:v>Mid-Market</x:v>
      </x:c>
      <x:c r="I134" t="str">
        <x:v>Closed Lost</x:v>
      </x:c>
      <x:c r="J134" s="10" t="n">
        <x:v>46029</x:v>
      </x:c>
      <x:c r="K134" s="10" t="n">
        <x:v>46029</x:v>
      </x:c>
      <x:c r="L134" s="22" t="n">
        <x:v>18100</x:v>
      </x:c>
      <x:c r="M134" s="24" t="n">
        <x:v>0</x:v>
      </x:c>
      <x:c r="N134" s="24" t="n">
        <x:v>0</x:v>
      </x:c>
      <x:c r="O134" t="str">
        <x:v>No Decision</x:v>
      </x:c>
      <x:c r="P134" t="n">
        <x:v>4</x:v>
      </x:c>
      <x:c r="Q134" t="str">
        <x:f>IFERROR(XLOOKUP(E134,Lookups!$A$5:$A$24,Lookups!$B$5:$B$24),"Other")</x:f>
        <x:v>Paid Search</x:v>
      </x:c>
      <x:c r="R134" t="str">
        <x:f>IFERROR(XLOOKUP(F134,Lookups!$D$5:$D$10,Lookups!$E$5:$E$10),"Unknown Product")</x:f>
        <x:v>NexaCRM Core</x:v>
      </x:c>
      <x:c r="S134" t="str">
        <x:f>IFERROR(XLOOKUP(F134,Lookups!$D$5:$D$10,Lookups!$F$5:$F$10),"Unknown")</x:f>
        <x:v>CRM</x:v>
      </x:c>
      <x:c r="T134" t="str">
        <x:f>IF(L134&gt;=50000,"Enterprise",IF(L134&gt;=20000,"Mid-Market","SMB"))</x:f>
        <x:v>SMB</x:v>
      </x:c>
      <x:c r="U134" t="str">
        <x:f>IF(I134="Closed Won","Won",IF(I134="Closed Lost","Lost","Open"))</x:f>
        <x:v>Lost</x:v>
      </x:c>
      <x:c r="V134" s="22" t="n">
        <x:f>IF(U134="Won",L134*(1-M134),0)</x:f>
        <x:v>0</x:v>
      </x:c>
      <x:c r="W134" s="22" t="n">
        <x:f>IF(U134="Open",L134*N134,0)</x:f>
        <x:v>0</x:v>
      </x:c>
      <x:c r="X134" s="26" t="n">
        <x:f>IF(U134="Open","",IFERROR(K134-B134,""))</x:f>
        <x:v>20</x:v>
      </x:c>
      <x:c r="Y134" s="26" t="n">
        <x:f>IF(U134="Open",Lookups!$B$2-B134,X134)</x:f>
        <x:v>20</x:v>
      </x:c>
      <x:c r="Z134" t="str">
        <x:f>IF(AND(U134="Open",Y134&gt;30),"STALE","OK")</x:f>
        <x:v>OK</x:v>
      </x:c>
      <x:c r="AA134" t="str">
        <x:f>TEXT(B134,"yyyy-mm")</x:f>
        <x:v>2025-12</x:v>
      </x:c>
      <x:c r="AB134" t="str">
        <x:f>IF(K134="","",TEXT(K134,"yyyy-mm"))</x:f>
        <x:v>2026-01</x:v>
      </x:c>
      <x:c r="AC134" t="str">
        <x:f>"Q"&amp;ROUNDUP(MONTH(B134)/3,0)&amp;"-"&amp;YEAR(B134)</x:f>
        <x:v>Q4-2025</x:v>
      </x:c>
      <x:c r="AD134" s="26" t="n">
        <x:f>MIN(100,IF(H134="Enterprise",30,IF(H134="Mid-Market",22,14))+IF(T134="Enterprise",25,IF(T134="Mid-Market",18,10))+IF(Q134="Referral",25,IF(Q134="Organic Search",20,IF(Q134="Email",18,14)))+IF(G134="Technology",10,5))</x:f>
        <x:v>51</x:v>
      </x:c>
      <x:c r="AE134" t="str">
        <x:f>IF(U134&lt;&gt;"Open",U134,IF(N134&gt;=0.8,"Commit",IF(N134&gt;=0.5,"Best Case","Pipeline")))</x:f>
        <x:v>Lost</x:v>
      </x:c>
    </x:row>
    <x:row r="135">
      <x:c r="A135" t="str">
        <x:v>L00134</x:v>
      </x:c>
      <x:c r="B135" s="10" t="n">
        <x:v>45753</x:v>
      </x:c>
      <x:c r="C135" t="str">
        <x:v>Tuan Bui</x:v>
      </x:c>
      <x:c r="D135" t="str">
        <x:v>Central</x:v>
      </x:c>
      <x:c r="E135" t="str">
        <x:v>SDR Outreach</x:v>
      </x:c>
      <x:c r="F135" t="str">
        <x:v>CS-CLOUD</x:v>
      </x:c>
      <x:c r="G135" t="str">
        <x:v>Retail</x:v>
      </x:c>
      <x:c r="H135" t="str">
        <x:v>Mid-Market</x:v>
      </x:c>
      <x:c r="I135" t="str">
        <x:v>Closed Lost</x:v>
      </x:c>
      <x:c r="J135" s="10" t="n">
        <x:v>45776</x:v>
      </x:c>
      <x:c r="K135" s="10" t="n">
        <x:v>45776</x:v>
      </x:c>
      <x:c r="L135" s="22" t="n">
        <x:v>24500</x:v>
      </x:c>
      <x:c r="M135" s="24" t="n">
        <x:v>0</x:v>
      </x:c>
      <x:c r="N135" s="24" t="n">
        <x:v>0</x:v>
      </x:c>
      <x:c r="O135" t="str">
        <x:v>Price</x:v>
      </x:c>
      <x:c r="P135" t="n">
        <x:v>2</x:v>
      </x:c>
      <x:c r="Q135" t="str">
        <x:f>IFERROR(XLOOKUP(E135,Lookups!$A$5:$A$24,Lookups!$B$5:$B$24),"Other")</x:f>
        <x:v>Outbound</x:v>
      </x:c>
      <x:c r="R135" t="str">
        <x:f>IFERROR(XLOOKUP(F135,Lookups!$D$5:$D$10,Lookups!$E$5:$E$10),"Unknown Product")</x:f>
        <x:v>Service Cloud</x:v>
      </x:c>
      <x:c r="S135" t="str">
        <x:f>IFERROR(XLOOKUP(F135,Lookups!$D$5:$D$10,Lookups!$F$5:$F$10),"Unknown")</x:f>
        <x:v>Customer Service</x:v>
      </x:c>
      <x:c r="T135" t="str">
        <x:f>IF(L135&gt;=50000,"Enterprise",IF(L135&gt;=20000,"Mid-Market","SMB"))</x:f>
        <x:v>Mid-Market</x:v>
      </x:c>
      <x:c r="U135" t="str">
        <x:f>IF(I135="Closed Won","Won",IF(I135="Closed Lost","Lost","Open"))</x:f>
        <x:v>Lost</x:v>
      </x:c>
      <x:c r="V135" s="22" t="n">
        <x:f>IF(U135="Won",L135*(1-M135),0)</x:f>
        <x:v>0</x:v>
      </x:c>
      <x:c r="W135" s="22" t="n">
        <x:f>IF(U135="Open",L135*N135,0)</x:f>
        <x:v>0</x:v>
      </x:c>
      <x:c r="X135" s="26" t="n">
        <x:f>IF(U135="Open","",IFERROR(K135-B135,""))</x:f>
        <x:v>23</x:v>
      </x:c>
      <x:c r="Y135" s="26" t="n">
        <x:f>IF(U135="Open",Lookups!$B$2-B135,X135)</x:f>
        <x:v>23</x:v>
      </x:c>
      <x:c r="Z135" t="str">
        <x:f>IF(AND(U135="Open",Y135&gt;30),"STALE","OK")</x:f>
        <x:v>OK</x:v>
      </x:c>
      <x:c r="AA135" t="str">
        <x:f>TEXT(B135,"yyyy-mm")</x:f>
        <x:v>2025-04</x:v>
      </x:c>
      <x:c r="AB135" t="str">
        <x:f>IF(K135="","",TEXT(K135,"yyyy-mm"))</x:f>
        <x:v>2025-04</x:v>
      </x:c>
      <x:c r="AC135" t="str">
        <x:f>"Q"&amp;ROUNDUP(MONTH(B135)/3,0)&amp;"-"&amp;YEAR(B135)</x:f>
        <x:v>Q2-2025</x:v>
      </x:c>
      <x:c r="AD135" s="26" t="n">
        <x:f>MIN(100,IF(H135="Enterprise",30,IF(H135="Mid-Market",22,14))+IF(T135="Enterprise",25,IF(T135="Mid-Market",18,10))+IF(Q135="Referral",25,IF(Q135="Organic Search",20,IF(Q135="Email",18,14)))+IF(G135="Technology",10,5))</x:f>
        <x:v>59</x:v>
      </x:c>
      <x:c r="AE135" t="str">
        <x:f>IF(U135&lt;&gt;"Open",U135,IF(N135&gt;=0.8,"Commit",IF(N135&gt;=0.5,"Best Case","Pipeline")))</x:f>
        <x:v>Lost</x:v>
      </x:c>
    </x:row>
    <x:row r="136">
      <x:c r="A136" t="str">
        <x:v>L00135</x:v>
      </x:c>
      <x:c r="B136" s="10" t="n">
        <x:v>46188</x:v>
      </x:c>
      <x:c r="C136" t="str">
        <x:v>Tuan Bui</x:v>
      </x:c>
      <x:c r="D136" t="str">
        <x:v>Central</x:v>
      </x:c>
      <x:c r="E136" t="str">
        <x:v>Google Organic</x:v>
      </x:c>
      <x:c r="F136" t="str">
        <x:v>REV-OPS</x:v>
      </x:c>
      <x:c r="G136" t="str">
        <x:v>Healthcare</x:v>
      </x:c>
      <x:c r="H136" t="str">
        <x:v>Mid-Market</x:v>
      </x:c>
      <x:c r="I136" t="str">
        <x:v>Closed Lost</x:v>
      </x:c>
      <x:c r="J136" s="10" t="n">
        <x:v>46218</x:v>
      </x:c>
      <x:c r="K136" s="10" t="n">
        <x:v>46218</x:v>
      </x:c>
      <x:c r="L136" s="22" t="n">
        <x:v>78300</x:v>
      </x:c>
      <x:c r="M136" s="24" t="n">
        <x:v>0</x:v>
      </x:c>
      <x:c r="N136" s="24" t="n">
        <x:v>0</x:v>
      </x:c>
      <x:c r="O136" t="str">
        <x:v>Competitor</x:v>
      </x:c>
      <x:c r="P136" t="n">
        <x:v>3</x:v>
      </x:c>
      <x:c r="Q136" t="str">
        <x:f>IFERROR(XLOOKUP(E136,Lookups!$A$5:$A$24,Lookups!$B$5:$B$24),"Other")</x:f>
        <x:v>Organic Search</x:v>
      </x:c>
      <x:c r="R136" t="str">
        <x:f>IFERROR(XLOOKUP(F136,Lookups!$D$5:$D$10,Lookups!$E$5:$E$10),"Unknown Product")</x:f>
        <x:v>Revenue Operations Suite</x:v>
      </x:c>
      <x:c r="S136" t="str">
        <x:f>IFERROR(XLOOKUP(F136,Lookups!$D$5:$D$10,Lookups!$F$5:$F$10),"Unknown")</x:f>
        <x:v>Revenue Ops</x:v>
      </x:c>
      <x:c r="T136" t="str">
        <x:f>IF(L136&gt;=50000,"Enterprise",IF(L136&gt;=20000,"Mid-Market","SMB"))</x:f>
        <x:v>Enterprise</x:v>
      </x:c>
      <x:c r="U136" t="str">
        <x:f>IF(I136="Closed Won","Won",IF(I136="Closed Lost","Lost","Open"))</x:f>
        <x:v>Lost</x:v>
      </x:c>
      <x:c r="V136" s="22" t="n">
        <x:f>IF(U136="Won",L136*(1-M136),0)</x:f>
        <x:v>0</x:v>
      </x:c>
      <x:c r="W136" s="22" t="n">
        <x:f>IF(U136="Open",L136*N136,0)</x:f>
        <x:v>0</x:v>
      </x:c>
      <x:c r="X136" s="26" t="n">
        <x:f>IF(U136="Open","",IFERROR(K136-B136,""))</x:f>
        <x:v>30</x:v>
      </x:c>
      <x:c r="Y136" s="26" t="n">
        <x:f>IF(U136="Open",Lookups!$B$2-B136,X136)</x:f>
        <x:v>30</x:v>
      </x:c>
      <x:c r="Z136" t="str">
        <x:f>IF(AND(U136="Open",Y136&gt;30),"STALE","OK")</x:f>
        <x:v>OK</x:v>
      </x:c>
      <x:c r="AA136" t="str">
        <x:f>TEXT(B136,"yyyy-mm")</x:f>
        <x:v>2026-06</x:v>
      </x:c>
      <x:c r="AB136" t="str">
        <x:f>IF(K136="","",TEXT(K136,"yyyy-mm"))</x:f>
        <x:v>2026-07</x:v>
      </x:c>
      <x:c r="AC136" t="str">
        <x:f>"Q"&amp;ROUNDUP(MONTH(B136)/3,0)&amp;"-"&amp;YEAR(B136)</x:f>
        <x:v>Q2-2026</x:v>
      </x:c>
      <x:c r="AD136" s="26" t="n">
        <x:f>MIN(100,IF(H136="Enterprise",30,IF(H136="Mid-Market",22,14))+IF(T136="Enterprise",25,IF(T136="Mid-Market",18,10))+IF(Q136="Referral",25,IF(Q136="Organic Search",20,IF(Q136="Email",18,14)))+IF(G136="Technology",10,5))</x:f>
        <x:v>72</x:v>
      </x:c>
      <x:c r="AE136" t="str">
        <x:f>IF(U136&lt;&gt;"Open",U136,IF(N136&gt;=0.8,"Commit",IF(N136&gt;=0.5,"Best Case","Pipeline")))</x:f>
        <x:v>Lost</x:v>
      </x:c>
    </x:row>
    <x:row r="137">
      <x:c r="A137" t="str">
        <x:v>L00136</x:v>
      </x:c>
      <x:c r="B137" s="10" t="n">
        <x:v>45926</x:v>
      </x:c>
      <x:c r="C137" t="str">
        <x:v>Bao Tran</x:v>
      </x:c>
      <x:c r="D137" t="str">
        <x:v>South</x:v>
      </x:c>
      <x:c r="E137" t="str">
        <x:v>Cold Email</x:v>
      </x:c>
      <x:c r="F137" t="str">
        <x:v>CS-CLOUD</x:v>
      </x:c>
      <x:c r="G137" t="str">
        <x:v>Technology</x:v>
      </x:c>
      <x:c r="H137" t="str">
        <x:v>SMB</x:v>
      </x:c>
      <x:c r="I137" t="str">
        <x:v>Closed Lost</x:v>
      </x:c>
      <x:c r="J137" s="10" t="n">
        <x:v>45968</x:v>
      </x:c>
      <x:c r="K137" s="10" t="n">
        <x:v>45968</x:v>
      </x:c>
      <x:c r="L137" s="22" t="n">
        <x:v>19700</x:v>
      </x:c>
      <x:c r="M137" s="24" t="n">
        <x:v>0</x:v>
      </x:c>
      <x:c r="N137" s="24" t="n">
        <x:v>0</x:v>
      </x:c>
      <x:c r="O137" t="str">
        <x:v>No Decision</x:v>
      </x:c>
      <x:c r="P137" t="n">
        <x:v>2</x:v>
      </x:c>
      <x:c r="Q137" t="str">
        <x:f>IFERROR(XLOOKUP(E137,Lookups!$A$5:$A$24,Lookups!$B$5:$B$24),"Other")</x:f>
        <x:v>Outbound</x:v>
      </x:c>
      <x:c r="R137" t="str">
        <x:f>IFERROR(XLOOKUP(F137,Lookups!$D$5:$D$10,Lookups!$E$5:$E$10),"Unknown Product")</x:f>
        <x:v>Service Cloud</x:v>
      </x:c>
      <x:c r="S137" t="str">
        <x:f>IFERROR(XLOOKUP(F137,Lookups!$D$5:$D$10,Lookups!$F$5:$F$10),"Unknown")</x:f>
        <x:v>Customer Service</x:v>
      </x:c>
      <x:c r="T137" t="str">
        <x:f>IF(L137&gt;=50000,"Enterprise",IF(L137&gt;=20000,"Mid-Market","SMB"))</x:f>
        <x:v>SMB</x:v>
      </x:c>
      <x:c r="U137" t="str">
        <x:f>IF(I137="Closed Won","Won",IF(I137="Closed Lost","Lost","Open"))</x:f>
        <x:v>Lost</x:v>
      </x:c>
      <x:c r="V137" s="22" t="n">
        <x:f>IF(U137="Won",L137*(1-M137),0)</x:f>
        <x:v>0</x:v>
      </x:c>
      <x:c r="W137" s="22" t="n">
        <x:f>IF(U137="Open",L137*N137,0)</x:f>
        <x:v>0</x:v>
      </x:c>
      <x:c r="X137" s="26" t="n">
        <x:f>IF(U137="Open","",IFERROR(K137-B137,""))</x:f>
        <x:v>42</x:v>
      </x:c>
      <x:c r="Y137" s="26" t="n">
        <x:f>IF(U137="Open",Lookups!$B$2-B137,X137)</x:f>
        <x:v>42</x:v>
      </x:c>
      <x:c r="Z137" t="str">
        <x:f>IF(AND(U137="Open",Y137&gt;30),"STALE","OK")</x:f>
        <x:v>OK</x:v>
      </x:c>
      <x:c r="AA137" t="str">
        <x:f>TEXT(B137,"yyyy-mm")</x:f>
        <x:v>2025-09</x:v>
      </x:c>
      <x:c r="AB137" t="str">
        <x:f>IF(K137="","",TEXT(K137,"yyyy-mm"))</x:f>
        <x:v>2025-11</x:v>
      </x:c>
      <x:c r="AC137" t="str">
        <x:f>"Q"&amp;ROUNDUP(MONTH(B137)/3,0)&amp;"-"&amp;YEAR(B137)</x:f>
        <x:v>Q3-2025</x:v>
      </x:c>
      <x:c r="AD137" s="26" t="n">
        <x:f>MIN(100,IF(H137="Enterprise",30,IF(H137="Mid-Market",22,14))+IF(T137="Enterprise",25,IF(T137="Mid-Market",18,10))+IF(Q137="Referral",25,IF(Q137="Organic Search",20,IF(Q137="Email",18,14)))+IF(G137="Technology",10,5))</x:f>
        <x:v>48</x:v>
      </x:c>
      <x:c r="AE137" t="str">
        <x:f>IF(U137&lt;&gt;"Open",U137,IF(N137&gt;=0.8,"Commit",IF(N137&gt;=0.5,"Best Case","Pipeline")))</x:f>
        <x:v>Lost</x:v>
      </x:c>
    </x:row>
    <x:row r="138">
      <x:c r="A138" t="str">
        <x:v>L00137</x:v>
      </x:c>
      <x:c r="B138" s="10" t="n">
        <x:v>45979</x:v>
      </x:c>
      <x:c r="C138" t="str">
        <x:v>Minh Do</x:v>
      </x:c>
      <x:c r="D138" t="str">
        <x:v>North</x:v>
      </x:c>
      <x:c r="E138" t="str">
        <x:v>LinkedIn Ads</x:v>
      </x:c>
      <x:c r="F138" t="str">
        <x:v>BI-PLUS</x:v>
      </x:c>
      <x:c r="G138" t="str">
        <x:v>Financial Services</x:v>
      </x:c>
      <x:c r="H138" t="str">
        <x:v>Enterprise</x:v>
      </x:c>
      <x:c r="I138" t="str">
        <x:v>Closed Lost</x:v>
      </x:c>
      <x:c r="J138" s="10" t="n">
        <x:v>46059</x:v>
      </x:c>
      <x:c r="K138" s="10" t="n">
        <x:v>46059</x:v>
      </x:c>
      <x:c r="L138" s="22" t="n">
        <x:v>94100</x:v>
      </x:c>
      <x:c r="M138" s="24" t="n">
        <x:v>0</x:v>
      </x:c>
      <x:c r="N138" s="24" t="n">
        <x:v>0</x:v>
      </x:c>
      <x:c r="O138" t="str">
        <x:v>Competitor</x:v>
      </x:c>
      <x:c r="P138" t="n">
        <x:v>3</x:v>
      </x:c>
      <x:c r="Q138" t="str">
        <x:f>IFERROR(XLOOKUP(E138,Lookups!$A$5:$A$24,Lookups!$B$5:$B$24),"Other")</x:f>
        <x:v>LinkedIn</x:v>
      </x:c>
      <x:c r="R138" t="str">
        <x:f>IFERROR(XLOOKUP(F138,Lookups!$D$5:$D$10,Lookups!$E$5:$E$10),"Unknown Product")</x:f>
        <x:v>Analytics Plus</x:v>
      </x:c>
      <x:c r="S138" t="str">
        <x:f>IFERROR(XLOOKUP(F138,Lookups!$D$5:$D$10,Lookups!$F$5:$F$10),"Unknown")</x:f>
        <x:v>Analytics</x:v>
      </x:c>
      <x:c r="T138" t="str">
        <x:f>IF(L138&gt;=50000,"Enterprise",IF(L138&gt;=20000,"Mid-Market","SMB"))</x:f>
        <x:v>Enterprise</x:v>
      </x:c>
      <x:c r="U138" t="str">
        <x:f>IF(I138="Closed Won","Won",IF(I138="Closed Lost","Lost","Open"))</x:f>
        <x:v>Lost</x:v>
      </x:c>
      <x:c r="V138" s="22" t="n">
        <x:f>IF(U138="Won",L138*(1-M138),0)</x:f>
        <x:v>0</x:v>
      </x:c>
      <x:c r="W138" s="22" t="n">
        <x:f>IF(U138="Open",L138*N138,0)</x:f>
        <x:v>0</x:v>
      </x:c>
      <x:c r="X138" s="26" t="n">
        <x:f>IF(U138="Open","",IFERROR(K138-B138,""))</x:f>
        <x:v>80</x:v>
      </x:c>
      <x:c r="Y138" s="26" t="n">
        <x:f>IF(U138="Open",Lookups!$B$2-B138,X138)</x:f>
        <x:v>80</x:v>
      </x:c>
      <x:c r="Z138" t="str">
        <x:f>IF(AND(U138="Open",Y138&gt;30),"STALE","OK")</x:f>
        <x:v>OK</x:v>
      </x:c>
      <x:c r="AA138" t="str">
        <x:f>TEXT(B138,"yyyy-mm")</x:f>
        <x:v>2025-11</x:v>
      </x:c>
      <x:c r="AB138" t="str">
        <x:f>IF(K138="","",TEXT(K138,"yyyy-mm"))</x:f>
        <x:v>2026-02</x:v>
      </x:c>
      <x:c r="AC138" t="str">
        <x:f>"Q"&amp;ROUNDUP(MONTH(B138)/3,0)&amp;"-"&amp;YEAR(B138)</x:f>
        <x:v>Q4-2025</x:v>
      </x:c>
      <x:c r="AD138" s="26" t="n">
        <x:f>MIN(100,IF(H138="Enterprise",30,IF(H138="Mid-Market",22,14))+IF(T138="Enterprise",25,IF(T138="Mid-Market",18,10))+IF(Q138="Referral",25,IF(Q138="Organic Search",20,IF(Q138="Email",18,14)))+IF(G138="Technology",10,5))</x:f>
        <x:v>74</x:v>
      </x:c>
      <x:c r="AE138" t="str">
        <x:f>IF(U138&lt;&gt;"Open",U138,IF(N138&gt;=0.8,"Commit",IF(N138&gt;=0.5,"Best Case","Pipeline")))</x:f>
        <x:v>Lost</x:v>
      </x:c>
    </x:row>
    <x:row r="139">
      <x:c r="A139" t="str">
        <x:v>L00138</x:v>
      </x:c>
      <x:c r="B139" s="10" t="n">
        <x:v>45942</x:v>
      </x:c>
      <x:c r="C139" t="str">
        <x:v>An Nguyen</x:v>
      </x:c>
      <x:c r="D139" t="str">
        <x:v>South</x:v>
      </x:c>
      <x:c r="E139" t="str">
        <x:v>organic search</x:v>
      </x:c>
      <x:c r="F139" t="str">
        <x:v>CRM-CORE</x:v>
      </x:c>
      <x:c r="G139" t="str">
        <x:v>Professional Services</x:v>
      </x:c>
      <x:c r="H139" t="str">
        <x:v>SMB</x:v>
      </x:c>
      <x:c r="I139" t="str">
        <x:v>Negotiation</x:v>
      </x:c>
      <x:c r="J139" s="10" t="n">
        <x:v>46217</x:v>
      </x:c>
      <x:c r="K139" s="10"/>
      <x:c r="L139" s="22" t="n">
        <x:v>5300</x:v>
      </x:c>
      <x:c r="M139" s="24" t="n">
        <x:v>0.05</x:v>
      </x:c>
      <x:c r="N139" s="24" t="n">
        <x:v>0.85</x:v>
      </x:c>
      <x:c r="O139" t="str"/>
      <x:c r="P139" t="n">
        <x:v>5</x:v>
      </x:c>
      <x:c r="Q139" t="str">
        <x:f>IFERROR(XLOOKUP(E139,Lookups!$A$5:$A$24,Lookups!$B$5:$B$24),"Other")</x:f>
        <x:v>Organic Search</x:v>
      </x:c>
      <x:c r="R139" t="str">
        <x:f>IFERROR(XLOOKUP(F139,Lookups!$D$5:$D$10,Lookups!$E$5:$E$10),"Unknown Product")</x:f>
        <x:v>NexaCRM Core</x:v>
      </x:c>
      <x:c r="S139" t="str">
        <x:f>IFERROR(XLOOKUP(F139,Lookups!$D$5:$D$10,Lookups!$F$5:$F$10),"Unknown")</x:f>
        <x:v>CRM</x:v>
      </x:c>
      <x:c r="T139" t="str">
        <x:f>IF(L139&gt;=50000,"Enterprise",IF(L139&gt;=20000,"Mid-Market","SMB"))</x:f>
        <x:v>SMB</x:v>
      </x:c>
      <x:c r="U139" t="str">
        <x:f>IF(I139="Closed Won","Won",IF(I139="Closed Lost","Lost","Open"))</x:f>
        <x:v>Open</x:v>
      </x:c>
      <x:c r="V139" s="22" t="n">
        <x:f>IF(U139="Won",L139*(1-M139),0)</x:f>
        <x:v>0</x:v>
      </x:c>
      <x:c r="W139" s="22" t="n">
        <x:f>IF(U139="Open",L139*N139,0)</x:f>
        <x:v>4505</x:v>
      </x:c>
      <x:c r="X139" s="26" t="str">
        <x:f>IF(U139="Open","",IFERROR(K139-B139,""))</x:f>
      </x:c>
      <x:c r="Y139" s="26" t="n">
        <x:f>IF(U139="Open",Lookups!$B$2-B139,X139)</x:f>
        <x:v>324</x:v>
      </x:c>
      <x:c r="Z139" t="str">
        <x:f>IF(AND(U139="Open",Y139&gt;30),"STALE","OK")</x:f>
        <x:v>STALE</x:v>
      </x:c>
      <x:c r="AA139" t="str">
        <x:f>TEXT(B139,"yyyy-mm")</x:f>
        <x:v>2025-10</x:v>
      </x:c>
      <x:c r="AB139" t="str">
        <x:f>IF(K139="","",TEXT(K139,"yyyy-mm"))</x:f>
      </x:c>
      <x:c r="AC139" t="str">
        <x:f>"Q"&amp;ROUNDUP(MONTH(B139)/3,0)&amp;"-"&amp;YEAR(B139)</x:f>
        <x:v>Q4-2025</x:v>
      </x:c>
      <x:c r="AD139" s="26" t="n">
        <x:f>MIN(100,IF(H139="Enterprise",30,IF(H139="Mid-Market",22,14))+IF(T139="Enterprise",25,IF(T139="Mid-Market",18,10))+IF(Q139="Referral",25,IF(Q139="Organic Search",20,IF(Q139="Email",18,14)))+IF(G139="Technology",10,5))</x:f>
        <x:v>49</x:v>
      </x:c>
      <x:c r="AE139" t="str">
        <x:f>IF(U139&lt;&gt;"Open",U139,IF(N139&gt;=0.8,"Commit",IF(N139&gt;=0.5,"Best Case","Pipeline")))</x:f>
        <x:v>Commit</x:v>
      </x:c>
    </x:row>
    <x:row r="140">
      <x:c r="A140" t="str">
        <x:v>L00139</x:v>
      </x:c>
      <x:c r="B140" s="10" t="n">
        <x:v>46140</x:v>
      </x:c>
      <x:c r="C140" t="str">
        <x:v>Ha Vo</x:v>
      </x:c>
      <x:c r="D140" t="str">
        <x:v>North</x:v>
      </x:c>
      <x:c r="E140" t="str">
        <x:v>Google Organic</x:v>
      </x:c>
      <x:c r="F140" t="str">
        <x:v>REV-OPS</x:v>
      </x:c>
      <x:c r="G140" t="str">
        <x:v>Education</x:v>
      </x:c>
      <x:c r="H140" t="str">
        <x:v>SMB</x:v>
      </x:c>
      <x:c r="I140" t="str">
        <x:v>Closed Lost</x:v>
      </x:c>
      <x:c r="J140" s="10" t="n">
        <x:v>46200</x:v>
      </x:c>
      <x:c r="K140" s="10" t="n">
        <x:v>46200</x:v>
      </x:c>
      <x:c r="L140" s="22" t="n">
        <x:v>48100</x:v>
      </x:c>
      <x:c r="M140" s="24" t="n">
        <x:v>0</x:v>
      </x:c>
      <x:c r="N140" s="24" t="n">
        <x:v>0</x:v>
      </x:c>
      <x:c r="O140" t="str">
        <x:v>Competitor</x:v>
      </x:c>
      <x:c r="P140" t="n">
        <x:v>5</x:v>
      </x:c>
      <x:c r="Q140" t="str">
        <x:f>IFERROR(XLOOKUP(E140,Lookups!$A$5:$A$24,Lookups!$B$5:$B$24),"Other")</x:f>
        <x:v>Organic Search</x:v>
      </x:c>
      <x:c r="R140" t="str">
        <x:f>IFERROR(XLOOKUP(F140,Lookups!$D$5:$D$10,Lookups!$E$5:$E$10),"Unknown Product")</x:f>
        <x:v>Revenue Operations Suite</x:v>
      </x:c>
      <x:c r="S140" t="str">
        <x:f>IFERROR(XLOOKUP(F140,Lookups!$D$5:$D$10,Lookups!$F$5:$F$10),"Unknown")</x:f>
        <x:v>Revenue Ops</x:v>
      </x:c>
      <x:c r="T140" t="str">
        <x:f>IF(L140&gt;=50000,"Enterprise",IF(L140&gt;=20000,"Mid-Market","SMB"))</x:f>
        <x:v>Mid-Market</x:v>
      </x:c>
      <x:c r="U140" t="str">
        <x:f>IF(I140="Closed Won","Won",IF(I140="Closed Lost","Lost","Open"))</x:f>
        <x:v>Lost</x:v>
      </x:c>
      <x:c r="V140" s="22" t="n">
        <x:f>IF(U140="Won",L140*(1-M140),0)</x:f>
        <x:v>0</x:v>
      </x:c>
      <x:c r="W140" s="22" t="n">
        <x:f>IF(U140="Open",L140*N140,0)</x:f>
        <x:v>0</x:v>
      </x:c>
      <x:c r="X140" s="26" t="n">
        <x:f>IF(U140="Open","",IFERROR(K140-B140,""))</x:f>
        <x:v>60</x:v>
      </x:c>
      <x:c r="Y140" s="26" t="n">
        <x:f>IF(U140="Open",Lookups!$B$2-B140,X140)</x:f>
        <x:v>60</x:v>
      </x:c>
      <x:c r="Z140" t="str">
        <x:f>IF(AND(U140="Open",Y140&gt;30),"STALE","OK")</x:f>
        <x:v>OK</x:v>
      </x:c>
      <x:c r="AA140" t="str">
        <x:f>TEXT(B140,"yyyy-mm")</x:f>
        <x:v>2026-04</x:v>
      </x:c>
      <x:c r="AB140" t="str">
        <x:f>IF(K140="","",TEXT(K140,"yyyy-mm"))</x:f>
        <x:v>2026-06</x:v>
      </x:c>
      <x:c r="AC140" t="str">
        <x:f>"Q"&amp;ROUNDUP(MONTH(B140)/3,0)&amp;"-"&amp;YEAR(B140)</x:f>
        <x:v>Q2-2026</x:v>
      </x:c>
      <x:c r="AD140" s="26" t="n">
        <x:f>MIN(100,IF(H140="Enterprise",30,IF(H140="Mid-Market",22,14))+IF(T140="Enterprise",25,IF(T140="Mid-Market",18,10))+IF(Q140="Referral",25,IF(Q140="Organic Search",20,IF(Q140="Email",18,14)))+IF(G140="Technology",10,5))</x:f>
        <x:v>57</x:v>
      </x:c>
      <x:c r="AE140" t="str">
        <x:f>IF(U140&lt;&gt;"Open",U140,IF(N140&gt;=0.8,"Commit",IF(N140&gt;=0.5,"Best Case","Pipeline")))</x:f>
        <x:v>Lost</x:v>
      </x:c>
    </x:row>
    <x:row r="141">
      <x:c r="A141" t="str">
        <x:v>L00140</x:v>
      </x:c>
      <x:c r="B141" s="10" t="n">
        <x:v>46006</x:v>
      </x:c>
      <x:c r="C141" t="str">
        <x:v>Tuan Bui</x:v>
      </x:c>
      <x:c r="D141" t="str">
        <x:v>Central</x:v>
      </x:c>
      <x:c r="E141" t="str">
        <x:v>Referral</x:v>
      </x:c>
      <x:c r="F141" t="str">
        <x:v>CRM-PRO</x:v>
      </x:c>
      <x:c r="G141" t="str">
        <x:v>Education</x:v>
      </x:c>
      <x:c r="H141" t="str">
        <x:v>Mid-Market</x:v>
      </x:c>
      <x:c r="I141" t="str">
        <x:v>Closed Lost</x:v>
      </x:c>
      <x:c r="J141" s="10" t="n">
        <x:v>46050</x:v>
      </x:c>
      <x:c r="K141" s="10" t="n">
        <x:v>46050</x:v>
      </x:c>
      <x:c r="L141" s="22" t="n">
        <x:v>22200</x:v>
      </x:c>
      <x:c r="M141" s="24" t="n">
        <x:v>0</x:v>
      </x:c>
      <x:c r="N141" s="24" t="n">
        <x:v>0</x:v>
      </x:c>
      <x:c r="O141" t="str">
        <x:v>No Decision</x:v>
      </x:c>
      <x:c r="P141" t="n">
        <x:v>4</x:v>
      </x:c>
      <x:c r="Q141" t="str">
        <x:f>IFERROR(XLOOKUP(E141,Lookups!$A$5:$A$24,Lookups!$B$5:$B$24),"Other")</x:f>
        <x:v>Referral</x:v>
      </x:c>
      <x:c r="R141" t="str">
        <x:f>IFERROR(XLOOKUP(F141,Lookups!$D$5:$D$10,Lookups!$E$5:$E$10),"Unknown Product")</x:f>
        <x:v>NexaCRM Pro</x:v>
      </x:c>
      <x:c r="S141" t="str">
        <x:f>IFERROR(XLOOKUP(F141,Lookups!$D$5:$D$10,Lookups!$F$5:$F$10),"Unknown")</x:f>
        <x:v>CRM</x:v>
      </x:c>
      <x:c r="T141" t="str">
        <x:f>IF(L141&gt;=50000,"Enterprise",IF(L141&gt;=20000,"Mid-Market","SMB"))</x:f>
        <x:v>Mid-Market</x:v>
      </x:c>
      <x:c r="U141" t="str">
        <x:f>IF(I141="Closed Won","Won",IF(I141="Closed Lost","Lost","Open"))</x:f>
        <x:v>Lost</x:v>
      </x:c>
      <x:c r="V141" s="22" t="n">
        <x:f>IF(U141="Won",L141*(1-M141),0)</x:f>
        <x:v>0</x:v>
      </x:c>
      <x:c r="W141" s="22" t="n">
        <x:f>IF(U141="Open",L141*N141,0)</x:f>
        <x:v>0</x:v>
      </x:c>
      <x:c r="X141" s="26" t="n">
        <x:f>IF(U141="Open","",IFERROR(K141-B141,""))</x:f>
        <x:v>44</x:v>
      </x:c>
      <x:c r="Y141" s="26" t="n">
        <x:f>IF(U141="Open",Lookups!$B$2-B141,X141)</x:f>
        <x:v>44</x:v>
      </x:c>
      <x:c r="Z141" t="str">
        <x:f>IF(AND(U141="Open",Y141&gt;30),"STALE","OK")</x:f>
        <x:v>OK</x:v>
      </x:c>
      <x:c r="AA141" t="str">
        <x:f>TEXT(B141,"yyyy-mm")</x:f>
        <x:v>2025-12</x:v>
      </x:c>
      <x:c r="AB141" t="str">
        <x:f>IF(K141="","",TEXT(K141,"yyyy-mm"))</x:f>
        <x:v>2026-01</x:v>
      </x:c>
      <x:c r="AC141" t="str">
        <x:f>"Q"&amp;ROUNDUP(MONTH(B141)/3,0)&amp;"-"&amp;YEAR(B141)</x:f>
        <x:v>Q4-2025</x:v>
      </x:c>
      <x:c r="AD141" s="26" t="n">
        <x:f>MIN(100,IF(H141="Enterprise",30,IF(H141="Mid-Market",22,14))+IF(T141="Enterprise",25,IF(T141="Mid-Market",18,10))+IF(Q141="Referral",25,IF(Q141="Organic Search",20,IF(Q141="Email",18,14)))+IF(G141="Technology",10,5))</x:f>
        <x:v>70</x:v>
      </x:c>
      <x:c r="AE141" t="str">
        <x:f>IF(U141&lt;&gt;"Open",U141,IF(N141&gt;=0.8,"Commit",IF(N141&gt;=0.5,"Best Case","Pipeline")))</x:f>
        <x:v>Lost</x:v>
      </x:c>
    </x:row>
    <x:row r="142">
      <x:c r="A142" t="str">
        <x:v>L00141</x:v>
      </x:c>
      <x:c r="B142" s="10" t="n">
        <x:v>46055</x:v>
      </x:c>
      <x:c r="C142" t="str">
        <x:v>An Nguyen</x:v>
      </x:c>
      <x:c r="D142" t="str">
        <x:v>South</x:v>
      </x:c>
      <x:c r="E142" t="str">
        <x:v>SEM - Google</x:v>
      </x:c>
      <x:c r="F142" t="str">
        <x:v>CS-CLOUD</x:v>
      </x:c>
      <x:c r="G142" t="str">
        <x:v>Professional Services</x:v>
      </x:c>
      <x:c r="H142" t="str">
        <x:v>Mid-Market</x:v>
      </x:c>
      <x:c r="I142" t="str">
        <x:v>Negotiation</x:v>
      </x:c>
      <x:c r="J142" s="10" t="n">
        <x:v>46157</x:v>
      </x:c>
      <x:c r="K142" s="10"/>
      <x:c r="L142" s="22" t="n">
        <x:v>36100</x:v>
      </x:c>
      <x:c r="M142" s="24" t="n">
        <x:v>0.03</x:v>
      </x:c>
      <x:c r="N142" s="24" t="n">
        <x:v>0.85</x:v>
      </x:c>
      <x:c r="O142" t="str"/>
      <x:c r="P142" t="n">
        <x:v>5</x:v>
      </x:c>
      <x:c r="Q142" t="str">
        <x:f>IFERROR(XLOOKUP(E142,Lookups!$A$5:$A$24,Lookups!$B$5:$B$24),"Other")</x:f>
        <x:v>Paid Search</x:v>
      </x:c>
      <x:c r="R142" t="str">
        <x:f>IFERROR(XLOOKUP(F142,Lookups!$D$5:$D$10,Lookups!$E$5:$E$10),"Unknown Product")</x:f>
        <x:v>Service Cloud</x:v>
      </x:c>
      <x:c r="S142" t="str">
        <x:f>IFERROR(XLOOKUP(F142,Lookups!$D$5:$D$10,Lookups!$F$5:$F$10),"Unknown")</x:f>
        <x:v>Customer Service</x:v>
      </x:c>
      <x:c r="T142" t="str">
        <x:f>IF(L142&gt;=50000,"Enterprise",IF(L142&gt;=20000,"Mid-Market","SMB"))</x:f>
        <x:v>Mid-Market</x:v>
      </x:c>
      <x:c r="U142" t="str">
        <x:f>IF(I142="Closed Won","Won",IF(I142="Closed Lost","Lost","Open"))</x:f>
        <x:v>Open</x:v>
      </x:c>
      <x:c r="V142" s="22" t="n">
        <x:f>IF(U142="Won",L142*(1-M142),0)</x:f>
        <x:v>0</x:v>
      </x:c>
      <x:c r="W142" s="22" t="n">
        <x:f>IF(U142="Open",L142*N142,0)</x:f>
        <x:v>30685</x:v>
      </x:c>
      <x:c r="X142" s="26" t="str">
        <x:f>IF(U142="Open","",IFERROR(K142-B142,""))</x:f>
      </x:c>
      <x:c r="Y142" s="26" t="n">
        <x:f>IF(U142="Open",Lookups!$B$2-B142,X142)</x:f>
        <x:v>211</x:v>
      </x:c>
      <x:c r="Z142" t="str">
        <x:f>IF(AND(U142="Open",Y142&gt;30),"STALE","OK")</x:f>
        <x:v>STALE</x:v>
      </x:c>
      <x:c r="AA142" t="str">
        <x:f>TEXT(B142,"yyyy-mm")</x:f>
        <x:v>2026-02</x:v>
      </x:c>
      <x:c r="AB142" t="str">
        <x:f>IF(K142="","",TEXT(K142,"yyyy-mm"))</x:f>
      </x:c>
      <x:c r="AC142" t="str">
        <x:f>"Q"&amp;ROUNDUP(MONTH(B142)/3,0)&amp;"-"&amp;YEAR(B142)</x:f>
        <x:v>Q1-2026</x:v>
      </x:c>
      <x:c r="AD142" s="26" t="n">
        <x:f>MIN(100,IF(H142="Enterprise",30,IF(H142="Mid-Market",22,14))+IF(T142="Enterprise",25,IF(T142="Mid-Market",18,10))+IF(Q142="Referral",25,IF(Q142="Organic Search",20,IF(Q142="Email",18,14)))+IF(G142="Technology",10,5))</x:f>
        <x:v>59</x:v>
      </x:c>
      <x:c r="AE142" t="str">
        <x:f>IF(U142&lt;&gt;"Open",U142,IF(N142&gt;=0.8,"Commit",IF(N142&gt;=0.5,"Best Case","Pipeline")))</x:f>
        <x:v>Commit</x:v>
      </x:c>
    </x:row>
    <x:row r="143">
      <x:c r="A143" t="str">
        <x:v>L00142</x:v>
      </x:c>
      <x:c r="B143" s="10" t="n">
        <x:v>45858</x:v>
      </x:c>
      <x:c r="C143" t="str">
        <x:v>Ha Vo</x:v>
      </x:c>
      <x:c r="D143" t="str">
        <x:v>North</x:v>
      </x:c>
      <x:c r="E143" t="str">
        <x:v>Partner Referral</x:v>
      </x:c>
      <x:c r="F143" t="str">
        <x:v>REV-OPS</x:v>
      </x:c>
      <x:c r="G143" t="str">
        <x:v>Healthcare</x:v>
      </x:c>
      <x:c r="H143" t="str">
        <x:v>Mid-Market</x:v>
      </x:c>
      <x:c r="I143" t="str">
        <x:v>Closed Won</x:v>
      </x:c>
      <x:c r="J143" s="10" t="n">
        <x:v>45945</x:v>
      </x:c>
      <x:c r="K143" s="10" t="n">
        <x:v>45945</x:v>
      </x:c>
      <x:c r="L143" s="22" t="n">
        <x:v>63900</x:v>
      </x:c>
      <x:c r="M143" s="24" t="n">
        <x:v>0.12</x:v>
      </x:c>
      <x:c r="N143" s="24" t="n">
        <x:v>1</x:v>
      </x:c>
      <x:c r="O143" t="str"/>
      <x:c r="P143" t="n">
        <x:v>6</x:v>
      </x:c>
      <x:c r="Q143" t="str">
        <x:f>IFERROR(XLOOKUP(E143,Lookups!$A$5:$A$24,Lookups!$B$5:$B$24),"Other")</x:f>
        <x:v>Referral</x:v>
      </x:c>
      <x:c r="R143" t="str">
        <x:f>IFERROR(XLOOKUP(F143,Lookups!$D$5:$D$10,Lookups!$E$5:$E$10),"Unknown Product")</x:f>
        <x:v>Revenue Operations Suite</x:v>
      </x:c>
      <x:c r="S143" t="str">
        <x:f>IFERROR(XLOOKUP(F143,Lookups!$D$5:$D$10,Lookups!$F$5:$F$10),"Unknown")</x:f>
        <x:v>Revenue Ops</x:v>
      </x:c>
      <x:c r="T143" t="str">
        <x:f>IF(L143&gt;=50000,"Enterprise",IF(L143&gt;=20000,"Mid-Market","SMB"))</x:f>
        <x:v>Enterprise</x:v>
      </x:c>
      <x:c r="U143" t="str">
        <x:f>IF(I143="Closed Won","Won",IF(I143="Closed Lost","Lost","Open"))</x:f>
        <x:v>Won</x:v>
      </x:c>
      <x:c r="V143" s="22" t="n">
        <x:f>IF(U143="Won",L143*(1-M143),0)</x:f>
        <x:v>56232</x:v>
      </x:c>
      <x:c r="W143" s="22" t="n">
        <x:f>IF(U143="Open",L143*N143,0)</x:f>
        <x:v>0</x:v>
      </x:c>
      <x:c r="X143" s="26" t="n">
        <x:f>IF(U143="Open","",IFERROR(K143-B143,""))</x:f>
        <x:v>87</x:v>
      </x:c>
      <x:c r="Y143" s="26" t="n">
        <x:f>IF(U143="Open",Lookups!$B$2-B143,X143)</x:f>
        <x:v>87</x:v>
      </x:c>
      <x:c r="Z143" t="str">
        <x:f>IF(AND(U143="Open",Y143&gt;30),"STALE","OK")</x:f>
        <x:v>OK</x:v>
      </x:c>
      <x:c r="AA143" t="str">
        <x:f>TEXT(B143,"yyyy-mm")</x:f>
        <x:v>2025-07</x:v>
      </x:c>
      <x:c r="AB143" t="str">
        <x:f>IF(K143="","",TEXT(K143,"yyyy-mm"))</x:f>
        <x:v>2025-10</x:v>
      </x:c>
      <x:c r="AC143" t="str">
        <x:f>"Q"&amp;ROUNDUP(MONTH(B143)/3,0)&amp;"-"&amp;YEAR(B143)</x:f>
        <x:v>Q3-2025</x:v>
      </x:c>
      <x:c r="AD143" s="26" t="n">
        <x:f>MIN(100,IF(H143="Enterprise",30,IF(H143="Mid-Market",22,14))+IF(T143="Enterprise",25,IF(T143="Mid-Market",18,10))+IF(Q143="Referral",25,IF(Q143="Organic Search",20,IF(Q143="Email",18,14)))+IF(G143="Technology",10,5))</x:f>
        <x:v>77</x:v>
      </x:c>
      <x:c r="AE143" t="str">
        <x:f>IF(U143&lt;&gt;"Open",U143,IF(N143&gt;=0.8,"Commit",IF(N143&gt;=0.5,"Best Case","Pipeline")))</x:f>
        <x:v>Won</x:v>
      </x:c>
    </x:row>
    <x:row r="144">
      <x:c r="A144" t="str">
        <x:v>L00143</x:v>
      </x:c>
      <x:c r="B144" s="10" t="n">
        <x:v>46185</x:v>
      </x:c>
      <x:c r="C144" t="str">
        <x:v>Bao Tran</x:v>
      </x:c>
      <x:c r="D144" t="str">
        <x:v>South</x:v>
      </x:c>
      <x:c r="E144" t="str">
        <x:v>Partner Referral</x:v>
      </x:c>
      <x:c r="F144" t="str">
        <x:v>CRM-CORE</x:v>
      </x:c>
      <x:c r="G144" t="str">
        <x:v>Education</x:v>
      </x:c>
      <x:c r="H144" t="str">
        <x:v>SMB</x:v>
      </x:c>
      <x:c r="I144" t="str">
        <x:v>Demo / Meeting</x:v>
      </x:c>
      <x:c r="J144" s="10" t="n">
        <x:v>46217</x:v>
      </x:c>
      <x:c r="K144" s="10"/>
      <x:c r="L144" s="22" t="n">
        <x:v>5700</x:v>
      </x:c>
      <x:c r="M144" s="24" t="n">
        <x:v>0.03</x:v>
      </x:c>
      <x:c r="N144" s="24" t="n">
        <x:v>0.4</x:v>
      </x:c>
      <x:c r="O144" t="str"/>
      <x:c r="P144" t="n">
        <x:v>3</x:v>
      </x:c>
      <x:c r="Q144" t="str">
        <x:f>IFERROR(XLOOKUP(E144,Lookups!$A$5:$A$24,Lookups!$B$5:$B$24),"Other")</x:f>
        <x:v>Referral</x:v>
      </x:c>
      <x:c r="R144" t="str">
        <x:f>IFERROR(XLOOKUP(F144,Lookups!$D$5:$D$10,Lookups!$E$5:$E$10),"Unknown Product")</x:f>
        <x:v>NexaCRM Core</x:v>
      </x:c>
      <x:c r="S144" t="str">
        <x:f>IFERROR(XLOOKUP(F144,Lookups!$D$5:$D$10,Lookups!$F$5:$F$10),"Unknown")</x:f>
        <x:v>CRM</x:v>
      </x:c>
      <x:c r="T144" t="str">
        <x:f>IF(L144&gt;=50000,"Enterprise",IF(L144&gt;=20000,"Mid-Market","SMB"))</x:f>
        <x:v>SMB</x:v>
      </x:c>
      <x:c r="U144" t="str">
        <x:f>IF(I144="Closed Won","Won",IF(I144="Closed Lost","Lost","Open"))</x:f>
        <x:v>Open</x:v>
      </x:c>
      <x:c r="V144" s="22" t="n">
        <x:f>IF(U144="Won",L144*(1-M144),0)</x:f>
        <x:v>0</x:v>
      </x:c>
      <x:c r="W144" s="22" t="n">
        <x:f>IF(U144="Open",L144*N144,0)</x:f>
        <x:v>2280</x:v>
      </x:c>
      <x:c r="X144" s="26" t="str">
        <x:f>IF(U144="Open","",IFERROR(K144-B144,""))</x:f>
      </x:c>
      <x:c r="Y144" s="26" t="n">
        <x:f>IF(U144="Open",Lookups!$B$2-B144,X144)</x:f>
        <x:v>81</x:v>
      </x:c>
      <x:c r="Z144" t="str">
        <x:f>IF(AND(U144="Open",Y144&gt;30),"STALE","OK")</x:f>
        <x:v>STALE</x:v>
      </x:c>
      <x:c r="AA144" t="str">
        <x:f>TEXT(B144,"yyyy-mm")</x:f>
        <x:v>2026-06</x:v>
      </x:c>
      <x:c r="AB144" t="str">
        <x:f>IF(K144="","",TEXT(K144,"yyyy-mm"))</x:f>
      </x:c>
      <x:c r="AC144" t="str">
        <x:f>"Q"&amp;ROUNDUP(MONTH(B144)/3,0)&amp;"-"&amp;YEAR(B144)</x:f>
        <x:v>Q2-2026</x:v>
      </x:c>
      <x:c r="AD144" s="26" t="n">
        <x:f>MIN(100,IF(H144="Enterprise",30,IF(H144="Mid-Market",22,14))+IF(T144="Enterprise",25,IF(T144="Mid-Market",18,10))+IF(Q144="Referral",25,IF(Q144="Organic Search",20,IF(Q144="Email",18,14)))+IF(G144="Technology",10,5))</x:f>
        <x:v>54</x:v>
      </x:c>
      <x:c r="AE144" t="str">
        <x:f>IF(U144&lt;&gt;"Open",U144,IF(N144&gt;=0.8,"Commit",IF(N144&gt;=0.5,"Best Case","Pipeline")))</x:f>
        <x:v>Pipeline</x:v>
      </x:c>
    </x:row>
    <x:row r="145">
      <x:c r="A145" t="str">
        <x:v>L00144</x:v>
      </x:c>
      <x:c r="B145" s="10" t="n">
        <x:v>45888</x:v>
      </x:c>
      <x:c r="C145" t="str">
        <x:v>Tuan Bui</x:v>
      </x:c>
      <x:c r="D145" t="str">
        <x:v>Central</x:v>
      </x:c>
      <x:c r="E145" t="str">
        <x:v>Unknown Event</x:v>
      </x:c>
      <x:c r="F145" t="str">
        <x:v>CS-CLOUD</x:v>
      </x:c>
      <x:c r="G145" t="str">
        <x:v>Retail</x:v>
      </x:c>
      <x:c r="H145" t="str">
        <x:v>SMB</x:v>
      </x:c>
      <x:c r="I145" t="str">
        <x:v>Closed Lost</x:v>
      </x:c>
      <x:c r="J145" s="10" t="n">
        <x:v>45957</x:v>
      </x:c>
      <x:c r="K145" s="10" t="n">
        <x:v>45957</x:v>
      </x:c>
      <x:c r="L145" s="22" t="n">
        <x:v>12500</x:v>
      </x:c>
      <x:c r="M145" s="24" t="n">
        <x:v>0</x:v>
      </x:c>
      <x:c r="N145" s="24" t="n">
        <x:v>0</x:v>
      </x:c>
      <x:c r="O145" t="str">
        <x:v>Budget</x:v>
      </x:c>
      <x:c r="P145" t="n">
        <x:v>5</x:v>
      </x:c>
      <x:c r="Q145" t="str">
        <x:f>IFERROR(XLOOKUP(E145,Lookups!$A$5:$A$24,Lookups!$B$5:$B$24),"Other")</x:f>
        <x:v>Other</x:v>
      </x:c>
      <x:c r="R145" t="str">
        <x:f>IFERROR(XLOOKUP(F145,Lookups!$D$5:$D$10,Lookups!$E$5:$E$10),"Unknown Product")</x:f>
        <x:v>Service Cloud</x:v>
      </x:c>
      <x:c r="S145" t="str">
        <x:f>IFERROR(XLOOKUP(F145,Lookups!$D$5:$D$10,Lookups!$F$5:$F$10),"Unknown")</x:f>
        <x:v>Customer Service</x:v>
      </x:c>
      <x:c r="T145" t="str">
        <x:f>IF(L145&gt;=50000,"Enterprise",IF(L145&gt;=20000,"Mid-Market","SMB"))</x:f>
        <x:v>SMB</x:v>
      </x:c>
      <x:c r="U145" t="str">
        <x:f>IF(I145="Closed Won","Won",IF(I145="Closed Lost","Lost","Open"))</x:f>
        <x:v>Lost</x:v>
      </x:c>
      <x:c r="V145" s="22" t="n">
        <x:f>IF(U145="Won",L145*(1-M145),0)</x:f>
        <x:v>0</x:v>
      </x:c>
      <x:c r="W145" s="22" t="n">
        <x:f>IF(U145="Open",L145*N145,0)</x:f>
        <x:v>0</x:v>
      </x:c>
      <x:c r="X145" s="26" t="n">
        <x:f>IF(U145="Open","",IFERROR(K145-B145,""))</x:f>
        <x:v>69</x:v>
      </x:c>
      <x:c r="Y145" s="26" t="n">
        <x:f>IF(U145="Open",Lookups!$B$2-B145,X145)</x:f>
        <x:v>69</x:v>
      </x:c>
      <x:c r="Z145" t="str">
        <x:f>IF(AND(U145="Open",Y145&gt;30),"STALE","OK")</x:f>
        <x:v>OK</x:v>
      </x:c>
      <x:c r="AA145" t="str">
        <x:f>TEXT(B145,"yyyy-mm")</x:f>
        <x:v>2025-08</x:v>
      </x:c>
      <x:c r="AB145" t="str">
        <x:f>IF(K145="","",TEXT(K145,"yyyy-mm"))</x:f>
        <x:v>2025-10</x:v>
      </x:c>
      <x:c r="AC145" t="str">
        <x:f>"Q"&amp;ROUNDUP(MONTH(B145)/3,0)&amp;"-"&amp;YEAR(B145)</x:f>
        <x:v>Q3-2025</x:v>
      </x:c>
      <x:c r="AD145" s="26" t="n">
        <x:f>MIN(100,IF(H145="Enterprise",30,IF(H145="Mid-Market",22,14))+IF(T145="Enterprise",25,IF(T145="Mid-Market",18,10))+IF(Q145="Referral",25,IF(Q145="Organic Search",20,IF(Q145="Email",18,14)))+IF(G145="Technology",10,5))</x:f>
        <x:v>43</x:v>
      </x:c>
      <x:c r="AE145" t="str">
        <x:f>IF(U145&lt;&gt;"Open",U145,IF(N145&gt;=0.8,"Commit",IF(N145&gt;=0.5,"Best Case","Pipeline")))</x:f>
        <x:v>Lost</x:v>
      </x:c>
    </x:row>
    <x:row r="146">
      <x:c r="A146" t="str">
        <x:v>L00145</x:v>
      </x:c>
      <x:c r="B146" s="10" t="n">
        <x:v>46010</x:v>
      </x:c>
      <x:c r="C146" t="str">
        <x:v>Ha Vo</x:v>
      </x:c>
      <x:c r="D146" t="str">
        <x:v>North</x:v>
      </x:c>
      <x:c r="E146" t="str">
        <x:v>organic search</x:v>
      </x:c>
      <x:c r="F146" t="str">
        <x:v>CRM-PRO</x:v>
      </x:c>
      <x:c r="G146" t="str">
        <x:v>Education</x:v>
      </x:c>
      <x:c r="H146" t="str">
        <x:v>SMB</x:v>
      </x:c>
      <x:c r="I146" t="str">
        <x:v>Closed Lost</x:v>
      </x:c>
      <x:c r="J146" s="10" t="n">
        <x:v>46049</x:v>
      </x:c>
      <x:c r="K146" s="10" t="n">
        <x:v>46049</x:v>
      </x:c>
      <x:c r="L146" s="22" t="n">
        <x:v>21800</x:v>
      </x:c>
      <x:c r="M146" s="24" t="n">
        <x:v>0</x:v>
      </x:c>
      <x:c r="N146" s="24" t="n">
        <x:v>0</x:v>
      </x:c>
      <x:c r="O146" t="str">
        <x:v>No Decision</x:v>
      </x:c>
      <x:c r="P146" t="n">
        <x:v>3</x:v>
      </x:c>
      <x:c r="Q146" t="str">
        <x:f>IFERROR(XLOOKUP(E146,Lookups!$A$5:$A$24,Lookups!$B$5:$B$24),"Other")</x:f>
        <x:v>Organic Search</x:v>
      </x:c>
      <x:c r="R146" t="str">
        <x:f>IFERROR(XLOOKUP(F146,Lookups!$D$5:$D$10,Lookups!$E$5:$E$10),"Unknown Product")</x:f>
        <x:v>NexaCRM Pro</x:v>
      </x:c>
      <x:c r="S146" t="str">
        <x:f>IFERROR(XLOOKUP(F146,Lookups!$D$5:$D$10,Lookups!$F$5:$F$10),"Unknown")</x:f>
        <x:v>CRM</x:v>
      </x:c>
      <x:c r="T146" t="str">
        <x:f>IF(L146&gt;=50000,"Enterprise",IF(L146&gt;=20000,"Mid-Market","SMB"))</x:f>
        <x:v>Mid-Market</x:v>
      </x:c>
      <x:c r="U146" t="str">
        <x:f>IF(I146="Closed Won","Won",IF(I146="Closed Lost","Lost","Open"))</x:f>
        <x:v>Lost</x:v>
      </x:c>
      <x:c r="V146" s="22" t="n">
        <x:f>IF(U146="Won",L146*(1-M146),0)</x:f>
        <x:v>0</x:v>
      </x:c>
      <x:c r="W146" s="22" t="n">
        <x:f>IF(U146="Open",L146*N146,0)</x:f>
        <x:v>0</x:v>
      </x:c>
      <x:c r="X146" s="26" t="n">
        <x:f>IF(U146="Open","",IFERROR(K146-B146,""))</x:f>
        <x:v>39</x:v>
      </x:c>
      <x:c r="Y146" s="26" t="n">
        <x:f>IF(U146="Open",Lookups!$B$2-B146,X146)</x:f>
        <x:v>39</x:v>
      </x:c>
      <x:c r="Z146" t="str">
        <x:f>IF(AND(U146="Open",Y146&gt;30),"STALE","OK")</x:f>
        <x:v>OK</x:v>
      </x:c>
      <x:c r="AA146" t="str">
        <x:f>TEXT(B146,"yyyy-mm")</x:f>
        <x:v>2025-12</x:v>
      </x:c>
      <x:c r="AB146" t="str">
        <x:f>IF(K146="","",TEXT(K146,"yyyy-mm"))</x:f>
        <x:v>2026-01</x:v>
      </x:c>
      <x:c r="AC146" t="str">
        <x:f>"Q"&amp;ROUNDUP(MONTH(B146)/3,0)&amp;"-"&amp;YEAR(B146)</x:f>
        <x:v>Q4-2025</x:v>
      </x:c>
      <x:c r="AD146" s="26" t="n">
        <x:f>MIN(100,IF(H146="Enterprise",30,IF(H146="Mid-Market",22,14))+IF(T146="Enterprise",25,IF(T146="Mid-Market",18,10))+IF(Q146="Referral",25,IF(Q146="Organic Search",20,IF(Q146="Email",18,14)))+IF(G146="Technology",10,5))</x:f>
        <x:v>57</x:v>
      </x:c>
      <x:c r="AE146" t="str">
        <x:f>IF(U146&lt;&gt;"Open",U146,IF(N146&gt;=0.8,"Commit",IF(N146&gt;=0.5,"Best Case","Pipeline")))</x:f>
        <x:v>Lost</x:v>
      </x:c>
    </x:row>
    <x:row r="147">
      <x:c r="A147" t="str">
        <x:v>L00146</x:v>
      </x:c>
      <x:c r="B147" s="10" t="n">
        <x:v>46190</x:v>
      </x:c>
      <x:c r="C147" t="str">
        <x:v>An Nguyen</x:v>
      </x:c>
      <x:c r="D147" t="str">
        <x:v>South</x:v>
      </x:c>
      <x:c r="E147" t="str">
        <x:v>SDR Outreach</x:v>
      </x:c>
      <x:c r="F147" t="str">
        <x:v>CRM-CORE</x:v>
      </x:c>
      <x:c r="G147" t="str">
        <x:v>Education</x:v>
      </x:c>
      <x:c r="H147" t="str">
        <x:v>SMB</x:v>
      </x:c>
      <x:c r="I147" t="str">
        <x:v>Demo / Meeting</x:v>
      </x:c>
      <x:c r="J147" s="10" t="n">
        <x:v>46242</x:v>
      </x:c>
      <x:c r="K147" s="10"/>
      <x:c r="L147" s="22" t="n">
        <x:v>9300</x:v>
      </x:c>
      <x:c r="M147" s="24" t="n">
        <x:v>0.05</x:v>
      </x:c>
      <x:c r="N147" s="24" t="n">
        <x:v>0.4</x:v>
      </x:c>
      <x:c r="O147" t="str"/>
      <x:c r="P147" t="n">
        <x:v>3</x:v>
      </x:c>
      <x:c r="Q147" t="str">
        <x:f>IFERROR(XLOOKUP(E147,Lookups!$A$5:$A$24,Lookups!$B$5:$B$24),"Other")</x:f>
        <x:v>Outbound</x:v>
      </x:c>
      <x:c r="R147" t="str">
        <x:f>IFERROR(XLOOKUP(F147,Lookups!$D$5:$D$10,Lookups!$E$5:$E$10),"Unknown Product")</x:f>
        <x:v>NexaCRM Core</x:v>
      </x:c>
      <x:c r="S147" t="str">
        <x:f>IFERROR(XLOOKUP(F147,Lookups!$D$5:$D$10,Lookups!$F$5:$F$10),"Unknown")</x:f>
        <x:v>CRM</x:v>
      </x:c>
      <x:c r="T147" t="str">
        <x:f>IF(L147&gt;=50000,"Enterprise",IF(L147&gt;=20000,"Mid-Market","SMB"))</x:f>
        <x:v>SMB</x:v>
      </x:c>
      <x:c r="U147" t="str">
        <x:f>IF(I147="Closed Won","Won",IF(I147="Closed Lost","Lost","Open"))</x:f>
        <x:v>Open</x:v>
      </x:c>
      <x:c r="V147" s="22" t="n">
        <x:f>IF(U147="Won",L147*(1-M147),0)</x:f>
        <x:v>0</x:v>
      </x:c>
      <x:c r="W147" s="22" t="n">
        <x:f>IF(U147="Open",L147*N147,0)</x:f>
        <x:v>3720</x:v>
      </x:c>
      <x:c r="X147" s="26" t="str">
        <x:f>IF(U147="Open","",IFERROR(K147-B147,""))</x:f>
      </x:c>
      <x:c r="Y147" s="26" t="n">
        <x:f>IF(U147="Open",Lookups!$B$2-B147,X147)</x:f>
        <x:v>76</x:v>
      </x:c>
      <x:c r="Z147" t="str">
        <x:f>IF(AND(U147="Open",Y147&gt;30),"STALE","OK")</x:f>
        <x:v>STALE</x:v>
      </x:c>
      <x:c r="AA147" t="str">
        <x:f>TEXT(B147,"yyyy-mm")</x:f>
        <x:v>2026-06</x:v>
      </x:c>
      <x:c r="AB147" t="str">
        <x:f>IF(K147="","",TEXT(K147,"yyyy-mm"))</x:f>
      </x:c>
      <x:c r="AC147" t="str">
        <x:f>"Q"&amp;ROUNDUP(MONTH(B147)/3,0)&amp;"-"&amp;YEAR(B147)</x:f>
        <x:v>Q2-2026</x:v>
      </x:c>
      <x:c r="AD147" s="26" t="n">
        <x:f>MIN(100,IF(H147="Enterprise",30,IF(H147="Mid-Market",22,14))+IF(T147="Enterprise",25,IF(T147="Mid-Market",18,10))+IF(Q147="Referral",25,IF(Q147="Organic Search",20,IF(Q147="Email",18,14)))+IF(G147="Technology",10,5))</x:f>
        <x:v>43</x:v>
      </x:c>
      <x:c r="AE147" t="str">
        <x:f>IF(U147&lt;&gt;"Open",U147,IF(N147&gt;=0.8,"Commit",IF(N147&gt;=0.5,"Best Case","Pipeline")))</x:f>
        <x:v>Pipeline</x:v>
      </x:c>
    </x:row>
    <x:row r="148">
      <x:c r="A148" t="str">
        <x:v>L00147</x:v>
      </x:c>
      <x:c r="B148" s="10" t="n">
        <x:v>46206</x:v>
      </x:c>
      <x:c r="C148" t="str">
        <x:v>Quynh Vu</x:v>
      </x:c>
      <x:c r="D148" t="str">
        <x:v>North</x:v>
      </x:c>
      <x:c r="E148" t="str">
        <x:v>Outbound</x:v>
      </x:c>
      <x:c r="F148" t="str">
        <x:v>REV-OPS</x:v>
      </x:c>
      <x:c r="G148" t="str">
        <x:v>Professional Services</x:v>
      </x:c>
      <x:c r="H148" t="str">
        <x:v>SMB</x:v>
      </x:c>
      <x:c r="I148" t="str">
        <x:v>Qualified</x:v>
      </x:c>
      <x:c r="J148" s="10" t="n">
        <x:v>46238</x:v>
      </x:c>
      <x:c r="K148" s="10"/>
      <x:c r="L148" s="22" t="n">
        <x:v>27200</x:v>
      </x:c>
      <x:c r="M148" s="24" t="n">
        <x:v>0</x:v>
      </x:c>
      <x:c r="N148" s="24" t="n">
        <x:v>0.2</x:v>
      </x:c>
      <x:c r="O148" t="str"/>
      <x:c r="P148" t="n">
        <x:v>2</x:v>
      </x:c>
      <x:c r="Q148" t="str">
        <x:f>IFERROR(XLOOKUP(E148,Lookups!$A$5:$A$24,Lookups!$B$5:$B$24),"Other")</x:f>
        <x:v>Outbound</x:v>
      </x:c>
      <x:c r="R148" t="str">
        <x:f>IFERROR(XLOOKUP(F148,Lookups!$D$5:$D$10,Lookups!$E$5:$E$10),"Unknown Product")</x:f>
        <x:v>Revenue Operations Suite</x:v>
      </x:c>
      <x:c r="S148" t="str">
        <x:f>IFERROR(XLOOKUP(F148,Lookups!$D$5:$D$10,Lookups!$F$5:$F$10),"Unknown")</x:f>
        <x:v>Revenue Ops</x:v>
      </x:c>
      <x:c r="T148" t="str">
        <x:f>IF(L148&gt;=50000,"Enterprise",IF(L148&gt;=20000,"Mid-Market","SMB"))</x:f>
        <x:v>Mid-Market</x:v>
      </x:c>
      <x:c r="U148" t="str">
        <x:f>IF(I148="Closed Won","Won",IF(I148="Closed Lost","Lost","Open"))</x:f>
        <x:v>Open</x:v>
      </x:c>
      <x:c r="V148" s="22" t="n">
        <x:f>IF(U148="Won",L148*(1-M148),0)</x:f>
        <x:v>0</x:v>
      </x:c>
      <x:c r="W148" s="22" t="n">
        <x:f>IF(U148="Open",L148*N148,0)</x:f>
        <x:v>5440</x:v>
      </x:c>
      <x:c r="X148" s="26" t="str">
        <x:f>IF(U148="Open","",IFERROR(K148-B148,""))</x:f>
      </x:c>
      <x:c r="Y148" s="26" t="n">
        <x:f>IF(U148="Open",Lookups!$B$2-B148,X148)</x:f>
        <x:v>60</x:v>
      </x:c>
      <x:c r="Z148" t="str">
        <x:f>IF(AND(U148="Open",Y148&gt;30),"STALE","OK")</x:f>
        <x:v>STALE</x:v>
      </x:c>
      <x:c r="AA148" t="str">
        <x:f>TEXT(B148,"yyyy-mm")</x:f>
        <x:v>2026-07</x:v>
      </x:c>
      <x:c r="AB148" t="str">
        <x:f>IF(K148="","",TEXT(K148,"yyyy-mm"))</x:f>
      </x:c>
      <x:c r="AC148" t="str">
        <x:f>"Q"&amp;ROUNDUP(MONTH(B148)/3,0)&amp;"-"&amp;YEAR(B148)</x:f>
        <x:v>Q3-2026</x:v>
      </x:c>
      <x:c r="AD148" s="26" t="n">
        <x:f>MIN(100,IF(H148="Enterprise",30,IF(H148="Mid-Market",22,14))+IF(T148="Enterprise",25,IF(T148="Mid-Market",18,10))+IF(Q148="Referral",25,IF(Q148="Organic Search",20,IF(Q148="Email",18,14)))+IF(G148="Technology",10,5))</x:f>
        <x:v>51</x:v>
      </x:c>
      <x:c r="AE148" t="str">
        <x:f>IF(U148&lt;&gt;"Open",U148,IF(N148&gt;=0.8,"Commit",IF(N148&gt;=0.5,"Best Case","Pipeline")))</x:f>
        <x:v>Pipeline</x:v>
      </x:c>
    </x:row>
    <x:row r="149">
      <x:c r="A149" t="str">
        <x:v>L00148</x:v>
      </x:c>
      <x:c r="B149" s="10" t="n">
        <x:v>45785</x:v>
      </x:c>
      <x:c r="C149" t="str">
        <x:v>Quynh Vu</x:v>
      </x:c>
      <x:c r="D149" t="str">
        <x:v>North</x:v>
      </x:c>
      <x:c r="E149" t="str">
        <x:v>SEM - Google</x:v>
      </x:c>
      <x:c r="F149" t="str">
        <x:v>CRM-CORE</x:v>
      </x:c>
      <x:c r="G149" t="str">
        <x:v>Healthcare</x:v>
      </x:c>
      <x:c r="H149" t="str">
        <x:v>Enterprise</x:v>
      </x:c>
      <x:c r="I149" t="str">
        <x:v>Closed Lost</x:v>
      </x:c>
      <x:c r="J149" s="10" t="n">
        <x:v>45812</x:v>
      </x:c>
      <x:c r="K149" s="10" t="n">
        <x:v>45812</x:v>
      </x:c>
      <x:c r="L149" s="22" t="n">
        <x:v>22500</x:v>
      </x:c>
      <x:c r="M149" s="24" t="n">
        <x:v>0</x:v>
      </x:c>
      <x:c r="N149" s="24" t="n">
        <x:v>0</x:v>
      </x:c>
      <x:c r="O149" t="str">
        <x:v>Competitor</x:v>
      </x:c>
      <x:c r="P149" t="n">
        <x:v>3</x:v>
      </x:c>
      <x:c r="Q149" t="str">
        <x:f>IFERROR(XLOOKUP(E149,Lookups!$A$5:$A$24,Lookups!$B$5:$B$24),"Other")</x:f>
        <x:v>Paid Search</x:v>
      </x:c>
      <x:c r="R149" t="str">
        <x:f>IFERROR(XLOOKUP(F149,Lookups!$D$5:$D$10,Lookups!$E$5:$E$10),"Unknown Product")</x:f>
        <x:v>NexaCRM Core</x:v>
      </x:c>
      <x:c r="S149" t="str">
        <x:f>IFERROR(XLOOKUP(F149,Lookups!$D$5:$D$10,Lookups!$F$5:$F$10),"Unknown")</x:f>
        <x:v>CRM</x:v>
      </x:c>
      <x:c r="T149" t="str">
        <x:f>IF(L149&gt;=50000,"Enterprise",IF(L149&gt;=20000,"Mid-Market","SMB"))</x:f>
        <x:v>Mid-Market</x:v>
      </x:c>
      <x:c r="U149" t="str">
        <x:f>IF(I149="Closed Won","Won",IF(I149="Closed Lost","Lost","Open"))</x:f>
        <x:v>Lost</x:v>
      </x:c>
      <x:c r="V149" s="22" t="n">
        <x:f>IF(U149="Won",L149*(1-M149),0)</x:f>
        <x:v>0</x:v>
      </x:c>
      <x:c r="W149" s="22" t="n">
        <x:f>IF(U149="Open",L149*N149,0)</x:f>
        <x:v>0</x:v>
      </x:c>
      <x:c r="X149" s="26" t="n">
        <x:f>IF(U149="Open","",IFERROR(K149-B149,""))</x:f>
        <x:v>27</x:v>
      </x:c>
      <x:c r="Y149" s="26" t="n">
        <x:f>IF(U149="Open",Lookups!$B$2-B149,X149)</x:f>
        <x:v>27</x:v>
      </x:c>
      <x:c r="Z149" t="str">
        <x:f>IF(AND(U149="Open",Y149&gt;30),"STALE","OK")</x:f>
        <x:v>OK</x:v>
      </x:c>
      <x:c r="AA149" t="str">
        <x:f>TEXT(B149,"yyyy-mm")</x:f>
        <x:v>2025-05</x:v>
      </x:c>
      <x:c r="AB149" t="str">
        <x:f>IF(K149="","",TEXT(K149,"yyyy-mm"))</x:f>
        <x:v>2025-06</x:v>
      </x:c>
      <x:c r="AC149" t="str">
        <x:f>"Q"&amp;ROUNDUP(MONTH(B149)/3,0)&amp;"-"&amp;YEAR(B149)</x:f>
        <x:v>Q2-2025</x:v>
      </x:c>
      <x:c r="AD149" s="26" t="n">
        <x:f>MIN(100,IF(H149="Enterprise",30,IF(H149="Mid-Market",22,14))+IF(T149="Enterprise",25,IF(T149="Mid-Market",18,10))+IF(Q149="Referral",25,IF(Q149="Organic Search",20,IF(Q149="Email",18,14)))+IF(G149="Technology",10,5))</x:f>
        <x:v>67</x:v>
      </x:c>
      <x:c r="AE149" t="str">
        <x:f>IF(U149&lt;&gt;"Open",U149,IF(N149&gt;=0.8,"Commit",IF(N149&gt;=0.5,"Best Case","Pipeline")))</x:f>
        <x:v>Lost</x:v>
      </x:c>
    </x:row>
    <x:row r="150">
      <x:c r="A150" t="str">
        <x:v>L00149</x:v>
      </x:c>
      <x:c r="B150" s="10" t="n">
        <x:v>46028</x:v>
      </x:c>
      <x:c r="C150" t="str">
        <x:v>Quynh Vu</x:v>
      </x:c>
      <x:c r="D150" t="str">
        <x:v>North</x:v>
      </x:c>
      <x:c r="E150" t="str">
        <x:v>Referral</x:v>
      </x:c>
      <x:c r="F150" t="str">
        <x:v>CRM-CORE</x:v>
      </x:c>
      <x:c r="G150" t="str">
        <x:v>Retail</x:v>
      </x:c>
      <x:c r="H150" t="str">
        <x:v>Enterprise</x:v>
      </x:c>
      <x:c r="I150" t="str">
        <x:v>Closed Lost</x:v>
      </x:c>
      <x:c r="J150" s="10" t="n">
        <x:v>46060</x:v>
      </x:c>
      <x:c r="K150" s="10" t="n">
        <x:v>46060</x:v>
      </x:c>
      <x:c r="L150" s="22" t="n">
        <x:v>20800</x:v>
      </x:c>
      <x:c r="M150" s="24" t="n">
        <x:v>0</x:v>
      </x:c>
      <x:c r="N150" s="24" t="n">
        <x:v>0</x:v>
      </x:c>
      <x:c r="O150" t="str">
        <x:v>No Decision</x:v>
      </x:c>
      <x:c r="P150" t="n">
        <x:v>4</x:v>
      </x:c>
      <x:c r="Q150" t="str">
        <x:f>IFERROR(XLOOKUP(E150,Lookups!$A$5:$A$24,Lookups!$B$5:$B$24),"Other")</x:f>
        <x:v>Referral</x:v>
      </x:c>
      <x:c r="R150" t="str">
        <x:f>IFERROR(XLOOKUP(F150,Lookups!$D$5:$D$10,Lookups!$E$5:$E$10),"Unknown Product")</x:f>
        <x:v>NexaCRM Core</x:v>
      </x:c>
      <x:c r="S150" t="str">
        <x:f>IFERROR(XLOOKUP(F150,Lookups!$D$5:$D$10,Lookups!$F$5:$F$10),"Unknown")</x:f>
        <x:v>CRM</x:v>
      </x:c>
      <x:c r="T150" t="str">
        <x:f>IF(L150&gt;=50000,"Enterprise",IF(L150&gt;=20000,"Mid-Market","SMB"))</x:f>
        <x:v>Mid-Market</x:v>
      </x:c>
      <x:c r="U150" t="str">
        <x:f>IF(I150="Closed Won","Won",IF(I150="Closed Lost","Lost","Open"))</x:f>
        <x:v>Lost</x:v>
      </x:c>
      <x:c r="V150" s="22" t="n">
        <x:f>IF(U150="Won",L150*(1-M150),0)</x:f>
        <x:v>0</x:v>
      </x:c>
      <x:c r="W150" s="22" t="n">
        <x:f>IF(U150="Open",L150*N150,0)</x:f>
        <x:v>0</x:v>
      </x:c>
      <x:c r="X150" s="26" t="n">
        <x:f>IF(U150="Open","",IFERROR(K150-B150,""))</x:f>
        <x:v>32</x:v>
      </x:c>
      <x:c r="Y150" s="26" t="n">
        <x:f>IF(U150="Open",Lookups!$B$2-B150,X150)</x:f>
        <x:v>32</x:v>
      </x:c>
      <x:c r="Z150" t="str">
        <x:f>IF(AND(U150="Open",Y150&gt;30),"STALE","OK")</x:f>
        <x:v>OK</x:v>
      </x:c>
      <x:c r="AA150" t="str">
        <x:f>TEXT(B150,"yyyy-mm")</x:f>
        <x:v>2026-01</x:v>
      </x:c>
      <x:c r="AB150" t="str">
        <x:f>IF(K150="","",TEXT(K150,"yyyy-mm"))</x:f>
        <x:v>2026-02</x:v>
      </x:c>
      <x:c r="AC150" t="str">
        <x:f>"Q"&amp;ROUNDUP(MONTH(B150)/3,0)&amp;"-"&amp;YEAR(B150)</x:f>
        <x:v>Q1-2026</x:v>
      </x:c>
      <x:c r="AD150" s="26" t="n">
        <x:f>MIN(100,IF(H150="Enterprise",30,IF(H150="Mid-Market",22,14))+IF(T150="Enterprise",25,IF(T150="Mid-Market",18,10))+IF(Q150="Referral",25,IF(Q150="Organic Search",20,IF(Q150="Email",18,14)))+IF(G150="Technology",10,5))</x:f>
        <x:v>78</x:v>
      </x:c>
      <x:c r="AE150" t="str">
        <x:f>IF(U150&lt;&gt;"Open",U150,IF(N150&gt;=0.8,"Commit",IF(N150&gt;=0.5,"Best Case","Pipeline")))</x:f>
        <x:v>Lost</x:v>
      </x:c>
    </x:row>
    <x:row r="151">
      <x:c r="A151" t="str">
        <x:v>L00150</x:v>
      </x:c>
      <x:c r="B151" s="10" t="n">
        <x:v>46201</x:v>
      </x:c>
      <x:c r="C151" t="str">
        <x:v>Bao Tran</x:v>
      </x:c>
      <x:c r="D151" t="str">
        <x:v>South</x:v>
      </x:c>
      <x:c r="E151" t="str">
        <x:v>Referral</x:v>
      </x:c>
      <x:c r="F151" t="str">
        <x:v>CS-CLOUD</x:v>
      </x:c>
      <x:c r="G151" t="str">
        <x:v>Healthcare</x:v>
      </x:c>
      <x:c r="H151" t="str">
        <x:v>Mid-Market</x:v>
      </x:c>
      <x:c r="I151" t="str">
        <x:v>Qualified</x:v>
      </x:c>
      <x:c r="J151" s="10" t="n">
        <x:v>46237</x:v>
      </x:c>
      <x:c r="K151" s="10"/>
      <x:c r="L151" s="22" t="n">
        <x:v>45000</x:v>
      </x:c>
      <x:c r="M151" s="24" t="n">
        <x:v>0.05</x:v>
      </x:c>
      <x:c r="N151" s="24" t="n">
        <x:v>0.2</x:v>
      </x:c>
      <x:c r="O151" t="str"/>
      <x:c r="P151" t="n">
        <x:v>2</x:v>
      </x:c>
      <x:c r="Q151" t="str">
        <x:f>IFERROR(XLOOKUP(E151,Lookups!$A$5:$A$24,Lookups!$B$5:$B$24),"Other")</x:f>
        <x:v>Referral</x:v>
      </x:c>
      <x:c r="R151" t="str">
        <x:f>IFERROR(XLOOKUP(F151,Lookups!$D$5:$D$10,Lookups!$E$5:$E$10),"Unknown Product")</x:f>
        <x:v>Service Cloud</x:v>
      </x:c>
      <x:c r="S151" t="str">
        <x:f>IFERROR(XLOOKUP(F151,Lookups!$D$5:$D$10,Lookups!$F$5:$F$10),"Unknown")</x:f>
        <x:v>Customer Service</x:v>
      </x:c>
      <x:c r="T151" t="str">
        <x:f>IF(L151&gt;=50000,"Enterprise",IF(L151&gt;=20000,"Mid-Market","SMB"))</x:f>
        <x:v>Mid-Market</x:v>
      </x:c>
      <x:c r="U151" t="str">
        <x:f>IF(I151="Closed Won","Won",IF(I151="Closed Lost","Lost","Open"))</x:f>
        <x:v>Open</x:v>
      </x:c>
      <x:c r="V151" s="22" t="n">
        <x:f>IF(U151="Won",L151*(1-M151),0)</x:f>
        <x:v>0</x:v>
      </x:c>
      <x:c r="W151" s="22" t="n">
        <x:f>IF(U151="Open",L151*N151,0)</x:f>
        <x:v>9000</x:v>
      </x:c>
      <x:c r="X151" s="26" t="str">
        <x:f>IF(U151="Open","",IFERROR(K151-B151,""))</x:f>
      </x:c>
      <x:c r="Y151" s="26" t="n">
        <x:f>IF(U151="Open",Lookups!$B$2-B151,X151)</x:f>
        <x:v>65</x:v>
      </x:c>
      <x:c r="Z151" t="str">
        <x:f>IF(AND(U151="Open",Y151&gt;30),"STALE","OK")</x:f>
        <x:v>STALE</x:v>
      </x:c>
      <x:c r="AA151" t="str">
        <x:f>TEXT(B151,"yyyy-mm")</x:f>
        <x:v>2026-06</x:v>
      </x:c>
      <x:c r="AB151" t="str">
        <x:f>IF(K151="","",TEXT(K151,"yyyy-mm"))</x:f>
      </x:c>
      <x:c r="AC151" t="str">
        <x:f>"Q"&amp;ROUNDUP(MONTH(B151)/3,0)&amp;"-"&amp;YEAR(B151)</x:f>
        <x:v>Q2-2026</x:v>
      </x:c>
      <x:c r="AD151" s="26" t="n">
        <x:f>MIN(100,IF(H151="Enterprise",30,IF(H151="Mid-Market",22,14))+IF(T151="Enterprise",25,IF(T151="Mid-Market",18,10))+IF(Q151="Referral",25,IF(Q151="Organic Search",20,IF(Q151="Email",18,14)))+IF(G151="Technology",10,5))</x:f>
        <x:v>70</x:v>
      </x:c>
      <x:c r="AE151" t="str">
        <x:f>IF(U151&lt;&gt;"Open",U151,IF(N151&gt;=0.8,"Commit",IF(N151&gt;=0.5,"Best Case","Pipeline")))</x:f>
        <x:v>Pipeline</x:v>
      </x:c>
    </x:row>
    <x:row r="152">
      <x:c r="A152" t="str">
        <x:v>L00151</x:v>
      </x:c>
      <x:c r="B152" s="10" t="n">
        <x:v>45747</x:v>
      </x:c>
      <x:c r="C152" t="str">
        <x:v>Tuan Bui</x:v>
      </x:c>
      <x:c r="D152" t="str">
        <x:v>Central</x:v>
      </x:c>
      <x:c r="E152" t="str">
        <x:v>email nurture</x:v>
      </x:c>
      <x:c r="F152" t="str">
        <x:v>CRM-CORE</x:v>
      </x:c>
      <x:c r="G152" t="str">
        <x:v>Manufacturing</x:v>
      </x:c>
      <x:c r="H152" t="str">
        <x:v>SMB</x:v>
      </x:c>
      <x:c r="I152" t="str">
        <x:v>Closed Won</x:v>
      </x:c>
      <x:c r="J152" s="10" t="n">
        <x:v>45778</x:v>
      </x:c>
      <x:c r="K152" s="10" t="n">
        <x:v>45778</x:v>
      </x:c>
      <x:c r="L152" s="22" t="n">
        <x:v>8400</x:v>
      </x:c>
      <x:c r="M152" s="24" t="n">
        <x:v>0.1</x:v>
      </x:c>
      <x:c r="N152" s="24" t="n">
        <x:v>1</x:v>
      </x:c>
      <x:c r="O152" t="str"/>
      <x:c r="P152" t="n">
        <x:v>6</x:v>
      </x:c>
      <x:c r="Q152" t="str">
        <x:f>IFERROR(XLOOKUP(E152,Lookups!$A$5:$A$24,Lookups!$B$5:$B$24),"Other")</x:f>
        <x:v>Email</x:v>
      </x:c>
      <x:c r="R152" t="str">
        <x:f>IFERROR(XLOOKUP(F152,Lookups!$D$5:$D$10,Lookups!$E$5:$E$10),"Unknown Product")</x:f>
        <x:v>NexaCRM Core</x:v>
      </x:c>
      <x:c r="S152" t="str">
        <x:f>IFERROR(XLOOKUP(F152,Lookups!$D$5:$D$10,Lookups!$F$5:$F$10),"Unknown")</x:f>
        <x:v>CRM</x:v>
      </x:c>
      <x:c r="T152" t="str">
        <x:f>IF(L152&gt;=50000,"Enterprise",IF(L152&gt;=20000,"Mid-Market","SMB"))</x:f>
        <x:v>SMB</x:v>
      </x:c>
      <x:c r="U152" t="str">
        <x:f>IF(I152="Closed Won","Won",IF(I152="Closed Lost","Lost","Open"))</x:f>
        <x:v>Won</x:v>
      </x:c>
      <x:c r="V152" s="22" t="n">
        <x:f>IF(U152="Won",L152*(1-M152),0)</x:f>
        <x:v>7560</x:v>
      </x:c>
      <x:c r="W152" s="22" t="n">
        <x:f>IF(U152="Open",L152*N152,0)</x:f>
        <x:v>0</x:v>
      </x:c>
      <x:c r="X152" s="26" t="n">
        <x:f>IF(U152="Open","",IFERROR(K152-B152,""))</x:f>
        <x:v>31</x:v>
      </x:c>
      <x:c r="Y152" s="26" t="n">
        <x:f>IF(U152="Open",Lookups!$B$2-B152,X152)</x:f>
        <x:v>31</x:v>
      </x:c>
      <x:c r="Z152" t="str">
        <x:f>IF(AND(U152="Open",Y152&gt;30),"STALE","OK")</x:f>
        <x:v>OK</x:v>
      </x:c>
      <x:c r="AA152" t="str">
        <x:f>TEXT(B152,"yyyy-mm")</x:f>
        <x:v>2025-03</x:v>
      </x:c>
      <x:c r="AB152" t="str">
        <x:f>IF(K152="","",TEXT(K152,"yyyy-mm"))</x:f>
        <x:v>2025-05</x:v>
      </x:c>
      <x:c r="AC152" t="str">
        <x:f>"Q"&amp;ROUNDUP(MONTH(B152)/3,0)&amp;"-"&amp;YEAR(B152)</x:f>
        <x:v>Q1-2025</x:v>
      </x:c>
      <x:c r="AD152" s="26" t="n">
        <x:f>MIN(100,IF(H152="Enterprise",30,IF(H152="Mid-Market",22,14))+IF(T152="Enterprise",25,IF(T152="Mid-Market",18,10))+IF(Q152="Referral",25,IF(Q152="Organic Search",20,IF(Q152="Email",18,14)))+IF(G152="Technology",10,5))</x:f>
        <x:v>47</x:v>
      </x:c>
      <x:c r="AE152" t="str">
        <x:f>IF(U152&lt;&gt;"Open",U152,IF(N152&gt;=0.8,"Commit",IF(N152&gt;=0.5,"Best Case","Pipeline")))</x:f>
        <x:v>Won</x:v>
      </x:c>
    </x:row>
    <x:row r="153">
      <x:c r="A153" t="str">
        <x:v>L00152</x:v>
      </x:c>
      <x:c r="B153" s="10" t="n">
        <x:v>45835</x:v>
      </x:c>
      <x:c r="C153" t="str">
        <x:v>Ha Vo</x:v>
      </x:c>
      <x:c r="D153" t="str">
        <x:v>North</x:v>
      </x:c>
      <x:c r="E153" t="str">
        <x:v>Referral</x:v>
      </x:c>
      <x:c r="F153" t="str">
        <x:v>CRM-PRO</x:v>
      </x:c>
      <x:c r="G153" t="str">
        <x:v>Manufacturing</x:v>
      </x:c>
      <x:c r="H153" t="str">
        <x:v>SMB</x:v>
      </x:c>
      <x:c r="I153" t="str">
        <x:v>Closed Lost</x:v>
      </x:c>
      <x:c r="J153" s="10" t="n">
        <x:v>45893</x:v>
      </x:c>
      <x:c r="K153" s="10" t="n">
        <x:v>45893</x:v>
      </x:c>
      <x:c r="L153" s="22" t="n">
        <x:v>13900</x:v>
      </x:c>
      <x:c r="M153" s="24" t="n">
        <x:v>0</x:v>
      </x:c>
      <x:c r="N153" s="24" t="n">
        <x:v>0</x:v>
      </x:c>
      <x:c r="O153" t="str">
        <x:v>Price</x:v>
      </x:c>
      <x:c r="P153" t="n">
        <x:v>5</x:v>
      </x:c>
      <x:c r="Q153" t="str">
        <x:f>IFERROR(XLOOKUP(E153,Lookups!$A$5:$A$24,Lookups!$B$5:$B$24),"Other")</x:f>
        <x:v>Referral</x:v>
      </x:c>
      <x:c r="R153" t="str">
        <x:f>IFERROR(XLOOKUP(F153,Lookups!$D$5:$D$10,Lookups!$E$5:$E$10),"Unknown Product")</x:f>
        <x:v>NexaCRM Pro</x:v>
      </x:c>
      <x:c r="S153" t="str">
        <x:f>IFERROR(XLOOKUP(F153,Lookups!$D$5:$D$10,Lookups!$F$5:$F$10),"Unknown")</x:f>
        <x:v>CRM</x:v>
      </x:c>
      <x:c r="T153" t="str">
        <x:f>IF(L153&gt;=50000,"Enterprise",IF(L153&gt;=20000,"Mid-Market","SMB"))</x:f>
        <x:v>SMB</x:v>
      </x:c>
      <x:c r="U153" t="str">
        <x:f>IF(I153="Closed Won","Won",IF(I153="Closed Lost","Lost","Open"))</x:f>
        <x:v>Lost</x:v>
      </x:c>
      <x:c r="V153" s="22" t="n">
        <x:f>IF(U153="Won",L153*(1-M153),0)</x:f>
        <x:v>0</x:v>
      </x:c>
      <x:c r="W153" s="22" t="n">
        <x:f>IF(U153="Open",L153*N153,0)</x:f>
        <x:v>0</x:v>
      </x:c>
      <x:c r="X153" s="26" t="n">
        <x:f>IF(U153="Open","",IFERROR(K153-B153,""))</x:f>
        <x:v>58</x:v>
      </x:c>
      <x:c r="Y153" s="26" t="n">
        <x:f>IF(U153="Open",Lookups!$B$2-B153,X153)</x:f>
        <x:v>58</x:v>
      </x:c>
      <x:c r="Z153" t="str">
        <x:f>IF(AND(U153="Open",Y153&gt;30),"STALE","OK")</x:f>
        <x:v>OK</x:v>
      </x:c>
      <x:c r="AA153" t="str">
        <x:f>TEXT(B153,"yyyy-mm")</x:f>
        <x:v>2025-06</x:v>
      </x:c>
      <x:c r="AB153" t="str">
        <x:f>IF(K153="","",TEXT(K153,"yyyy-mm"))</x:f>
        <x:v>2025-08</x:v>
      </x:c>
      <x:c r="AC153" t="str">
        <x:f>"Q"&amp;ROUNDUP(MONTH(B153)/3,0)&amp;"-"&amp;YEAR(B153)</x:f>
        <x:v>Q2-2025</x:v>
      </x:c>
      <x:c r="AD153" s="26" t="n">
        <x:f>MIN(100,IF(H153="Enterprise",30,IF(H153="Mid-Market",22,14))+IF(T153="Enterprise",25,IF(T153="Mid-Market",18,10))+IF(Q153="Referral",25,IF(Q153="Organic Search",20,IF(Q153="Email",18,14)))+IF(G153="Technology",10,5))</x:f>
        <x:v>54</x:v>
      </x:c>
      <x:c r="AE153" t="str">
        <x:f>IF(U153&lt;&gt;"Open",U153,IF(N153&gt;=0.8,"Commit",IF(N153&gt;=0.5,"Best Case","Pipeline")))</x:f>
        <x:v>Lost</x:v>
      </x:c>
    </x:row>
    <x:row r="154">
      <x:c r="A154" t="str">
        <x:v>L00153</x:v>
      </x:c>
      <x:c r="B154" s="10" t="n">
        <x:v>46250</x:v>
      </x:c>
      <x:c r="C154" t="str">
        <x:v>Tuan Bui</x:v>
      </x:c>
      <x:c r="D154" t="str">
        <x:v>Central</x:v>
      </x:c>
      <x:c r="E154" t="str">
        <x:v>Referral</x:v>
      </x:c>
      <x:c r="F154" t="str">
        <x:v>CS-CLOUD</x:v>
      </x:c>
      <x:c r="G154" t="str">
        <x:v>Education</x:v>
      </x:c>
      <x:c r="H154" t="str">
        <x:v>SMB</x:v>
      </x:c>
      <x:c r="I154" t="str">
        <x:v>Qualified</x:v>
      </x:c>
      <x:c r="J154" s="10" t="n">
        <x:v>46259</x:v>
      </x:c>
      <x:c r="K154" s="10"/>
      <x:c r="L154" s="22" t="n">
        <x:v>16500</x:v>
      </x:c>
      <x:c r="M154" s="24" t="n">
        <x:v>0</x:v>
      </x:c>
      <x:c r="N154" s="24" t="n">
        <x:v>0.2</x:v>
      </x:c>
      <x:c r="O154" t="str"/>
      <x:c r="P154" t="n">
        <x:v>2</x:v>
      </x:c>
      <x:c r="Q154" t="str">
        <x:f>IFERROR(XLOOKUP(E154,Lookups!$A$5:$A$24,Lookups!$B$5:$B$24),"Other")</x:f>
        <x:v>Referral</x:v>
      </x:c>
      <x:c r="R154" t="str">
        <x:f>IFERROR(XLOOKUP(F154,Lookups!$D$5:$D$10,Lookups!$E$5:$E$10),"Unknown Product")</x:f>
        <x:v>Service Cloud</x:v>
      </x:c>
      <x:c r="S154" t="str">
        <x:f>IFERROR(XLOOKUP(F154,Lookups!$D$5:$D$10,Lookups!$F$5:$F$10),"Unknown")</x:f>
        <x:v>Customer Service</x:v>
      </x:c>
      <x:c r="T154" t="str">
        <x:f>IF(L154&gt;=50000,"Enterprise",IF(L154&gt;=20000,"Mid-Market","SMB"))</x:f>
        <x:v>SMB</x:v>
      </x:c>
      <x:c r="U154" t="str">
        <x:f>IF(I154="Closed Won","Won",IF(I154="Closed Lost","Lost","Open"))</x:f>
        <x:v>Open</x:v>
      </x:c>
      <x:c r="V154" s="22" t="n">
        <x:f>IF(U154="Won",L154*(1-M154),0)</x:f>
        <x:v>0</x:v>
      </x:c>
      <x:c r="W154" s="22" t="n">
        <x:f>IF(U154="Open",L154*N154,0)</x:f>
        <x:v>3300</x:v>
      </x:c>
      <x:c r="X154" s="26" t="str">
        <x:f>IF(U154="Open","",IFERROR(K154-B154,""))</x:f>
      </x:c>
      <x:c r="Y154" s="26" t="n">
        <x:f>IF(U154="Open",Lookups!$B$2-B154,X154)</x:f>
        <x:v>16</x:v>
      </x:c>
      <x:c r="Z154" t="str">
        <x:f>IF(AND(U154="Open",Y154&gt;30),"STALE","OK")</x:f>
        <x:v>OK</x:v>
      </x:c>
      <x:c r="AA154" t="str">
        <x:f>TEXT(B154,"yyyy-mm")</x:f>
        <x:v>2026-08</x:v>
      </x:c>
      <x:c r="AB154" t="str">
        <x:f>IF(K154="","",TEXT(K154,"yyyy-mm"))</x:f>
      </x:c>
      <x:c r="AC154" t="str">
        <x:f>"Q"&amp;ROUNDUP(MONTH(B154)/3,0)&amp;"-"&amp;YEAR(B154)</x:f>
        <x:v>Q3-2026</x:v>
      </x:c>
      <x:c r="AD154" s="26" t="n">
        <x:f>MIN(100,IF(H154="Enterprise",30,IF(H154="Mid-Market",22,14))+IF(T154="Enterprise",25,IF(T154="Mid-Market",18,10))+IF(Q154="Referral",25,IF(Q154="Organic Search",20,IF(Q154="Email",18,14)))+IF(G154="Technology",10,5))</x:f>
        <x:v>54</x:v>
      </x:c>
      <x:c r="AE154" t="str">
        <x:f>IF(U154&lt;&gt;"Open",U154,IF(N154&gt;=0.8,"Commit",IF(N154&gt;=0.5,"Best Case","Pipeline")))</x:f>
        <x:v>Pipeline</x:v>
      </x:c>
    </x:row>
    <x:row r="155">
      <x:c r="A155" t="str">
        <x:v>L00154</x:v>
      </x:c>
      <x:c r="B155" s="10" t="n">
        <x:v>45755</x:v>
      </x:c>
      <x:c r="C155" t="str">
        <x:v>Ha Vo</x:v>
      </x:c>
      <x:c r="D155" t="str">
        <x:v>North</x:v>
      </x:c>
      <x:c r="E155" t="str">
        <x:v>LinkedIn Ads</x:v>
      </x:c>
      <x:c r="F155" t="str">
        <x:v>CRM-PRO</x:v>
      </x:c>
      <x:c r="G155" t="str">
        <x:v>Education</x:v>
      </x:c>
      <x:c r="H155" t="str">
        <x:v>Mid-Market</x:v>
      </x:c>
      <x:c r="I155" t="str">
        <x:v>Closed Lost</x:v>
      </x:c>
      <x:c r="J155" s="10" t="n">
        <x:v>45817</x:v>
      </x:c>
      <x:c r="K155" s="10" t="n">
        <x:v>45817</x:v>
      </x:c>
      <x:c r="L155" s="22" t="n">
        <x:v>44800</x:v>
      </x:c>
      <x:c r="M155" s="24" t="n">
        <x:v>0</x:v>
      </x:c>
      <x:c r="N155" s="24" t="n">
        <x:v>0</x:v>
      </x:c>
      <x:c r="O155" t="str">
        <x:v>Competitor</x:v>
      </x:c>
      <x:c r="P155" t="n">
        <x:v>4</x:v>
      </x:c>
      <x:c r="Q155" t="str">
        <x:f>IFERROR(XLOOKUP(E155,Lookups!$A$5:$A$24,Lookups!$B$5:$B$24),"Other")</x:f>
        <x:v>LinkedIn</x:v>
      </x:c>
      <x:c r="R155" t="str">
        <x:f>IFERROR(XLOOKUP(F155,Lookups!$D$5:$D$10,Lookups!$E$5:$E$10),"Unknown Product")</x:f>
        <x:v>NexaCRM Pro</x:v>
      </x:c>
      <x:c r="S155" t="str">
        <x:f>IFERROR(XLOOKUP(F155,Lookups!$D$5:$D$10,Lookups!$F$5:$F$10),"Unknown")</x:f>
        <x:v>CRM</x:v>
      </x:c>
      <x:c r="T155" t="str">
        <x:f>IF(L155&gt;=50000,"Enterprise",IF(L155&gt;=20000,"Mid-Market","SMB"))</x:f>
        <x:v>Mid-Market</x:v>
      </x:c>
      <x:c r="U155" t="str">
        <x:f>IF(I155="Closed Won","Won",IF(I155="Closed Lost","Lost","Open"))</x:f>
        <x:v>Lost</x:v>
      </x:c>
      <x:c r="V155" s="22" t="n">
        <x:f>IF(U155="Won",L155*(1-M155),0)</x:f>
        <x:v>0</x:v>
      </x:c>
      <x:c r="W155" s="22" t="n">
        <x:f>IF(U155="Open",L155*N155,0)</x:f>
        <x:v>0</x:v>
      </x:c>
      <x:c r="X155" s="26" t="n">
        <x:f>IF(U155="Open","",IFERROR(K155-B155,""))</x:f>
        <x:v>62</x:v>
      </x:c>
      <x:c r="Y155" s="26" t="n">
        <x:f>IF(U155="Open",Lookups!$B$2-B155,X155)</x:f>
        <x:v>62</x:v>
      </x:c>
      <x:c r="Z155" t="str">
        <x:f>IF(AND(U155="Open",Y155&gt;30),"STALE","OK")</x:f>
        <x:v>OK</x:v>
      </x:c>
      <x:c r="AA155" t="str">
        <x:f>TEXT(B155,"yyyy-mm")</x:f>
        <x:v>2025-04</x:v>
      </x:c>
      <x:c r="AB155" t="str">
        <x:f>IF(K155="","",TEXT(K155,"yyyy-mm"))</x:f>
        <x:v>2025-06</x:v>
      </x:c>
      <x:c r="AC155" t="str">
        <x:f>"Q"&amp;ROUNDUP(MONTH(B155)/3,0)&amp;"-"&amp;YEAR(B155)</x:f>
        <x:v>Q2-2025</x:v>
      </x:c>
      <x:c r="AD155" s="26" t="n">
        <x:f>MIN(100,IF(H155="Enterprise",30,IF(H155="Mid-Market",22,14))+IF(T155="Enterprise",25,IF(T155="Mid-Market",18,10))+IF(Q155="Referral",25,IF(Q155="Organic Search",20,IF(Q155="Email",18,14)))+IF(G155="Technology",10,5))</x:f>
        <x:v>59</x:v>
      </x:c>
      <x:c r="AE155" t="str">
        <x:f>IF(U155&lt;&gt;"Open",U155,IF(N155&gt;=0.8,"Commit",IF(N155&gt;=0.5,"Best Case","Pipeline")))</x:f>
        <x:v>Lost</x:v>
      </x:c>
    </x:row>
    <x:row r="156">
      <x:c r="A156" t="str">
        <x:v>L00155</x:v>
      </x:c>
      <x:c r="B156" s="10" t="n">
        <x:v>46027</x:v>
      </x:c>
      <x:c r="C156" t="str">
        <x:v>Tuan Bui</x:v>
      </x:c>
      <x:c r="D156" t="str">
        <x:v>Central</x:v>
      </x:c>
      <x:c r="E156" t="str">
        <x:v>customer referral</x:v>
      </x:c>
      <x:c r="F156" t="str">
        <x:v>CRM-PRO</x:v>
      </x:c>
      <x:c r="G156" t="str">
        <x:v>Manufacturing</x:v>
      </x:c>
      <x:c r="H156" t="str">
        <x:v>SMB</x:v>
      </x:c>
      <x:c r="I156" t="str">
        <x:v>Closed Lost</x:v>
      </x:c>
      <x:c r="J156" s="10" t="n">
        <x:v>46080</x:v>
      </x:c>
      <x:c r="K156" s="10" t="n">
        <x:v>46080</x:v>
      </x:c>
      <x:c r="L156" s="22" t="n">
        <x:v>16400</x:v>
      </x:c>
      <x:c r="M156" s="24" t="n">
        <x:v>0</x:v>
      </x:c>
      <x:c r="N156" s="24" t="n">
        <x:v>0</x:v>
      </x:c>
      <x:c r="O156" t="str">
        <x:v>Budget</x:v>
      </x:c>
      <x:c r="P156" t="n">
        <x:v>2</x:v>
      </x:c>
      <x:c r="Q156" t="str">
        <x:f>IFERROR(XLOOKUP(E156,Lookups!$A$5:$A$24,Lookups!$B$5:$B$24),"Other")</x:f>
        <x:v>Referral</x:v>
      </x:c>
      <x:c r="R156" t="str">
        <x:f>IFERROR(XLOOKUP(F156,Lookups!$D$5:$D$10,Lookups!$E$5:$E$10),"Unknown Product")</x:f>
        <x:v>NexaCRM Pro</x:v>
      </x:c>
      <x:c r="S156" t="str">
        <x:f>IFERROR(XLOOKUP(F156,Lookups!$D$5:$D$10,Lookups!$F$5:$F$10),"Unknown")</x:f>
        <x:v>CRM</x:v>
      </x:c>
      <x:c r="T156" t="str">
        <x:f>IF(L156&gt;=50000,"Enterprise",IF(L156&gt;=20000,"Mid-Market","SMB"))</x:f>
        <x:v>SMB</x:v>
      </x:c>
      <x:c r="U156" t="str">
        <x:f>IF(I156="Closed Won","Won",IF(I156="Closed Lost","Lost","Open"))</x:f>
        <x:v>Lost</x:v>
      </x:c>
      <x:c r="V156" s="22" t="n">
        <x:f>IF(U156="Won",L156*(1-M156),0)</x:f>
        <x:v>0</x:v>
      </x:c>
      <x:c r="W156" s="22" t="n">
        <x:f>IF(U156="Open",L156*N156,0)</x:f>
        <x:v>0</x:v>
      </x:c>
      <x:c r="X156" s="26" t="n">
        <x:f>IF(U156="Open","",IFERROR(K156-B156,""))</x:f>
        <x:v>53</x:v>
      </x:c>
      <x:c r="Y156" s="26" t="n">
        <x:f>IF(U156="Open",Lookups!$B$2-B156,X156)</x:f>
        <x:v>53</x:v>
      </x:c>
      <x:c r="Z156" t="str">
        <x:f>IF(AND(U156="Open",Y156&gt;30),"STALE","OK")</x:f>
        <x:v>OK</x:v>
      </x:c>
      <x:c r="AA156" t="str">
        <x:f>TEXT(B156,"yyyy-mm")</x:f>
        <x:v>2026-01</x:v>
      </x:c>
      <x:c r="AB156" t="str">
        <x:f>IF(K156="","",TEXT(K156,"yyyy-mm"))</x:f>
        <x:v>2026-02</x:v>
      </x:c>
      <x:c r="AC156" t="str">
        <x:f>"Q"&amp;ROUNDUP(MONTH(B156)/3,0)&amp;"-"&amp;YEAR(B156)</x:f>
        <x:v>Q1-2026</x:v>
      </x:c>
      <x:c r="AD156" s="26" t="n">
        <x:f>MIN(100,IF(H156="Enterprise",30,IF(H156="Mid-Market",22,14))+IF(T156="Enterprise",25,IF(T156="Mid-Market",18,10))+IF(Q156="Referral",25,IF(Q156="Organic Search",20,IF(Q156="Email",18,14)))+IF(G156="Technology",10,5))</x:f>
        <x:v>54</x:v>
      </x:c>
      <x:c r="AE156" t="str">
        <x:f>IF(U156&lt;&gt;"Open",U156,IF(N156&gt;=0.8,"Commit",IF(N156&gt;=0.5,"Best Case","Pipeline")))</x:f>
        <x:v>Lost</x:v>
      </x:c>
    </x:row>
    <x:row r="157">
      <x:c r="A157" t="str">
        <x:v>L00156</x:v>
      </x:c>
      <x:c r="B157" s="10" t="n">
        <x:v>45730</x:v>
      </x:c>
      <x:c r="C157" t="str">
        <x:v>Quynh Vu</x:v>
      </x:c>
      <x:c r="D157" t="str">
        <x:v>North</x:v>
      </x:c>
      <x:c r="E157" t="str">
        <x:v>Google Organic</x:v>
      </x:c>
      <x:c r="F157" t="str">
        <x:v>CRM-CORE</x:v>
      </x:c>
      <x:c r="G157" t="str">
        <x:v>Financial Services</x:v>
      </x:c>
      <x:c r="H157" t="str">
        <x:v>Mid-Market</x:v>
      </x:c>
      <x:c r="I157" t="str">
        <x:v>Closed Won</x:v>
      </x:c>
      <x:c r="J157" s="10" t="n">
        <x:v>45749</x:v>
      </x:c>
      <x:c r="K157" s="10" t="n">
        <x:v>45749</x:v>
      </x:c>
      <x:c r="L157" s="22" t="n">
        <x:v>16400</x:v>
      </x:c>
      <x:c r="M157" s="24" t="n">
        <x:v>0.1</x:v>
      </x:c>
      <x:c r="N157" s="24" t="n">
        <x:v>1</x:v>
      </x:c>
      <x:c r="O157" t="str"/>
      <x:c r="P157" t="n">
        <x:v>6</x:v>
      </x:c>
      <x:c r="Q157" t="str">
        <x:f>IFERROR(XLOOKUP(E157,Lookups!$A$5:$A$24,Lookups!$B$5:$B$24),"Other")</x:f>
        <x:v>Organic Search</x:v>
      </x:c>
      <x:c r="R157" t="str">
        <x:f>IFERROR(XLOOKUP(F157,Lookups!$D$5:$D$10,Lookups!$E$5:$E$10),"Unknown Product")</x:f>
        <x:v>NexaCRM Core</x:v>
      </x:c>
      <x:c r="S157" t="str">
        <x:f>IFERROR(XLOOKUP(F157,Lookups!$D$5:$D$10,Lookups!$F$5:$F$10),"Unknown")</x:f>
        <x:v>CRM</x:v>
      </x:c>
      <x:c r="T157" t="str">
        <x:f>IF(L157&gt;=50000,"Enterprise",IF(L157&gt;=20000,"Mid-Market","SMB"))</x:f>
        <x:v>SMB</x:v>
      </x:c>
      <x:c r="U157" t="str">
        <x:f>IF(I157="Closed Won","Won",IF(I157="Closed Lost","Lost","Open"))</x:f>
        <x:v>Won</x:v>
      </x:c>
      <x:c r="V157" s="22" t="n">
        <x:f>IF(U157="Won",L157*(1-M157),0)</x:f>
        <x:v>14760</x:v>
      </x:c>
      <x:c r="W157" s="22" t="n">
        <x:f>IF(U157="Open",L157*N157,0)</x:f>
        <x:v>0</x:v>
      </x:c>
      <x:c r="X157" s="26" t="n">
        <x:f>IF(U157="Open","",IFERROR(K157-B157,""))</x:f>
        <x:v>19</x:v>
      </x:c>
      <x:c r="Y157" s="26" t="n">
        <x:f>IF(U157="Open",Lookups!$B$2-B157,X157)</x:f>
        <x:v>19</x:v>
      </x:c>
      <x:c r="Z157" t="str">
        <x:f>IF(AND(U157="Open",Y157&gt;30),"STALE","OK")</x:f>
        <x:v>OK</x:v>
      </x:c>
      <x:c r="AA157" t="str">
        <x:f>TEXT(B157,"yyyy-mm")</x:f>
        <x:v>2025-03</x:v>
      </x:c>
      <x:c r="AB157" t="str">
        <x:f>IF(K157="","",TEXT(K157,"yyyy-mm"))</x:f>
        <x:v>2025-04</x:v>
      </x:c>
      <x:c r="AC157" t="str">
        <x:f>"Q"&amp;ROUNDUP(MONTH(B157)/3,0)&amp;"-"&amp;YEAR(B157)</x:f>
        <x:v>Q1-2025</x:v>
      </x:c>
      <x:c r="AD157" s="26" t="n">
        <x:f>MIN(100,IF(H157="Enterprise",30,IF(H157="Mid-Market",22,14))+IF(T157="Enterprise",25,IF(T157="Mid-Market",18,10))+IF(Q157="Referral",25,IF(Q157="Organic Search",20,IF(Q157="Email",18,14)))+IF(G157="Technology",10,5))</x:f>
        <x:v>57</x:v>
      </x:c>
      <x:c r="AE157" t="str">
        <x:f>IF(U157&lt;&gt;"Open",U157,IF(N157&gt;=0.8,"Commit",IF(N157&gt;=0.5,"Best Case","Pipeline")))</x:f>
        <x:v>Won</x:v>
      </x:c>
    </x:row>
    <x:row r="158">
      <x:c r="A158" t="str">
        <x:v>L00157</x:v>
      </x:c>
      <x:c r="B158" s="10" t="n">
        <x:v>45844</x:v>
      </x:c>
      <x:c r="C158" t="str">
        <x:v>Tuan Bui</x:v>
      </x:c>
      <x:c r="D158" t="str">
        <x:v>Central</x:v>
      </x:c>
      <x:c r="E158" t="str">
        <x:v>SEO</x:v>
      </x:c>
      <x:c r="F158" t="str">
        <x:v>CRM-PRO</x:v>
      </x:c>
      <x:c r="G158" t="str">
        <x:v>Professional Services</x:v>
      </x:c>
      <x:c r="H158" t="str">
        <x:v>Enterprise</x:v>
      </x:c>
      <x:c r="I158" t="str">
        <x:v>Closed Lost</x:v>
      </x:c>
      <x:c r="J158" s="10" t="n">
        <x:v>45865</x:v>
      </x:c>
      <x:c r="K158" s="10" t="n">
        <x:v>45865</x:v>
      </x:c>
      <x:c r="L158" s="22" t="n">
        <x:v>68700</x:v>
      </x:c>
      <x:c r="M158" s="24" t="n">
        <x:v>0</x:v>
      </x:c>
      <x:c r="N158" s="24" t="n">
        <x:v>0</x:v>
      </x:c>
      <x:c r="O158" t="str">
        <x:v>Feature Gap</x:v>
      </x:c>
      <x:c r="P158" t="n">
        <x:v>4</x:v>
      </x:c>
      <x:c r="Q158" t="str">
        <x:f>IFERROR(XLOOKUP(E158,Lookups!$A$5:$A$24,Lookups!$B$5:$B$24),"Other")</x:f>
        <x:v>Organic Search</x:v>
      </x:c>
      <x:c r="R158" t="str">
        <x:f>IFERROR(XLOOKUP(F158,Lookups!$D$5:$D$10,Lookups!$E$5:$E$10),"Unknown Product")</x:f>
        <x:v>NexaCRM Pro</x:v>
      </x:c>
      <x:c r="S158" t="str">
        <x:f>IFERROR(XLOOKUP(F158,Lookups!$D$5:$D$10,Lookups!$F$5:$F$10),"Unknown")</x:f>
        <x:v>CRM</x:v>
      </x:c>
      <x:c r="T158" t="str">
        <x:f>IF(L158&gt;=50000,"Enterprise",IF(L158&gt;=20000,"Mid-Market","SMB"))</x:f>
        <x:v>Enterprise</x:v>
      </x:c>
      <x:c r="U158" t="str">
        <x:f>IF(I158="Closed Won","Won",IF(I158="Closed Lost","Lost","Open"))</x:f>
        <x:v>Lost</x:v>
      </x:c>
      <x:c r="V158" s="22" t="n">
        <x:f>IF(U158="Won",L158*(1-M158),0)</x:f>
        <x:v>0</x:v>
      </x:c>
      <x:c r="W158" s="22" t="n">
        <x:f>IF(U158="Open",L158*N158,0)</x:f>
        <x:v>0</x:v>
      </x:c>
      <x:c r="X158" s="26" t="n">
        <x:f>IF(U158="Open","",IFERROR(K158-B158,""))</x:f>
        <x:v>21</x:v>
      </x:c>
      <x:c r="Y158" s="26" t="n">
        <x:f>IF(U158="Open",Lookups!$B$2-B158,X158)</x:f>
        <x:v>21</x:v>
      </x:c>
      <x:c r="Z158" t="str">
        <x:f>IF(AND(U158="Open",Y158&gt;30),"STALE","OK")</x:f>
        <x:v>OK</x:v>
      </x:c>
      <x:c r="AA158" t="str">
        <x:f>TEXT(B158,"yyyy-mm")</x:f>
        <x:v>2025-07</x:v>
      </x:c>
      <x:c r="AB158" t="str">
        <x:f>IF(K158="","",TEXT(K158,"yyyy-mm"))</x:f>
        <x:v>2025-07</x:v>
      </x:c>
      <x:c r="AC158" t="str">
        <x:f>"Q"&amp;ROUNDUP(MONTH(B158)/3,0)&amp;"-"&amp;YEAR(B158)</x:f>
        <x:v>Q3-2025</x:v>
      </x:c>
      <x:c r="AD158" s="26" t="n">
        <x:f>MIN(100,IF(H158="Enterprise",30,IF(H158="Mid-Market",22,14))+IF(T158="Enterprise",25,IF(T158="Mid-Market",18,10))+IF(Q158="Referral",25,IF(Q158="Organic Search",20,IF(Q158="Email",18,14)))+IF(G158="Technology",10,5))</x:f>
        <x:v>80</x:v>
      </x:c>
      <x:c r="AE158" t="str">
        <x:f>IF(U158&lt;&gt;"Open",U158,IF(N158&gt;=0.8,"Commit",IF(N158&gt;=0.5,"Best Case","Pipeline")))</x:f>
        <x:v>Lost</x:v>
      </x:c>
    </x:row>
    <x:row r="159">
      <x:c r="A159" t="str">
        <x:v>L00158</x:v>
      </x:c>
      <x:c r="B159" s="10" t="n">
        <x:v>45847</x:v>
      </x:c>
      <x:c r="C159" t="str">
        <x:v>Duy Pham</x:v>
      </x:c>
      <x:c r="D159" t="str">
        <x:v>South</x:v>
      </x:c>
      <x:c r="E159" t="str">
        <x:v>Email Campaign</x:v>
      </x:c>
      <x:c r="F159" t="str">
        <x:v>CRM-PRO</x:v>
      </x:c>
      <x:c r="G159" t="str">
        <x:v>Manufacturing</x:v>
      </x:c>
      <x:c r="H159" t="str">
        <x:v>SMB</x:v>
      </x:c>
      <x:c r="I159" t="str">
        <x:v>Closed Lost</x:v>
      </x:c>
      <x:c r="J159" s="10" t="n">
        <x:v>45870</x:v>
      </x:c>
      <x:c r="K159" s="10" t="n">
        <x:v>45870</x:v>
      </x:c>
      <x:c r="L159" s="22" t="n">
        <x:v>21800</x:v>
      </x:c>
      <x:c r="M159" s="24" t="n">
        <x:v>0</x:v>
      </x:c>
      <x:c r="N159" s="24" t="n">
        <x:v>0</x:v>
      </x:c>
      <x:c r="O159" t="str">
        <x:v>Budget</x:v>
      </x:c>
      <x:c r="P159" t="n">
        <x:v>5</x:v>
      </x:c>
      <x:c r="Q159" t="str">
        <x:f>IFERROR(XLOOKUP(E159,Lookups!$A$5:$A$24,Lookups!$B$5:$B$24),"Other")</x:f>
        <x:v>Email</x:v>
      </x:c>
      <x:c r="R159" t="str">
        <x:f>IFERROR(XLOOKUP(F159,Lookups!$D$5:$D$10,Lookups!$E$5:$E$10),"Unknown Product")</x:f>
        <x:v>NexaCRM Pro</x:v>
      </x:c>
      <x:c r="S159" t="str">
        <x:f>IFERROR(XLOOKUP(F159,Lookups!$D$5:$D$10,Lookups!$F$5:$F$10),"Unknown")</x:f>
        <x:v>CRM</x:v>
      </x:c>
      <x:c r="T159" t="str">
        <x:f>IF(L159&gt;=50000,"Enterprise",IF(L159&gt;=20000,"Mid-Market","SMB"))</x:f>
        <x:v>Mid-Market</x:v>
      </x:c>
      <x:c r="U159" t="str">
        <x:f>IF(I159="Closed Won","Won",IF(I159="Closed Lost","Lost","Open"))</x:f>
        <x:v>Lost</x:v>
      </x:c>
      <x:c r="V159" s="22" t="n">
        <x:f>IF(U159="Won",L159*(1-M159),0)</x:f>
        <x:v>0</x:v>
      </x:c>
      <x:c r="W159" s="22" t="n">
        <x:f>IF(U159="Open",L159*N159,0)</x:f>
        <x:v>0</x:v>
      </x:c>
      <x:c r="X159" s="26" t="n">
        <x:f>IF(U159="Open","",IFERROR(K159-B159,""))</x:f>
        <x:v>23</x:v>
      </x:c>
      <x:c r="Y159" s="26" t="n">
        <x:f>IF(U159="Open",Lookups!$B$2-B159,X159)</x:f>
        <x:v>23</x:v>
      </x:c>
      <x:c r="Z159" t="str">
        <x:f>IF(AND(U159="Open",Y159&gt;30),"STALE","OK")</x:f>
        <x:v>OK</x:v>
      </x:c>
      <x:c r="AA159" t="str">
        <x:f>TEXT(B159,"yyyy-mm")</x:f>
        <x:v>2025-07</x:v>
      </x:c>
      <x:c r="AB159" t="str">
        <x:f>IF(K159="","",TEXT(K159,"yyyy-mm"))</x:f>
        <x:v>2025-08</x:v>
      </x:c>
      <x:c r="AC159" t="str">
        <x:f>"Q"&amp;ROUNDUP(MONTH(B159)/3,0)&amp;"-"&amp;YEAR(B159)</x:f>
        <x:v>Q3-2025</x:v>
      </x:c>
      <x:c r="AD159" s="26" t="n">
        <x:f>MIN(100,IF(H159="Enterprise",30,IF(H159="Mid-Market",22,14))+IF(T159="Enterprise",25,IF(T159="Mid-Market",18,10))+IF(Q159="Referral",25,IF(Q159="Organic Search",20,IF(Q159="Email",18,14)))+IF(G159="Technology",10,5))</x:f>
        <x:v>55</x:v>
      </x:c>
      <x:c r="AE159" t="str">
        <x:f>IF(U159&lt;&gt;"Open",U159,IF(N159&gt;=0.8,"Commit",IF(N159&gt;=0.5,"Best Case","Pipeline")))</x:f>
        <x:v>Lost</x:v>
      </x:c>
    </x:row>
    <x:row r="160">
      <x:c r="A160" t="str">
        <x:v>L00159</x:v>
      </x:c>
      <x:c r="B160" s="10" t="n">
        <x:v>45791</x:v>
      </x:c>
      <x:c r="C160" t="str">
        <x:v>Tuan Bui</x:v>
      </x:c>
      <x:c r="D160" t="str">
        <x:v>Central</x:v>
      </x:c>
      <x:c r="E160" t="str">
        <x:v>google cpc</x:v>
      </x:c>
      <x:c r="F160" t="str">
        <x:v>CS-CLOUD</x:v>
      </x:c>
      <x:c r="G160" t="str">
        <x:v>Manufacturing</x:v>
      </x:c>
      <x:c r="H160" t="str">
        <x:v>Mid-Market</x:v>
      </x:c>
      <x:c r="I160" t="str">
        <x:v>Closed Lost</x:v>
      </x:c>
      <x:c r="J160" s="10" t="n">
        <x:v>45849</x:v>
      </x:c>
      <x:c r="K160" s="10" t="n">
        <x:v>45849</x:v>
      </x:c>
      <x:c r="L160" s="22" t="n">
        <x:v>29300</x:v>
      </x:c>
      <x:c r="M160" s="24" t="n">
        <x:v>0</x:v>
      </x:c>
      <x:c r="N160" s="24" t="n">
        <x:v>0</x:v>
      </x:c>
      <x:c r="O160" t="str">
        <x:v>Price</x:v>
      </x:c>
      <x:c r="P160" t="n">
        <x:v>5</x:v>
      </x:c>
      <x:c r="Q160" t="str">
        <x:f>IFERROR(XLOOKUP(E160,Lookups!$A$5:$A$24,Lookups!$B$5:$B$24),"Other")</x:f>
        <x:v>Paid Search</x:v>
      </x:c>
      <x:c r="R160" t="str">
        <x:f>IFERROR(XLOOKUP(F160,Lookups!$D$5:$D$10,Lookups!$E$5:$E$10),"Unknown Product")</x:f>
        <x:v>Service Cloud</x:v>
      </x:c>
      <x:c r="S160" t="str">
        <x:f>IFERROR(XLOOKUP(F160,Lookups!$D$5:$D$10,Lookups!$F$5:$F$10),"Unknown")</x:f>
        <x:v>Customer Service</x:v>
      </x:c>
      <x:c r="T160" t="str">
        <x:f>IF(L160&gt;=50000,"Enterprise",IF(L160&gt;=20000,"Mid-Market","SMB"))</x:f>
        <x:v>Mid-Market</x:v>
      </x:c>
      <x:c r="U160" t="str">
        <x:f>IF(I160="Closed Won","Won",IF(I160="Closed Lost","Lost","Open"))</x:f>
        <x:v>Lost</x:v>
      </x:c>
      <x:c r="V160" s="22" t="n">
        <x:f>IF(U160="Won",L160*(1-M160),0)</x:f>
        <x:v>0</x:v>
      </x:c>
      <x:c r="W160" s="22" t="n">
        <x:f>IF(U160="Open",L160*N160,0)</x:f>
        <x:v>0</x:v>
      </x:c>
      <x:c r="X160" s="26" t="n">
        <x:f>IF(U160="Open","",IFERROR(K160-B160,""))</x:f>
        <x:v>58</x:v>
      </x:c>
      <x:c r="Y160" s="26" t="n">
        <x:f>IF(U160="Open",Lookups!$B$2-B160,X160)</x:f>
        <x:v>58</x:v>
      </x:c>
      <x:c r="Z160" t="str">
        <x:f>IF(AND(U160="Open",Y160&gt;30),"STALE","OK")</x:f>
        <x:v>OK</x:v>
      </x:c>
      <x:c r="AA160" t="str">
        <x:f>TEXT(B160,"yyyy-mm")</x:f>
        <x:v>2025-05</x:v>
      </x:c>
      <x:c r="AB160" t="str">
        <x:f>IF(K160="","",TEXT(K160,"yyyy-mm"))</x:f>
        <x:v>2025-07</x:v>
      </x:c>
      <x:c r="AC160" t="str">
        <x:f>"Q"&amp;ROUNDUP(MONTH(B160)/3,0)&amp;"-"&amp;YEAR(B160)</x:f>
        <x:v>Q2-2025</x:v>
      </x:c>
      <x:c r="AD160" s="26" t="n">
        <x:f>MIN(100,IF(H160="Enterprise",30,IF(H160="Mid-Market",22,14))+IF(T160="Enterprise",25,IF(T160="Mid-Market",18,10))+IF(Q160="Referral",25,IF(Q160="Organic Search",20,IF(Q160="Email",18,14)))+IF(G160="Technology",10,5))</x:f>
        <x:v>59</x:v>
      </x:c>
      <x:c r="AE160" t="str">
        <x:f>IF(U160&lt;&gt;"Open",U160,IF(N160&gt;=0.8,"Commit",IF(N160&gt;=0.5,"Best Case","Pipeline")))</x:f>
        <x:v>Lost</x:v>
      </x:c>
    </x:row>
    <x:row r="161">
      <x:c r="A161" t="str">
        <x:v>L00160</x:v>
      </x:c>
      <x:c r="B161" s="10" t="n">
        <x:v>45772</x:v>
      </x:c>
      <x:c r="C161" t="str">
        <x:v>Duy Pham</x:v>
      </x:c>
      <x:c r="D161" t="str">
        <x:v>South</x:v>
      </x:c>
      <x:c r="E161" t="str">
        <x:v>Referral</x:v>
      </x:c>
      <x:c r="F161" t="str">
        <x:v>BI-PLUS</x:v>
      </x:c>
      <x:c r="G161" t="str">
        <x:v>Education</x:v>
      </x:c>
      <x:c r="H161" t="str">
        <x:v>SMB</x:v>
      </x:c>
      <x:c r="I161" t="str">
        <x:v>Negotiation</x:v>
      </x:c>
      <x:c r="J161" s="10" t="n">
        <x:v>45957</x:v>
      </x:c>
      <x:c r="K161" s="10"/>
      <x:c r="L161" s="22" t="n">
        <x:v>26700</x:v>
      </x:c>
      <x:c r="M161" s="24" t="n">
        <x:v>0</x:v>
      </x:c>
      <x:c r="N161" s="24" t="n">
        <x:v>0.85</x:v>
      </x:c>
      <x:c r="O161" t="str"/>
      <x:c r="P161" t="n">
        <x:v>5</x:v>
      </x:c>
      <x:c r="Q161" t="str">
        <x:f>IFERROR(XLOOKUP(E161,Lookups!$A$5:$A$24,Lookups!$B$5:$B$24),"Other")</x:f>
        <x:v>Referral</x:v>
      </x:c>
      <x:c r="R161" t="str">
        <x:f>IFERROR(XLOOKUP(F161,Lookups!$D$5:$D$10,Lookups!$E$5:$E$10),"Unknown Product")</x:f>
        <x:v>Analytics Plus</x:v>
      </x:c>
      <x:c r="S161" t="str">
        <x:f>IFERROR(XLOOKUP(F161,Lookups!$D$5:$D$10,Lookups!$F$5:$F$10),"Unknown")</x:f>
        <x:v>Analytics</x:v>
      </x:c>
      <x:c r="T161" t="str">
        <x:f>IF(L161&gt;=50000,"Enterprise",IF(L161&gt;=20000,"Mid-Market","SMB"))</x:f>
        <x:v>Mid-Market</x:v>
      </x:c>
      <x:c r="U161" t="str">
        <x:f>IF(I161="Closed Won","Won",IF(I161="Closed Lost","Lost","Open"))</x:f>
        <x:v>Open</x:v>
      </x:c>
      <x:c r="V161" s="22" t="n">
        <x:f>IF(U161="Won",L161*(1-M161),0)</x:f>
        <x:v>0</x:v>
      </x:c>
      <x:c r="W161" s="22" t="n">
        <x:f>IF(U161="Open",L161*N161,0)</x:f>
        <x:v>22695</x:v>
      </x:c>
      <x:c r="X161" s="26" t="str">
        <x:f>IF(U161="Open","",IFERROR(K161-B161,""))</x:f>
      </x:c>
      <x:c r="Y161" s="26" t="n">
        <x:f>IF(U161="Open",Lookups!$B$2-B161,X161)</x:f>
        <x:v>494</x:v>
      </x:c>
      <x:c r="Z161" t="str">
        <x:f>IF(AND(U161="Open",Y161&gt;30),"STALE","OK")</x:f>
        <x:v>STALE</x:v>
      </x:c>
      <x:c r="AA161" t="str">
        <x:f>TEXT(B161,"yyyy-mm")</x:f>
        <x:v>2025-04</x:v>
      </x:c>
      <x:c r="AB161" t="str">
        <x:f>IF(K161="","",TEXT(K161,"yyyy-mm"))</x:f>
      </x:c>
      <x:c r="AC161" t="str">
        <x:f>"Q"&amp;ROUNDUP(MONTH(B161)/3,0)&amp;"-"&amp;YEAR(B161)</x:f>
        <x:v>Q2-2025</x:v>
      </x:c>
      <x:c r="AD161" s="26" t="n">
        <x:f>MIN(100,IF(H161="Enterprise",30,IF(H161="Mid-Market",22,14))+IF(T161="Enterprise",25,IF(T161="Mid-Market",18,10))+IF(Q161="Referral",25,IF(Q161="Organic Search",20,IF(Q161="Email",18,14)))+IF(G161="Technology",10,5))</x:f>
        <x:v>62</x:v>
      </x:c>
      <x:c r="AE161" t="str">
        <x:f>IF(U161&lt;&gt;"Open",U161,IF(N161&gt;=0.8,"Commit",IF(N161&gt;=0.5,"Best Case","Pipeline")))</x:f>
        <x:v>Commit</x:v>
      </x:c>
    </x:row>
    <x:row r="162">
      <x:c r="A162" t="str">
        <x:v>L00161</x:v>
      </x:c>
      <x:c r="B162" s="10" t="n">
        <x:v>46134</x:v>
      </x:c>
      <x:c r="C162" t="str">
        <x:v>Quynh Vu</x:v>
      </x:c>
      <x:c r="D162" t="str">
        <x:v>North</x:v>
      </x:c>
      <x:c r="E162" t="str">
        <x:v>SEM - Google</x:v>
      </x:c>
      <x:c r="F162" t="str">
        <x:v>BI-PLUS</x:v>
      </x:c>
      <x:c r="G162" t="str">
        <x:v>Professional Services</x:v>
      </x:c>
      <x:c r="H162" t="str">
        <x:v>SMB</x:v>
      </x:c>
      <x:c r="I162" t="str">
        <x:v>Closed Lost</x:v>
      </x:c>
      <x:c r="J162" s="10" t="n">
        <x:v>46171</x:v>
      </x:c>
      <x:c r="K162" s="10" t="n">
        <x:v>46171</x:v>
      </x:c>
      <x:c r="L162" s="22" t="n">
        <x:v>26100</x:v>
      </x:c>
      <x:c r="M162" s="24" t="n">
        <x:v>0</x:v>
      </x:c>
      <x:c r="N162" s="24" t="n">
        <x:v>0</x:v>
      </x:c>
      <x:c r="O162" t="str">
        <x:v>Budget</x:v>
      </x:c>
      <x:c r="P162" t="n">
        <x:v>2</x:v>
      </x:c>
      <x:c r="Q162" t="str">
        <x:f>IFERROR(XLOOKUP(E162,Lookups!$A$5:$A$24,Lookups!$B$5:$B$24),"Other")</x:f>
        <x:v>Paid Search</x:v>
      </x:c>
      <x:c r="R162" t="str">
        <x:f>IFERROR(XLOOKUP(F162,Lookups!$D$5:$D$10,Lookups!$E$5:$E$10),"Unknown Product")</x:f>
        <x:v>Analytics Plus</x:v>
      </x:c>
      <x:c r="S162" t="str">
        <x:f>IFERROR(XLOOKUP(F162,Lookups!$D$5:$D$10,Lookups!$F$5:$F$10),"Unknown")</x:f>
        <x:v>Analytics</x:v>
      </x:c>
      <x:c r="T162" t="str">
        <x:f>IF(L162&gt;=50000,"Enterprise",IF(L162&gt;=20000,"Mid-Market","SMB"))</x:f>
        <x:v>Mid-Market</x:v>
      </x:c>
      <x:c r="U162" t="str">
        <x:f>IF(I162="Closed Won","Won",IF(I162="Closed Lost","Lost","Open"))</x:f>
        <x:v>Lost</x:v>
      </x:c>
      <x:c r="V162" s="22" t="n">
        <x:f>IF(U162="Won",L162*(1-M162),0)</x:f>
        <x:v>0</x:v>
      </x:c>
      <x:c r="W162" s="22" t="n">
        <x:f>IF(U162="Open",L162*N162,0)</x:f>
        <x:v>0</x:v>
      </x:c>
      <x:c r="X162" s="26" t="n">
        <x:f>IF(U162="Open","",IFERROR(K162-B162,""))</x:f>
        <x:v>37</x:v>
      </x:c>
      <x:c r="Y162" s="26" t="n">
        <x:f>IF(U162="Open",Lookups!$B$2-B162,X162)</x:f>
        <x:v>37</x:v>
      </x:c>
      <x:c r="Z162" t="str">
        <x:f>IF(AND(U162="Open",Y162&gt;30),"STALE","OK")</x:f>
        <x:v>OK</x:v>
      </x:c>
      <x:c r="AA162" t="str">
        <x:f>TEXT(B162,"yyyy-mm")</x:f>
        <x:v>2026-04</x:v>
      </x:c>
      <x:c r="AB162" t="str">
        <x:f>IF(K162="","",TEXT(K162,"yyyy-mm"))</x:f>
        <x:v>2026-05</x:v>
      </x:c>
      <x:c r="AC162" t="str">
        <x:f>"Q"&amp;ROUNDUP(MONTH(B162)/3,0)&amp;"-"&amp;YEAR(B162)</x:f>
        <x:v>Q2-2026</x:v>
      </x:c>
      <x:c r="AD162" s="26" t="n">
        <x:f>MIN(100,IF(H162="Enterprise",30,IF(H162="Mid-Market",22,14))+IF(T162="Enterprise",25,IF(T162="Mid-Market",18,10))+IF(Q162="Referral",25,IF(Q162="Organic Search",20,IF(Q162="Email",18,14)))+IF(G162="Technology",10,5))</x:f>
        <x:v>51</x:v>
      </x:c>
      <x:c r="AE162" t="str">
        <x:f>IF(U162&lt;&gt;"Open",U162,IF(N162&gt;=0.8,"Commit",IF(N162&gt;=0.5,"Best Case","Pipeline")))</x:f>
        <x:v>Lost</x:v>
      </x:c>
    </x:row>
    <x:row r="163">
      <x:c r="A163" t="str">
        <x:v>L00162</x:v>
      </x:c>
      <x:c r="B163" s="10" t="n">
        <x:v>45679</x:v>
      </x:c>
      <x:c r="C163" t="str">
        <x:v>Duy Pham</x:v>
      </x:c>
      <x:c r="D163" t="str">
        <x:v>South</x:v>
      </x:c>
      <x:c r="E163" t="str">
        <x:v>LinkedIn Ads</x:v>
      </x:c>
      <x:c r="F163" t="str">
        <x:v>CRM-PRO</x:v>
      </x:c>
      <x:c r="G163" t="str">
        <x:v>Healthcare</x:v>
      </x:c>
      <x:c r="H163" t="str">
        <x:v>Mid-Market</x:v>
      </x:c>
      <x:c r="I163" t="str">
        <x:v>Closed Lost</x:v>
      </x:c>
      <x:c r="J163" s="10" t="n">
        <x:v>45731</x:v>
      </x:c>
      <x:c r="K163" s="10" t="n">
        <x:v>45731</x:v>
      </x:c>
      <x:c r="L163" s="22" t="n">
        <x:v>42600</x:v>
      </x:c>
      <x:c r="M163" s="24" t="n">
        <x:v>0</x:v>
      </x:c>
      <x:c r="N163" s="24" t="n">
        <x:v>0</x:v>
      </x:c>
      <x:c r="O163" t="str">
        <x:v>Budget</x:v>
      </x:c>
      <x:c r="P163" t="n">
        <x:v>5</x:v>
      </x:c>
      <x:c r="Q163" t="str">
        <x:f>IFERROR(XLOOKUP(E163,Lookups!$A$5:$A$24,Lookups!$B$5:$B$24),"Other")</x:f>
        <x:v>LinkedIn</x:v>
      </x:c>
      <x:c r="R163" t="str">
        <x:f>IFERROR(XLOOKUP(F163,Lookups!$D$5:$D$10,Lookups!$E$5:$E$10),"Unknown Product")</x:f>
        <x:v>NexaCRM Pro</x:v>
      </x:c>
      <x:c r="S163" t="str">
        <x:f>IFERROR(XLOOKUP(F163,Lookups!$D$5:$D$10,Lookups!$F$5:$F$10),"Unknown")</x:f>
        <x:v>CRM</x:v>
      </x:c>
      <x:c r="T163" t="str">
        <x:f>IF(L163&gt;=50000,"Enterprise",IF(L163&gt;=20000,"Mid-Market","SMB"))</x:f>
        <x:v>Mid-Market</x:v>
      </x:c>
      <x:c r="U163" t="str">
        <x:f>IF(I163="Closed Won","Won",IF(I163="Closed Lost","Lost","Open"))</x:f>
        <x:v>Lost</x:v>
      </x:c>
      <x:c r="V163" s="22" t="n">
        <x:f>IF(U163="Won",L163*(1-M163),0)</x:f>
        <x:v>0</x:v>
      </x:c>
      <x:c r="W163" s="22" t="n">
        <x:f>IF(U163="Open",L163*N163,0)</x:f>
        <x:v>0</x:v>
      </x:c>
      <x:c r="X163" s="26" t="n">
        <x:f>IF(U163="Open","",IFERROR(K163-B163,""))</x:f>
        <x:v>52</x:v>
      </x:c>
      <x:c r="Y163" s="26" t="n">
        <x:f>IF(U163="Open",Lookups!$B$2-B163,X163)</x:f>
        <x:v>52</x:v>
      </x:c>
      <x:c r="Z163" t="str">
        <x:f>IF(AND(U163="Open",Y163&gt;30),"STALE","OK")</x:f>
        <x:v>OK</x:v>
      </x:c>
      <x:c r="AA163" t="str">
        <x:f>TEXT(B163,"yyyy-mm")</x:f>
        <x:v>2025-01</x:v>
      </x:c>
      <x:c r="AB163" t="str">
        <x:f>IF(K163="","",TEXT(K163,"yyyy-mm"))</x:f>
        <x:v>2025-03</x:v>
      </x:c>
      <x:c r="AC163" t="str">
        <x:f>"Q"&amp;ROUNDUP(MONTH(B163)/3,0)&amp;"-"&amp;YEAR(B163)</x:f>
        <x:v>Q1-2025</x:v>
      </x:c>
      <x:c r="AD163" s="26" t="n">
        <x:f>MIN(100,IF(H163="Enterprise",30,IF(H163="Mid-Market",22,14))+IF(T163="Enterprise",25,IF(T163="Mid-Market",18,10))+IF(Q163="Referral",25,IF(Q163="Organic Search",20,IF(Q163="Email",18,14)))+IF(G163="Technology",10,5))</x:f>
        <x:v>59</x:v>
      </x:c>
      <x:c r="AE163" t="str">
        <x:f>IF(U163&lt;&gt;"Open",U163,IF(N163&gt;=0.8,"Commit",IF(N163&gt;=0.5,"Best Case","Pipeline")))</x:f>
        <x:v>Lost</x:v>
      </x:c>
    </x:row>
    <x:row r="164">
      <x:c r="A164" t="str">
        <x:v>L00163</x:v>
      </x:c>
      <x:c r="B164" s="10" t="n">
        <x:v>46208</x:v>
      </x:c>
      <x:c r="C164" t="str">
        <x:v>Ha Vo</x:v>
      </x:c>
      <x:c r="D164" t="str">
        <x:v>North</x:v>
      </x:c>
      <x:c r="E164" t="str">
        <x:v>Cold Email</x:v>
      </x:c>
      <x:c r="F164" t="str">
        <x:v>BI-PLUS</x:v>
      </x:c>
      <x:c r="G164" t="str">
        <x:v>Healthcare</x:v>
      </x:c>
      <x:c r="H164" t="str">
        <x:v>SMB</x:v>
      </x:c>
      <x:c r="I164" t="str">
        <x:v>Qualified</x:v>
      </x:c>
      <x:c r="J164" s="10" t="n">
        <x:v>46245</x:v>
      </x:c>
      <x:c r="K164" s="10"/>
      <x:c r="L164" s="22" t="n">
        <x:v>13100</x:v>
      </x:c>
      <x:c r="M164" s="24" t="n">
        <x:v>0</x:v>
      </x:c>
      <x:c r="N164" s="24" t="n">
        <x:v>0.2</x:v>
      </x:c>
      <x:c r="O164" t="str"/>
      <x:c r="P164" t="n">
        <x:v>2</x:v>
      </x:c>
      <x:c r="Q164" t="str">
        <x:f>IFERROR(XLOOKUP(E164,Lookups!$A$5:$A$24,Lookups!$B$5:$B$24),"Other")</x:f>
        <x:v>Outbound</x:v>
      </x:c>
      <x:c r="R164" t="str">
        <x:f>IFERROR(XLOOKUP(F164,Lookups!$D$5:$D$10,Lookups!$E$5:$E$10),"Unknown Product")</x:f>
        <x:v>Analytics Plus</x:v>
      </x:c>
      <x:c r="S164" t="str">
        <x:f>IFERROR(XLOOKUP(F164,Lookups!$D$5:$D$10,Lookups!$F$5:$F$10),"Unknown")</x:f>
        <x:v>Analytics</x:v>
      </x:c>
      <x:c r="T164" t="str">
        <x:f>IF(L164&gt;=50000,"Enterprise",IF(L164&gt;=20000,"Mid-Market","SMB"))</x:f>
        <x:v>SMB</x:v>
      </x:c>
      <x:c r="U164" t="str">
        <x:f>IF(I164="Closed Won","Won",IF(I164="Closed Lost","Lost","Open"))</x:f>
        <x:v>Open</x:v>
      </x:c>
      <x:c r="V164" s="22" t="n">
        <x:f>IF(U164="Won",L164*(1-M164),0)</x:f>
        <x:v>0</x:v>
      </x:c>
      <x:c r="W164" s="22" t="n">
        <x:f>IF(U164="Open",L164*N164,0)</x:f>
        <x:v>2620</x:v>
      </x:c>
      <x:c r="X164" s="26" t="str">
        <x:f>IF(U164="Open","",IFERROR(K164-B164,""))</x:f>
      </x:c>
      <x:c r="Y164" s="26" t="n">
        <x:f>IF(U164="Open",Lookups!$B$2-B164,X164)</x:f>
        <x:v>58</x:v>
      </x:c>
      <x:c r="Z164" t="str">
        <x:f>IF(AND(U164="Open",Y164&gt;30),"STALE","OK")</x:f>
        <x:v>STALE</x:v>
      </x:c>
      <x:c r="AA164" t="str">
        <x:f>TEXT(B164,"yyyy-mm")</x:f>
        <x:v>2026-07</x:v>
      </x:c>
      <x:c r="AB164" t="str">
        <x:f>IF(K164="","",TEXT(K164,"yyyy-mm"))</x:f>
      </x:c>
      <x:c r="AC164" t="str">
        <x:f>"Q"&amp;ROUNDUP(MONTH(B164)/3,0)&amp;"-"&amp;YEAR(B164)</x:f>
        <x:v>Q3-2026</x:v>
      </x:c>
      <x:c r="AD164" s="26" t="n">
        <x:f>MIN(100,IF(H164="Enterprise",30,IF(H164="Mid-Market",22,14))+IF(T164="Enterprise",25,IF(T164="Mid-Market",18,10))+IF(Q164="Referral",25,IF(Q164="Organic Search",20,IF(Q164="Email",18,14)))+IF(G164="Technology",10,5))</x:f>
        <x:v>43</x:v>
      </x:c>
      <x:c r="AE164" t="str">
        <x:f>IF(U164&lt;&gt;"Open",U164,IF(N164&gt;=0.8,"Commit",IF(N164&gt;=0.5,"Best Case","Pipeline")))</x:f>
        <x:v>Pipeline</x:v>
      </x:c>
    </x:row>
    <x:row r="165">
      <x:c r="A165" t="str">
        <x:v>L00164</x:v>
      </x:c>
      <x:c r="B165" s="10" t="n">
        <x:v>46252</x:v>
      </x:c>
      <x:c r="C165" t="str">
        <x:v>Tuan Bui</x:v>
      </x:c>
      <x:c r="D165" t="str">
        <x:v>Central</x:v>
      </x:c>
      <x:c r="E165" t="str">
        <x:v>Webinar</x:v>
      </x:c>
      <x:c r="F165" t="str">
        <x:v>BI-PLUS</x:v>
      </x:c>
      <x:c r="G165" t="str">
        <x:v>Retail</x:v>
      </x:c>
      <x:c r="H165" t="str">
        <x:v>SMB</x:v>
      </x:c>
      <x:c r="I165" t="str">
        <x:v>New</x:v>
      </x:c>
      <x:c r="J165" s="10" t="n">
        <x:v>46258</x:v>
      </x:c>
      <x:c r="K165" s="10"/>
      <x:c r="L165" s="22" t="n">
        <x:v>20400</x:v>
      </x:c>
      <x:c r="M165" s="24" t="n">
        <x:v>0.05</x:v>
      </x:c>
      <x:c r="N165" s="24" t="n">
        <x:v>0.05</x:v>
      </x:c>
      <x:c r="O165" t="str"/>
      <x:c r="P165" t="n">
        <x:v>1</x:v>
      </x:c>
      <x:c r="Q165" t="str">
        <x:f>IFERROR(XLOOKUP(E165,Lookups!$A$5:$A$24,Lookups!$B$5:$B$24),"Other")</x:f>
        <x:v>Webinar</x:v>
      </x:c>
      <x:c r="R165" t="str">
        <x:f>IFERROR(XLOOKUP(F165,Lookups!$D$5:$D$10,Lookups!$E$5:$E$10),"Unknown Product")</x:f>
        <x:v>Analytics Plus</x:v>
      </x:c>
      <x:c r="S165" t="str">
        <x:f>IFERROR(XLOOKUP(F165,Lookups!$D$5:$D$10,Lookups!$F$5:$F$10),"Unknown")</x:f>
        <x:v>Analytics</x:v>
      </x:c>
      <x:c r="T165" t="str">
        <x:f>IF(L165&gt;=50000,"Enterprise",IF(L165&gt;=20000,"Mid-Market","SMB"))</x:f>
        <x:v>Mid-Market</x:v>
      </x:c>
      <x:c r="U165" t="str">
        <x:f>IF(I165="Closed Won","Won",IF(I165="Closed Lost","Lost","Open"))</x:f>
        <x:v>Open</x:v>
      </x:c>
      <x:c r="V165" s="22" t="n">
        <x:f>IF(U165="Won",L165*(1-M165),0)</x:f>
        <x:v>0</x:v>
      </x:c>
      <x:c r="W165" s="22" t="n">
        <x:f>IF(U165="Open",L165*N165,0)</x:f>
        <x:v>1020</x:v>
      </x:c>
      <x:c r="X165" s="26" t="str">
        <x:f>IF(U165="Open","",IFERROR(K165-B165,""))</x:f>
      </x:c>
      <x:c r="Y165" s="26" t="n">
        <x:f>IF(U165="Open",Lookups!$B$2-B165,X165)</x:f>
        <x:v>14</x:v>
      </x:c>
      <x:c r="Z165" t="str">
        <x:f>IF(AND(U165="Open",Y165&gt;30),"STALE","OK")</x:f>
        <x:v>OK</x:v>
      </x:c>
      <x:c r="AA165" t="str">
        <x:f>TEXT(B165,"yyyy-mm")</x:f>
        <x:v>2026-08</x:v>
      </x:c>
      <x:c r="AB165" t="str">
        <x:f>IF(K165="","",TEXT(K165,"yyyy-mm"))</x:f>
      </x:c>
      <x:c r="AC165" t="str">
        <x:f>"Q"&amp;ROUNDUP(MONTH(B165)/3,0)&amp;"-"&amp;YEAR(B165)</x:f>
        <x:v>Q3-2026</x:v>
      </x:c>
      <x:c r="AD165" s="26" t="n">
        <x:f>MIN(100,IF(H165="Enterprise",30,IF(H165="Mid-Market",22,14))+IF(T165="Enterprise",25,IF(T165="Mid-Market",18,10))+IF(Q165="Referral",25,IF(Q165="Organic Search",20,IF(Q165="Email",18,14)))+IF(G165="Technology",10,5))</x:f>
        <x:v>51</x:v>
      </x:c>
      <x:c r="AE165" t="str">
        <x:f>IF(U165&lt;&gt;"Open",U165,IF(N165&gt;=0.8,"Commit",IF(N165&gt;=0.5,"Best Case","Pipeline")))</x:f>
        <x:v>Pipeline</x:v>
      </x:c>
    </x:row>
    <x:row r="166">
      <x:c r="A166" t="str">
        <x:v>L00165</x:v>
      </x:c>
      <x:c r="B166" s="10" t="n">
        <x:v>46176</x:v>
      </x:c>
      <x:c r="C166" t="str">
        <x:v>Quynh Vu</x:v>
      </x:c>
      <x:c r="D166" t="str">
        <x:v>North</x:v>
      </x:c>
      <x:c r="E166" t="str">
        <x:v>Google Ads</x:v>
      </x:c>
      <x:c r="F166" t="str">
        <x:v>CRM-PRO</x:v>
      </x:c>
      <x:c r="G166" t="str">
        <x:v>Technology</x:v>
      </x:c>
      <x:c r="H166" t="str">
        <x:v>SMB</x:v>
      </x:c>
      <x:c r="I166" t="str">
        <x:v>Closed Lost</x:v>
      </x:c>
      <x:c r="J166" s="10" t="n">
        <x:v>46236</x:v>
      </x:c>
      <x:c r="K166" s="10" t="n">
        <x:v>46236</x:v>
      </x:c>
      <x:c r="L166" s="22" t="n">
        <x:v>18700</x:v>
      </x:c>
      <x:c r="M166" s="24" t="n">
        <x:v>0</x:v>
      </x:c>
      <x:c r="N166" s="24" t="n">
        <x:v>0</x:v>
      </x:c>
      <x:c r="O166" t="str">
        <x:v>Price</x:v>
      </x:c>
      <x:c r="P166" t="n">
        <x:v>4</x:v>
      </x:c>
      <x:c r="Q166" t="str">
        <x:f>IFERROR(XLOOKUP(E166,Lookups!$A$5:$A$24,Lookups!$B$5:$B$24),"Other")</x:f>
        <x:v>Paid Search</x:v>
      </x:c>
      <x:c r="R166" t="str">
        <x:f>IFERROR(XLOOKUP(F166,Lookups!$D$5:$D$10,Lookups!$E$5:$E$10),"Unknown Product")</x:f>
        <x:v>NexaCRM Pro</x:v>
      </x:c>
      <x:c r="S166" t="str">
        <x:f>IFERROR(XLOOKUP(F166,Lookups!$D$5:$D$10,Lookups!$F$5:$F$10),"Unknown")</x:f>
        <x:v>CRM</x:v>
      </x:c>
      <x:c r="T166" t="str">
        <x:f>IF(L166&gt;=50000,"Enterprise",IF(L166&gt;=20000,"Mid-Market","SMB"))</x:f>
        <x:v>SMB</x:v>
      </x:c>
      <x:c r="U166" t="str">
        <x:f>IF(I166="Closed Won","Won",IF(I166="Closed Lost","Lost","Open"))</x:f>
        <x:v>Lost</x:v>
      </x:c>
      <x:c r="V166" s="22" t="n">
        <x:f>IF(U166="Won",L166*(1-M166),0)</x:f>
        <x:v>0</x:v>
      </x:c>
      <x:c r="W166" s="22" t="n">
        <x:f>IF(U166="Open",L166*N166,0)</x:f>
        <x:v>0</x:v>
      </x:c>
      <x:c r="X166" s="26" t="n">
        <x:f>IF(U166="Open","",IFERROR(K166-B166,""))</x:f>
        <x:v>60</x:v>
      </x:c>
      <x:c r="Y166" s="26" t="n">
        <x:f>IF(U166="Open",Lookups!$B$2-B166,X166)</x:f>
        <x:v>60</x:v>
      </x:c>
      <x:c r="Z166" t="str">
        <x:f>IF(AND(U166="Open",Y166&gt;30),"STALE","OK")</x:f>
        <x:v>OK</x:v>
      </x:c>
      <x:c r="AA166" t="str">
        <x:f>TEXT(B166,"yyyy-mm")</x:f>
        <x:v>2026-06</x:v>
      </x:c>
      <x:c r="AB166" t="str">
        <x:f>IF(K166="","",TEXT(K166,"yyyy-mm"))</x:f>
        <x:v>2026-08</x:v>
      </x:c>
      <x:c r="AC166" t="str">
        <x:f>"Q"&amp;ROUNDUP(MONTH(B166)/3,0)&amp;"-"&amp;YEAR(B166)</x:f>
        <x:v>Q2-2026</x:v>
      </x:c>
      <x:c r="AD166" s="26" t="n">
        <x:f>MIN(100,IF(H166="Enterprise",30,IF(H166="Mid-Market",22,14))+IF(T166="Enterprise",25,IF(T166="Mid-Market",18,10))+IF(Q166="Referral",25,IF(Q166="Organic Search",20,IF(Q166="Email",18,14)))+IF(G166="Technology",10,5))</x:f>
        <x:v>48</x:v>
      </x:c>
      <x:c r="AE166" t="str">
        <x:f>IF(U166&lt;&gt;"Open",U166,IF(N166&gt;=0.8,"Commit",IF(N166&gt;=0.5,"Best Case","Pipeline")))</x:f>
        <x:v>Lost</x:v>
      </x:c>
    </x:row>
    <x:row r="167">
      <x:c r="A167" t="str">
        <x:v>L00166</x:v>
      </x:c>
      <x:c r="B167" s="10" t="n">
        <x:v>45924</x:v>
      </x:c>
      <x:c r="C167" t="str">
        <x:v>Ha Vo</x:v>
      </x:c>
      <x:c r="D167" t="str">
        <x:v>North</x:v>
      </x:c>
      <x:c r="E167" t="str">
        <x:v>Webinar</x:v>
      </x:c>
      <x:c r="F167" t="str">
        <x:v>CRM-CORE</x:v>
      </x:c>
      <x:c r="G167" t="str">
        <x:v>Manufacturing</x:v>
      </x:c>
      <x:c r="H167" t="str">
        <x:v>SMB</x:v>
      </x:c>
      <x:c r="I167" t="str">
        <x:v>Negotiation</x:v>
      </x:c>
      <x:c r="J167" s="10" t="n">
        <x:v>46125</x:v>
      </x:c>
      <x:c r="K167" s="10"/>
      <x:c r="L167" s="22" t="n">
        <x:v>6600</x:v>
      </x:c>
      <x:c r="M167" s="24" t="n">
        <x:v>0.03</x:v>
      </x:c>
      <x:c r="N167" s="24" t="n">
        <x:v>0.85</x:v>
      </x:c>
      <x:c r="O167" t="str"/>
      <x:c r="P167" t="n">
        <x:v>5</x:v>
      </x:c>
      <x:c r="Q167" t="str">
        <x:f>IFERROR(XLOOKUP(E167,Lookups!$A$5:$A$24,Lookups!$B$5:$B$24),"Other")</x:f>
        <x:v>Webinar</x:v>
      </x:c>
      <x:c r="R167" t="str">
        <x:f>IFERROR(XLOOKUP(F167,Lookups!$D$5:$D$10,Lookups!$E$5:$E$10),"Unknown Product")</x:f>
        <x:v>NexaCRM Core</x:v>
      </x:c>
      <x:c r="S167" t="str">
        <x:f>IFERROR(XLOOKUP(F167,Lookups!$D$5:$D$10,Lookups!$F$5:$F$10),"Unknown")</x:f>
        <x:v>CRM</x:v>
      </x:c>
      <x:c r="T167" t="str">
        <x:f>IF(L167&gt;=50000,"Enterprise",IF(L167&gt;=20000,"Mid-Market","SMB"))</x:f>
        <x:v>SMB</x:v>
      </x:c>
      <x:c r="U167" t="str">
        <x:f>IF(I167="Closed Won","Won",IF(I167="Closed Lost","Lost","Open"))</x:f>
        <x:v>Open</x:v>
      </x:c>
      <x:c r="V167" s="22" t="n">
        <x:f>IF(U167="Won",L167*(1-M167),0)</x:f>
        <x:v>0</x:v>
      </x:c>
      <x:c r="W167" s="22" t="n">
        <x:f>IF(U167="Open",L167*N167,0)</x:f>
        <x:v>5610</x:v>
      </x:c>
      <x:c r="X167" s="26" t="str">
        <x:f>IF(U167="Open","",IFERROR(K167-B167,""))</x:f>
      </x:c>
      <x:c r="Y167" s="26" t="n">
        <x:f>IF(U167="Open",Lookups!$B$2-B167,X167)</x:f>
        <x:v>342</x:v>
      </x:c>
      <x:c r="Z167" t="str">
        <x:f>IF(AND(U167="Open",Y167&gt;30),"STALE","OK")</x:f>
        <x:v>STALE</x:v>
      </x:c>
      <x:c r="AA167" t="str">
        <x:f>TEXT(B167,"yyyy-mm")</x:f>
        <x:v>2025-09</x:v>
      </x:c>
      <x:c r="AB167" t="str">
        <x:f>IF(K167="","",TEXT(K167,"yyyy-mm"))</x:f>
      </x:c>
      <x:c r="AC167" t="str">
        <x:f>"Q"&amp;ROUNDUP(MONTH(B167)/3,0)&amp;"-"&amp;YEAR(B167)</x:f>
        <x:v>Q3-2025</x:v>
      </x:c>
      <x:c r="AD167" s="26" t="n">
        <x:f>MIN(100,IF(H167="Enterprise",30,IF(H167="Mid-Market",22,14))+IF(T167="Enterprise",25,IF(T167="Mid-Market",18,10))+IF(Q167="Referral",25,IF(Q167="Organic Search",20,IF(Q167="Email",18,14)))+IF(G167="Technology",10,5))</x:f>
        <x:v>43</x:v>
      </x:c>
      <x:c r="AE167" t="str">
        <x:f>IF(U167&lt;&gt;"Open",U167,IF(N167&gt;=0.8,"Commit",IF(N167&gt;=0.5,"Best Case","Pipeline")))</x:f>
        <x:v>Commit</x:v>
      </x:c>
    </x:row>
    <x:row r="168">
      <x:c r="A168" t="str">
        <x:v>L00167</x:v>
      </x:c>
      <x:c r="B168" s="10" t="n">
        <x:v>45993</x:v>
      </x:c>
      <x:c r="C168" t="str">
        <x:v>Duy Pham</x:v>
      </x:c>
      <x:c r="D168" t="str">
        <x:v>South</x:v>
      </x:c>
      <x:c r="E168" t="str">
        <x:v>SEM - Google</x:v>
      </x:c>
      <x:c r="F168" t="str">
        <x:v>CRM-CORE</x:v>
      </x:c>
      <x:c r="G168" t="str">
        <x:v>Healthcare</x:v>
      </x:c>
      <x:c r="H168" t="str">
        <x:v>Mid-Market</x:v>
      </x:c>
      <x:c r="I168" t="str">
        <x:v>Negotiation</x:v>
      </x:c>
      <x:c r="J168" s="10" t="n">
        <x:v>46137</x:v>
      </x:c>
      <x:c r="K168" s="10"/>
      <x:c r="L168" s="22" t="n">
        <x:v>11500</x:v>
      </x:c>
      <x:c r="M168" s="24" t="n">
        <x:v>0</x:v>
      </x:c>
      <x:c r="N168" s="24" t="n">
        <x:v>0.85</x:v>
      </x:c>
      <x:c r="O168" t="str"/>
      <x:c r="P168" t="n">
        <x:v>5</x:v>
      </x:c>
      <x:c r="Q168" t="str">
        <x:f>IFERROR(XLOOKUP(E168,Lookups!$A$5:$A$24,Lookups!$B$5:$B$24),"Other")</x:f>
        <x:v>Paid Search</x:v>
      </x:c>
      <x:c r="R168" t="str">
        <x:f>IFERROR(XLOOKUP(F168,Lookups!$D$5:$D$10,Lookups!$E$5:$E$10),"Unknown Product")</x:f>
        <x:v>NexaCRM Core</x:v>
      </x:c>
      <x:c r="S168" t="str">
        <x:f>IFERROR(XLOOKUP(F168,Lookups!$D$5:$D$10,Lookups!$F$5:$F$10),"Unknown")</x:f>
        <x:v>CRM</x:v>
      </x:c>
      <x:c r="T168" t="str">
        <x:f>IF(L168&gt;=50000,"Enterprise",IF(L168&gt;=20000,"Mid-Market","SMB"))</x:f>
        <x:v>SMB</x:v>
      </x:c>
      <x:c r="U168" t="str">
        <x:f>IF(I168="Closed Won","Won",IF(I168="Closed Lost","Lost","Open"))</x:f>
        <x:v>Open</x:v>
      </x:c>
      <x:c r="V168" s="22" t="n">
        <x:f>IF(U168="Won",L168*(1-M168),0)</x:f>
        <x:v>0</x:v>
      </x:c>
      <x:c r="W168" s="22" t="n">
        <x:f>IF(U168="Open",L168*N168,0)</x:f>
        <x:v>9775</x:v>
      </x:c>
      <x:c r="X168" s="26" t="str">
        <x:f>IF(U168="Open","",IFERROR(K168-B168,""))</x:f>
      </x:c>
      <x:c r="Y168" s="26" t="n">
        <x:f>IF(U168="Open",Lookups!$B$2-B168,X168)</x:f>
        <x:v>273</x:v>
      </x:c>
      <x:c r="Z168" t="str">
        <x:f>IF(AND(U168="Open",Y168&gt;30),"STALE","OK")</x:f>
        <x:v>STALE</x:v>
      </x:c>
      <x:c r="AA168" t="str">
        <x:f>TEXT(B168,"yyyy-mm")</x:f>
        <x:v>2025-12</x:v>
      </x:c>
      <x:c r="AB168" t="str">
        <x:f>IF(K168="","",TEXT(K168,"yyyy-mm"))</x:f>
      </x:c>
      <x:c r="AC168" t="str">
        <x:f>"Q"&amp;ROUNDUP(MONTH(B168)/3,0)&amp;"-"&amp;YEAR(B168)</x:f>
        <x:v>Q4-2025</x:v>
      </x:c>
      <x:c r="AD168" s="26" t="n">
        <x:f>MIN(100,IF(H168="Enterprise",30,IF(H168="Mid-Market",22,14))+IF(T168="Enterprise",25,IF(T168="Mid-Market",18,10))+IF(Q168="Referral",25,IF(Q168="Organic Search",20,IF(Q168="Email",18,14)))+IF(G168="Technology",10,5))</x:f>
        <x:v>51</x:v>
      </x:c>
      <x:c r="AE168" t="str">
        <x:f>IF(U168&lt;&gt;"Open",U168,IF(N168&gt;=0.8,"Commit",IF(N168&gt;=0.5,"Best Case","Pipeline")))</x:f>
        <x:v>Commit</x:v>
      </x:c>
    </x:row>
    <x:row r="169">
      <x:c r="A169" t="str">
        <x:v>L00168</x:v>
      </x:c>
      <x:c r="B169" s="10" t="n">
        <x:v>46106</x:v>
      </x:c>
      <x:c r="C169" t="str">
        <x:v>An Nguyen</x:v>
      </x:c>
      <x:c r="D169" t="str">
        <x:v>South</x:v>
      </x:c>
      <x:c r="E169" t="str">
        <x:v>newsletter</x:v>
      </x:c>
      <x:c r="F169" t="str">
        <x:v>CRM-CORE</x:v>
      </x:c>
      <x:c r="G169" t="str">
        <x:v>Technology</x:v>
      </x:c>
      <x:c r="H169" t="str">
        <x:v>Mid-Market</x:v>
      </x:c>
      <x:c r="I169" t="str">
        <x:v>Closed Lost</x:v>
      </x:c>
      <x:c r="J169" s="10" t="n">
        <x:v>46151</x:v>
      </x:c>
      <x:c r="K169" s="10" t="n">
        <x:v>46151</x:v>
      </x:c>
      <x:c r="L169" s="22" t="n">
        <x:v>10300</x:v>
      </x:c>
      <x:c r="M169" s="24" t="n">
        <x:v>0</x:v>
      </x:c>
      <x:c r="N169" s="24" t="n">
        <x:v>0</x:v>
      </x:c>
      <x:c r="O169" t="str">
        <x:v>Feature Gap</x:v>
      </x:c>
      <x:c r="P169" t="n">
        <x:v>5</x:v>
      </x:c>
      <x:c r="Q169" t="str">
        <x:f>IFERROR(XLOOKUP(E169,Lookups!$A$5:$A$24,Lookups!$B$5:$B$24),"Other")</x:f>
        <x:v>Email</x:v>
      </x:c>
      <x:c r="R169" t="str">
        <x:f>IFERROR(XLOOKUP(F169,Lookups!$D$5:$D$10,Lookups!$E$5:$E$10),"Unknown Product")</x:f>
        <x:v>NexaCRM Core</x:v>
      </x:c>
      <x:c r="S169" t="str">
        <x:f>IFERROR(XLOOKUP(F169,Lookups!$D$5:$D$10,Lookups!$F$5:$F$10),"Unknown")</x:f>
        <x:v>CRM</x:v>
      </x:c>
      <x:c r="T169" t="str">
        <x:f>IF(L169&gt;=50000,"Enterprise",IF(L169&gt;=20000,"Mid-Market","SMB"))</x:f>
        <x:v>SMB</x:v>
      </x:c>
      <x:c r="U169" t="str">
        <x:f>IF(I169="Closed Won","Won",IF(I169="Closed Lost","Lost","Open"))</x:f>
        <x:v>Lost</x:v>
      </x:c>
      <x:c r="V169" s="22" t="n">
        <x:f>IF(U169="Won",L169*(1-M169),0)</x:f>
        <x:v>0</x:v>
      </x:c>
      <x:c r="W169" s="22" t="n">
        <x:f>IF(U169="Open",L169*N169,0)</x:f>
        <x:v>0</x:v>
      </x:c>
      <x:c r="X169" s="26" t="n">
        <x:f>IF(U169="Open","",IFERROR(K169-B169,""))</x:f>
        <x:v>45</x:v>
      </x:c>
      <x:c r="Y169" s="26" t="n">
        <x:f>IF(U169="Open",Lookups!$B$2-B169,X169)</x:f>
        <x:v>45</x:v>
      </x:c>
      <x:c r="Z169" t="str">
        <x:f>IF(AND(U169="Open",Y169&gt;30),"STALE","OK")</x:f>
        <x:v>OK</x:v>
      </x:c>
      <x:c r="AA169" t="str">
        <x:f>TEXT(B169,"yyyy-mm")</x:f>
        <x:v>2026-03</x:v>
      </x:c>
      <x:c r="AB169" t="str">
        <x:f>IF(K169="","",TEXT(K169,"yyyy-mm"))</x:f>
        <x:v>2026-05</x:v>
      </x:c>
      <x:c r="AC169" t="str">
        <x:f>"Q"&amp;ROUNDUP(MONTH(B169)/3,0)&amp;"-"&amp;YEAR(B169)</x:f>
        <x:v>Q1-2026</x:v>
      </x:c>
      <x:c r="AD169" s="26" t="n">
        <x:f>MIN(100,IF(H169="Enterprise",30,IF(H169="Mid-Market",22,14))+IF(T169="Enterprise",25,IF(T169="Mid-Market",18,10))+IF(Q169="Referral",25,IF(Q169="Organic Search",20,IF(Q169="Email",18,14)))+IF(G169="Technology",10,5))</x:f>
        <x:v>60</x:v>
      </x:c>
      <x:c r="AE169" t="str">
        <x:f>IF(U169&lt;&gt;"Open",U169,IF(N169&gt;=0.8,"Commit",IF(N169&gt;=0.5,"Best Case","Pipeline")))</x:f>
        <x:v>Lost</x:v>
      </x:c>
    </x:row>
    <x:row r="170">
      <x:c r="A170" t="str">
        <x:v>L00169</x:v>
      </x:c>
      <x:c r="B170" s="10" t="n">
        <x:v>45812</x:v>
      </x:c>
      <x:c r="C170" t="str">
        <x:v>Minh Do</x:v>
      </x:c>
      <x:c r="D170" t="str">
        <x:v>North</x:v>
      </x:c>
      <x:c r="E170" t="str">
        <x:v>Partner Referral</x:v>
      </x:c>
      <x:c r="F170" t="str">
        <x:v>CRM-PRO</x:v>
      </x:c>
      <x:c r="G170" t="str">
        <x:v>Financial Services</x:v>
      </x:c>
      <x:c r="H170" t="str">
        <x:v>Mid-Market</x:v>
      </x:c>
      <x:c r="I170" t="str">
        <x:v>Closed Lost</x:v>
      </x:c>
      <x:c r="J170" s="10" t="n">
        <x:v>45831</x:v>
      </x:c>
      <x:c r="K170" s="10" t="n">
        <x:v>45831</x:v>
      </x:c>
      <x:c r="L170" s="22" t="n">
        <x:v>40900</x:v>
      </x:c>
      <x:c r="M170" s="24" t="n">
        <x:v>0</x:v>
      </x:c>
      <x:c r="N170" s="24" t="n">
        <x:v>0</x:v>
      </x:c>
      <x:c r="O170" t="str">
        <x:v>Timing</x:v>
      </x:c>
      <x:c r="P170" t="n">
        <x:v>5</x:v>
      </x:c>
      <x:c r="Q170" t="str">
        <x:f>IFERROR(XLOOKUP(E170,Lookups!$A$5:$A$24,Lookups!$B$5:$B$24),"Other")</x:f>
        <x:v>Referral</x:v>
      </x:c>
      <x:c r="R170" t="str">
        <x:f>IFERROR(XLOOKUP(F170,Lookups!$D$5:$D$10,Lookups!$E$5:$E$10),"Unknown Product")</x:f>
        <x:v>NexaCRM Pro</x:v>
      </x:c>
      <x:c r="S170" t="str">
        <x:f>IFERROR(XLOOKUP(F170,Lookups!$D$5:$D$10,Lookups!$F$5:$F$10),"Unknown")</x:f>
        <x:v>CRM</x:v>
      </x:c>
      <x:c r="T170" t="str">
        <x:f>IF(L170&gt;=50000,"Enterprise",IF(L170&gt;=20000,"Mid-Market","SMB"))</x:f>
        <x:v>Mid-Market</x:v>
      </x:c>
      <x:c r="U170" t="str">
        <x:f>IF(I170="Closed Won","Won",IF(I170="Closed Lost","Lost","Open"))</x:f>
        <x:v>Lost</x:v>
      </x:c>
      <x:c r="V170" s="22" t="n">
        <x:f>IF(U170="Won",L170*(1-M170),0)</x:f>
        <x:v>0</x:v>
      </x:c>
      <x:c r="W170" s="22" t="n">
        <x:f>IF(U170="Open",L170*N170,0)</x:f>
        <x:v>0</x:v>
      </x:c>
      <x:c r="X170" s="26" t="n">
        <x:f>IF(U170="Open","",IFERROR(K170-B170,""))</x:f>
        <x:v>19</x:v>
      </x:c>
      <x:c r="Y170" s="26" t="n">
        <x:f>IF(U170="Open",Lookups!$B$2-B170,X170)</x:f>
        <x:v>19</x:v>
      </x:c>
      <x:c r="Z170" t="str">
        <x:f>IF(AND(U170="Open",Y170&gt;30),"STALE","OK")</x:f>
        <x:v>OK</x:v>
      </x:c>
      <x:c r="AA170" t="str">
        <x:f>TEXT(B170,"yyyy-mm")</x:f>
        <x:v>2025-06</x:v>
      </x:c>
      <x:c r="AB170" t="str">
        <x:f>IF(K170="","",TEXT(K170,"yyyy-mm"))</x:f>
        <x:v>2025-06</x:v>
      </x:c>
      <x:c r="AC170" t="str">
        <x:f>"Q"&amp;ROUNDUP(MONTH(B170)/3,0)&amp;"-"&amp;YEAR(B170)</x:f>
        <x:v>Q2-2025</x:v>
      </x:c>
      <x:c r="AD170" s="26" t="n">
        <x:f>MIN(100,IF(H170="Enterprise",30,IF(H170="Mid-Market",22,14))+IF(T170="Enterprise",25,IF(T170="Mid-Market",18,10))+IF(Q170="Referral",25,IF(Q170="Organic Search",20,IF(Q170="Email",18,14)))+IF(G170="Technology",10,5))</x:f>
        <x:v>70</x:v>
      </x:c>
      <x:c r="AE170" t="str">
        <x:f>IF(U170&lt;&gt;"Open",U170,IF(N170&gt;=0.8,"Commit",IF(N170&gt;=0.5,"Best Case","Pipeline")))</x:f>
        <x:v>Lost</x:v>
      </x:c>
    </x:row>
    <x:row r="171">
      <x:c r="A171" t="str">
        <x:v>L00170</x:v>
      </x:c>
      <x:c r="B171" s="10" t="n">
        <x:v>45704</x:v>
      </x:c>
      <x:c r="C171" t="str">
        <x:v>Ha Vo</x:v>
      </x:c>
      <x:c r="D171" t="str">
        <x:v>North</x:v>
      </x:c>
      <x:c r="E171" t="str">
        <x:v>customer referral</x:v>
      </x:c>
      <x:c r="F171" t="str">
        <x:v>REV-OPS</x:v>
      </x:c>
      <x:c r="G171" t="str">
        <x:v>Manufacturing</x:v>
      </x:c>
      <x:c r="H171" t="str">
        <x:v>SMB</x:v>
      </x:c>
      <x:c r="I171" t="str">
        <x:v>Closed Lost</x:v>
      </x:c>
      <x:c r="J171" s="10" t="n">
        <x:v>45755</x:v>
      </x:c>
      <x:c r="K171" s="10" t="n">
        <x:v>45755</x:v>
      </x:c>
      <x:c r="L171" s="22" t="n">
        <x:v>34900</x:v>
      </x:c>
      <x:c r="M171" s="24" t="n">
        <x:v>0</x:v>
      </x:c>
      <x:c r="N171" s="24" t="n">
        <x:v>0</x:v>
      </x:c>
      <x:c r="O171" t="str">
        <x:v>Competitor</x:v>
      </x:c>
      <x:c r="P171" t="n">
        <x:v>3</x:v>
      </x:c>
      <x:c r="Q171" t="str">
        <x:f>IFERROR(XLOOKUP(E171,Lookups!$A$5:$A$24,Lookups!$B$5:$B$24),"Other")</x:f>
        <x:v>Referral</x:v>
      </x:c>
      <x:c r="R171" t="str">
        <x:f>IFERROR(XLOOKUP(F171,Lookups!$D$5:$D$10,Lookups!$E$5:$E$10),"Unknown Product")</x:f>
        <x:v>Revenue Operations Suite</x:v>
      </x:c>
      <x:c r="S171" t="str">
        <x:f>IFERROR(XLOOKUP(F171,Lookups!$D$5:$D$10,Lookups!$F$5:$F$10),"Unknown")</x:f>
        <x:v>Revenue Ops</x:v>
      </x:c>
      <x:c r="T171" t="str">
        <x:f>IF(L171&gt;=50000,"Enterprise",IF(L171&gt;=20000,"Mid-Market","SMB"))</x:f>
        <x:v>Mid-Market</x:v>
      </x:c>
      <x:c r="U171" t="str">
        <x:f>IF(I171="Closed Won","Won",IF(I171="Closed Lost","Lost","Open"))</x:f>
        <x:v>Lost</x:v>
      </x:c>
      <x:c r="V171" s="22" t="n">
        <x:f>IF(U171="Won",L171*(1-M171),0)</x:f>
        <x:v>0</x:v>
      </x:c>
      <x:c r="W171" s="22" t="n">
        <x:f>IF(U171="Open",L171*N171,0)</x:f>
        <x:v>0</x:v>
      </x:c>
      <x:c r="X171" s="26" t="n">
        <x:f>IF(U171="Open","",IFERROR(K171-B171,""))</x:f>
        <x:v>51</x:v>
      </x:c>
      <x:c r="Y171" s="26" t="n">
        <x:f>IF(U171="Open",Lookups!$B$2-B171,X171)</x:f>
        <x:v>51</x:v>
      </x:c>
      <x:c r="Z171" t="str">
        <x:f>IF(AND(U171="Open",Y171&gt;30),"STALE","OK")</x:f>
        <x:v>OK</x:v>
      </x:c>
      <x:c r="AA171" t="str">
        <x:f>TEXT(B171,"yyyy-mm")</x:f>
        <x:v>2025-02</x:v>
      </x:c>
      <x:c r="AB171" t="str">
        <x:f>IF(K171="","",TEXT(K171,"yyyy-mm"))</x:f>
        <x:v>2025-04</x:v>
      </x:c>
      <x:c r="AC171" t="str">
        <x:f>"Q"&amp;ROUNDUP(MONTH(B171)/3,0)&amp;"-"&amp;YEAR(B171)</x:f>
        <x:v>Q1-2025</x:v>
      </x:c>
      <x:c r="AD171" s="26" t="n">
        <x:f>MIN(100,IF(H171="Enterprise",30,IF(H171="Mid-Market",22,14))+IF(T171="Enterprise",25,IF(T171="Mid-Market",18,10))+IF(Q171="Referral",25,IF(Q171="Organic Search",20,IF(Q171="Email",18,14)))+IF(G171="Technology",10,5))</x:f>
        <x:v>62</x:v>
      </x:c>
      <x:c r="AE171" t="str">
        <x:f>IF(U171&lt;&gt;"Open",U171,IF(N171&gt;=0.8,"Commit",IF(N171&gt;=0.5,"Best Case","Pipeline")))</x:f>
        <x:v>Lost</x:v>
      </x:c>
    </x:row>
    <x:row r="172">
      <x:c r="A172" t="str">
        <x:v>L00171</x:v>
      </x:c>
      <x:c r="B172" s="10" t="n">
        <x:v>46091</x:v>
      </x:c>
      <x:c r="C172" t="str">
        <x:v>Minh Do</x:v>
      </x:c>
      <x:c r="D172" t="str">
        <x:v>North</x:v>
      </x:c>
      <x:c r="E172" t="str">
        <x:v>LinkedIn Ads</x:v>
      </x:c>
      <x:c r="F172" t="str">
        <x:v>BI-PLUS</x:v>
      </x:c>
      <x:c r="G172" t="str">
        <x:v>Technology</x:v>
      </x:c>
      <x:c r="H172" t="str">
        <x:v>SMB</x:v>
      </x:c>
      <x:c r="I172" t="str">
        <x:v>Closed Won</x:v>
      </x:c>
      <x:c r="J172" s="10" t="n">
        <x:v>46124</x:v>
      </x:c>
      <x:c r="K172" s="10" t="n">
        <x:v>46124</x:v>
      </x:c>
      <x:c r="L172" s="22" t="n">
        <x:v>27100</x:v>
      </x:c>
      <x:c r="M172" s="24" t="n">
        <x:v>0.12</x:v>
      </x:c>
      <x:c r="N172" s="24" t="n">
        <x:v>1</x:v>
      </x:c>
      <x:c r="O172" t="str"/>
      <x:c r="P172" t="n">
        <x:v>6</x:v>
      </x:c>
      <x:c r="Q172" t="str">
        <x:f>IFERROR(XLOOKUP(E172,Lookups!$A$5:$A$24,Lookups!$B$5:$B$24),"Other")</x:f>
        <x:v>LinkedIn</x:v>
      </x:c>
      <x:c r="R172" t="str">
        <x:f>IFERROR(XLOOKUP(F172,Lookups!$D$5:$D$10,Lookups!$E$5:$E$10),"Unknown Product")</x:f>
        <x:v>Analytics Plus</x:v>
      </x:c>
      <x:c r="S172" t="str">
        <x:f>IFERROR(XLOOKUP(F172,Lookups!$D$5:$D$10,Lookups!$F$5:$F$10),"Unknown")</x:f>
        <x:v>Analytics</x:v>
      </x:c>
      <x:c r="T172" t="str">
        <x:f>IF(L172&gt;=50000,"Enterprise",IF(L172&gt;=20000,"Mid-Market","SMB"))</x:f>
        <x:v>Mid-Market</x:v>
      </x:c>
      <x:c r="U172" t="str">
        <x:f>IF(I172="Closed Won","Won",IF(I172="Closed Lost","Lost","Open"))</x:f>
        <x:v>Won</x:v>
      </x:c>
      <x:c r="V172" s="22" t="n">
        <x:f>IF(U172="Won",L172*(1-M172),0)</x:f>
        <x:v>23848</x:v>
      </x:c>
      <x:c r="W172" s="22" t="n">
        <x:f>IF(U172="Open",L172*N172,0)</x:f>
        <x:v>0</x:v>
      </x:c>
      <x:c r="X172" s="26" t="n">
        <x:f>IF(U172="Open","",IFERROR(K172-B172,""))</x:f>
        <x:v>33</x:v>
      </x:c>
      <x:c r="Y172" s="26" t="n">
        <x:f>IF(U172="Open",Lookups!$B$2-B172,X172)</x:f>
        <x:v>33</x:v>
      </x:c>
      <x:c r="Z172" t="str">
        <x:f>IF(AND(U172="Open",Y172&gt;30),"STALE","OK")</x:f>
        <x:v>OK</x:v>
      </x:c>
      <x:c r="AA172" t="str">
        <x:f>TEXT(B172,"yyyy-mm")</x:f>
        <x:v>2026-03</x:v>
      </x:c>
      <x:c r="AB172" t="str">
        <x:f>IF(K172="","",TEXT(K172,"yyyy-mm"))</x:f>
        <x:v>2026-04</x:v>
      </x:c>
      <x:c r="AC172" t="str">
        <x:f>"Q"&amp;ROUNDUP(MONTH(B172)/3,0)&amp;"-"&amp;YEAR(B172)</x:f>
        <x:v>Q1-2026</x:v>
      </x:c>
      <x:c r="AD172" s="26" t="n">
        <x:f>MIN(100,IF(H172="Enterprise",30,IF(H172="Mid-Market",22,14))+IF(T172="Enterprise",25,IF(T172="Mid-Market",18,10))+IF(Q172="Referral",25,IF(Q172="Organic Search",20,IF(Q172="Email",18,14)))+IF(G172="Technology",10,5))</x:f>
        <x:v>56</x:v>
      </x:c>
      <x:c r="AE172" t="str">
        <x:f>IF(U172&lt;&gt;"Open",U172,IF(N172&gt;=0.8,"Commit",IF(N172&gt;=0.5,"Best Case","Pipeline")))</x:f>
        <x:v>Won</x:v>
      </x:c>
    </x:row>
    <x:row r="173">
      <x:c r="A173" t="str">
        <x:v>L00172</x:v>
      </x:c>
      <x:c r="B173" s="10" t="n">
        <x:v>46087</x:v>
      </x:c>
      <x:c r="C173" t="str">
        <x:v>Quynh Vu</x:v>
      </x:c>
      <x:c r="D173" t="str">
        <x:v>North</x:v>
      </x:c>
      <x:c r="E173" t="str">
        <x:v>organic search</x:v>
      </x:c>
      <x:c r="F173" t="str">
        <x:v>CS-CLOUD</x:v>
      </x:c>
      <x:c r="G173" t="str">
        <x:v>Financial Services</x:v>
      </x:c>
      <x:c r="H173" t="str">
        <x:v>SMB</x:v>
      </x:c>
      <x:c r="I173" t="str">
        <x:v>Closed Lost</x:v>
      </x:c>
      <x:c r="J173" s="10" t="n">
        <x:v>46154</x:v>
      </x:c>
      <x:c r="K173" s="10" t="n">
        <x:v>46154</x:v>
      </x:c>
      <x:c r="L173" s="22" t="n">
        <x:v>20900</x:v>
      </x:c>
      <x:c r="M173" s="24" t="n">
        <x:v>0</x:v>
      </x:c>
      <x:c r="N173" s="24" t="n">
        <x:v>0</x:v>
      </x:c>
      <x:c r="O173" t="str">
        <x:v>Timing</x:v>
      </x:c>
      <x:c r="P173" t="n">
        <x:v>5</x:v>
      </x:c>
      <x:c r="Q173" t="str">
        <x:f>IFERROR(XLOOKUP(E173,Lookups!$A$5:$A$24,Lookups!$B$5:$B$24),"Other")</x:f>
        <x:v>Organic Search</x:v>
      </x:c>
      <x:c r="R173" t="str">
        <x:f>IFERROR(XLOOKUP(F173,Lookups!$D$5:$D$10,Lookups!$E$5:$E$10),"Unknown Product")</x:f>
        <x:v>Service Cloud</x:v>
      </x:c>
      <x:c r="S173" t="str">
        <x:f>IFERROR(XLOOKUP(F173,Lookups!$D$5:$D$10,Lookups!$F$5:$F$10),"Unknown")</x:f>
        <x:v>Customer Service</x:v>
      </x:c>
      <x:c r="T173" t="str">
        <x:f>IF(L173&gt;=50000,"Enterprise",IF(L173&gt;=20000,"Mid-Market","SMB"))</x:f>
        <x:v>Mid-Market</x:v>
      </x:c>
      <x:c r="U173" t="str">
        <x:f>IF(I173="Closed Won","Won",IF(I173="Closed Lost","Lost","Open"))</x:f>
        <x:v>Lost</x:v>
      </x:c>
      <x:c r="V173" s="22" t="n">
        <x:f>IF(U173="Won",L173*(1-M173),0)</x:f>
        <x:v>0</x:v>
      </x:c>
      <x:c r="W173" s="22" t="n">
        <x:f>IF(U173="Open",L173*N173,0)</x:f>
        <x:v>0</x:v>
      </x:c>
      <x:c r="X173" s="26" t="n">
        <x:f>IF(U173="Open","",IFERROR(K173-B173,""))</x:f>
        <x:v>67</x:v>
      </x:c>
      <x:c r="Y173" s="26" t="n">
        <x:f>IF(U173="Open",Lookups!$B$2-B173,X173)</x:f>
        <x:v>67</x:v>
      </x:c>
      <x:c r="Z173" t="str">
        <x:f>IF(AND(U173="Open",Y173&gt;30),"STALE","OK")</x:f>
        <x:v>OK</x:v>
      </x:c>
      <x:c r="AA173" t="str">
        <x:f>TEXT(B173,"yyyy-mm")</x:f>
        <x:v>2026-03</x:v>
      </x:c>
      <x:c r="AB173" t="str">
        <x:f>IF(K173="","",TEXT(K173,"yyyy-mm"))</x:f>
        <x:v>2026-05</x:v>
      </x:c>
      <x:c r="AC173" t="str">
        <x:f>"Q"&amp;ROUNDUP(MONTH(B173)/3,0)&amp;"-"&amp;YEAR(B173)</x:f>
        <x:v>Q1-2026</x:v>
      </x:c>
      <x:c r="AD173" s="26" t="n">
        <x:f>MIN(100,IF(H173="Enterprise",30,IF(H173="Mid-Market",22,14))+IF(T173="Enterprise",25,IF(T173="Mid-Market",18,10))+IF(Q173="Referral",25,IF(Q173="Organic Search",20,IF(Q173="Email",18,14)))+IF(G173="Technology",10,5))</x:f>
        <x:v>57</x:v>
      </x:c>
      <x:c r="AE173" t="str">
        <x:f>IF(U173&lt;&gt;"Open",U173,IF(N173&gt;=0.8,"Commit",IF(N173&gt;=0.5,"Best Case","Pipeline")))</x:f>
        <x:v>Lost</x:v>
      </x:c>
    </x:row>
    <x:row r="174">
      <x:c r="A174" t="str">
        <x:v>L00173</x:v>
      </x:c>
      <x:c r="B174" s="10" t="n">
        <x:v>46129</x:v>
      </x:c>
      <x:c r="C174" t="str">
        <x:v>Ha Vo</x:v>
      </x:c>
      <x:c r="D174" t="str">
        <x:v>North</x:v>
      </x:c>
      <x:c r="E174" t="str">
        <x:v>Webinar</x:v>
      </x:c>
      <x:c r="F174" t="str">
        <x:v>CRM-CORE</x:v>
      </x:c>
      <x:c r="G174" t="str">
        <x:v>Technology</x:v>
      </x:c>
      <x:c r="H174" t="str">
        <x:v>Mid-Market</x:v>
      </x:c>
      <x:c r="I174" t="str">
        <x:v>Closed Won</x:v>
      </x:c>
      <x:c r="J174" s="10" t="n">
        <x:v>46196</x:v>
      </x:c>
      <x:c r="K174" s="10" t="n">
        <x:v>46196</x:v>
      </x:c>
      <x:c r="L174" s="22" t="n">
        <x:v>14200</x:v>
      </x:c>
      <x:c r="M174" s="24" t="n">
        <x:v>0.1</x:v>
      </x:c>
      <x:c r="N174" s="24" t="n">
        <x:v>1</x:v>
      </x:c>
      <x:c r="O174" t="str"/>
      <x:c r="P174" t="n">
        <x:v>6</x:v>
      </x:c>
      <x:c r="Q174" t="str">
        <x:f>IFERROR(XLOOKUP(E174,Lookups!$A$5:$A$24,Lookups!$B$5:$B$24),"Other")</x:f>
        <x:v>Webinar</x:v>
      </x:c>
      <x:c r="R174" t="str">
        <x:f>IFERROR(XLOOKUP(F174,Lookups!$D$5:$D$10,Lookups!$E$5:$E$10),"Unknown Product")</x:f>
        <x:v>NexaCRM Core</x:v>
      </x:c>
      <x:c r="S174" t="str">
        <x:f>IFERROR(XLOOKUP(F174,Lookups!$D$5:$D$10,Lookups!$F$5:$F$10),"Unknown")</x:f>
        <x:v>CRM</x:v>
      </x:c>
      <x:c r="T174" t="str">
        <x:f>IF(L174&gt;=50000,"Enterprise",IF(L174&gt;=20000,"Mid-Market","SMB"))</x:f>
        <x:v>SMB</x:v>
      </x:c>
      <x:c r="U174" t="str">
        <x:f>IF(I174="Closed Won","Won",IF(I174="Closed Lost","Lost","Open"))</x:f>
        <x:v>Won</x:v>
      </x:c>
      <x:c r="V174" s="22" t="n">
        <x:f>IF(U174="Won",L174*(1-M174),0)</x:f>
        <x:v>12780</x:v>
      </x:c>
      <x:c r="W174" s="22" t="n">
        <x:f>IF(U174="Open",L174*N174,0)</x:f>
        <x:v>0</x:v>
      </x:c>
      <x:c r="X174" s="26" t="n">
        <x:f>IF(U174="Open","",IFERROR(K174-B174,""))</x:f>
        <x:v>67</x:v>
      </x:c>
      <x:c r="Y174" s="26" t="n">
        <x:f>IF(U174="Open",Lookups!$B$2-B174,X174)</x:f>
        <x:v>67</x:v>
      </x:c>
      <x:c r="Z174" t="str">
        <x:f>IF(AND(U174="Open",Y174&gt;30),"STALE","OK")</x:f>
        <x:v>OK</x:v>
      </x:c>
      <x:c r="AA174" t="str">
        <x:f>TEXT(B174,"yyyy-mm")</x:f>
        <x:v>2026-04</x:v>
      </x:c>
      <x:c r="AB174" t="str">
        <x:f>IF(K174="","",TEXT(K174,"yyyy-mm"))</x:f>
        <x:v>2026-06</x:v>
      </x:c>
      <x:c r="AC174" t="str">
        <x:f>"Q"&amp;ROUNDUP(MONTH(B174)/3,0)&amp;"-"&amp;YEAR(B174)</x:f>
        <x:v>Q2-2026</x:v>
      </x:c>
      <x:c r="AD174" s="26" t="n">
        <x:f>MIN(100,IF(H174="Enterprise",30,IF(H174="Mid-Market",22,14))+IF(T174="Enterprise",25,IF(T174="Mid-Market",18,10))+IF(Q174="Referral",25,IF(Q174="Organic Search",20,IF(Q174="Email",18,14)))+IF(G174="Technology",10,5))</x:f>
        <x:v>56</x:v>
      </x:c>
      <x:c r="AE174" t="str">
        <x:f>IF(U174&lt;&gt;"Open",U174,IF(N174&gt;=0.8,"Commit",IF(N174&gt;=0.5,"Best Case","Pipeline")))</x:f>
        <x:v>Won</x:v>
      </x:c>
    </x:row>
    <x:row r="175">
      <x:c r="A175" t="str">
        <x:v>L00174</x:v>
      </x:c>
      <x:c r="B175" s="10" t="n">
        <x:v>45691</x:v>
      </x:c>
      <x:c r="C175" t="str">
        <x:v>Tuan Bui</x:v>
      </x:c>
      <x:c r="D175" t="str">
        <x:v>Central</x:v>
      </x:c>
      <x:c r="E175" t="str">
        <x:v>SEM - Google</x:v>
      </x:c>
      <x:c r="F175" t="str">
        <x:v>CRM-CORE</x:v>
      </x:c>
      <x:c r="G175" t="str">
        <x:v>Healthcare</x:v>
      </x:c>
      <x:c r="H175" t="str">
        <x:v>SMB</x:v>
      </x:c>
      <x:c r="I175" t="str">
        <x:v>Closed Lost</x:v>
      </x:c>
      <x:c r="J175" s="10" t="n">
        <x:v>45737</x:v>
      </x:c>
      <x:c r="K175" s="10" t="n">
        <x:v>45737</x:v>
      </x:c>
      <x:c r="L175" s="22" t="n">
        <x:v>5100</x:v>
      </x:c>
      <x:c r="M175" s="24" t="n">
        <x:v>0</x:v>
      </x:c>
      <x:c r="N175" s="24" t="n">
        <x:v>0</x:v>
      </x:c>
      <x:c r="O175" t="str">
        <x:v>Feature Gap</x:v>
      </x:c>
      <x:c r="P175" t="n">
        <x:v>5</x:v>
      </x:c>
      <x:c r="Q175" t="str">
        <x:f>IFERROR(XLOOKUP(E175,Lookups!$A$5:$A$24,Lookups!$B$5:$B$24),"Other")</x:f>
        <x:v>Paid Search</x:v>
      </x:c>
      <x:c r="R175" t="str">
        <x:f>IFERROR(XLOOKUP(F175,Lookups!$D$5:$D$10,Lookups!$E$5:$E$10),"Unknown Product")</x:f>
        <x:v>NexaCRM Core</x:v>
      </x:c>
      <x:c r="S175" t="str">
        <x:f>IFERROR(XLOOKUP(F175,Lookups!$D$5:$D$10,Lookups!$F$5:$F$10),"Unknown")</x:f>
        <x:v>CRM</x:v>
      </x:c>
      <x:c r="T175" t="str">
        <x:f>IF(L175&gt;=50000,"Enterprise",IF(L175&gt;=20000,"Mid-Market","SMB"))</x:f>
        <x:v>SMB</x:v>
      </x:c>
      <x:c r="U175" t="str">
        <x:f>IF(I175="Closed Won","Won",IF(I175="Closed Lost","Lost","Open"))</x:f>
        <x:v>Lost</x:v>
      </x:c>
      <x:c r="V175" s="22" t="n">
        <x:f>IF(U175="Won",L175*(1-M175),0)</x:f>
        <x:v>0</x:v>
      </x:c>
      <x:c r="W175" s="22" t="n">
        <x:f>IF(U175="Open",L175*N175,0)</x:f>
        <x:v>0</x:v>
      </x:c>
      <x:c r="X175" s="26" t="n">
        <x:f>IF(U175="Open","",IFERROR(K175-B175,""))</x:f>
        <x:v>46</x:v>
      </x:c>
      <x:c r="Y175" s="26" t="n">
        <x:f>IF(U175="Open",Lookups!$B$2-B175,X175)</x:f>
        <x:v>46</x:v>
      </x:c>
      <x:c r="Z175" t="str">
        <x:f>IF(AND(U175="Open",Y175&gt;30),"STALE","OK")</x:f>
        <x:v>OK</x:v>
      </x:c>
      <x:c r="AA175" t="str">
        <x:f>TEXT(B175,"yyyy-mm")</x:f>
        <x:v>2025-02</x:v>
      </x:c>
      <x:c r="AB175" t="str">
        <x:f>IF(K175="","",TEXT(K175,"yyyy-mm"))</x:f>
        <x:v>2025-03</x:v>
      </x:c>
      <x:c r="AC175" t="str">
        <x:f>"Q"&amp;ROUNDUP(MONTH(B175)/3,0)&amp;"-"&amp;YEAR(B175)</x:f>
        <x:v>Q1-2025</x:v>
      </x:c>
      <x:c r="AD175" s="26" t="n">
        <x:f>MIN(100,IF(H175="Enterprise",30,IF(H175="Mid-Market",22,14))+IF(T175="Enterprise",25,IF(T175="Mid-Market",18,10))+IF(Q175="Referral",25,IF(Q175="Organic Search",20,IF(Q175="Email",18,14)))+IF(G175="Technology",10,5))</x:f>
        <x:v>43</x:v>
      </x:c>
      <x:c r="AE175" t="str">
        <x:f>IF(U175&lt;&gt;"Open",U175,IF(N175&gt;=0.8,"Commit",IF(N175&gt;=0.5,"Best Case","Pipeline")))</x:f>
        <x:v>Lost</x:v>
      </x:c>
    </x:row>
    <x:row r="176">
      <x:c r="A176" t="str">
        <x:v>L00175</x:v>
      </x:c>
      <x:c r="B176" s="10" t="n">
        <x:v>45709</x:v>
      </x:c>
      <x:c r="C176" t="str">
        <x:v>Ha Vo</x:v>
      </x:c>
      <x:c r="D176" t="str">
        <x:v>North</x:v>
      </x:c>
      <x:c r="E176" t="str">
        <x:v>Webinar</x:v>
      </x:c>
      <x:c r="F176" t="str">
        <x:v>MKT-AUTO</x:v>
      </x:c>
      <x:c r="G176" t="str">
        <x:v>Manufacturing</x:v>
      </x:c>
      <x:c r="H176" t="str">
        <x:v>Enterprise</x:v>
      </x:c>
      <x:c r="I176" t="str">
        <x:v>Closed Lost</x:v>
      </x:c>
      <x:c r="J176" s="10" t="n">
        <x:v>45772</x:v>
      </x:c>
      <x:c r="K176" s="10" t="n">
        <x:v>45772</x:v>
      </x:c>
      <x:c r="L176" s="22" t="n">
        <x:v>35400</x:v>
      </x:c>
      <x:c r="M176" s="24" t="n">
        <x:v>0</x:v>
      </x:c>
      <x:c r="N176" s="24" t="n">
        <x:v>0</x:v>
      </x:c>
      <x:c r="O176" t="str">
        <x:v>Budget</x:v>
      </x:c>
      <x:c r="P176" t="n">
        <x:v>3</x:v>
      </x:c>
      <x:c r="Q176" t="str">
        <x:f>IFERROR(XLOOKUP(E176,Lookups!$A$5:$A$24,Lookups!$B$5:$B$24),"Other")</x:f>
        <x:v>Webinar</x:v>
      </x:c>
      <x:c r="R176" t="str">
        <x:f>IFERROR(XLOOKUP(F176,Lookups!$D$5:$D$10,Lookups!$E$5:$E$10),"Unknown Product")</x:f>
        <x:v>Marketing Automation</x:v>
      </x:c>
      <x:c r="S176" t="str">
        <x:f>IFERROR(XLOOKUP(F176,Lookups!$D$5:$D$10,Lookups!$F$5:$F$10),"Unknown")</x:f>
        <x:v>Marketing</x:v>
      </x:c>
      <x:c r="T176" t="str">
        <x:f>IF(L176&gt;=50000,"Enterprise",IF(L176&gt;=20000,"Mid-Market","SMB"))</x:f>
        <x:v>Mid-Market</x:v>
      </x:c>
      <x:c r="U176" t="str">
        <x:f>IF(I176="Closed Won","Won",IF(I176="Closed Lost","Lost","Open"))</x:f>
        <x:v>Lost</x:v>
      </x:c>
      <x:c r="V176" s="22" t="n">
        <x:f>IF(U176="Won",L176*(1-M176),0)</x:f>
        <x:v>0</x:v>
      </x:c>
      <x:c r="W176" s="22" t="n">
        <x:f>IF(U176="Open",L176*N176,0)</x:f>
        <x:v>0</x:v>
      </x:c>
      <x:c r="X176" s="26" t="n">
        <x:f>IF(U176="Open","",IFERROR(K176-B176,""))</x:f>
        <x:v>63</x:v>
      </x:c>
      <x:c r="Y176" s="26" t="n">
        <x:f>IF(U176="Open",Lookups!$B$2-B176,X176)</x:f>
        <x:v>63</x:v>
      </x:c>
      <x:c r="Z176" t="str">
        <x:f>IF(AND(U176="Open",Y176&gt;30),"STALE","OK")</x:f>
        <x:v>OK</x:v>
      </x:c>
      <x:c r="AA176" t="str">
        <x:f>TEXT(B176,"yyyy-mm")</x:f>
        <x:v>2025-02</x:v>
      </x:c>
      <x:c r="AB176" t="str">
        <x:f>IF(K176="","",TEXT(K176,"yyyy-mm"))</x:f>
        <x:v>2025-04</x:v>
      </x:c>
      <x:c r="AC176" t="str">
        <x:f>"Q"&amp;ROUNDUP(MONTH(B176)/3,0)&amp;"-"&amp;YEAR(B176)</x:f>
        <x:v>Q1-2025</x:v>
      </x:c>
      <x:c r="AD176" s="26" t="n">
        <x:f>MIN(100,IF(H176="Enterprise",30,IF(H176="Mid-Market",22,14))+IF(T176="Enterprise",25,IF(T176="Mid-Market",18,10))+IF(Q176="Referral",25,IF(Q176="Organic Search",20,IF(Q176="Email",18,14)))+IF(G176="Technology",10,5))</x:f>
        <x:v>67</x:v>
      </x:c>
      <x:c r="AE176" t="str">
        <x:f>IF(U176&lt;&gt;"Open",U176,IF(N176&gt;=0.8,"Commit",IF(N176&gt;=0.5,"Best Case","Pipeline")))</x:f>
        <x:v>Lost</x:v>
      </x:c>
    </x:row>
    <x:row r="177">
      <x:c r="A177" t="str">
        <x:v>L00176</x:v>
      </x:c>
      <x:c r="B177" s="10" t="n">
        <x:v>45813</x:v>
      </x:c>
      <x:c r="C177" t="str">
        <x:v>Ha Vo</x:v>
      </x:c>
      <x:c r="D177" t="str">
        <x:v>North</x:v>
      </x:c>
      <x:c r="E177" t="str">
        <x:v>LinkedIn Ads</x:v>
      </x:c>
      <x:c r="F177" t="str">
        <x:v>CS-CLOUD</x:v>
      </x:c>
      <x:c r="G177" t="str">
        <x:v>Financial Services</x:v>
      </x:c>
      <x:c r="H177" t="str">
        <x:v>SMB</x:v>
      </x:c>
      <x:c r="I177" t="str">
        <x:v>Closed Lost</x:v>
      </x:c>
      <x:c r="J177" s="10" t="n">
        <x:v>45865</x:v>
      </x:c>
      <x:c r="K177" s="10" t="n">
        <x:v>45865</x:v>
      </x:c>
      <x:c r="L177" s="22" t="n">
        <x:v>25100</x:v>
      </x:c>
      <x:c r="M177" s="24" t="n">
        <x:v>0</x:v>
      </x:c>
      <x:c r="N177" s="24" t="n">
        <x:v>0</x:v>
      </x:c>
      <x:c r="O177" t="str">
        <x:v>Competitor</x:v>
      </x:c>
      <x:c r="P177" t="n">
        <x:v>3</x:v>
      </x:c>
      <x:c r="Q177" t="str">
        <x:f>IFERROR(XLOOKUP(E177,Lookups!$A$5:$A$24,Lookups!$B$5:$B$24),"Other")</x:f>
        <x:v>LinkedIn</x:v>
      </x:c>
      <x:c r="R177" t="str">
        <x:f>IFERROR(XLOOKUP(F177,Lookups!$D$5:$D$10,Lookups!$E$5:$E$10),"Unknown Product")</x:f>
        <x:v>Service Cloud</x:v>
      </x:c>
      <x:c r="S177" t="str">
        <x:f>IFERROR(XLOOKUP(F177,Lookups!$D$5:$D$10,Lookups!$F$5:$F$10),"Unknown")</x:f>
        <x:v>Customer Service</x:v>
      </x:c>
      <x:c r="T177" t="str">
        <x:f>IF(L177&gt;=50000,"Enterprise",IF(L177&gt;=20000,"Mid-Market","SMB"))</x:f>
        <x:v>Mid-Market</x:v>
      </x:c>
      <x:c r="U177" t="str">
        <x:f>IF(I177="Closed Won","Won",IF(I177="Closed Lost","Lost","Open"))</x:f>
        <x:v>Lost</x:v>
      </x:c>
      <x:c r="V177" s="22" t="n">
        <x:f>IF(U177="Won",L177*(1-M177),0)</x:f>
        <x:v>0</x:v>
      </x:c>
      <x:c r="W177" s="22" t="n">
        <x:f>IF(U177="Open",L177*N177,0)</x:f>
        <x:v>0</x:v>
      </x:c>
      <x:c r="X177" s="26" t="n">
        <x:f>IF(U177="Open","",IFERROR(K177-B177,""))</x:f>
        <x:v>52</x:v>
      </x:c>
      <x:c r="Y177" s="26" t="n">
        <x:f>IF(U177="Open",Lookups!$B$2-B177,X177)</x:f>
        <x:v>52</x:v>
      </x:c>
      <x:c r="Z177" t="str">
        <x:f>IF(AND(U177="Open",Y177&gt;30),"STALE","OK")</x:f>
        <x:v>OK</x:v>
      </x:c>
      <x:c r="AA177" t="str">
        <x:f>TEXT(B177,"yyyy-mm")</x:f>
        <x:v>2025-06</x:v>
      </x:c>
      <x:c r="AB177" t="str">
        <x:f>IF(K177="","",TEXT(K177,"yyyy-mm"))</x:f>
        <x:v>2025-07</x:v>
      </x:c>
      <x:c r="AC177" t="str">
        <x:f>"Q"&amp;ROUNDUP(MONTH(B177)/3,0)&amp;"-"&amp;YEAR(B177)</x:f>
        <x:v>Q2-2025</x:v>
      </x:c>
      <x:c r="AD177" s="26" t="n">
        <x:f>MIN(100,IF(H177="Enterprise",30,IF(H177="Mid-Market",22,14))+IF(T177="Enterprise",25,IF(T177="Mid-Market",18,10))+IF(Q177="Referral",25,IF(Q177="Organic Search",20,IF(Q177="Email",18,14)))+IF(G177="Technology",10,5))</x:f>
        <x:v>51</x:v>
      </x:c>
      <x:c r="AE177" t="str">
        <x:f>IF(U177&lt;&gt;"Open",U177,IF(N177&gt;=0.8,"Commit",IF(N177&gt;=0.5,"Best Case","Pipeline")))</x:f>
        <x:v>Lost</x:v>
      </x:c>
    </x:row>
    <x:row r="178">
      <x:c r="A178" t="str">
        <x:v>L00177</x:v>
      </x:c>
      <x:c r="B178" s="10" t="n">
        <x:v>45995</x:v>
      </x:c>
      <x:c r="C178" t="str">
        <x:v>Quynh Vu</x:v>
      </x:c>
      <x:c r="D178" t="str">
        <x:v>North</x:v>
      </x:c>
      <x:c r="E178" t="str">
        <x:v>customer referral</x:v>
      </x:c>
      <x:c r="F178" t="str">
        <x:v>BI-PLUS</x:v>
      </x:c>
      <x:c r="G178" t="str">
        <x:v>Education</x:v>
      </x:c>
      <x:c r="H178" t="str">
        <x:v>Enterprise</x:v>
      </x:c>
      <x:c r="I178" t="str">
        <x:v>Closed Won</x:v>
      </x:c>
      <x:c r="J178" s="10" t="n">
        <x:v>46115</x:v>
      </x:c>
      <x:c r="K178" s="10" t="n">
        <x:v>46115</x:v>
      </x:c>
      <x:c r="L178" s="22" t="n">
        <x:v>104600</x:v>
      </x:c>
      <x:c r="M178" s="24" t="n">
        <x:v>0</x:v>
      </x:c>
      <x:c r="N178" s="24" t="n">
        <x:v>1</x:v>
      </x:c>
      <x:c r="O178" t="str"/>
      <x:c r="P178" t="n">
        <x:v>6</x:v>
      </x:c>
      <x:c r="Q178" t="str">
        <x:f>IFERROR(XLOOKUP(E178,Lookups!$A$5:$A$24,Lookups!$B$5:$B$24),"Other")</x:f>
        <x:v>Referral</x:v>
      </x:c>
      <x:c r="R178" t="str">
        <x:f>IFERROR(XLOOKUP(F178,Lookups!$D$5:$D$10,Lookups!$E$5:$E$10),"Unknown Product")</x:f>
        <x:v>Analytics Plus</x:v>
      </x:c>
      <x:c r="S178" t="str">
        <x:f>IFERROR(XLOOKUP(F178,Lookups!$D$5:$D$10,Lookups!$F$5:$F$10),"Unknown")</x:f>
        <x:v>Analytics</x:v>
      </x:c>
      <x:c r="T178" t="str">
        <x:f>IF(L178&gt;=50000,"Enterprise",IF(L178&gt;=20000,"Mid-Market","SMB"))</x:f>
        <x:v>Enterprise</x:v>
      </x:c>
      <x:c r="U178" t="str">
        <x:f>IF(I178="Closed Won","Won",IF(I178="Closed Lost","Lost","Open"))</x:f>
        <x:v>Won</x:v>
      </x:c>
      <x:c r="V178" s="22" t="n">
        <x:f>IF(U178="Won",L178*(1-M178),0)</x:f>
        <x:v>104600</x:v>
      </x:c>
      <x:c r="W178" s="22" t="n">
        <x:f>IF(U178="Open",L178*N178,0)</x:f>
        <x:v>0</x:v>
      </x:c>
      <x:c r="X178" s="26" t="n">
        <x:f>IF(U178="Open","",IFERROR(K178-B178,""))</x:f>
        <x:v>120</x:v>
      </x:c>
      <x:c r="Y178" s="26" t="n">
        <x:f>IF(U178="Open",Lookups!$B$2-B178,X178)</x:f>
        <x:v>120</x:v>
      </x:c>
      <x:c r="Z178" t="str">
        <x:f>IF(AND(U178="Open",Y178&gt;30),"STALE","OK")</x:f>
        <x:v>OK</x:v>
      </x:c>
      <x:c r="AA178" t="str">
        <x:f>TEXT(B178,"yyyy-mm")</x:f>
        <x:v>2025-12</x:v>
      </x:c>
      <x:c r="AB178" t="str">
        <x:f>IF(K178="","",TEXT(K178,"yyyy-mm"))</x:f>
        <x:v>2026-04</x:v>
      </x:c>
      <x:c r="AC178" t="str">
        <x:f>"Q"&amp;ROUNDUP(MONTH(B178)/3,0)&amp;"-"&amp;YEAR(B178)</x:f>
        <x:v>Q4-2025</x:v>
      </x:c>
      <x:c r="AD178" s="26" t="n">
        <x:f>MIN(100,IF(H178="Enterprise",30,IF(H178="Mid-Market",22,14))+IF(T178="Enterprise",25,IF(T178="Mid-Market",18,10))+IF(Q178="Referral",25,IF(Q178="Organic Search",20,IF(Q178="Email",18,14)))+IF(G178="Technology",10,5))</x:f>
        <x:v>85</x:v>
      </x:c>
      <x:c r="AE178" t="str">
        <x:f>IF(U178&lt;&gt;"Open",U178,IF(N178&gt;=0.8,"Commit",IF(N178&gt;=0.5,"Best Case","Pipeline")))</x:f>
        <x:v>Won</x:v>
      </x:c>
    </x:row>
    <x:row r="179">
      <x:c r="A179" t="str">
        <x:v>L00178</x:v>
      </x:c>
      <x:c r="B179" s="10" t="n">
        <x:v>46253</x:v>
      </x:c>
      <x:c r="C179" t="str">
        <x:v>Quynh Vu</x:v>
      </x:c>
      <x:c r="D179" t="str">
        <x:v>North</x:v>
      </x:c>
      <x:c r="E179" t="str">
        <x:v>Partner Referral</x:v>
      </x:c>
      <x:c r="F179" t="str">
        <x:v>CRM-CORE</x:v>
      </x:c>
      <x:c r="G179" t="str">
        <x:v>Manufacturing</x:v>
      </x:c>
      <x:c r="H179" t="str">
        <x:v>SMB</x:v>
      </x:c>
      <x:c r="I179" t="str">
        <x:v>New</x:v>
      </x:c>
      <x:c r="J179" s="10" t="n">
        <x:v>46259</x:v>
      </x:c>
      <x:c r="K179" s="10"/>
      <x:c r="L179" s="22" t="n">
        <x:v>6500</x:v>
      </x:c>
      <x:c r="M179" s="24" t="n">
        <x:v>0.05</x:v>
      </x:c>
      <x:c r="N179" s="24" t="n">
        <x:v>0.05</x:v>
      </x:c>
      <x:c r="O179" t="str"/>
      <x:c r="P179" t="n">
        <x:v>1</x:v>
      </x:c>
      <x:c r="Q179" t="str">
        <x:f>IFERROR(XLOOKUP(E179,Lookups!$A$5:$A$24,Lookups!$B$5:$B$24),"Other")</x:f>
        <x:v>Referral</x:v>
      </x:c>
      <x:c r="R179" t="str">
        <x:f>IFERROR(XLOOKUP(F179,Lookups!$D$5:$D$10,Lookups!$E$5:$E$10),"Unknown Product")</x:f>
        <x:v>NexaCRM Core</x:v>
      </x:c>
      <x:c r="S179" t="str">
        <x:f>IFERROR(XLOOKUP(F179,Lookups!$D$5:$D$10,Lookups!$F$5:$F$10),"Unknown")</x:f>
        <x:v>CRM</x:v>
      </x:c>
      <x:c r="T179" t="str">
        <x:f>IF(L179&gt;=50000,"Enterprise",IF(L179&gt;=20000,"Mid-Market","SMB"))</x:f>
        <x:v>SMB</x:v>
      </x:c>
      <x:c r="U179" t="str">
        <x:f>IF(I179="Closed Won","Won",IF(I179="Closed Lost","Lost","Open"))</x:f>
        <x:v>Open</x:v>
      </x:c>
      <x:c r="V179" s="22" t="n">
        <x:f>IF(U179="Won",L179*(1-M179),0)</x:f>
        <x:v>0</x:v>
      </x:c>
      <x:c r="W179" s="22" t="n">
        <x:f>IF(U179="Open",L179*N179,0)</x:f>
        <x:v>325</x:v>
      </x:c>
      <x:c r="X179" s="26" t="str">
        <x:f>IF(U179="Open","",IFERROR(K179-B179,""))</x:f>
      </x:c>
      <x:c r="Y179" s="26" t="n">
        <x:f>IF(U179="Open",Lookups!$B$2-B179,X179)</x:f>
        <x:v>13</x:v>
      </x:c>
      <x:c r="Z179" t="str">
        <x:f>IF(AND(U179="Open",Y179&gt;30),"STALE","OK")</x:f>
        <x:v>OK</x:v>
      </x:c>
      <x:c r="AA179" t="str">
        <x:f>TEXT(B179,"yyyy-mm")</x:f>
        <x:v>2026-08</x:v>
      </x:c>
      <x:c r="AB179" t="str">
        <x:f>IF(K179="","",TEXT(K179,"yyyy-mm"))</x:f>
      </x:c>
      <x:c r="AC179" t="str">
        <x:f>"Q"&amp;ROUNDUP(MONTH(B179)/3,0)&amp;"-"&amp;YEAR(B179)</x:f>
        <x:v>Q3-2026</x:v>
      </x:c>
      <x:c r="AD179" s="26" t="n">
        <x:f>MIN(100,IF(H179="Enterprise",30,IF(H179="Mid-Market",22,14))+IF(T179="Enterprise",25,IF(T179="Mid-Market",18,10))+IF(Q179="Referral",25,IF(Q179="Organic Search",20,IF(Q179="Email",18,14)))+IF(G179="Technology",10,5))</x:f>
        <x:v>54</x:v>
      </x:c>
      <x:c r="AE179" t="str">
        <x:f>IF(U179&lt;&gt;"Open",U179,IF(N179&gt;=0.8,"Commit",IF(N179&gt;=0.5,"Best Case","Pipeline")))</x:f>
        <x:v>Pipeline</x:v>
      </x:c>
    </x:row>
    <x:row r="180">
      <x:c r="A180" t="str">
        <x:v>L00179</x:v>
      </x:c>
      <x:c r="B180" s="10" t="n">
        <x:v>45918</x:v>
      </x:c>
      <x:c r="C180" t="str">
        <x:v>Chi Le</x:v>
      </x:c>
      <x:c r="D180" t="str">
        <x:v>South</x:v>
      </x:c>
      <x:c r="E180" t="str">
        <x:v>google cpc</x:v>
      </x:c>
      <x:c r="F180" t="str">
        <x:v>BI-PLUS</x:v>
      </x:c>
      <x:c r="G180" t="str">
        <x:v>Professional Services</x:v>
      </x:c>
      <x:c r="H180" t="str">
        <x:v>Mid-Market</x:v>
      </x:c>
      <x:c r="I180" t="str">
        <x:v>Closed Lost</x:v>
      </x:c>
      <x:c r="J180" s="10" t="n">
        <x:v>45964</x:v>
      </x:c>
      <x:c r="K180" s="10" t="n">
        <x:v>45964</x:v>
      </x:c>
      <x:c r="L180" s="22" t="n">
        <x:v>27000</x:v>
      </x:c>
      <x:c r="M180" s="24" t="n">
        <x:v>0</x:v>
      </x:c>
      <x:c r="N180" s="24" t="n">
        <x:v>0</x:v>
      </x:c>
      <x:c r="O180" t="str">
        <x:v>Competitor</x:v>
      </x:c>
      <x:c r="P180" t="n">
        <x:v>5</x:v>
      </x:c>
      <x:c r="Q180" t="str">
        <x:f>IFERROR(XLOOKUP(E180,Lookups!$A$5:$A$24,Lookups!$B$5:$B$24),"Other")</x:f>
        <x:v>Paid Search</x:v>
      </x:c>
      <x:c r="R180" t="str">
        <x:f>IFERROR(XLOOKUP(F180,Lookups!$D$5:$D$10,Lookups!$E$5:$E$10),"Unknown Product")</x:f>
        <x:v>Analytics Plus</x:v>
      </x:c>
      <x:c r="S180" t="str">
        <x:f>IFERROR(XLOOKUP(F180,Lookups!$D$5:$D$10,Lookups!$F$5:$F$10),"Unknown")</x:f>
        <x:v>Analytics</x:v>
      </x:c>
      <x:c r="T180" t="str">
        <x:f>IF(L180&gt;=50000,"Enterprise",IF(L180&gt;=20000,"Mid-Market","SMB"))</x:f>
        <x:v>Mid-Market</x:v>
      </x:c>
      <x:c r="U180" t="str">
        <x:f>IF(I180="Closed Won","Won",IF(I180="Closed Lost","Lost","Open"))</x:f>
        <x:v>Lost</x:v>
      </x:c>
      <x:c r="V180" s="22" t="n">
        <x:f>IF(U180="Won",L180*(1-M180),0)</x:f>
        <x:v>0</x:v>
      </x:c>
      <x:c r="W180" s="22" t="n">
        <x:f>IF(U180="Open",L180*N180,0)</x:f>
        <x:v>0</x:v>
      </x:c>
      <x:c r="X180" s="26" t="n">
        <x:f>IF(U180="Open","",IFERROR(K180-B180,""))</x:f>
        <x:v>46</x:v>
      </x:c>
      <x:c r="Y180" s="26" t="n">
        <x:f>IF(U180="Open",Lookups!$B$2-B180,X180)</x:f>
        <x:v>46</x:v>
      </x:c>
      <x:c r="Z180" t="str">
        <x:f>IF(AND(U180="Open",Y180&gt;30),"STALE","OK")</x:f>
        <x:v>OK</x:v>
      </x:c>
      <x:c r="AA180" t="str">
        <x:f>TEXT(B180,"yyyy-mm")</x:f>
        <x:v>2025-09</x:v>
      </x:c>
      <x:c r="AB180" t="str">
        <x:f>IF(K180="","",TEXT(K180,"yyyy-mm"))</x:f>
        <x:v>2025-11</x:v>
      </x:c>
      <x:c r="AC180" t="str">
        <x:f>"Q"&amp;ROUNDUP(MONTH(B180)/3,0)&amp;"-"&amp;YEAR(B180)</x:f>
        <x:v>Q3-2025</x:v>
      </x:c>
      <x:c r="AD180" s="26" t="n">
        <x:f>MIN(100,IF(H180="Enterprise",30,IF(H180="Mid-Market",22,14))+IF(T180="Enterprise",25,IF(T180="Mid-Market",18,10))+IF(Q180="Referral",25,IF(Q180="Organic Search",20,IF(Q180="Email",18,14)))+IF(G180="Technology",10,5))</x:f>
        <x:v>59</x:v>
      </x:c>
      <x:c r="AE180" t="str">
        <x:f>IF(U180&lt;&gt;"Open",U180,IF(N180&gt;=0.8,"Commit",IF(N180&gt;=0.5,"Best Case","Pipeline")))</x:f>
        <x:v>Lost</x:v>
      </x:c>
    </x:row>
    <x:row r="181">
      <x:c r="A181" t="str">
        <x:v>L00180</x:v>
      </x:c>
      <x:c r="B181" s="10" t="n">
        <x:v>46261</x:v>
      </x:c>
      <x:c r="C181" t="str">
        <x:v>Minh Do</x:v>
      </x:c>
      <x:c r="D181" t="str">
        <x:v>North</x:v>
      </x:c>
      <x:c r="E181" t="str">
        <x:v>LinkedIn Ads</x:v>
      </x:c>
      <x:c r="F181" t="str">
        <x:v>BI-PLUS</x:v>
      </x:c>
      <x:c r="G181" t="str">
        <x:v>Financial Services</x:v>
      </x:c>
      <x:c r="H181" t="str">
        <x:v>SMB</x:v>
      </x:c>
      <x:c r="I181" t="str">
        <x:v>Closed Lost</x:v>
      </x:c>
      <x:c r="J181" s="10" t="n">
        <x:v>46266</x:v>
      </x:c>
      <x:c r="K181" s="10" t="n">
        <x:v>46266</x:v>
      </x:c>
      <x:c r="L181" s="22" t="n">
        <x:v>28100</x:v>
      </x:c>
      <x:c r="M181" s="24" t="n">
        <x:v>0</x:v>
      </x:c>
      <x:c r="N181" s="24" t="n">
        <x:v>0</x:v>
      </x:c>
      <x:c r="O181" t="str">
        <x:v>No Decision</x:v>
      </x:c>
      <x:c r="P181" t="n">
        <x:v>3</x:v>
      </x:c>
      <x:c r="Q181" t="str">
        <x:f>IFERROR(XLOOKUP(E181,Lookups!$A$5:$A$24,Lookups!$B$5:$B$24),"Other")</x:f>
        <x:v>LinkedIn</x:v>
      </x:c>
      <x:c r="R181" t="str">
        <x:f>IFERROR(XLOOKUP(F181,Lookups!$D$5:$D$10,Lookups!$E$5:$E$10),"Unknown Product")</x:f>
        <x:v>Analytics Plus</x:v>
      </x:c>
      <x:c r="S181" t="str">
        <x:f>IFERROR(XLOOKUP(F181,Lookups!$D$5:$D$10,Lookups!$F$5:$F$10),"Unknown")</x:f>
        <x:v>Analytics</x:v>
      </x:c>
      <x:c r="T181" t="str">
        <x:f>IF(L181&gt;=50000,"Enterprise",IF(L181&gt;=20000,"Mid-Market","SMB"))</x:f>
        <x:v>Mid-Market</x:v>
      </x:c>
      <x:c r="U181" t="str">
        <x:f>IF(I181="Closed Won","Won",IF(I181="Closed Lost","Lost","Open"))</x:f>
        <x:v>Lost</x:v>
      </x:c>
      <x:c r="V181" s="22" t="n">
        <x:f>IF(U181="Won",L181*(1-M181),0)</x:f>
        <x:v>0</x:v>
      </x:c>
      <x:c r="W181" s="22" t="n">
        <x:f>IF(U181="Open",L181*N181,0)</x:f>
        <x:v>0</x:v>
      </x:c>
      <x:c r="X181" s="26" t="n">
        <x:f>IF(U181="Open","",IFERROR(K181-B181,""))</x:f>
        <x:v>5</x:v>
      </x:c>
      <x:c r="Y181" s="26" t="n">
        <x:f>IF(U181="Open",Lookups!$B$2-B181,X181)</x:f>
        <x:v>5</x:v>
      </x:c>
      <x:c r="Z181" t="str">
        <x:f>IF(AND(U181="Open",Y181&gt;30),"STALE","OK")</x:f>
        <x:v>OK</x:v>
      </x:c>
      <x:c r="AA181" t="str">
        <x:f>TEXT(B181,"yyyy-mm")</x:f>
        <x:v>2026-08</x:v>
      </x:c>
      <x:c r="AB181" t="str">
        <x:f>IF(K181="","",TEXT(K181,"yyyy-mm"))</x:f>
        <x:v>2026-09</x:v>
      </x:c>
      <x:c r="AC181" t="str">
        <x:f>"Q"&amp;ROUNDUP(MONTH(B181)/3,0)&amp;"-"&amp;YEAR(B181)</x:f>
        <x:v>Q3-2026</x:v>
      </x:c>
      <x:c r="AD181" s="26" t="n">
        <x:f>MIN(100,IF(H181="Enterprise",30,IF(H181="Mid-Market",22,14))+IF(T181="Enterprise",25,IF(T181="Mid-Market",18,10))+IF(Q181="Referral",25,IF(Q181="Organic Search",20,IF(Q181="Email",18,14)))+IF(G181="Technology",10,5))</x:f>
        <x:v>51</x:v>
      </x:c>
      <x:c r="AE181" t="str">
        <x:f>IF(U181&lt;&gt;"Open",U181,IF(N181&gt;=0.8,"Commit",IF(N181&gt;=0.5,"Best Case","Pipeline")))</x:f>
        <x:v>Lost</x:v>
      </x:c>
    </x:row>
    <x:row r="182">
      <x:c r="A182" t="str">
        <x:v>L00181</x:v>
      </x:c>
      <x:c r="B182" s="10" t="n">
        <x:v>45754</x:v>
      </x:c>
      <x:c r="C182" t="str">
        <x:v>Quynh Vu</x:v>
      </x:c>
      <x:c r="D182" t="str">
        <x:v>North</x:v>
      </x:c>
      <x:c r="E182" t="str">
        <x:v>Cold Email</x:v>
      </x:c>
      <x:c r="F182" t="str">
        <x:v>MKT-AUTO</x:v>
      </x:c>
      <x:c r="G182" t="str">
        <x:v>Financial Services</x:v>
      </x:c>
      <x:c r="H182" t="str">
        <x:v>Mid-Market</x:v>
      </x:c>
      <x:c r="I182" t="str">
        <x:v>Negotiation</x:v>
      </x:c>
      <x:c r="J182" s="10" t="n">
        <x:v>45992</x:v>
      </x:c>
      <x:c r="K182" s="10"/>
      <x:c r="L182" s="22" t="n">
        <x:v>34300</x:v>
      </x:c>
      <x:c r="M182" s="24" t="n">
        <x:v>0.05</x:v>
      </x:c>
      <x:c r="N182" s="24" t="n">
        <x:v>0.85</x:v>
      </x:c>
      <x:c r="O182" t="str"/>
      <x:c r="P182" t="n">
        <x:v>5</x:v>
      </x:c>
      <x:c r="Q182" t="str">
        <x:f>IFERROR(XLOOKUP(E182,Lookups!$A$5:$A$24,Lookups!$B$5:$B$24),"Other")</x:f>
        <x:v>Outbound</x:v>
      </x:c>
      <x:c r="R182" t="str">
        <x:f>IFERROR(XLOOKUP(F182,Lookups!$D$5:$D$10,Lookups!$E$5:$E$10),"Unknown Product")</x:f>
        <x:v>Marketing Automation</x:v>
      </x:c>
      <x:c r="S182" t="str">
        <x:f>IFERROR(XLOOKUP(F182,Lookups!$D$5:$D$10,Lookups!$F$5:$F$10),"Unknown")</x:f>
        <x:v>Marketing</x:v>
      </x:c>
      <x:c r="T182" t="str">
        <x:f>IF(L182&gt;=50000,"Enterprise",IF(L182&gt;=20000,"Mid-Market","SMB"))</x:f>
        <x:v>Mid-Market</x:v>
      </x:c>
      <x:c r="U182" t="str">
        <x:f>IF(I182="Closed Won","Won",IF(I182="Closed Lost","Lost","Open"))</x:f>
        <x:v>Open</x:v>
      </x:c>
      <x:c r="V182" s="22" t="n">
        <x:f>IF(U182="Won",L182*(1-M182),0)</x:f>
        <x:v>0</x:v>
      </x:c>
      <x:c r="W182" s="22" t="n">
        <x:f>IF(U182="Open",L182*N182,0)</x:f>
        <x:v>29155</x:v>
      </x:c>
      <x:c r="X182" s="26" t="str">
        <x:f>IF(U182="Open","",IFERROR(K182-B182,""))</x:f>
      </x:c>
      <x:c r="Y182" s="26" t="n">
        <x:f>IF(U182="Open",Lookups!$B$2-B182,X182)</x:f>
        <x:v>512</x:v>
      </x:c>
      <x:c r="Z182" t="str">
        <x:f>IF(AND(U182="Open",Y182&gt;30),"STALE","OK")</x:f>
        <x:v>STALE</x:v>
      </x:c>
      <x:c r="AA182" t="str">
        <x:f>TEXT(B182,"yyyy-mm")</x:f>
        <x:v>2025-04</x:v>
      </x:c>
      <x:c r="AB182" t="str">
        <x:f>IF(K182="","",TEXT(K182,"yyyy-mm"))</x:f>
      </x:c>
      <x:c r="AC182" t="str">
        <x:f>"Q"&amp;ROUNDUP(MONTH(B182)/3,0)&amp;"-"&amp;YEAR(B182)</x:f>
        <x:v>Q2-2025</x:v>
      </x:c>
      <x:c r="AD182" s="26" t="n">
        <x:f>MIN(100,IF(H182="Enterprise",30,IF(H182="Mid-Market",22,14))+IF(T182="Enterprise",25,IF(T182="Mid-Market",18,10))+IF(Q182="Referral",25,IF(Q182="Organic Search",20,IF(Q182="Email",18,14)))+IF(G182="Technology",10,5))</x:f>
        <x:v>59</x:v>
      </x:c>
      <x:c r="AE182" t="str">
        <x:f>IF(U182&lt;&gt;"Open",U182,IF(N182&gt;=0.8,"Commit",IF(N182&gt;=0.5,"Best Case","Pipeline")))</x:f>
        <x:v>Commit</x:v>
      </x:c>
    </x:row>
    <x:row r="183">
      <x:c r="A183" t="str">
        <x:v>L00182</x:v>
      </x:c>
      <x:c r="B183" s="10" t="n">
        <x:v>45933</x:v>
      </x:c>
      <x:c r="C183" t="str">
        <x:v>Bao Tran</x:v>
      </x:c>
      <x:c r="D183" t="str">
        <x:v>South</x:v>
      </x:c>
      <x:c r="E183" t="str">
        <x:v>Email Campaign</x:v>
      </x:c>
      <x:c r="F183" t="str">
        <x:v>CRM-PRO</x:v>
      </x:c>
      <x:c r="G183" t="str">
        <x:v>Manufacturing</x:v>
      </x:c>
      <x:c r="H183" t="str">
        <x:v>SMB</x:v>
      </x:c>
      <x:c r="I183" t="str">
        <x:v>Closed Lost</x:v>
      </x:c>
      <x:c r="J183" s="10" t="n">
        <x:v>45992</x:v>
      </x:c>
      <x:c r="K183" s="10" t="n">
        <x:v>45992</x:v>
      </x:c>
      <x:c r="L183" s="22" t="n">
        <x:v>11400</x:v>
      </x:c>
      <x:c r="M183" s="24" t="n">
        <x:v>0</x:v>
      </x:c>
      <x:c r="N183" s="24" t="n">
        <x:v>0</x:v>
      </x:c>
      <x:c r="O183" t="str">
        <x:v>Timing</x:v>
      </x:c>
      <x:c r="P183" t="n">
        <x:v>2</x:v>
      </x:c>
      <x:c r="Q183" t="str">
        <x:f>IFERROR(XLOOKUP(E183,Lookups!$A$5:$A$24,Lookups!$B$5:$B$24),"Other")</x:f>
        <x:v>Email</x:v>
      </x:c>
      <x:c r="R183" t="str">
        <x:f>IFERROR(XLOOKUP(F183,Lookups!$D$5:$D$10,Lookups!$E$5:$E$10),"Unknown Product")</x:f>
        <x:v>NexaCRM Pro</x:v>
      </x:c>
      <x:c r="S183" t="str">
        <x:f>IFERROR(XLOOKUP(F183,Lookups!$D$5:$D$10,Lookups!$F$5:$F$10),"Unknown")</x:f>
        <x:v>CRM</x:v>
      </x:c>
      <x:c r="T183" t="str">
        <x:f>IF(L183&gt;=50000,"Enterprise",IF(L183&gt;=20000,"Mid-Market","SMB"))</x:f>
        <x:v>SMB</x:v>
      </x:c>
      <x:c r="U183" t="str">
        <x:f>IF(I183="Closed Won","Won",IF(I183="Closed Lost","Lost","Open"))</x:f>
        <x:v>Lost</x:v>
      </x:c>
      <x:c r="V183" s="22" t="n">
        <x:f>IF(U183="Won",L183*(1-M183),0)</x:f>
        <x:v>0</x:v>
      </x:c>
      <x:c r="W183" s="22" t="n">
        <x:f>IF(U183="Open",L183*N183,0)</x:f>
        <x:v>0</x:v>
      </x:c>
      <x:c r="X183" s="26" t="n">
        <x:f>IF(U183="Open","",IFERROR(K183-B183,""))</x:f>
        <x:v>59</x:v>
      </x:c>
      <x:c r="Y183" s="26" t="n">
        <x:f>IF(U183="Open",Lookups!$B$2-B183,X183)</x:f>
        <x:v>59</x:v>
      </x:c>
      <x:c r="Z183" t="str">
        <x:f>IF(AND(U183="Open",Y183&gt;30),"STALE","OK")</x:f>
        <x:v>OK</x:v>
      </x:c>
      <x:c r="AA183" t="str">
        <x:f>TEXT(B183,"yyyy-mm")</x:f>
        <x:v>2025-10</x:v>
      </x:c>
      <x:c r="AB183" t="str">
        <x:f>IF(K183="","",TEXT(K183,"yyyy-mm"))</x:f>
        <x:v>2025-12</x:v>
      </x:c>
      <x:c r="AC183" t="str">
        <x:f>"Q"&amp;ROUNDUP(MONTH(B183)/3,0)&amp;"-"&amp;YEAR(B183)</x:f>
        <x:v>Q4-2025</x:v>
      </x:c>
      <x:c r="AD183" s="26" t="n">
        <x:f>MIN(100,IF(H183="Enterprise",30,IF(H183="Mid-Market",22,14))+IF(T183="Enterprise",25,IF(T183="Mid-Market",18,10))+IF(Q183="Referral",25,IF(Q183="Organic Search",20,IF(Q183="Email",18,14)))+IF(G183="Technology",10,5))</x:f>
        <x:v>47</x:v>
      </x:c>
      <x:c r="AE183" t="str">
        <x:f>IF(U183&lt;&gt;"Open",U183,IF(N183&gt;=0.8,"Commit",IF(N183&gt;=0.5,"Best Case","Pipeline")))</x:f>
        <x:v>Lost</x:v>
      </x:c>
    </x:row>
    <x:row r="184">
      <x:c r="A184" t="str">
        <x:v>L00183</x:v>
      </x:c>
      <x:c r="B184" s="10" t="n">
        <x:v>46200</x:v>
      </x:c>
      <x:c r="C184" t="str">
        <x:v>Minh Do</x:v>
      </x:c>
      <x:c r="D184" t="str">
        <x:v>North</x:v>
      </x:c>
      <x:c r="E184" t="str">
        <x:v>email nurture</x:v>
      </x:c>
      <x:c r="F184" t="str">
        <x:v>MKT-AUTO</x:v>
      </x:c>
      <x:c r="G184" t="str">
        <x:v>Technology</x:v>
      </x:c>
      <x:c r="H184" t="str">
        <x:v>Enterprise</x:v>
      </x:c>
      <x:c r="I184" t="str">
        <x:v>Demo / Meeting</x:v>
      </x:c>
      <x:c r="J184" s="10" t="n">
        <x:v>46228</x:v>
      </x:c>
      <x:c r="K184" s="10"/>
      <x:c r="L184" s="22" t="n">
        <x:v>52500</x:v>
      </x:c>
      <x:c r="M184" s="24" t="n">
        <x:v>0.03</x:v>
      </x:c>
      <x:c r="N184" s="24" t="n">
        <x:v>0.4</x:v>
      </x:c>
      <x:c r="O184" t="str"/>
      <x:c r="P184" t="n">
        <x:v>3</x:v>
      </x:c>
      <x:c r="Q184" t="str">
        <x:f>IFERROR(XLOOKUP(E184,Lookups!$A$5:$A$24,Lookups!$B$5:$B$24),"Other")</x:f>
        <x:v>Email</x:v>
      </x:c>
      <x:c r="R184" t="str">
        <x:f>IFERROR(XLOOKUP(F184,Lookups!$D$5:$D$10,Lookups!$E$5:$E$10),"Unknown Product")</x:f>
        <x:v>Marketing Automation</x:v>
      </x:c>
      <x:c r="S184" t="str">
        <x:f>IFERROR(XLOOKUP(F184,Lookups!$D$5:$D$10,Lookups!$F$5:$F$10),"Unknown")</x:f>
        <x:v>Marketing</x:v>
      </x:c>
      <x:c r="T184" t="str">
        <x:f>IF(L184&gt;=50000,"Enterprise",IF(L184&gt;=20000,"Mid-Market","SMB"))</x:f>
        <x:v>Enterprise</x:v>
      </x:c>
      <x:c r="U184" t="str">
        <x:f>IF(I184="Closed Won","Won",IF(I184="Closed Lost","Lost","Open"))</x:f>
        <x:v>Open</x:v>
      </x:c>
      <x:c r="V184" s="22" t="n">
        <x:f>IF(U184="Won",L184*(1-M184),0)</x:f>
        <x:v>0</x:v>
      </x:c>
      <x:c r="W184" s="22" t="n">
        <x:f>IF(U184="Open",L184*N184,0)</x:f>
        <x:v>21000</x:v>
      </x:c>
      <x:c r="X184" s="26" t="str">
        <x:f>IF(U184="Open","",IFERROR(K184-B184,""))</x:f>
      </x:c>
      <x:c r="Y184" s="26" t="n">
        <x:f>IF(U184="Open",Lookups!$B$2-B184,X184)</x:f>
        <x:v>66</x:v>
      </x:c>
      <x:c r="Z184" t="str">
        <x:f>IF(AND(U184="Open",Y184&gt;30),"STALE","OK")</x:f>
        <x:v>STALE</x:v>
      </x:c>
      <x:c r="AA184" t="str">
        <x:f>TEXT(B184,"yyyy-mm")</x:f>
        <x:v>2026-06</x:v>
      </x:c>
      <x:c r="AB184" t="str">
        <x:f>IF(K184="","",TEXT(K184,"yyyy-mm"))</x:f>
      </x:c>
      <x:c r="AC184" t="str">
        <x:f>"Q"&amp;ROUNDUP(MONTH(B184)/3,0)&amp;"-"&amp;YEAR(B184)</x:f>
        <x:v>Q2-2026</x:v>
      </x:c>
      <x:c r="AD184" s="26" t="n">
        <x:f>MIN(100,IF(H184="Enterprise",30,IF(H184="Mid-Market",22,14))+IF(T184="Enterprise",25,IF(T184="Mid-Market",18,10))+IF(Q184="Referral",25,IF(Q184="Organic Search",20,IF(Q184="Email",18,14)))+IF(G184="Technology",10,5))</x:f>
        <x:v>83</x:v>
      </x:c>
      <x:c r="AE184" t="str">
        <x:f>IF(U184&lt;&gt;"Open",U184,IF(N184&gt;=0.8,"Commit",IF(N184&gt;=0.5,"Best Case","Pipeline")))</x:f>
        <x:v>Pipeline</x:v>
      </x:c>
    </x:row>
    <x:row r="185">
      <x:c r="A185" t="str">
        <x:v>L00184</x:v>
      </x:c>
      <x:c r="B185" s="10" t="n">
        <x:v>46157</x:v>
      </x:c>
      <x:c r="C185" t="str">
        <x:v>Duy Pham</x:v>
      </x:c>
      <x:c r="D185" t="str">
        <x:v>South</x:v>
      </x:c>
      <x:c r="E185" t="str">
        <x:v>Google Organic</x:v>
      </x:c>
      <x:c r="F185" t="str">
        <x:v>CRM-CORE</x:v>
      </x:c>
      <x:c r="G185" t="str">
        <x:v>Financial Services</x:v>
      </x:c>
      <x:c r="H185" t="str">
        <x:v>Enterprise</x:v>
      </x:c>
      <x:c r="I185" t="str">
        <x:v>Proposal</x:v>
      </x:c>
      <x:c r="J185" s="10" t="n">
        <x:v>46251</x:v>
      </x:c>
      <x:c r="K185" s="10"/>
      <x:c r="L185" s="22" t="n">
        <x:v>23200</x:v>
      </x:c>
      <x:c r="M185" s="24" t="n">
        <x:v>0.03</x:v>
      </x:c>
      <x:c r="N185" s="24" t="n">
        <x:v>0.65</x:v>
      </x:c>
      <x:c r="O185" t="str"/>
      <x:c r="P185" t="n">
        <x:v>4</x:v>
      </x:c>
      <x:c r="Q185" t="str">
        <x:f>IFERROR(XLOOKUP(E185,Lookups!$A$5:$A$24,Lookups!$B$5:$B$24),"Other")</x:f>
        <x:v>Organic Search</x:v>
      </x:c>
      <x:c r="R185" t="str">
        <x:f>IFERROR(XLOOKUP(F185,Lookups!$D$5:$D$10,Lookups!$E$5:$E$10),"Unknown Product")</x:f>
        <x:v>NexaCRM Core</x:v>
      </x:c>
      <x:c r="S185" t="str">
        <x:f>IFERROR(XLOOKUP(F185,Lookups!$D$5:$D$10,Lookups!$F$5:$F$10),"Unknown")</x:f>
        <x:v>CRM</x:v>
      </x:c>
      <x:c r="T185" t="str">
        <x:f>IF(L185&gt;=50000,"Enterprise",IF(L185&gt;=20000,"Mid-Market","SMB"))</x:f>
        <x:v>Mid-Market</x:v>
      </x:c>
      <x:c r="U185" t="str">
        <x:f>IF(I185="Closed Won","Won",IF(I185="Closed Lost","Lost","Open"))</x:f>
        <x:v>Open</x:v>
      </x:c>
      <x:c r="V185" s="22" t="n">
        <x:f>IF(U185="Won",L185*(1-M185),0)</x:f>
        <x:v>0</x:v>
      </x:c>
      <x:c r="W185" s="22" t="n">
        <x:f>IF(U185="Open",L185*N185,0)</x:f>
        <x:v>15080</x:v>
      </x:c>
      <x:c r="X185" s="26" t="str">
        <x:f>IF(U185="Open","",IFERROR(K185-B185,""))</x:f>
      </x:c>
      <x:c r="Y185" s="26" t="n">
        <x:f>IF(U185="Open",Lookups!$B$2-B185,X185)</x:f>
        <x:v>109</x:v>
      </x:c>
      <x:c r="Z185" t="str">
        <x:f>IF(AND(U185="Open",Y185&gt;30),"STALE","OK")</x:f>
        <x:v>STALE</x:v>
      </x:c>
      <x:c r="AA185" t="str">
        <x:f>TEXT(B185,"yyyy-mm")</x:f>
        <x:v>2026-05</x:v>
      </x:c>
      <x:c r="AB185" t="str">
        <x:f>IF(K185="","",TEXT(K185,"yyyy-mm"))</x:f>
      </x:c>
      <x:c r="AC185" t="str">
        <x:f>"Q"&amp;ROUNDUP(MONTH(B185)/3,0)&amp;"-"&amp;YEAR(B185)</x:f>
        <x:v>Q2-2026</x:v>
      </x:c>
      <x:c r="AD185" s="26" t="n">
        <x:f>MIN(100,IF(H185="Enterprise",30,IF(H185="Mid-Market",22,14))+IF(T185="Enterprise",25,IF(T185="Mid-Market",18,10))+IF(Q185="Referral",25,IF(Q185="Organic Search",20,IF(Q185="Email",18,14)))+IF(G185="Technology",10,5))</x:f>
        <x:v>73</x:v>
      </x:c>
      <x:c r="AE185" t="str">
        <x:f>IF(U185&lt;&gt;"Open",U185,IF(N185&gt;=0.8,"Commit",IF(N185&gt;=0.5,"Best Case","Pipeline")))</x:f>
        <x:v>Best Case</x:v>
      </x:c>
    </x:row>
    <x:row r="186">
      <x:c r="A186" t="str">
        <x:v>L00185</x:v>
      </x:c>
      <x:c r="B186" s="10" t="n">
        <x:v>45903</x:v>
      </x:c>
      <x:c r="C186" t="str">
        <x:v>Chi Le</x:v>
      </x:c>
      <x:c r="D186" t="str">
        <x:v>South</x:v>
      </x:c>
      <x:c r="E186" t="str">
        <x:v>Webinar</x:v>
      </x:c>
      <x:c r="F186" t="str">
        <x:v>CS-CLOUD</x:v>
      </x:c>
      <x:c r="G186" t="str">
        <x:v>Professional Services</x:v>
      </x:c>
      <x:c r="H186" t="str">
        <x:v>Mid-Market</x:v>
      </x:c>
      <x:c r="I186" t="str">
        <x:v>Closed Lost</x:v>
      </x:c>
      <x:c r="J186" s="10" t="n">
        <x:v>45959</x:v>
      </x:c>
      <x:c r="K186" s="10" t="n">
        <x:v>45959</x:v>
      </x:c>
      <x:c r="L186" s="22" t="n">
        <x:v>49900</x:v>
      </x:c>
      <x:c r="M186" s="24" t="n">
        <x:v>0</x:v>
      </x:c>
      <x:c r="N186" s="24" t="n">
        <x:v>0</x:v>
      </x:c>
      <x:c r="O186" t="str">
        <x:v>Competitor</x:v>
      </x:c>
      <x:c r="P186" t="n">
        <x:v>4</x:v>
      </x:c>
      <x:c r="Q186" t="str">
        <x:f>IFERROR(XLOOKUP(E186,Lookups!$A$5:$A$24,Lookups!$B$5:$B$24),"Other")</x:f>
        <x:v>Webinar</x:v>
      </x:c>
      <x:c r="R186" t="str">
        <x:f>IFERROR(XLOOKUP(F186,Lookups!$D$5:$D$10,Lookups!$E$5:$E$10),"Unknown Product")</x:f>
        <x:v>Service Cloud</x:v>
      </x:c>
      <x:c r="S186" t="str">
        <x:f>IFERROR(XLOOKUP(F186,Lookups!$D$5:$D$10,Lookups!$F$5:$F$10),"Unknown")</x:f>
        <x:v>Customer Service</x:v>
      </x:c>
      <x:c r="T186" t="str">
        <x:f>IF(L186&gt;=50000,"Enterprise",IF(L186&gt;=20000,"Mid-Market","SMB"))</x:f>
        <x:v>Mid-Market</x:v>
      </x:c>
      <x:c r="U186" t="str">
        <x:f>IF(I186="Closed Won","Won",IF(I186="Closed Lost","Lost","Open"))</x:f>
        <x:v>Lost</x:v>
      </x:c>
      <x:c r="V186" s="22" t="n">
        <x:f>IF(U186="Won",L186*(1-M186),0)</x:f>
        <x:v>0</x:v>
      </x:c>
      <x:c r="W186" s="22" t="n">
        <x:f>IF(U186="Open",L186*N186,0)</x:f>
        <x:v>0</x:v>
      </x:c>
      <x:c r="X186" s="26" t="n">
        <x:f>IF(U186="Open","",IFERROR(K186-B186,""))</x:f>
        <x:v>56</x:v>
      </x:c>
      <x:c r="Y186" s="26" t="n">
        <x:f>IF(U186="Open",Lookups!$B$2-B186,X186)</x:f>
        <x:v>56</x:v>
      </x:c>
      <x:c r="Z186" t="str">
        <x:f>IF(AND(U186="Open",Y186&gt;30),"STALE","OK")</x:f>
        <x:v>OK</x:v>
      </x:c>
      <x:c r="AA186" t="str">
        <x:f>TEXT(B186,"yyyy-mm")</x:f>
        <x:v>2025-09</x:v>
      </x:c>
      <x:c r="AB186" t="str">
        <x:f>IF(K186="","",TEXT(K186,"yyyy-mm"))</x:f>
        <x:v>2025-10</x:v>
      </x:c>
      <x:c r="AC186" t="str">
        <x:f>"Q"&amp;ROUNDUP(MONTH(B186)/3,0)&amp;"-"&amp;YEAR(B186)</x:f>
        <x:v>Q3-2025</x:v>
      </x:c>
      <x:c r="AD186" s="26" t="n">
        <x:f>MIN(100,IF(H186="Enterprise",30,IF(H186="Mid-Market",22,14))+IF(T186="Enterprise",25,IF(T186="Mid-Market",18,10))+IF(Q186="Referral",25,IF(Q186="Organic Search",20,IF(Q186="Email",18,14)))+IF(G186="Technology",10,5))</x:f>
        <x:v>59</x:v>
      </x:c>
      <x:c r="AE186" t="str">
        <x:f>IF(U186&lt;&gt;"Open",U186,IF(N186&gt;=0.8,"Commit",IF(N186&gt;=0.5,"Best Case","Pipeline")))</x:f>
        <x:v>Lost</x:v>
      </x:c>
    </x:row>
    <x:row r="187">
      <x:c r="A187" t="str">
        <x:v>L00186</x:v>
      </x:c>
      <x:c r="B187" s="10" t="n">
        <x:v>45979</x:v>
      </x:c>
      <x:c r="C187" t="str">
        <x:v>Minh Do</x:v>
      </x:c>
      <x:c r="D187" t="str">
        <x:v>North</x:v>
      </x:c>
      <x:c r="E187" t="str">
        <x:v>Cold Email</x:v>
      </x:c>
      <x:c r="F187" t="str">
        <x:v>CS-CLOUD</x:v>
      </x:c>
      <x:c r="G187" t="str">
        <x:v>Professional Services</x:v>
      </x:c>
      <x:c r="H187" t="str">
        <x:v>Mid-Market</x:v>
      </x:c>
      <x:c r="I187" t="str">
        <x:v>Negotiation</x:v>
      </x:c>
      <x:c r="J187" s="10" t="n">
        <x:v>46187</x:v>
      </x:c>
      <x:c r="K187" s="10"/>
      <x:c r="L187" s="22" t="n">
        <x:v>47400</x:v>
      </x:c>
      <x:c r="M187" s="24" t="n">
        <x:v>0</x:v>
      </x:c>
      <x:c r="N187" s="24" t="n">
        <x:v>0.85</x:v>
      </x:c>
      <x:c r="O187" t="str"/>
      <x:c r="P187" t="n">
        <x:v>5</x:v>
      </x:c>
      <x:c r="Q187" t="str">
        <x:f>IFERROR(XLOOKUP(E187,Lookups!$A$5:$A$24,Lookups!$B$5:$B$24),"Other")</x:f>
        <x:v>Outbound</x:v>
      </x:c>
      <x:c r="R187" t="str">
        <x:f>IFERROR(XLOOKUP(F187,Lookups!$D$5:$D$10,Lookups!$E$5:$E$10),"Unknown Product")</x:f>
        <x:v>Service Cloud</x:v>
      </x:c>
      <x:c r="S187" t="str">
        <x:f>IFERROR(XLOOKUP(F187,Lookups!$D$5:$D$10,Lookups!$F$5:$F$10),"Unknown")</x:f>
        <x:v>Customer Service</x:v>
      </x:c>
      <x:c r="T187" t="str">
        <x:f>IF(L187&gt;=50000,"Enterprise",IF(L187&gt;=20000,"Mid-Market","SMB"))</x:f>
        <x:v>Mid-Market</x:v>
      </x:c>
      <x:c r="U187" t="str">
        <x:f>IF(I187="Closed Won","Won",IF(I187="Closed Lost","Lost","Open"))</x:f>
        <x:v>Open</x:v>
      </x:c>
      <x:c r="V187" s="22" t="n">
        <x:f>IF(U187="Won",L187*(1-M187),0)</x:f>
        <x:v>0</x:v>
      </x:c>
      <x:c r="W187" s="22" t="n">
        <x:f>IF(U187="Open",L187*N187,0)</x:f>
        <x:v>40290</x:v>
      </x:c>
      <x:c r="X187" s="26" t="str">
        <x:f>IF(U187="Open","",IFERROR(K187-B187,""))</x:f>
      </x:c>
      <x:c r="Y187" s="26" t="n">
        <x:f>IF(U187="Open",Lookups!$B$2-B187,X187)</x:f>
        <x:v>287</x:v>
      </x:c>
      <x:c r="Z187" t="str">
        <x:f>IF(AND(U187="Open",Y187&gt;30),"STALE","OK")</x:f>
        <x:v>STALE</x:v>
      </x:c>
      <x:c r="AA187" t="str">
        <x:f>TEXT(B187,"yyyy-mm")</x:f>
        <x:v>2025-11</x:v>
      </x:c>
      <x:c r="AB187" t="str">
        <x:f>IF(K187="","",TEXT(K187,"yyyy-mm"))</x:f>
      </x:c>
      <x:c r="AC187" t="str">
        <x:f>"Q"&amp;ROUNDUP(MONTH(B187)/3,0)&amp;"-"&amp;YEAR(B187)</x:f>
        <x:v>Q4-2025</x:v>
      </x:c>
      <x:c r="AD187" s="26" t="n">
        <x:f>MIN(100,IF(H187="Enterprise",30,IF(H187="Mid-Market",22,14))+IF(T187="Enterprise",25,IF(T187="Mid-Market",18,10))+IF(Q187="Referral",25,IF(Q187="Organic Search",20,IF(Q187="Email",18,14)))+IF(G187="Technology",10,5))</x:f>
        <x:v>59</x:v>
      </x:c>
      <x:c r="AE187" t="str">
        <x:f>IF(U187&lt;&gt;"Open",U187,IF(N187&gt;=0.8,"Commit",IF(N187&gt;=0.5,"Best Case","Pipeline")))</x:f>
        <x:v>Commit</x:v>
      </x:c>
    </x:row>
    <x:row r="188">
      <x:c r="A188" t="str">
        <x:v>L00187</x:v>
      </x:c>
      <x:c r="B188" s="10" t="n">
        <x:v>46025</x:v>
      </x:c>
      <x:c r="C188" t="str">
        <x:v>Duy Pham</x:v>
      </x:c>
      <x:c r="D188" t="str">
        <x:v>South</x:v>
      </x:c>
      <x:c r="E188" t="str">
        <x:v>SEO</x:v>
      </x:c>
      <x:c r="F188" t="str">
        <x:v>CRM-PRO</x:v>
      </x:c>
      <x:c r="G188" t="str">
        <x:v>Retail</x:v>
      </x:c>
      <x:c r="H188" t="str">
        <x:v>Enterprise</x:v>
      </x:c>
      <x:c r="I188" t="str">
        <x:v>Closed Won</x:v>
      </x:c>
      <x:c r="J188" s="10" t="n">
        <x:v>46099</x:v>
      </x:c>
      <x:c r="K188" s="10" t="n">
        <x:v>46099</x:v>
      </x:c>
      <x:c r="L188" s="22" t="n">
        <x:v>69100</x:v>
      </x:c>
      <x:c r="M188" s="24" t="n">
        <x:v>0.12</x:v>
      </x:c>
      <x:c r="N188" s="24" t="n">
        <x:v>1</x:v>
      </x:c>
      <x:c r="O188" t="str"/>
      <x:c r="P188" t="n">
        <x:v>6</x:v>
      </x:c>
      <x:c r="Q188" t="str">
        <x:f>IFERROR(XLOOKUP(E188,Lookups!$A$5:$A$24,Lookups!$B$5:$B$24),"Other")</x:f>
        <x:v>Organic Search</x:v>
      </x:c>
      <x:c r="R188" t="str">
        <x:f>IFERROR(XLOOKUP(F188,Lookups!$D$5:$D$10,Lookups!$E$5:$E$10),"Unknown Product")</x:f>
        <x:v>NexaCRM Pro</x:v>
      </x:c>
      <x:c r="S188" t="str">
        <x:f>IFERROR(XLOOKUP(F188,Lookups!$D$5:$D$10,Lookups!$F$5:$F$10),"Unknown")</x:f>
        <x:v>CRM</x:v>
      </x:c>
      <x:c r="T188" t="str">
        <x:f>IF(L188&gt;=50000,"Enterprise",IF(L188&gt;=20000,"Mid-Market","SMB"))</x:f>
        <x:v>Enterprise</x:v>
      </x:c>
      <x:c r="U188" t="str">
        <x:f>IF(I188="Closed Won","Won",IF(I188="Closed Lost","Lost","Open"))</x:f>
        <x:v>Won</x:v>
      </x:c>
      <x:c r="V188" s="22" t="n">
        <x:f>IF(U188="Won",L188*(1-M188),0)</x:f>
        <x:v>60808</x:v>
      </x:c>
      <x:c r="W188" s="22" t="n">
        <x:f>IF(U188="Open",L188*N188,0)</x:f>
        <x:v>0</x:v>
      </x:c>
      <x:c r="X188" s="26" t="n">
        <x:f>IF(U188="Open","",IFERROR(K188-B188,""))</x:f>
        <x:v>74</x:v>
      </x:c>
      <x:c r="Y188" s="26" t="n">
        <x:f>IF(U188="Open",Lookups!$B$2-B188,X188)</x:f>
        <x:v>74</x:v>
      </x:c>
      <x:c r="Z188" t="str">
        <x:f>IF(AND(U188="Open",Y188&gt;30),"STALE","OK")</x:f>
        <x:v>OK</x:v>
      </x:c>
      <x:c r="AA188" t="str">
        <x:f>TEXT(B188,"yyyy-mm")</x:f>
        <x:v>2026-01</x:v>
      </x:c>
      <x:c r="AB188" t="str">
        <x:f>IF(K188="","",TEXT(K188,"yyyy-mm"))</x:f>
        <x:v>2026-03</x:v>
      </x:c>
      <x:c r="AC188" t="str">
        <x:f>"Q"&amp;ROUNDUP(MONTH(B188)/3,0)&amp;"-"&amp;YEAR(B188)</x:f>
        <x:v>Q1-2026</x:v>
      </x:c>
      <x:c r="AD188" s="26" t="n">
        <x:f>MIN(100,IF(H188="Enterprise",30,IF(H188="Mid-Market",22,14))+IF(T188="Enterprise",25,IF(T188="Mid-Market",18,10))+IF(Q188="Referral",25,IF(Q188="Organic Search",20,IF(Q188="Email",18,14)))+IF(G188="Technology",10,5))</x:f>
        <x:v>80</x:v>
      </x:c>
      <x:c r="AE188" t="str">
        <x:f>IF(U188&lt;&gt;"Open",U188,IF(N188&gt;=0.8,"Commit",IF(N188&gt;=0.5,"Best Case","Pipeline")))</x:f>
        <x:v>Won</x:v>
      </x:c>
    </x:row>
    <x:row r="189">
      <x:c r="A189" t="str">
        <x:v>L00188</x:v>
      </x:c>
      <x:c r="B189" s="10" t="n">
        <x:v>46038</x:v>
      </x:c>
      <x:c r="C189" t="str">
        <x:v>Chi Le</x:v>
      </x:c>
      <x:c r="D189" t="str">
        <x:v>South</x:v>
      </x:c>
      <x:c r="E189" t="str">
        <x:v>LI Ads</x:v>
      </x:c>
      <x:c r="F189" t="str">
        <x:v>BI-PLUS</x:v>
      </x:c>
      <x:c r="G189" t="str">
        <x:v>Education</x:v>
      </x:c>
      <x:c r="H189" t="str">
        <x:v>SMB</x:v>
      </x:c>
      <x:c r="I189" t="str">
        <x:v>Closed Lost</x:v>
      </x:c>
      <x:c r="J189" s="10" t="n">
        <x:v>46077</x:v>
      </x:c>
      <x:c r="K189" s="10" t="n">
        <x:v>46077</x:v>
      </x:c>
      <x:c r="L189" s="22" t="n">
        <x:v>26600</x:v>
      </x:c>
      <x:c r="M189" s="24" t="n">
        <x:v>0</x:v>
      </x:c>
      <x:c r="N189" s="24" t="n">
        <x:v>0</x:v>
      </x:c>
      <x:c r="O189" t="str">
        <x:v>Budget</x:v>
      </x:c>
      <x:c r="P189" t="n">
        <x:v>4</x:v>
      </x:c>
      <x:c r="Q189" t="str">
        <x:f>IFERROR(XLOOKUP(E189,Lookups!$A$5:$A$24,Lookups!$B$5:$B$24),"Other")</x:f>
        <x:v>LinkedIn</x:v>
      </x:c>
      <x:c r="R189" t="str">
        <x:f>IFERROR(XLOOKUP(F189,Lookups!$D$5:$D$10,Lookups!$E$5:$E$10),"Unknown Product")</x:f>
        <x:v>Analytics Plus</x:v>
      </x:c>
      <x:c r="S189" t="str">
        <x:f>IFERROR(XLOOKUP(F189,Lookups!$D$5:$D$10,Lookups!$F$5:$F$10),"Unknown")</x:f>
        <x:v>Analytics</x:v>
      </x:c>
      <x:c r="T189" t="str">
        <x:f>IF(L189&gt;=50000,"Enterprise",IF(L189&gt;=20000,"Mid-Market","SMB"))</x:f>
        <x:v>Mid-Market</x:v>
      </x:c>
      <x:c r="U189" t="str">
        <x:f>IF(I189="Closed Won","Won",IF(I189="Closed Lost","Lost","Open"))</x:f>
        <x:v>Lost</x:v>
      </x:c>
      <x:c r="V189" s="22" t="n">
        <x:f>IF(U189="Won",L189*(1-M189),0)</x:f>
        <x:v>0</x:v>
      </x:c>
      <x:c r="W189" s="22" t="n">
        <x:f>IF(U189="Open",L189*N189,0)</x:f>
        <x:v>0</x:v>
      </x:c>
      <x:c r="X189" s="26" t="n">
        <x:f>IF(U189="Open","",IFERROR(K189-B189,""))</x:f>
        <x:v>39</x:v>
      </x:c>
      <x:c r="Y189" s="26" t="n">
        <x:f>IF(U189="Open",Lookups!$B$2-B189,X189)</x:f>
        <x:v>39</x:v>
      </x:c>
      <x:c r="Z189" t="str">
        <x:f>IF(AND(U189="Open",Y189&gt;30),"STALE","OK")</x:f>
        <x:v>OK</x:v>
      </x:c>
      <x:c r="AA189" t="str">
        <x:f>TEXT(B189,"yyyy-mm")</x:f>
        <x:v>2026-01</x:v>
      </x:c>
      <x:c r="AB189" t="str">
        <x:f>IF(K189="","",TEXT(K189,"yyyy-mm"))</x:f>
        <x:v>2026-02</x:v>
      </x:c>
      <x:c r="AC189" t="str">
        <x:f>"Q"&amp;ROUNDUP(MONTH(B189)/3,0)&amp;"-"&amp;YEAR(B189)</x:f>
        <x:v>Q1-2026</x:v>
      </x:c>
      <x:c r="AD189" s="26" t="n">
        <x:f>MIN(100,IF(H189="Enterprise",30,IF(H189="Mid-Market",22,14))+IF(T189="Enterprise",25,IF(T189="Mid-Market",18,10))+IF(Q189="Referral",25,IF(Q189="Organic Search",20,IF(Q189="Email",18,14)))+IF(G189="Technology",10,5))</x:f>
        <x:v>51</x:v>
      </x:c>
      <x:c r="AE189" t="str">
        <x:f>IF(U189&lt;&gt;"Open",U189,IF(N189&gt;=0.8,"Commit",IF(N189&gt;=0.5,"Best Case","Pipeline")))</x:f>
        <x:v>Lost</x:v>
      </x:c>
    </x:row>
    <x:row r="190">
      <x:c r="A190" t="str">
        <x:v>L00189</x:v>
      </x:c>
      <x:c r="B190" s="10" t="n">
        <x:v>46014</x:v>
      </x:c>
      <x:c r="C190" t="str">
        <x:v>Chi Le</x:v>
      </x:c>
      <x:c r="D190" t="str">
        <x:v>South</x:v>
      </x:c>
      <x:c r="E190" t="str">
        <x:v>SEO</x:v>
      </x:c>
      <x:c r="F190" t="str">
        <x:v>BI-PLUS</x:v>
      </x:c>
      <x:c r="G190" t="str">
        <x:v>Retail</x:v>
      </x:c>
      <x:c r="H190" t="str">
        <x:v>SMB</x:v>
      </x:c>
      <x:c r="I190" t="str">
        <x:v>Closed Lost</x:v>
      </x:c>
      <x:c r="J190" s="10" t="n">
        <x:v>46066</x:v>
      </x:c>
      <x:c r="K190" s="10" t="n">
        <x:v>46066</x:v>
      </x:c>
      <x:c r="L190" s="22" t="n">
        <x:v>13300</x:v>
      </x:c>
      <x:c r="M190" s="24" t="n">
        <x:v>0</x:v>
      </x:c>
      <x:c r="N190" s="24" t="n">
        <x:v>0</x:v>
      </x:c>
      <x:c r="O190" t="str">
        <x:v>Timing</x:v>
      </x:c>
      <x:c r="P190" t="n">
        <x:v>4</x:v>
      </x:c>
      <x:c r="Q190" t="str">
        <x:f>IFERROR(XLOOKUP(E190,Lookups!$A$5:$A$24,Lookups!$B$5:$B$24),"Other")</x:f>
        <x:v>Organic Search</x:v>
      </x:c>
      <x:c r="R190" t="str">
        <x:f>IFERROR(XLOOKUP(F190,Lookups!$D$5:$D$10,Lookups!$E$5:$E$10),"Unknown Product")</x:f>
        <x:v>Analytics Plus</x:v>
      </x:c>
      <x:c r="S190" t="str">
        <x:f>IFERROR(XLOOKUP(F190,Lookups!$D$5:$D$10,Lookups!$F$5:$F$10),"Unknown")</x:f>
        <x:v>Analytics</x:v>
      </x:c>
      <x:c r="T190" t="str">
        <x:f>IF(L190&gt;=50000,"Enterprise",IF(L190&gt;=20000,"Mid-Market","SMB"))</x:f>
        <x:v>SMB</x:v>
      </x:c>
      <x:c r="U190" t="str">
        <x:f>IF(I190="Closed Won","Won",IF(I190="Closed Lost","Lost","Open"))</x:f>
        <x:v>Lost</x:v>
      </x:c>
      <x:c r="V190" s="22" t="n">
        <x:f>IF(U190="Won",L190*(1-M190),0)</x:f>
        <x:v>0</x:v>
      </x:c>
      <x:c r="W190" s="22" t="n">
        <x:f>IF(U190="Open",L190*N190,0)</x:f>
        <x:v>0</x:v>
      </x:c>
      <x:c r="X190" s="26" t="n">
        <x:f>IF(U190="Open","",IFERROR(K190-B190,""))</x:f>
        <x:v>52</x:v>
      </x:c>
      <x:c r="Y190" s="26" t="n">
        <x:f>IF(U190="Open",Lookups!$B$2-B190,X190)</x:f>
        <x:v>52</x:v>
      </x:c>
      <x:c r="Z190" t="str">
        <x:f>IF(AND(U190="Open",Y190&gt;30),"STALE","OK")</x:f>
        <x:v>OK</x:v>
      </x:c>
      <x:c r="AA190" t="str">
        <x:f>TEXT(B190,"yyyy-mm")</x:f>
        <x:v>2025-12</x:v>
      </x:c>
      <x:c r="AB190" t="str">
        <x:f>IF(K190="","",TEXT(K190,"yyyy-mm"))</x:f>
        <x:v>2026-02</x:v>
      </x:c>
      <x:c r="AC190" t="str">
        <x:f>"Q"&amp;ROUNDUP(MONTH(B190)/3,0)&amp;"-"&amp;YEAR(B190)</x:f>
        <x:v>Q4-2025</x:v>
      </x:c>
      <x:c r="AD190" s="26" t="n">
        <x:f>MIN(100,IF(H190="Enterprise",30,IF(H190="Mid-Market",22,14))+IF(T190="Enterprise",25,IF(T190="Mid-Market",18,10))+IF(Q190="Referral",25,IF(Q190="Organic Search",20,IF(Q190="Email",18,14)))+IF(G190="Technology",10,5))</x:f>
        <x:v>49</x:v>
      </x:c>
      <x:c r="AE190" t="str">
        <x:f>IF(U190&lt;&gt;"Open",U190,IF(N190&gt;=0.8,"Commit",IF(N190&gt;=0.5,"Best Case","Pipeline")))</x:f>
        <x:v>Lost</x:v>
      </x:c>
    </x:row>
    <x:row r="191">
      <x:c r="A191" t="str">
        <x:v>L00190</x:v>
      </x:c>
      <x:c r="B191" s="10" t="n">
        <x:v>45686</x:v>
      </x:c>
      <x:c r="C191" t="str">
        <x:v>Chi Le</x:v>
      </x:c>
      <x:c r="D191" t="str">
        <x:v>South</x:v>
      </x:c>
      <x:c r="E191" t="str">
        <x:v>organic search</x:v>
      </x:c>
      <x:c r="F191" t="str">
        <x:v>CRM-PRO</x:v>
      </x:c>
      <x:c r="G191" t="str">
        <x:v>Manufacturing</x:v>
      </x:c>
      <x:c r="H191" t="str">
        <x:v>Mid-Market</x:v>
      </x:c>
      <x:c r="I191" t="str">
        <x:v>Closed Lost</x:v>
      </x:c>
      <x:c r="J191" s="10" t="n">
        <x:v>45738</x:v>
      </x:c>
      <x:c r="K191" s="10" t="n">
        <x:v>45738</x:v>
      </x:c>
      <x:c r="L191" s="22" t="n">
        <x:v>35500</x:v>
      </x:c>
      <x:c r="M191" s="24" t="n">
        <x:v>0</x:v>
      </x:c>
      <x:c r="N191" s="24" t="n">
        <x:v>0</x:v>
      </x:c>
      <x:c r="O191" t="str">
        <x:v>Timing</x:v>
      </x:c>
      <x:c r="P191" t="n">
        <x:v>3</x:v>
      </x:c>
      <x:c r="Q191" t="str">
        <x:f>IFERROR(XLOOKUP(E191,Lookups!$A$5:$A$24,Lookups!$B$5:$B$24),"Other")</x:f>
        <x:v>Organic Search</x:v>
      </x:c>
      <x:c r="R191" t="str">
        <x:f>IFERROR(XLOOKUP(F191,Lookups!$D$5:$D$10,Lookups!$E$5:$E$10),"Unknown Product")</x:f>
        <x:v>NexaCRM Pro</x:v>
      </x:c>
      <x:c r="S191" t="str">
        <x:f>IFERROR(XLOOKUP(F191,Lookups!$D$5:$D$10,Lookups!$F$5:$F$10),"Unknown")</x:f>
        <x:v>CRM</x:v>
      </x:c>
      <x:c r="T191" t="str">
        <x:f>IF(L191&gt;=50000,"Enterprise",IF(L191&gt;=20000,"Mid-Market","SMB"))</x:f>
        <x:v>Mid-Market</x:v>
      </x:c>
      <x:c r="U191" t="str">
        <x:f>IF(I191="Closed Won","Won",IF(I191="Closed Lost","Lost","Open"))</x:f>
        <x:v>Lost</x:v>
      </x:c>
      <x:c r="V191" s="22" t="n">
        <x:f>IF(U191="Won",L191*(1-M191),0)</x:f>
        <x:v>0</x:v>
      </x:c>
      <x:c r="W191" s="22" t="n">
        <x:f>IF(U191="Open",L191*N191,0)</x:f>
        <x:v>0</x:v>
      </x:c>
      <x:c r="X191" s="26" t="n">
        <x:f>IF(U191="Open","",IFERROR(K191-B191,""))</x:f>
        <x:v>52</x:v>
      </x:c>
      <x:c r="Y191" s="26" t="n">
        <x:f>IF(U191="Open",Lookups!$B$2-B191,X191)</x:f>
        <x:v>52</x:v>
      </x:c>
      <x:c r="Z191" t="str">
        <x:f>IF(AND(U191="Open",Y191&gt;30),"STALE","OK")</x:f>
        <x:v>OK</x:v>
      </x:c>
      <x:c r="AA191" t="str">
        <x:f>TEXT(B191,"yyyy-mm")</x:f>
        <x:v>2025-01</x:v>
      </x:c>
      <x:c r="AB191" t="str">
        <x:f>IF(K191="","",TEXT(K191,"yyyy-mm"))</x:f>
        <x:v>2025-03</x:v>
      </x:c>
      <x:c r="AC191" t="str">
        <x:f>"Q"&amp;ROUNDUP(MONTH(B191)/3,0)&amp;"-"&amp;YEAR(B191)</x:f>
        <x:v>Q1-2025</x:v>
      </x:c>
      <x:c r="AD191" s="26" t="n">
        <x:f>MIN(100,IF(H191="Enterprise",30,IF(H191="Mid-Market",22,14))+IF(T191="Enterprise",25,IF(T191="Mid-Market",18,10))+IF(Q191="Referral",25,IF(Q191="Organic Search",20,IF(Q191="Email",18,14)))+IF(G191="Technology",10,5))</x:f>
        <x:v>65</x:v>
      </x:c>
      <x:c r="AE191" t="str">
        <x:f>IF(U191&lt;&gt;"Open",U191,IF(N191&gt;=0.8,"Commit",IF(N191&gt;=0.5,"Best Case","Pipeline")))</x:f>
        <x:v>Lost</x:v>
      </x:c>
    </x:row>
    <x:row r="192">
      <x:c r="A192" t="str">
        <x:v>L00191</x:v>
      </x:c>
      <x:c r="B192" s="10" t="n">
        <x:v>46022</x:v>
      </x:c>
      <x:c r="C192" t="str">
        <x:v>Ha Vo</x:v>
      </x:c>
      <x:c r="D192" t="str">
        <x:v>North</x:v>
      </x:c>
      <x:c r="E192" t="str">
        <x:v>Google Ads</x:v>
      </x:c>
      <x:c r="F192" t="str">
        <x:v>REV-OPS</x:v>
      </x:c>
      <x:c r="G192" t="str">
        <x:v>Manufacturing</x:v>
      </x:c>
      <x:c r="H192" t="str">
        <x:v>Mid-Market</x:v>
      </x:c>
      <x:c r="I192" t="str">
        <x:v>Closed Lost</x:v>
      </x:c>
      <x:c r="J192" s="10" t="n">
        <x:v>46063</x:v>
      </x:c>
      <x:c r="K192" s="10" t="n">
        <x:v>46063</x:v>
      </x:c>
      <x:c r="L192" s="22" t="n">
        <x:v>83900</x:v>
      </x:c>
      <x:c r="M192" s="24" t="n">
        <x:v>0</x:v>
      </x:c>
      <x:c r="N192" s="24" t="n">
        <x:v>0</x:v>
      </x:c>
      <x:c r="O192" t="str">
        <x:v>Feature Gap</x:v>
      </x:c>
      <x:c r="P192" t="n">
        <x:v>4</x:v>
      </x:c>
      <x:c r="Q192" t="str">
        <x:f>IFERROR(XLOOKUP(E192,Lookups!$A$5:$A$24,Lookups!$B$5:$B$24),"Other")</x:f>
        <x:v>Paid Search</x:v>
      </x:c>
      <x:c r="R192" t="str">
        <x:f>IFERROR(XLOOKUP(F192,Lookups!$D$5:$D$10,Lookups!$E$5:$E$10),"Unknown Product")</x:f>
        <x:v>Revenue Operations Suite</x:v>
      </x:c>
      <x:c r="S192" t="str">
        <x:f>IFERROR(XLOOKUP(F192,Lookups!$D$5:$D$10,Lookups!$F$5:$F$10),"Unknown")</x:f>
        <x:v>Revenue Ops</x:v>
      </x:c>
      <x:c r="T192" t="str">
        <x:f>IF(L192&gt;=50000,"Enterprise",IF(L192&gt;=20000,"Mid-Market","SMB"))</x:f>
        <x:v>Enterprise</x:v>
      </x:c>
      <x:c r="U192" t="str">
        <x:f>IF(I192="Closed Won","Won",IF(I192="Closed Lost","Lost","Open"))</x:f>
        <x:v>Lost</x:v>
      </x:c>
      <x:c r="V192" s="22" t="n">
        <x:f>IF(U192="Won",L192*(1-M192),0)</x:f>
        <x:v>0</x:v>
      </x:c>
      <x:c r="W192" s="22" t="n">
        <x:f>IF(U192="Open",L192*N192,0)</x:f>
        <x:v>0</x:v>
      </x:c>
      <x:c r="X192" s="26" t="n">
        <x:f>IF(U192="Open","",IFERROR(K192-B192,""))</x:f>
        <x:v>41</x:v>
      </x:c>
      <x:c r="Y192" s="26" t="n">
        <x:f>IF(U192="Open",Lookups!$B$2-B192,X192)</x:f>
        <x:v>41</x:v>
      </x:c>
      <x:c r="Z192" t="str">
        <x:f>IF(AND(U192="Open",Y192&gt;30),"STALE","OK")</x:f>
        <x:v>OK</x:v>
      </x:c>
      <x:c r="AA192" t="str">
        <x:f>TEXT(B192,"yyyy-mm")</x:f>
        <x:v>2025-12</x:v>
      </x:c>
      <x:c r="AB192" t="str">
        <x:f>IF(K192="","",TEXT(K192,"yyyy-mm"))</x:f>
        <x:v>2026-02</x:v>
      </x:c>
      <x:c r="AC192" t="str">
        <x:f>"Q"&amp;ROUNDUP(MONTH(B192)/3,0)&amp;"-"&amp;YEAR(B192)</x:f>
        <x:v>Q4-2025</x:v>
      </x:c>
      <x:c r="AD192" s="26" t="n">
        <x:f>MIN(100,IF(H192="Enterprise",30,IF(H192="Mid-Market",22,14))+IF(T192="Enterprise",25,IF(T192="Mid-Market",18,10))+IF(Q192="Referral",25,IF(Q192="Organic Search",20,IF(Q192="Email",18,14)))+IF(G192="Technology",10,5))</x:f>
        <x:v>66</x:v>
      </x:c>
      <x:c r="AE192" t="str">
        <x:f>IF(U192&lt;&gt;"Open",U192,IF(N192&gt;=0.8,"Commit",IF(N192&gt;=0.5,"Best Case","Pipeline")))</x:f>
        <x:v>Lost</x:v>
      </x:c>
    </x:row>
    <x:row r="193">
      <x:c r="A193" t="str">
        <x:v>L00192</x:v>
      </x:c>
      <x:c r="B193" s="10" t="n">
        <x:v>45837</x:v>
      </x:c>
      <x:c r="C193" t="str">
        <x:v>Tuan Bui</x:v>
      </x:c>
      <x:c r="D193" t="str">
        <x:v>Central</x:v>
      </x:c>
      <x:c r="E193" t="str">
        <x:v>SEO</x:v>
      </x:c>
      <x:c r="F193" t="str">
        <x:v>REV-OPS</x:v>
      </x:c>
      <x:c r="G193" t="str">
        <x:v>Financial Services</x:v>
      </x:c>
      <x:c r="H193" t="str">
        <x:v>SMB</x:v>
      </x:c>
      <x:c r="I193" t="str">
        <x:v>Closed Lost</x:v>
      </x:c>
      <x:c r="J193" s="10" t="n">
        <x:v>45888</x:v>
      </x:c>
      <x:c r="K193" s="10" t="n">
        <x:v>45888</x:v>
      </x:c>
      <x:c r="L193" s="22" t="n">
        <x:v>34900</x:v>
      </x:c>
      <x:c r="M193" s="24" t="n">
        <x:v>0</x:v>
      </x:c>
      <x:c r="N193" s="24" t="n">
        <x:v>0</x:v>
      </x:c>
      <x:c r="O193" t="str">
        <x:v>Budget</x:v>
      </x:c>
      <x:c r="P193" t="n">
        <x:v>5</x:v>
      </x:c>
      <x:c r="Q193" t="str">
        <x:f>IFERROR(XLOOKUP(E193,Lookups!$A$5:$A$24,Lookups!$B$5:$B$24),"Other")</x:f>
        <x:v>Organic Search</x:v>
      </x:c>
      <x:c r="R193" t="str">
        <x:f>IFERROR(XLOOKUP(F193,Lookups!$D$5:$D$10,Lookups!$E$5:$E$10),"Unknown Product")</x:f>
        <x:v>Revenue Operations Suite</x:v>
      </x:c>
      <x:c r="S193" t="str">
        <x:f>IFERROR(XLOOKUP(F193,Lookups!$D$5:$D$10,Lookups!$F$5:$F$10),"Unknown")</x:f>
        <x:v>Revenue Ops</x:v>
      </x:c>
      <x:c r="T193" t="str">
        <x:f>IF(L193&gt;=50000,"Enterprise",IF(L193&gt;=20000,"Mid-Market","SMB"))</x:f>
        <x:v>Mid-Market</x:v>
      </x:c>
      <x:c r="U193" t="str">
        <x:f>IF(I193="Closed Won","Won",IF(I193="Closed Lost","Lost","Open"))</x:f>
        <x:v>Lost</x:v>
      </x:c>
      <x:c r="V193" s="22" t="n">
        <x:f>IF(U193="Won",L193*(1-M193),0)</x:f>
        <x:v>0</x:v>
      </x:c>
      <x:c r="W193" s="22" t="n">
        <x:f>IF(U193="Open",L193*N193,0)</x:f>
        <x:v>0</x:v>
      </x:c>
      <x:c r="X193" s="26" t="n">
        <x:f>IF(U193="Open","",IFERROR(K193-B193,""))</x:f>
        <x:v>51</x:v>
      </x:c>
      <x:c r="Y193" s="26" t="n">
        <x:f>IF(U193="Open",Lookups!$B$2-B193,X193)</x:f>
        <x:v>51</x:v>
      </x:c>
      <x:c r="Z193" t="str">
        <x:f>IF(AND(U193="Open",Y193&gt;30),"STALE","OK")</x:f>
        <x:v>OK</x:v>
      </x:c>
      <x:c r="AA193" t="str">
        <x:f>TEXT(B193,"yyyy-mm")</x:f>
        <x:v>2025-06</x:v>
      </x:c>
      <x:c r="AB193" t="str">
        <x:f>IF(K193="","",TEXT(K193,"yyyy-mm"))</x:f>
        <x:v>2025-08</x:v>
      </x:c>
      <x:c r="AC193" t="str">
        <x:f>"Q"&amp;ROUNDUP(MONTH(B193)/3,0)&amp;"-"&amp;YEAR(B193)</x:f>
        <x:v>Q2-2025</x:v>
      </x:c>
      <x:c r="AD193" s="26" t="n">
        <x:f>MIN(100,IF(H193="Enterprise",30,IF(H193="Mid-Market",22,14))+IF(T193="Enterprise",25,IF(T193="Mid-Market",18,10))+IF(Q193="Referral",25,IF(Q193="Organic Search",20,IF(Q193="Email",18,14)))+IF(G193="Technology",10,5))</x:f>
        <x:v>57</x:v>
      </x:c>
      <x:c r="AE193" t="str">
        <x:f>IF(U193&lt;&gt;"Open",U193,IF(N193&gt;=0.8,"Commit",IF(N193&gt;=0.5,"Best Case","Pipeline")))</x:f>
        <x:v>Lost</x:v>
      </x:c>
    </x:row>
    <x:row r="194">
      <x:c r="A194" t="str">
        <x:v>L00193</x:v>
      </x:c>
      <x:c r="B194" s="10" t="n">
        <x:v>45993</x:v>
      </x:c>
      <x:c r="C194" t="str">
        <x:v>Duy Pham</x:v>
      </x:c>
      <x:c r="D194" t="str">
        <x:v>South</x:v>
      </x:c>
      <x:c r="E194" t="str">
        <x:v>linkedin</x:v>
      </x:c>
      <x:c r="F194" t="str">
        <x:v>MKT-AUTO</x:v>
      </x:c>
      <x:c r="G194" t="str">
        <x:v>Technology</x:v>
      </x:c>
      <x:c r="H194" t="str">
        <x:v>Mid-Market</x:v>
      </x:c>
      <x:c r="I194" t="str">
        <x:v>Closed Lost</x:v>
      </x:c>
      <x:c r="J194" s="10" t="n">
        <x:v>46031</x:v>
      </x:c>
      <x:c r="K194" s="10" t="n">
        <x:v>46031</x:v>
      </x:c>
      <x:c r="L194" s="22" t="n">
        <x:v>16200</x:v>
      </x:c>
      <x:c r="M194" s="24" t="n">
        <x:v>0</x:v>
      </x:c>
      <x:c r="N194" s="24" t="n">
        <x:v>0</x:v>
      </x:c>
      <x:c r="O194" t="str">
        <x:v>Budget</x:v>
      </x:c>
      <x:c r="P194" t="n">
        <x:v>2</x:v>
      </x:c>
      <x:c r="Q194" t="str">
        <x:f>IFERROR(XLOOKUP(E194,Lookups!$A$5:$A$24,Lookups!$B$5:$B$24),"Other")</x:f>
        <x:v>LinkedIn</x:v>
      </x:c>
      <x:c r="R194" t="str">
        <x:f>IFERROR(XLOOKUP(F194,Lookups!$D$5:$D$10,Lookups!$E$5:$E$10),"Unknown Product")</x:f>
        <x:v>Marketing Automation</x:v>
      </x:c>
      <x:c r="S194" t="str">
        <x:f>IFERROR(XLOOKUP(F194,Lookups!$D$5:$D$10,Lookups!$F$5:$F$10),"Unknown")</x:f>
        <x:v>Marketing</x:v>
      </x:c>
      <x:c r="T194" t="str">
        <x:f>IF(L194&gt;=50000,"Enterprise",IF(L194&gt;=20000,"Mid-Market","SMB"))</x:f>
        <x:v>SMB</x:v>
      </x:c>
      <x:c r="U194" t="str">
        <x:f>IF(I194="Closed Won","Won",IF(I194="Closed Lost","Lost","Open"))</x:f>
        <x:v>Lost</x:v>
      </x:c>
      <x:c r="V194" s="22" t="n">
        <x:f>IF(U194="Won",L194*(1-M194),0)</x:f>
        <x:v>0</x:v>
      </x:c>
      <x:c r="W194" s="22" t="n">
        <x:f>IF(U194="Open",L194*N194,0)</x:f>
        <x:v>0</x:v>
      </x:c>
      <x:c r="X194" s="26" t="n">
        <x:f>IF(U194="Open","",IFERROR(K194-B194,""))</x:f>
        <x:v>38</x:v>
      </x:c>
      <x:c r="Y194" s="26" t="n">
        <x:f>IF(U194="Open",Lookups!$B$2-B194,X194)</x:f>
        <x:v>38</x:v>
      </x:c>
      <x:c r="Z194" t="str">
        <x:f>IF(AND(U194="Open",Y194&gt;30),"STALE","OK")</x:f>
        <x:v>OK</x:v>
      </x:c>
      <x:c r="AA194" t="str">
        <x:f>TEXT(B194,"yyyy-mm")</x:f>
        <x:v>2025-12</x:v>
      </x:c>
      <x:c r="AB194" t="str">
        <x:f>IF(K194="","",TEXT(K194,"yyyy-mm"))</x:f>
        <x:v>2026-01</x:v>
      </x:c>
      <x:c r="AC194" t="str">
        <x:f>"Q"&amp;ROUNDUP(MONTH(B194)/3,0)&amp;"-"&amp;YEAR(B194)</x:f>
        <x:v>Q4-2025</x:v>
      </x:c>
      <x:c r="AD194" s="26" t="n">
        <x:f>MIN(100,IF(H194="Enterprise",30,IF(H194="Mid-Market",22,14))+IF(T194="Enterprise",25,IF(T194="Mid-Market",18,10))+IF(Q194="Referral",25,IF(Q194="Organic Search",20,IF(Q194="Email",18,14)))+IF(G194="Technology",10,5))</x:f>
        <x:v>56</x:v>
      </x:c>
      <x:c r="AE194" t="str">
        <x:f>IF(U194&lt;&gt;"Open",U194,IF(N194&gt;=0.8,"Commit",IF(N194&gt;=0.5,"Best Case","Pipeline")))</x:f>
        <x:v>Lost</x:v>
      </x:c>
    </x:row>
    <x:row r="195">
      <x:c r="A195" t="str">
        <x:v>L00194</x:v>
      </x:c>
      <x:c r="B195" s="10" t="n">
        <x:v>46226</x:v>
      </x:c>
      <x:c r="C195" t="str">
        <x:v>An Nguyen</x:v>
      </x:c>
      <x:c r="D195" t="str">
        <x:v>South</x:v>
      </x:c>
      <x:c r="E195" t="str">
        <x:v>Email Campaign</x:v>
      </x:c>
      <x:c r="F195" t="str">
        <x:v>CRM-CORE</x:v>
      </x:c>
      <x:c r="G195" t="str">
        <x:v>Professional Services</x:v>
      </x:c>
      <x:c r="H195" t="str">
        <x:v>Enterprise</x:v>
      </x:c>
      <x:c r="I195" t="str">
        <x:v>Closed Won</x:v>
      </x:c>
      <x:c r="J195" s="10" t="n">
        <x:v>46266</x:v>
      </x:c>
      <x:c r="K195" s="10" t="n">
        <x:v>46266</x:v>
      </x:c>
      <x:c r="L195" s="22" t="n">
        <x:v>17800</x:v>
      </x:c>
      <x:c r="M195" s="24" t="n">
        <x:v>0.1</x:v>
      </x:c>
      <x:c r="N195" s="24" t="n">
        <x:v>1</x:v>
      </x:c>
      <x:c r="O195" t="str"/>
      <x:c r="P195" t="n">
        <x:v>6</x:v>
      </x:c>
      <x:c r="Q195" t="str">
        <x:f>IFERROR(XLOOKUP(E195,Lookups!$A$5:$A$24,Lookups!$B$5:$B$24),"Other")</x:f>
        <x:v>Email</x:v>
      </x:c>
      <x:c r="R195" t="str">
        <x:f>IFERROR(XLOOKUP(F195,Lookups!$D$5:$D$10,Lookups!$E$5:$E$10),"Unknown Product")</x:f>
        <x:v>NexaCRM Core</x:v>
      </x:c>
      <x:c r="S195" t="str">
        <x:f>IFERROR(XLOOKUP(F195,Lookups!$D$5:$D$10,Lookups!$F$5:$F$10),"Unknown")</x:f>
        <x:v>CRM</x:v>
      </x:c>
      <x:c r="T195" t="str">
        <x:f>IF(L195&gt;=50000,"Enterprise",IF(L195&gt;=20000,"Mid-Market","SMB"))</x:f>
        <x:v>SMB</x:v>
      </x:c>
      <x:c r="U195" t="str">
        <x:f>IF(I195="Closed Won","Won",IF(I195="Closed Lost","Lost","Open"))</x:f>
        <x:v>Won</x:v>
      </x:c>
      <x:c r="V195" s="22" t="n">
        <x:f>IF(U195="Won",L195*(1-M195),0)</x:f>
        <x:v>16020</x:v>
      </x:c>
      <x:c r="W195" s="22" t="n">
        <x:f>IF(U195="Open",L195*N195,0)</x:f>
        <x:v>0</x:v>
      </x:c>
      <x:c r="X195" s="26" t="n">
        <x:f>IF(U195="Open","",IFERROR(K195-B195,""))</x:f>
        <x:v>40</x:v>
      </x:c>
      <x:c r="Y195" s="26" t="n">
        <x:f>IF(U195="Open",Lookups!$B$2-B195,X195)</x:f>
        <x:v>40</x:v>
      </x:c>
      <x:c r="Z195" t="str">
        <x:f>IF(AND(U195="Open",Y195&gt;30),"STALE","OK")</x:f>
        <x:v>OK</x:v>
      </x:c>
      <x:c r="AA195" t="str">
        <x:f>TEXT(B195,"yyyy-mm")</x:f>
        <x:v>2026-07</x:v>
      </x:c>
      <x:c r="AB195" t="str">
        <x:f>IF(K195="","",TEXT(K195,"yyyy-mm"))</x:f>
        <x:v>2026-09</x:v>
      </x:c>
      <x:c r="AC195" t="str">
        <x:f>"Q"&amp;ROUNDUP(MONTH(B195)/3,0)&amp;"-"&amp;YEAR(B195)</x:f>
        <x:v>Q3-2026</x:v>
      </x:c>
      <x:c r="AD195" s="26" t="n">
        <x:f>MIN(100,IF(H195="Enterprise",30,IF(H195="Mid-Market",22,14))+IF(T195="Enterprise",25,IF(T195="Mid-Market",18,10))+IF(Q195="Referral",25,IF(Q195="Organic Search",20,IF(Q195="Email",18,14)))+IF(G195="Technology",10,5))</x:f>
        <x:v>63</x:v>
      </x:c>
      <x:c r="AE195" t="str">
        <x:f>IF(U195&lt;&gt;"Open",U195,IF(N195&gt;=0.8,"Commit",IF(N195&gt;=0.5,"Best Case","Pipeline")))</x:f>
        <x:v>Won</x:v>
      </x:c>
    </x:row>
    <x:row r="196">
      <x:c r="A196" t="str">
        <x:v>L00195</x:v>
      </x:c>
      <x:c r="B196" s="10" t="n">
        <x:v>46170</x:v>
      </x:c>
      <x:c r="C196" t="str">
        <x:v>Ha Vo</x:v>
      </x:c>
      <x:c r="D196" t="str">
        <x:v>North</x:v>
      </x:c>
      <x:c r="E196" t="str">
        <x:v>google cpc</x:v>
      </x:c>
      <x:c r="F196" t="str">
        <x:v>CRM-CORE</x:v>
      </x:c>
      <x:c r="G196" t="str">
        <x:v>Manufacturing</x:v>
      </x:c>
      <x:c r="H196" t="str">
        <x:v>SMB</x:v>
      </x:c>
      <x:c r="I196" t="str">
        <x:v>Proposal</x:v>
      </x:c>
      <x:c r="J196" s="10" t="n">
        <x:v>46233</x:v>
      </x:c>
      <x:c r="K196" s="10"/>
      <x:c r="L196" s="22" t="n">
        <x:v>5000</x:v>
      </x:c>
      <x:c r="M196" s="24" t="n">
        <x:v>0</x:v>
      </x:c>
      <x:c r="N196" s="24" t="n">
        <x:v>0.65</x:v>
      </x:c>
      <x:c r="O196" t="str"/>
      <x:c r="P196" t="n">
        <x:v>4</x:v>
      </x:c>
      <x:c r="Q196" t="str">
        <x:f>IFERROR(XLOOKUP(E196,Lookups!$A$5:$A$24,Lookups!$B$5:$B$24),"Other")</x:f>
        <x:v>Paid Search</x:v>
      </x:c>
      <x:c r="R196" t="str">
        <x:f>IFERROR(XLOOKUP(F196,Lookups!$D$5:$D$10,Lookups!$E$5:$E$10),"Unknown Product")</x:f>
        <x:v>NexaCRM Core</x:v>
      </x:c>
      <x:c r="S196" t="str">
        <x:f>IFERROR(XLOOKUP(F196,Lookups!$D$5:$D$10,Lookups!$F$5:$F$10),"Unknown")</x:f>
        <x:v>CRM</x:v>
      </x:c>
      <x:c r="T196" t="str">
        <x:f>IF(L196&gt;=50000,"Enterprise",IF(L196&gt;=20000,"Mid-Market","SMB"))</x:f>
        <x:v>SMB</x:v>
      </x:c>
      <x:c r="U196" t="str">
        <x:f>IF(I196="Closed Won","Won",IF(I196="Closed Lost","Lost","Open"))</x:f>
        <x:v>Open</x:v>
      </x:c>
      <x:c r="V196" s="22" t="n">
        <x:f>IF(U196="Won",L196*(1-M196),0)</x:f>
        <x:v>0</x:v>
      </x:c>
      <x:c r="W196" s="22" t="n">
        <x:f>IF(U196="Open",L196*N196,0)</x:f>
        <x:v>3250</x:v>
      </x:c>
      <x:c r="X196" s="26" t="str">
        <x:f>IF(U196="Open","",IFERROR(K196-B196,""))</x:f>
      </x:c>
      <x:c r="Y196" s="26" t="n">
        <x:f>IF(U196="Open",Lookups!$B$2-B196,X196)</x:f>
        <x:v>96</x:v>
      </x:c>
      <x:c r="Z196" t="str">
        <x:f>IF(AND(U196="Open",Y196&gt;30),"STALE","OK")</x:f>
        <x:v>STALE</x:v>
      </x:c>
      <x:c r="AA196" t="str">
        <x:f>TEXT(B196,"yyyy-mm")</x:f>
        <x:v>2026-05</x:v>
      </x:c>
      <x:c r="AB196" t="str">
        <x:f>IF(K196="","",TEXT(K196,"yyyy-mm"))</x:f>
      </x:c>
      <x:c r="AC196" t="str">
        <x:f>"Q"&amp;ROUNDUP(MONTH(B196)/3,0)&amp;"-"&amp;YEAR(B196)</x:f>
        <x:v>Q2-2026</x:v>
      </x:c>
      <x:c r="AD196" s="26" t="n">
        <x:f>MIN(100,IF(H196="Enterprise",30,IF(H196="Mid-Market",22,14))+IF(T196="Enterprise",25,IF(T196="Mid-Market",18,10))+IF(Q196="Referral",25,IF(Q196="Organic Search",20,IF(Q196="Email",18,14)))+IF(G196="Technology",10,5))</x:f>
        <x:v>43</x:v>
      </x:c>
      <x:c r="AE196" t="str">
        <x:f>IF(U196&lt;&gt;"Open",U196,IF(N196&gt;=0.8,"Commit",IF(N196&gt;=0.5,"Best Case","Pipeline")))</x:f>
        <x:v>Best Case</x:v>
      </x:c>
    </x:row>
    <x:row r="197">
      <x:c r="A197" t="str">
        <x:v>L00196</x:v>
      </x:c>
      <x:c r="B197" s="10" t="n">
        <x:v>46124</x:v>
      </x:c>
      <x:c r="C197" t="str">
        <x:v>Bao Tran</x:v>
      </x:c>
      <x:c r="D197" t="str">
        <x:v>South</x:v>
      </x:c>
      <x:c r="E197" t="str">
        <x:v>Google Organic</x:v>
      </x:c>
      <x:c r="F197" t="str">
        <x:v>CRM-CORE</x:v>
      </x:c>
      <x:c r="G197" t="str">
        <x:v>Education</x:v>
      </x:c>
      <x:c r="H197" t="str">
        <x:v>Mid-Market</x:v>
      </x:c>
      <x:c r="I197" t="str">
        <x:v>Closed Won</x:v>
      </x:c>
      <x:c r="J197" s="10" t="n">
        <x:v>46149</x:v>
      </x:c>
      <x:c r="K197" s="10" t="n">
        <x:v>46149</x:v>
      </x:c>
      <x:c r="L197" s="22" t="n">
        <x:v>16900</x:v>
      </x:c>
      <x:c r="M197" s="24" t="n">
        <x:v>0.12</x:v>
      </x:c>
      <x:c r="N197" s="24" t="n">
        <x:v>1</x:v>
      </x:c>
      <x:c r="O197" t="str"/>
      <x:c r="P197" t="n">
        <x:v>6</x:v>
      </x:c>
      <x:c r="Q197" t="str">
        <x:f>IFERROR(XLOOKUP(E197,Lookups!$A$5:$A$24,Lookups!$B$5:$B$24),"Other")</x:f>
        <x:v>Organic Search</x:v>
      </x:c>
      <x:c r="R197" t="str">
        <x:f>IFERROR(XLOOKUP(F197,Lookups!$D$5:$D$10,Lookups!$E$5:$E$10),"Unknown Product")</x:f>
        <x:v>NexaCRM Core</x:v>
      </x:c>
      <x:c r="S197" t="str">
        <x:f>IFERROR(XLOOKUP(F197,Lookups!$D$5:$D$10,Lookups!$F$5:$F$10),"Unknown")</x:f>
        <x:v>CRM</x:v>
      </x:c>
      <x:c r="T197" t="str">
        <x:f>IF(L197&gt;=50000,"Enterprise",IF(L197&gt;=20000,"Mid-Market","SMB"))</x:f>
        <x:v>SMB</x:v>
      </x:c>
      <x:c r="U197" t="str">
        <x:f>IF(I197="Closed Won","Won",IF(I197="Closed Lost","Lost","Open"))</x:f>
        <x:v>Won</x:v>
      </x:c>
      <x:c r="V197" s="22" t="n">
        <x:f>IF(U197="Won",L197*(1-M197),0)</x:f>
        <x:v>14872</x:v>
      </x:c>
      <x:c r="W197" s="22" t="n">
        <x:f>IF(U197="Open",L197*N197,0)</x:f>
        <x:v>0</x:v>
      </x:c>
      <x:c r="X197" s="26" t="n">
        <x:f>IF(U197="Open","",IFERROR(K197-B197,""))</x:f>
        <x:v>25</x:v>
      </x:c>
      <x:c r="Y197" s="26" t="n">
        <x:f>IF(U197="Open",Lookups!$B$2-B197,X197)</x:f>
        <x:v>25</x:v>
      </x:c>
      <x:c r="Z197" t="str">
        <x:f>IF(AND(U197="Open",Y197&gt;30),"STALE","OK")</x:f>
        <x:v>OK</x:v>
      </x:c>
      <x:c r="AA197" t="str">
        <x:f>TEXT(B197,"yyyy-mm")</x:f>
        <x:v>2026-04</x:v>
      </x:c>
      <x:c r="AB197" t="str">
        <x:f>IF(K197="","",TEXT(K197,"yyyy-mm"))</x:f>
        <x:v>2026-05</x:v>
      </x:c>
      <x:c r="AC197" t="str">
        <x:f>"Q"&amp;ROUNDUP(MONTH(B197)/3,0)&amp;"-"&amp;YEAR(B197)</x:f>
        <x:v>Q2-2026</x:v>
      </x:c>
      <x:c r="AD197" s="26" t="n">
        <x:f>MIN(100,IF(H197="Enterprise",30,IF(H197="Mid-Market",22,14))+IF(T197="Enterprise",25,IF(T197="Mid-Market",18,10))+IF(Q197="Referral",25,IF(Q197="Organic Search",20,IF(Q197="Email",18,14)))+IF(G197="Technology",10,5))</x:f>
        <x:v>57</x:v>
      </x:c>
      <x:c r="AE197" t="str">
        <x:f>IF(U197&lt;&gt;"Open",U197,IF(N197&gt;=0.8,"Commit",IF(N197&gt;=0.5,"Best Case","Pipeline")))</x:f>
        <x:v>Won</x:v>
      </x:c>
    </x:row>
    <x:row r="198">
      <x:c r="A198" t="str">
        <x:v>L00197</x:v>
      </x:c>
      <x:c r="B198" s="10" t="n">
        <x:v>45915</x:v>
      </x:c>
      <x:c r="C198" t="str">
        <x:v>Quynh Vu</x:v>
      </x:c>
      <x:c r="D198" t="str">
        <x:v>North</x:v>
      </x:c>
      <x:c r="E198" t="str">
        <x:v>virtual event</x:v>
      </x:c>
      <x:c r="F198" t="str">
        <x:v>CRM-CORE</x:v>
      </x:c>
      <x:c r="G198" t="str">
        <x:v>Education</x:v>
      </x:c>
      <x:c r="H198" t="str">
        <x:v>SMB</x:v>
      </x:c>
      <x:c r="I198" t="str">
        <x:v>Negotiation</x:v>
      </x:c>
      <x:c r="J198" s="10" t="n">
        <x:v>46190</x:v>
      </x:c>
      <x:c r="K198" s="10"/>
      <x:c r="L198" s="22" t="n">
        <x:v>4800</x:v>
      </x:c>
      <x:c r="M198" s="24" t="n">
        <x:v>0.03</x:v>
      </x:c>
      <x:c r="N198" s="24" t="n">
        <x:v>0.85</x:v>
      </x:c>
      <x:c r="O198" t="str"/>
      <x:c r="P198" t="n">
        <x:v>5</x:v>
      </x:c>
      <x:c r="Q198" t="str">
        <x:f>IFERROR(XLOOKUP(E198,Lookups!$A$5:$A$24,Lookups!$B$5:$B$24),"Other")</x:f>
        <x:v>Webinar</x:v>
      </x:c>
      <x:c r="R198" t="str">
        <x:f>IFERROR(XLOOKUP(F198,Lookups!$D$5:$D$10,Lookups!$E$5:$E$10),"Unknown Product")</x:f>
        <x:v>NexaCRM Core</x:v>
      </x:c>
      <x:c r="S198" t="str">
        <x:f>IFERROR(XLOOKUP(F198,Lookups!$D$5:$D$10,Lookups!$F$5:$F$10),"Unknown")</x:f>
        <x:v>CRM</x:v>
      </x:c>
      <x:c r="T198" t="str">
        <x:f>IF(L198&gt;=50000,"Enterprise",IF(L198&gt;=20000,"Mid-Market","SMB"))</x:f>
        <x:v>SMB</x:v>
      </x:c>
      <x:c r="U198" t="str">
        <x:f>IF(I198="Closed Won","Won",IF(I198="Closed Lost","Lost","Open"))</x:f>
        <x:v>Open</x:v>
      </x:c>
      <x:c r="V198" s="22" t="n">
        <x:f>IF(U198="Won",L198*(1-M198),0)</x:f>
        <x:v>0</x:v>
      </x:c>
      <x:c r="W198" s="22" t="n">
        <x:f>IF(U198="Open",L198*N198,0)</x:f>
        <x:v>4080</x:v>
      </x:c>
      <x:c r="X198" s="26" t="str">
        <x:f>IF(U198="Open","",IFERROR(K198-B198,""))</x:f>
      </x:c>
      <x:c r="Y198" s="26" t="n">
        <x:f>IF(U198="Open",Lookups!$B$2-B198,X198)</x:f>
        <x:v>351</x:v>
      </x:c>
      <x:c r="Z198" t="str">
        <x:f>IF(AND(U198="Open",Y198&gt;30),"STALE","OK")</x:f>
        <x:v>STALE</x:v>
      </x:c>
      <x:c r="AA198" t="str">
        <x:f>TEXT(B198,"yyyy-mm")</x:f>
        <x:v>2025-09</x:v>
      </x:c>
      <x:c r="AB198" t="str">
        <x:f>IF(K198="","",TEXT(K198,"yyyy-mm"))</x:f>
      </x:c>
      <x:c r="AC198" t="str">
        <x:f>"Q"&amp;ROUNDUP(MONTH(B198)/3,0)&amp;"-"&amp;YEAR(B198)</x:f>
        <x:v>Q3-2025</x:v>
      </x:c>
      <x:c r="AD198" s="26" t="n">
        <x:f>MIN(100,IF(H198="Enterprise",30,IF(H198="Mid-Market",22,14))+IF(T198="Enterprise",25,IF(T198="Mid-Market",18,10))+IF(Q198="Referral",25,IF(Q198="Organic Search",20,IF(Q198="Email",18,14)))+IF(G198="Technology",10,5))</x:f>
        <x:v>43</x:v>
      </x:c>
      <x:c r="AE198" t="str">
        <x:f>IF(U198&lt;&gt;"Open",U198,IF(N198&gt;=0.8,"Commit",IF(N198&gt;=0.5,"Best Case","Pipeline")))</x:f>
        <x:v>Commit</x:v>
      </x:c>
    </x:row>
    <x:row r="199">
      <x:c r="A199" t="str">
        <x:v>L00198</x:v>
      </x:c>
      <x:c r="B199" s="10" t="n">
        <x:v>45916</x:v>
      </x:c>
      <x:c r="C199" t="str">
        <x:v>An Nguyen</x:v>
      </x:c>
      <x:c r="D199" t="str">
        <x:v>South</x:v>
      </x:c>
      <x:c r="E199" t="str">
        <x:v>Email Campaign</x:v>
      </x:c>
      <x:c r="F199" t="str">
        <x:v>CS-CLOUD</x:v>
      </x:c>
      <x:c r="G199" t="str">
        <x:v>Retail</x:v>
      </x:c>
      <x:c r="H199" t="str">
        <x:v>SMB</x:v>
      </x:c>
      <x:c r="I199" t="str">
        <x:v>Negotiation</x:v>
      </x:c>
      <x:c r="J199" s="10" t="n">
        <x:v>46148</x:v>
      </x:c>
      <x:c r="K199" s="10"/>
      <x:c r="L199" s="22" t="n">
        <x:v>22600</x:v>
      </x:c>
      <x:c r="M199" s="24" t="n">
        <x:v>0.05</x:v>
      </x:c>
      <x:c r="N199" s="24" t="n">
        <x:v>0.85</x:v>
      </x:c>
      <x:c r="O199" t="str"/>
      <x:c r="P199" t="n">
        <x:v>5</x:v>
      </x:c>
      <x:c r="Q199" t="str">
        <x:f>IFERROR(XLOOKUP(E199,Lookups!$A$5:$A$24,Lookups!$B$5:$B$24),"Other")</x:f>
        <x:v>Email</x:v>
      </x:c>
      <x:c r="R199" t="str">
        <x:f>IFERROR(XLOOKUP(F199,Lookups!$D$5:$D$10,Lookups!$E$5:$E$10),"Unknown Product")</x:f>
        <x:v>Service Cloud</x:v>
      </x:c>
      <x:c r="S199" t="str">
        <x:f>IFERROR(XLOOKUP(F199,Lookups!$D$5:$D$10,Lookups!$F$5:$F$10),"Unknown")</x:f>
        <x:v>Customer Service</x:v>
      </x:c>
      <x:c r="T199" t="str">
        <x:f>IF(L199&gt;=50000,"Enterprise",IF(L199&gt;=20000,"Mid-Market","SMB"))</x:f>
        <x:v>Mid-Market</x:v>
      </x:c>
      <x:c r="U199" t="str">
        <x:f>IF(I199="Closed Won","Won",IF(I199="Closed Lost","Lost","Open"))</x:f>
        <x:v>Open</x:v>
      </x:c>
      <x:c r="V199" s="22" t="n">
        <x:f>IF(U199="Won",L199*(1-M199),0)</x:f>
        <x:v>0</x:v>
      </x:c>
      <x:c r="W199" s="22" t="n">
        <x:f>IF(U199="Open",L199*N199,0)</x:f>
        <x:v>19210</x:v>
      </x:c>
      <x:c r="X199" s="26" t="str">
        <x:f>IF(U199="Open","",IFERROR(K199-B199,""))</x:f>
      </x:c>
      <x:c r="Y199" s="26" t="n">
        <x:f>IF(U199="Open",Lookups!$B$2-B199,X199)</x:f>
        <x:v>350</x:v>
      </x:c>
      <x:c r="Z199" t="str">
        <x:f>IF(AND(U199="Open",Y199&gt;30),"STALE","OK")</x:f>
        <x:v>STALE</x:v>
      </x:c>
      <x:c r="AA199" t="str">
        <x:f>TEXT(B199,"yyyy-mm")</x:f>
        <x:v>2025-09</x:v>
      </x:c>
      <x:c r="AB199" t="str">
        <x:f>IF(K199="","",TEXT(K199,"yyyy-mm"))</x:f>
      </x:c>
      <x:c r="AC199" t="str">
        <x:f>"Q"&amp;ROUNDUP(MONTH(B199)/3,0)&amp;"-"&amp;YEAR(B199)</x:f>
        <x:v>Q3-2025</x:v>
      </x:c>
      <x:c r="AD199" s="26" t="n">
        <x:f>MIN(100,IF(H199="Enterprise",30,IF(H199="Mid-Market",22,14))+IF(T199="Enterprise",25,IF(T199="Mid-Market",18,10))+IF(Q199="Referral",25,IF(Q199="Organic Search",20,IF(Q199="Email",18,14)))+IF(G199="Technology",10,5))</x:f>
        <x:v>55</x:v>
      </x:c>
      <x:c r="AE199" t="str">
        <x:f>IF(U199&lt;&gt;"Open",U199,IF(N199&gt;=0.8,"Commit",IF(N199&gt;=0.5,"Best Case","Pipeline")))</x:f>
        <x:v>Commit</x:v>
      </x:c>
    </x:row>
    <x:row r="200">
      <x:c r="A200" t="str">
        <x:v>L00199</x:v>
      </x:c>
      <x:c r="B200" s="10" t="n">
        <x:v>46200</x:v>
      </x:c>
      <x:c r="C200" t="str">
        <x:v>Bao Tran</x:v>
      </x:c>
      <x:c r="D200" t="str">
        <x:v>South</x:v>
      </x:c>
      <x:c r="E200" t="str">
        <x:v>linkedin</x:v>
      </x:c>
      <x:c r="F200" t="str">
        <x:v>CS-CLOUD</x:v>
      </x:c>
      <x:c r="G200" t="str">
        <x:v>Professional Services</x:v>
      </x:c>
      <x:c r="H200" t="str">
        <x:v>Enterprise</x:v>
      </x:c>
      <x:c r="I200" t="str">
        <x:v>Closed Lost</x:v>
      </x:c>
      <x:c r="J200" s="10" t="n">
        <x:v>46254</x:v>
      </x:c>
      <x:c r="K200" s="10" t="n">
        <x:v>46254</x:v>
      </x:c>
      <x:c r="L200" s="22" t="n">
        <x:v>80800</x:v>
      </x:c>
      <x:c r="M200" s="24" t="n">
        <x:v>0</x:v>
      </x:c>
      <x:c r="N200" s="24" t="n">
        <x:v>0</x:v>
      </x:c>
      <x:c r="O200" t="str">
        <x:v>No Decision</x:v>
      </x:c>
      <x:c r="P200" t="n">
        <x:v>3</x:v>
      </x:c>
      <x:c r="Q200" t="str">
        <x:f>IFERROR(XLOOKUP(E200,Lookups!$A$5:$A$24,Lookups!$B$5:$B$24),"Other")</x:f>
        <x:v>LinkedIn</x:v>
      </x:c>
      <x:c r="R200" t="str">
        <x:f>IFERROR(XLOOKUP(F200,Lookups!$D$5:$D$10,Lookups!$E$5:$E$10),"Unknown Product")</x:f>
        <x:v>Service Cloud</x:v>
      </x:c>
      <x:c r="S200" t="str">
        <x:f>IFERROR(XLOOKUP(F200,Lookups!$D$5:$D$10,Lookups!$F$5:$F$10),"Unknown")</x:f>
        <x:v>Customer Service</x:v>
      </x:c>
      <x:c r="T200" t="str">
        <x:f>IF(L200&gt;=50000,"Enterprise",IF(L200&gt;=20000,"Mid-Market","SMB"))</x:f>
        <x:v>Enterprise</x:v>
      </x:c>
      <x:c r="U200" t="str">
        <x:f>IF(I200="Closed Won","Won",IF(I200="Closed Lost","Lost","Open"))</x:f>
        <x:v>Lost</x:v>
      </x:c>
      <x:c r="V200" s="22" t="n">
        <x:f>IF(U200="Won",L200*(1-M200),0)</x:f>
        <x:v>0</x:v>
      </x:c>
      <x:c r="W200" s="22" t="n">
        <x:f>IF(U200="Open",L200*N200,0)</x:f>
        <x:v>0</x:v>
      </x:c>
      <x:c r="X200" s="26" t="n">
        <x:f>IF(U200="Open","",IFERROR(K200-B200,""))</x:f>
        <x:v>54</x:v>
      </x:c>
      <x:c r="Y200" s="26" t="n">
        <x:f>IF(U200="Open",Lookups!$B$2-B200,X200)</x:f>
        <x:v>54</x:v>
      </x:c>
      <x:c r="Z200" t="str">
        <x:f>IF(AND(U200="Open",Y200&gt;30),"STALE","OK")</x:f>
        <x:v>OK</x:v>
      </x:c>
      <x:c r="AA200" t="str">
        <x:f>TEXT(B200,"yyyy-mm")</x:f>
        <x:v>2026-06</x:v>
      </x:c>
      <x:c r="AB200" t="str">
        <x:f>IF(K200="","",TEXT(K200,"yyyy-mm"))</x:f>
        <x:v>2026-08</x:v>
      </x:c>
      <x:c r="AC200" t="str">
        <x:f>"Q"&amp;ROUNDUP(MONTH(B200)/3,0)&amp;"-"&amp;YEAR(B200)</x:f>
        <x:v>Q2-2026</x:v>
      </x:c>
      <x:c r="AD200" s="26" t="n">
        <x:f>MIN(100,IF(H200="Enterprise",30,IF(H200="Mid-Market",22,14))+IF(T200="Enterprise",25,IF(T200="Mid-Market",18,10))+IF(Q200="Referral",25,IF(Q200="Organic Search",20,IF(Q200="Email",18,14)))+IF(G200="Technology",10,5))</x:f>
        <x:v>74</x:v>
      </x:c>
      <x:c r="AE200" t="str">
        <x:f>IF(U200&lt;&gt;"Open",U200,IF(N200&gt;=0.8,"Commit",IF(N200&gt;=0.5,"Best Case","Pipeline")))</x:f>
        <x:v>Lost</x:v>
      </x:c>
    </x:row>
    <x:row r="201">
      <x:c r="A201" t="str">
        <x:v>L00200</x:v>
      </x:c>
      <x:c r="B201" s="10" t="n">
        <x:v>45939</x:v>
      </x:c>
      <x:c r="C201" t="str">
        <x:v>Bao Tran</x:v>
      </x:c>
      <x:c r="D201" t="str">
        <x:v>South</x:v>
      </x:c>
      <x:c r="E201" t="str">
        <x:v>google cpc</x:v>
      </x:c>
      <x:c r="F201" t="str">
        <x:v>CS-CLOUD</x:v>
      </x:c>
      <x:c r="G201" t="str">
        <x:v>Manufacturing</x:v>
      </x:c>
      <x:c r="H201" t="str">
        <x:v>SMB</x:v>
      </x:c>
      <x:c r="I201" t="str">
        <x:v>Closed Lost</x:v>
      </x:c>
      <x:c r="J201" s="10" t="n">
        <x:v>45995</x:v>
      </x:c>
      <x:c r="K201" s="10" t="n">
        <x:v>45995</x:v>
      </x:c>
      <x:c r="L201" s="22" t="n">
        <x:v>13300</x:v>
      </x:c>
      <x:c r="M201" s="24" t="n">
        <x:v>0</x:v>
      </x:c>
      <x:c r="N201" s="24" t="n">
        <x:v>0</x:v>
      </x:c>
      <x:c r="O201" t="str">
        <x:v>Timing</x:v>
      </x:c>
      <x:c r="P201" t="n">
        <x:v>4</x:v>
      </x:c>
      <x:c r="Q201" t="str">
        <x:f>IFERROR(XLOOKUP(E201,Lookups!$A$5:$A$24,Lookups!$B$5:$B$24),"Other")</x:f>
        <x:v>Paid Search</x:v>
      </x:c>
      <x:c r="R201" t="str">
        <x:f>IFERROR(XLOOKUP(F201,Lookups!$D$5:$D$10,Lookups!$E$5:$E$10),"Unknown Product")</x:f>
        <x:v>Service Cloud</x:v>
      </x:c>
      <x:c r="S201" t="str">
        <x:f>IFERROR(XLOOKUP(F201,Lookups!$D$5:$D$10,Lookups!$F$5:$F$10),"Unknown")</x:f>
        <x:v>Customer Service</x:v>
      </x:c>
      <x:c r="T201" t="str">
        <x:f>IF(L201&gt;=50000,"Enterprise",IF(L201&gt;=20000,"Mid-Market","SMB"))</x:f>
        <x:v>SMB</x:v>
      </x:c>
      <x:c r="U201" t="str">
        <x:f>IF(I201="Closed Won","Won",IF(I201="Closed Lost","Lost","Open"))</x:f>
        <x:v>Lost</x:v>
      </x:c>
      <x:c r="V201" s="22" t="n">
        <x:f>IF(U201="Won",L201*(1-M201),0)</x:f>
        <x:v>0</x:v>
      </x:c>
      <x:c r="W201" s="22" t="n">
        <x:f>IF(U201="Open",L201*N201,0)</x:f>
        <x:v>0</x:v>
      </x:c>
      <x:c r="X201" s="26" t="n">
        <x:f>IF(U201="Open","",IFERROR(K201-B201,""))</x:f>
        <x:v>56</x:v>
      </x:c>
      <x:c r="Y201" s="26" t="n">
        <x:f>IF(U201="Open",Lookups!$B$2-B201,X201)</x:f>
        <x:v>56</x:v>
      </x:c>
      <x:c r="Z201" t="str">
        <x:f>IF(AND(U201="Open",Y201&gt;30),"STALE","OK")</x:f>
        <x:v>OK</x:v>
      </x:c>
      <x:c r="AA201" t="str">
        <x:f>TEXT(B201,"yyyy-mm")</x:f>
        <x:v>2025-10</x:v>
      </x:c>
      <x:c r="AB201" t="str">
        <x:f>IF(K201="","",TEXT(K201,"yyyy-mm"))</x:f>
        <x:v>2025-12</x:v>
      </x:c>
      <x:c r="AC201" t="str">
        <x:f>"Q"&amp;ROUNDUP(MONTH(B201)/3,0)&amp;"-"&amp;YEAR(B201)</x:f>
        <x:v>Q4-2025</x:v>
      </x:c>
      <x:c r="AD201" s="26" t="n">
        <x:f>MIN(100,IF(H201="Enterprise",30,IF(H201="Mid-Market",22,14))+IF(T201="Enterprise",25,IF(T201="Mid-Market",18,10))+IF(Q201="Referral",25,IF(Q201="Organic Search",20,IF(Q201="Email",18,14)))+IF(G201="Technology",10,5))</x:f>
        <x:v>43</x:v>
      </x:c>
      <x:c r="AE201" t="str">
        <x:f>IF(U201&lt;&gt;"Open",U201,IF(N201&gt;=0.8,"Commit",IF(N201&gt;=0.5,"Best Case","Pipeline")))</x:f>
        <x:v>Lost</x:v>
      </x:c>
    </x:row>
    <x:row r="202">
      <x:c r="A202" t="str">
        <x:v>L00201</x:v>
      </x:c>
      <x:c r="B202" s="10" t="n">
        <x:v>46076</x:v>
      </x:c>
      <x:c r="C202" t="str">
        <x:v>Ha Vo</x:v>
      </x:c>
      <x:c r="D202" t="str">
        <x:v>North</x:v>
      </x:c>
      <x:c r="E202" t="str">
        <x:v>Google Ads</x:v>
      </x:c>
      <x:c r="F202" t="str">
        <x:v>CRM-CORE</x:v>
      </x:c>
      <x:c r="G202" t="str">
        <x:v>Professional Services</x:v>
      </x:c>
      <x:c r="H202" t="str">
        <x:v>SMB</x:v>
      </x:c>
      <x:c r="I202" t="str">
        <x:v>Closed Won</x:v>
      </x:c>
      <x:c r="J202" s="10" t="n">
        <x:v>46134</x:v>
      </x:c>
      <x:c r="K202" s="10" t="n">
        <x:v>46134</x:v>
      </x:c>
      <x:c r="L202" s="22" t="n">
        <x:v>7900</x:v>
      </x:c>
      <x:c r="M202" s="24" t="n">
        <x:v>0.12</x:v>
      </x:c>
      <x:c r="N202" s="24" t="n">
        <x:v>1</x:v>
      </x:c>
      <x:c r="O202" t="str"/>
      <x:c r="P202" t="n">
        <x:v>6</x:v>
      </x:c>
      <x:c r="Q202" t="str">
        <x:f>IFERROR(XLOOKUP(E202,Lookups!$A$5:$A$24,Lookups!$B$5:$B$24),"Other")</x:f>
        <x:v>Paid Search</x:v>
      </x:c>
      <x:c r="R202" t="str">
        <x:f>IFERROR(XLOOKUP(F202,Lookups!$D$5:$D$10,Lookups!$E$5:$E$10),"Unknown Product")</x:f>
        <x:v>NexaCRM Core</x:v>
      </x:c>
      <x:c r="S202" t="str">
        <x:f>IFERROR(XLOOKUP(F202,Lookups!$D$5:$D$10,Lookups!$F$5:$F$10),"Unknown")</x:f>
        <x:v>CRM</x:v>
      </x:c>
      <x:c r="T202" t="str">
        <x:f>IF(L202&gt;=50000,"Enterprise",IF(L202&gt;=20000,"Mid-Market","SMB"))</x:f>
        <x:v>SMB</x:v>
      </x:c>
      <x:c r="U202" t="str">
        <x:f>IF(I202="Closed Won","Won",IF(I202="Closed Lost","Lost","Open"))</x:f>
        <x:v>Won</x:v>
      </x:c>
      <x:c r="V202" s="22" t="n">
        <x:f>IF(U202="Won",L202*(1-M202),0)</x:f>
        <x:v>6952</x:v>
      </x:c>
      <x:c r="W202" s="22" t="n">
        <x:f>IF(U202="Open",L202*N202,0)</x:f>
        <x:v>0</x:v>
      </x:c>
      <x:c r="X202" s="26" t="n">
        <x:f>IF(U202="Open","",IFERROR(K202-B202,""))</x:f>
        <x:v>58</x:v>
      </x:c>
      <x:c r="Y202" s="26" t="n">
        <x:f>IF(U202="Open",Lookups!$B$2-B202,X202)</x:f>
        <x:v>58</x:v>
      </x:c>
      <x:c r="Z202" t="str">
        <x:f>IF(AND(U202="Open",Y202&gt;30),"STALE","OK")</x:f>
        <x:v>OK</x:v>
      </x:c>
      <x:c r="AA202" t="str">
        <x:f>TEXT(B202,"yyyy-mm")</x:f>
        <x:v>2026-02</x:v>
      </x:c>
      <x:c r="AB202" t="str">
        <x:f>IF(K202="","",TEXT(K202,"yyyy-mm"))</x:f>
        <x:v>2026-04</x:v>
      </x:c>
      <x:c r="AC202" t="str">
        <x:f>"Q"&amp;ROUNDUP(MONTH(B202)/3,0)&amp;"-"&amp;YEAR(B202)</x:f>
        <x:v>Q1-2026</x:v>
      </x:c>
      <x:c r="AD202" s="26" t="n">
        <x:f>MIN(100,IF(H202="Enterprise",30,IF(H202="Mid-Market",22,14))+IF(T202="Enterprise",25,IF(T202="Mid-Market",18,10))+IF(Q202="Referral",25,IF(Q202="Organic Search",20,IF(Q202="Email",18,14)))+IF(G202="Technology",10,5))</x:f>
        <x:v>43</x:v>
      </x:c>
      <x:c r="AE202" t="str">
        <x:f>IF(U202&lt;&gt;"Open",U202,IF(N202&gt;=0.8,"Commit",IF(N202&gt;=0.5,"Best Case","Pipeline")))</x:f>
        <x:v>Won</x:v>
      </x:c>
    </x:row>
    <x:row r="203">
      <x:c r="A203" t="str">
        <x:v>L00202</x:v>
      </x:c>
      <x:c r="B203" s="10" t="n">
        <x:v>45855</x:v>
      </x:c>
      <x:c r="C203" t="str">
        <x:v>Minh Do</x:v>
      </x:c>
      <x:c r="D203" t="str">
        <x:v>North</x:v>
      </x:c>
      <x:c r="E203" t="str">
        <x:v>Outbound</x:v>
      </x:c>
      <x:c r="F203" t="str">
        <x:v>BI-PLUS</x:v>
      </x:c>
      <x:c r="G203" t="str">
        <x:v>Education</x:v>
      </x:c>
      <x:c r="H203" t="str">
        <x:v>Mid-Market</x:v>
      </x:c>
      <x:c r="I203" t="str">
        <x:v>Negotiation</x:v>
      </x:c>
      <x:c r="J203" s="10" t="n">
        <x:v>46072</x:v>
      </x:c>
      <x:c r="K203" s="10"/>
      <x:c r="L203" s="22" t="n">
        <x:v>37300</x:v>
      </x:c>
      <x:c r="M203" s="24" t="n">
        <x:v>0.03</x:v>
      </x:c>
      <x:c r="N203" s="24" t="n">
        <x:v>0.85</x:v>
      </x:c>
      <x:c r="O203" t="str"/>
      <x:c r="P203" t="n">
        <x:v>5</x:v>
      </x:c>
      <x:c r="Q203" t="str">
        <x:f>IFERROR(XLOOKUP(E203,Lookups!$A$5:$A$24,Lookups!$B$5:$B$24),"Other")</x:f>
        <x:v>Outbound</x:v>
      </x:c>
      <x:c r="R203" t="str">
        <x:f>IFERROR(XLOOKUP(F203,Lookups!$D$5:$D$10,Lookups!$E$5:$E$10),"Unknown Product")</x:f>
        <x:v>Analytics Plus</x:v>
      </x:c>
      <x:c r="S203" t="str">
        <x:f>IFERROR(XLOOKUP(F203,Lookups!$D$5:$D$10,Lookups!$F$5:$F$10),"Unknown")</x:f>
        <x:v>Analytics</x:v>
      </x:c>
      <x:c r="T203" t="str">
        <x:f>IF(L203&gt;=50000,"Enterprise",IF(L203&gt;=20000,"Mid-Market","SMB"))</x:f>
        <x:v>Mid-Market</x:v>
      </x:c>
      <x:c r="U203" t="str">
        <x:f>IF(I203="Closed Won","Won",IF(I203="Closed Lost","Lost","Open"))</x:f>
        <x:v>Open</x:v>
      </x:c>
      <x:c r="V203" s="22" t="n">
        <x:f>IF(U203="Won",L203*(1-M203),0)</x:f>
        <x:v>0</x:v>
      </x:c>
      <x:c r="W203" s="22" t="n">
        <x:f>IF(U203="Open",L203*N203,0)</x:f>
        <x:v>31705</x:v>
      </x:c>
      <x:c r="X203" s="26" t="str">
        <x:f>IF(U203="Open","",IFERROR(K203-B203,""))</x:f>
      </x:c>
      <x:c r="Y203" s="26" t="n">
        <x:f>IF(U203="Open",Lookups!$B$2-B203,X203)</x:f>
        <x:v>411</x:v>
      </x:c>
      <x:c r="Z203" t="str">
        <x:f>IF(AND(U203="Open",Y203&gt;30),"STALE","OK")</x:f>
        <x:v>STALE</x:v>
      </x:c>
      <x:c r="AA203" t="str">
        <x:f>TEXT(B203,"yyyy-mm")</x:f>
        <x:v>2025-07</x:v>
      </x:c>
      <x:c r="AB203" t="str">
        <x:f>IF(K203="","",TEXT(K203,"yyyy-mm"))</x:f>
      </x:c>
      <x:c r="AC203" t="str">
        <x:f>"Q"&amp;ROUNDUP(MONTH(B203)/3,0)&amp;"-"&amp;YEAR(B203)</x:f>
        <x:v>Q3-2025</x:v>
      </x:c>
      <x:c r="AD203" s="26" t="n">
        <x:f>MIN(100,IF(H203="Enterprise",30,IF(H203="Mid-Market",22,14))+IF(T203="Enterprise",25,IF(T203="Mid-Market",18,10))+IF(Q203="Referral",25,IF(Q203="Organic Search",20,IF(Q203="Email",18,14)))+IF(G203="Technology",10,5))</x:f>
        <x:v>59</x:v>
      </x:c>
      <x:c r="AE203" t="str">
        <x:f>IF(U203&lt;&gt;"Open",U203,IF(N203&gt;=0.8,"Commit",IF(N203&gt;=0.5,"Best Case","Pipeline")))</x:f>
        <x:v>Commit</x:v>
      </x:c>
    </x:row>
    <x:row r="204">
      <x:c r="A204" t="str">
        <x:v>L00203</x:v>
      </x:c>
      <x:c r="B204" s="10" t="n">
        <x:v>45735</x:v>
      </x:c>
      <x:c r="C204" t="str">
        <x:v>Duy Pham</x:v>
      </x:c>
      <x:c r="D204" t="str">
        <x:v>South</x:v>
      </x:c>
      <x:c r="E204" t="str">
        <x:v>Email Campaign</x:v>
      </x:c>
      <x:c r="F204" t="str">
        <x:v>MKT-AUTO</x:v>
      </x:c>
      <x:c r="G204" t="str">
        <x:v>Manufacturing</x:v>
      </x:c>
      <x:c r="H204" t="str">
        <x:v>SMB</x:v>
      </x:c>
      <x:c r="I204" t="str">
        <x:v>Negotiation</x:v>
      </x:c>
      <x:c r="J204" s="10" t="n">
        <x:v>46170</x:v>
      </x:c>
      <x:c r="K204" s="10"/>
      <x:c r="L204" s="22" t="n">
        <x:v>18900</x:v>
      </x:c>
      <x:c r="M204" s="24" t="n">
        <x:v>0.03</x:v>
      </x:c>
      <x:c r="N204" s="24" t="n">
        <x:v>0.85</x:v>
      </x:c>
      <x:c r="O204" t="str"/>
      <x:c r="P204" t="n">
        <x:v>5</x:v>
      </x:c>
      <x:c r="Q204" t="str">
        <x:f>IFERROR(XLOOKUP(E204,Lookups!$A$5:$A$24,Lookups!$B$5:$B$24),"Other")</x:f>
        <x:v>Email</x:v>
      </x:c>
      <x:c r="R204" t="str">
        <x:f>IFERROR(XLOOKUP(F204,Lookups!$D$5:$D$10,Lookups!$E$5:$E$10),"Unknown Product")</x:f>
        <x:v>Marketing Automation</x:v>
      </x:c>
      <x:c r="S204" t="str">
        <x:f>IFERROR(XLOOKUP(F204,Lookups!$D$5:$D$10,Lookups!$F$5:$F$10),"Unknown")</x:f>
        <x:v>Marketing</x:v>
      </x:c>
      <x:c r="T204" t="str">
        <x:f>IF(L204&gt;=50000,"Enterprise",IF(L204&gt;=20000,"Mid-Market","SMB"))</x:f>
        <x:v>SMB</x:v>
      </x:c>
      <x:c r="U204" t="str">
        <x:f>IF(I204="Closed Won","Won",IF(I204="Closed Lost","Lost","Open"))</x:f>
        <x:v>Open</x:v>
      </x:c>
      <x:c r="V204" s="22" t="n">
        <x:f>IF(U204="Won",L204*(1-M204),0)</x:f>
        <x:v>0</x:v>
      </x:c>
      <x:c r="W204" s="22" t="n">
        <x:f>IF(U204="Open",L204*N204,0)</x:f>
        <x:v>16065</x:v>
      </x:c>
      <x:c r="X204" s="26" t="str">
        <x:f>IF(U204="Open","",IFERROR(K204-B204,""))</x:f>
      </x:c>
      <x:c r="Y204" s="26" t="n">
        <x:f>IF(U204="Open",Lookups!$B$2-B204,X204)</x:f>
        <x:v>531</x:v>
      </x:c>
      <x:c r="Z204" t="str">
        <x:f>IF(AND(U204="Open",Y204&gt;30),"STALE","OK")</x:f>
        <x:v>STALE</x:v>
      </x:c>
      <x:c r="AA204" t="str">
        <x:f>TEXT(B204,"yyyy-mm")</x:f>
        <x:v>2025-03</x:v>
      </x:c>
      <x:c r="AB204" t="str">
        <x:f>IF(K204="","",TEXT(K204,"yyyy-mm"))</x:f>
      </x:c>
      <x:c r="AC204" t="str">
        <x:f>"Q"&amp;ROUNDUP(MONTH(B204)/3,0)&amp;"-"&amp;YEAR(B204)</x:f>
        <x:v>Q1-2025</x:v>
      </x:c>
      <x:c r="AD204" s="26" t="n">
        <x:f>MIN(100,IF(H204="Enterprise",30,IF(H204="Mid-Market",22,14))+IF(T204="Enterprise",25,IF(T204="Mid-Market",18,10))+IF(Q204="Referral",25,IF(Q204="Organic Search",20,IF(Q204="Email",18,14)))+IF(G204="Technology",10,5))</x:f>
        <x:v>47</x:v>
      </x:c>
      <x:c r="AE204" t="str">
        <x:f>IF(U204&lt;&gt;"Open",U204,IF(N204&gt;=0.8,"Commit",IF(N204&gt;=0.5,"Best Case","Pipeline")))</x:f>
        <x:v>Commit</x:v>
      </x:c>
    </x:row>
    <x:row r="205">
      <x:c r="A205" t="str">
        <x:v>L00204</x:v>
      </x:c>
      <x:c r="B205" s="10" t="n">
        <x:v>45696</x:v>
      </x:c>
      <x:c r="C205" t="str">
        <x:v>Bao Tran</x:v>
      </x:c>
      <x:c r="D205" t="str">
        <x:v>South</x:v>
      </x:c>
      <x:c r="E205" t="str">
        <x:v>Email Campaign</x:v>
      </x:c>
      <x:c r="F205" t="str">
        <x:v>CRM-PRO</x:v>
      </x:c>
      <x:c r="G205" t="str">
        <x:v>Education</x:v>
      </x:c>
      <x:c r="H205" t="str">
        <x:v>SMB</x:v>
      </x:c>
      <x:c r="I205" t="str">
        <x:v>Closed Lost</x:v>
      </x:c>
      <x:c r="J205" s="10" t="n">
        <x:v>45717</x:v>
      </x:c>
      <x:c r="K205" s="10" t="n">
        <x:v>45717</x:v>
      </x:c>
      <x:c r="L205" s="22" t="n">
        <x:v>14800</x:v>
      </x:c>
      <x:c r="M205" s="24" t="n">
        <x:v>0</x:v>
      </x:c>
      <x:c r="N205" s="24" t="n">
        <x:v>0</x:v>
      </x:c>
      <x:c r="O205" t="str">
        <x:v>Price</x:v>
      </x:c>
      <x:c r="P205" t="n">
        <x:v>2</x:v>
      </x:c>
      <x:c r="Q205" t="str">
        <x:f>IFERROR(XLOOKUP(E205,Lookups!$A$5:$A$24,Lookups!$B$5:$B$24),"Other")</x:f>
        <x:v>Email</x:v>
      </x:c>
      <x:c r="R205" t="str">
        <x:f>IFERROR(XLOOKUP(F205,Lookups!$D$5:$D$10,Lookups!$E$5:$E$10),"Unknown Product")</x:f>
        <x:v>NexaCRM Pro</x:v>
      </x:c>
      <x:c r="S205" t="str">
        <x:f>IFERROR(XLOOKUP(F205,Lookups!$D$5:$D$10,Lookups!$F$5:$F$10),"Unknown")</x:f>
        <x:v>CRM</x:v>
      </x:c>
      <x:c r="T205" t="str">
        <x:f>IF(L205&gt;=50000,"Enterprise",IF(L205&gt;=20000,"Mid-Market","SMB"))</x:f>
        <x:v>SMB</x:v>
      </x:c>
      <x:c r="U205" t="str">
        <x:f>IF(I205="Closed Won","Won",IF(I205="Closed Lost","Lost","Open"))</x:f>
        <x:v>Lost</x:v>
      </x:c>
      <x:c r="V205" s="22" t="n">
        <x:f>IF(U205="Won",L205*(1-M205),0)</x:f>
        <x:v>0</x:v>
      </x:c>
      <x:c r="W205" s="22" t="n">
        <x:f>IF(U205="Open",L205*N205,0)</x:f>
        <x:v>0</x:v>
      </x:c>
      <x:c r="X205" s="26" t="n">
        <x:f>IF(U205="Open","",IFERROR(K205-B205,""))</x:f>
        <x:v>21</x:v>
      </x:c>
      <x:c r="Y205" s="26" t="n">
        <x:f>IF(U205="Open",Lookups!$B$2-B205,X205)</x:f>
        <x:v>21</x:v>
      </x:c>
      <x:c r="Z205" t="str">
        <x:f>IF(AND(U205="Open",Y205&gt;30),"STALE","OK")</x:f>
        <x:v>OK</x:v>
      </x:c>
      <x:c r="AA205" t="str">
        <x:f>TEXT(B205,"yyyy-mm")</x:f>
        <x:v>2025-02</x:v>
      </x:c>
      <x:c r="AB205" t="str">
        <x:f>IF(K205="","",TEXT(K205,"yyyy-mm"))</x:f>
        <x:v>2025-03</x:v>
      </x:c>
      <x:c r="AC205" t="str">
        <x:f>"Q"&amp;ROUNDUP(MONTH(B205)/3,0)&amp;"-"&amp;YEAR(B205)</x:f>
        <x:v>Q1-2025</x:v>
      </x:c>
      <x:c r="AD205" s="26" t="n">
        <x:f>MIN(100,IF(H205="Enterprise",30,IF(H205="Mid-Market",22,14))+IF(T205="Enterprise",25,IF(T205="Mid-Market",18,10))+IF(Q205="Referral",25,IF(Q205="Organic Search",20,IF(Q205="Email",18,14)))+IF(G205="Technology",10,5))</x:f>
        <x:v>47</x:v>
      </x:c>
      <x:c r="AE205" t="str">
        <x:f>IF(U205&lt;&gt;"Open",U205,IF(N205&gt;=0.8,"Commit",IF(N205&gt;=0.5,"Best Case","Pipeline")))</x:f>
        <x:v>Lost</x:v>
      </x:c>
    </x:row>
    <x:row r="206">
      <x:c r="A206" t="str">
        <x:v>L00205</x:v>
      </x:c>
      <x:c r="B206" s="10" t="n">
        <x:v>45857</x:v>
      </x:c>
      <x:c r="C206" t="str">
        <x:v>Bao Tran</x:v>
      </x:c>
      <x:c r="D206" t="str">
        <x:v>South</x:v>
      </x:c>
      <x:c r="E206" t="str">
        <x:v>customer referral</x:v>
      </x:c>
      <x:c r="F206" t="str">
        <x:v>CRM-CORE</x:v>
      </x:c>
      <x:c r="G206" t="str">
        <x:v>Professional Services</x:v>
      </x:c>
      <x:c r="H206" t="str">
        <x:v>Mid-Market</x:v>
      </x:c>
      <x:c r="I206" t="str">
        <x:v>Closed Won</x:v>
      </x:c>
      <x:c r="J206" s="10" t="n">
        <x:v>45913</x:v>
      </x:c>
      <x:c r="K206" s="10" t="n">
        <x:v>45913</x:v>
      </x:c>
      <x:c r="L206" s="22" t="n">
        <x:v>14500</x:v>
      </x:c>
      <x:c r="M206" s="24" t="n">
        <x:v>0</x:v>
      </x:c>
      <x:c r="N206" s="24" t="n">
        <x:v>1</x:v>
      </x:c>
      <x:c r="O206" t="str"/>
      <x:c r="P206" t="n">
        <x:v>6</x:v>
      </x:c>
      <x:c r="Q206" t="str">
        <x:f>IFERROR(XLOOKUP(E206,Lookups!$A$5:$A$24,Lookups!$B$5:$B$24),"Other")</x:f>
        <x:v>Referral</x:v>
      </x:c>
      <x:c r="R206" t="str">
        <x:f>IFERROR(XLOOKUP(F206,Lookups!$D$5:$D$10,Lookups!$E$5:$E$10),"Unknown Product")</x:f>
        <x:v>NexaCRM Core</x:v>
      </x:c>
      <x:c r="S206" t="str">
        <x:f>IFERROR(XLOOKUP(F206,Lookups!$D$5:$D$10,Lookups!$F$5:$F$10),"Unknown")</x:f>
        <x:v>CRM</x:v>
      </x:c>
      <x:c r="T206" t="str">
        <x:f>IF(L206&gt;=50000,"Enterprise",IF(L206&gt;=20000,"Mid-Market","SMB"))</x:f>
        <x:v>SMB</x:v>
      </x:c>
      <x:c r="U206" t="str">
        <x:f>IF(I206="Closed Won","Won",IF(I206="Closed Lost","Lost","Open"))</x:f>
        <x:v>Won</x:v>
      </x:c>
      <x:c r="V206" s="22" t="n">
        <x:f>IF(U206="Won",L206*(1-M206),0)</x:f>
        <x:v>14500</x:v>
      </x:c>
      <x:c r="W206" s="22" t="n">
        <x:f>IF(U206="Open",L206*N206,0)</x:f>
        <x:v>0</x:v>
      </x:c>
      <x:c r="X206" s="26" t="n">
        <x:f>IF(U206="Open","",IFERROR(K206-B206,""))</x:f>
        <x:v>56</x:v>
      </x:c>
      <x:c r="Y206" s="26" t="n">
        <x:f>IF(U206="Open",Lookups!$B$2-B206,X206)</x:f>
        <x:v>56</x:v>
      </x:c>
      <x:c r="Z206" t="str">
        <x:f>IF(AND(U206="Open",Y206&gt;30),"STALE","OK")</x:f>
        <x:v>OK</x:v>
      </x:c>
      <x:c r="AA206" t="str">
        <x:f>TEXT(B206,"yyyy-mm")</x:f>
        <x:v>2025-07</x:v>
      </x:c>
      <x:c r="AB206" t="str">
        <x:f>IF(K206="","",TEXT(K206,"yyyy-mm"))</x:f>
        <x:v>2025-09</x:v>
      </x:c>
      <x:c r="AC206" t="str">
        <x:f>"Q"&amp;ROUNDUP(MONTH(B206)/3,0)&amp;"-"&amp;YEAR(B206)</x:f>
        <x:v>Q3-2025</x:v>
      </x:c>
      <x:c r="AD206" s="26" t="n">
        <x:f>MIN(100,IF(H206="Enterprise",30,IF(H206="Mid-Market",22,14))+IF(T206="Enterprise",25,IF(T206="Mid-Market",18,10))+IF(Q206="Referral",25,IF(Q206="Organic Search",20,IF(Q206="Email",18,14)))+IF(G206="Technology",10,5))</x:f>
        <x:v>62</x:v>
      </x:c>
      <x:c r="AE206" t="str">
        <x:f>IF(U206&lt;&gt;"Open",U206,IF(N206&gt;=0.8,"Commit",IF(N206&gt;=0.5,"Best Case","Pipeline")))</x:f>
        <x:v>Won</x:v>
      </x:c>
    </x:row>
    <x:row r="207">
      <x:c r="A207" t="str">
        <x:v>L00206</x:v>
      </x:c>
      <x:c r="B207" s="10" t="n">
        <x:v>46201</x:v>
      </x:c>
      <x:c r="C207" t="str">
        <x:v>Minh Do</x:v>
      </x:c>
      <x:c r="D207" t="str">
        <x:v>North</x:v>
      </x:c>
      <x:c r="E207" t="str">
        <x:v>organic search</x:v>
      </x:c>
      <x:c r="F207" t="str">
        <x:v>CRM-PRO</x:v>
      </x:c>
      <x:c r="G207" t="str">
        <x:v>Retail</x:v>
      </x:c>
      <x:c r="H207" t="str">
        <x:v>Enterprise</x:v>
      </x:c>
      <x:c r="I207" t="str">
        <x:v>Qualified</x:v>
      </x:c>
      <x:c r="J207" s="10" t="n">
        <x:v>46230</x:v>
      </x:c>
      <x:c r="K207" s="10"/>
      <x:c r="L207" s="22" t="n">
        <x:v>83600</x:v>
      </x:c>
      <x:c r="M207" s="24" t="n">
        <x:v>0</x:v>
      </x:c>
      <x:c r="N207" s="24" t="n">
        <x:v>0.2</x:v>
      </x:c>
      <x:c r="O207" t="str"/>
      <x:c r="P207" t="n">
        <x:v>2</x:v>
      </x:c>
      <x:c r="Q207" t="str">
        <x:f>IFERROR(XLOOKUP(E207,Lookups!$A$5:$A$24,Lookups!$B$5:$B$24),"Other")</x:f>
        <x:v>Organic Search</x:v>
      </x:c>
      <x:c r="R207" t="str">
        <x:f>IFERROR(XLOOKUP(F207,Lookups!$D$5:$D$10,Lookups!$E$5:$E$10),"Unknown Product")</x:f>
        <x:v>NexaCRM Pro</x:v>
      </x:c>
      <x:c r="S207" t="str">
        <x:f>IFERROR(XLOOKUP(F207,Lookups!$D$5:$D$10,Lookups!$F$5:$F$10),"Unknown")</x:f>
        <x:v>CRM</x:v>
      </x:c>
      <x:c r="T207" t="str">
        <x:f>IF(L207&gt;=50000,"Enterprise",IF(L207&gt;=20000,"Mid-Market","SMB"))</x:f>
        <x:v>Enterprise</x:v>
      </x:c>
      <x:c r="U207" t="str">
        <x:f>IF(I207="Closed Won","Won",IF(I207="Closed Lost","Lost","Open"))</x:f>
        <x:v>Open</x:v>
      </x:c>
      <x:c r="V207" s="22" t="n">
        <x:f>IF(U207="Won",L207*(1-M207),0)</x:f>
        <x:v>0</x:v>
      </x:c>
      <x:c r="W207" s="22" t="n">
        <x:f>IF(U207="Open",L207*N207,0)</x:f>
        <x:v>16720</x:v>
      </x:c>
      <x:c r="X207" s="26" t="str">
        <x:f>IF(U207="Open","",IFERROR(K207-B207,""))</x:f>
      </x:c>
      <x:c r="Y207" s="26" t="n">
        <x:f>IF(U207="Open",Lookups!$B$2-B207,X207)</x:f>
        <x:v>65</x:v>
      </x:c>
      <x:c r="Z207" t="str">
        <x:f>IF(AND(U207="Open",Y207&gt;30),"STALE","OK")</x:f>
        <x:v>STALE</x:v>
      </x:c>
      <x:c r="AA207" t="str">
        <x:f>TEXT(B207,"yyyy-mm")</x:f>
        <x:v>2026-06</x:v>
      </x:c>
      <x:c r="AB207" t="str">
        <x:f>IF(K207="","",TEXT(K207,"yyyy-mm"))</x:f>
      </x:c>
      <x:c r="AC207" t="str">
        <x:f>"Q"&amp;ROUNDUP(MONTH(B207)/3,0)&amp;"-"&amp;YEAR(B207)</x:f>
        <x:v>Q2-2026</x:v>
      </x:c>
      <x:c r="AD207" s="26" t="n">
        <x:f>MIN(100,IF(H207="Enterprise",30,IF(H207="Mid-Market",22,14))+IF(T207="Enterprise",25,IF(T207="Mid-Market",18,10))+IF(Q207="Referral",25,IF(Q207="Organic Search",20,IF(Q207="Email",18,14)))+IF(G207="Technology",10,5))</x:f>
        <x:v>80</x:v>
      </x:c>
      <x:c r="AE207" t="str">
        <x:f>IF(U207&lt;&gt;"Open",U207,IF(N207&gt;=0.8,"Commit",IF(N207&gt;=0.5,"Best Case","Pipeline")))</x:f>
        <x:v>Pipeline</x:v>
      </x:c>
    </x:row>
    <x:row r="208">
      <x:c r="A208" t="str">
        <x:v>L00207</x:v>
      </x:c>
      <x:c r="B208" s="10" t="n">
        <x:v>46247</x:v>
      </x:c>
      <x:c r="C208" t="str">
        <x:v>An Nguyen</x:v>
      </x:c>
      <x:c r="D208" t="str">
        <x:v>South</x:v>
      </x:c>
      <x:c r="E208" t="str">
        <x:v>SDR Outreach</x:v>
      </x:c>
      <x:c r="F208" t="str">
        <x:v>CRM-CORE</x:v>
      </x:c>
      <x:c r="G208" t="str">
        <x:v>Financial Services</x:v>
      </x:c>
      <x:c r="H208" t="str">
        <x:v>SMB</x:v>
      </x:c>
      <x:c r="I208" t="str">
        <x:v>New</x:v>
      </x:c>
      <x:c r="J208" s="10" t="n">
        <x:v>46261</x:v>
      </x:c>
      <x:c r="K208" s="10"/>
      <x:c r="L208" s="22" t="n">
        <x:v>7600</x:v>
      </x:c>
      <x:c r="M208" s="24" t="n">
        <x:v>0</x:v>
      </x:c>
      <x:c r="N208" s="24" t="n">
        <x:v>0.05</x:v>
      </x:c>
      <x:c r="O208" t="str"/>
      <x:c r="P208" t="n">
        <x:v>1</x:v>
      </x:c>
      <x:c r="Q208" t="str">
        <x:f>IFERROR(XLOOKUP(E208,Lookups!$A$5:$A$24,Lookups!$B$5:$B$24),"Other")</x:f>
        <x:v>Outbound</x:v>
      </x:c>
      <x:c r="R208" t="str">
        <x:f>IFERROR(XLOOKUP(F208,Lookups!$D$5:$D$10,Lookups!$E$5:$E$10),"Unknown Product")</x:f>
        <x:v>NexaCRM Core</x:v>
      </x:c>
      <x:c r="S208" t="str">
        <x:f>IFERROR(XLOOKUP(F208,Lookups!$D$5:$D$10,Lookups!$F$5:$F$10),"Unknown")</x:f>
        <x:v>CRM</x:v>
      </x:c>
      <x:c r="T208" t="str">
        <x:f>IF(L208&gt;=50000,"Enterprise",IF(L208&gt;=20000,"Mid-Market","SMB"))</x:f>
        <x:v>SMB</x:v>
      </x:c>
      <x:c r="U208" t="str">
        <x:f>IF(I208="Closed Won","Won",IF(I208="Closed Lost","Lost","Open"))</x:f>
        <x:v>Open</x:v>
      </x:c>
      <x:c r="V208" s="22" t="n">
        <x:f>IF(U208="Won",L208*(1-M208),0)</x:f>
        <x:v>0</x:v>
      </x:c>
      <x:c r="W208" s="22" t="n">
        <x:f>IF(U208="Open",L208*N208,0)</x:f>
        <x:v>380</x:v>
      </x:c>
      <x:c r="X208" s="26" t="str">
        <x:f>IF(U208="Open","",IFERROR(K208-B208,""))</x:f>
      </x:c>
      <x:c r="Y208" s="26" t="n">
        <x:f>IF(U208="Open",Lookups!$B$2-B208,X208)</x:f>
        <x:v>19</x:v>
      </x:c>
      <x:c r="Z208" t="str">
        <x:f>IF(AND(U208="Open",Y208&gt;30),"STALE","OK")</x:f>
        <x:v>OK</x:v>
      </x:c>
      <x:c r="AA208" t="str">
        <x:f>TEXT(B208,"yyyy-mm")</x:f>
        <x:v>2026-08</x:v>
      </x:c>
      <x:c r="AB208" t="str">
        <x:f>IF(K208="","",TEXT(K208,"yyyy-mm"))</x:f>
      </x:c>
      <x:c r="AC208" t="str">
        <x:f>"Q"&amp;ROUNDUP(MONTH(B208)/3,0)&amp;"-"&amp;YEAR(B208)</x:f>
        <x:v>Q3-2026</x:v>
      </x:c>
      <x:c r="AD208" s="26" t="n">
        <x:f>MIN(100,IF(H208="Enterprise",30,IF(H208="Mid-Market",22,14))+IF(T208="Enterprise",25,IF(T208="Mid-Market",18,10))+IF(Q208="Referral",25,IF(Q208="Organic Search",20,IF(Q208="Email",18,14)))+IF(G208="Technology",10,5))</x:f>
        <x:v>43</x:v>
      </x:c>
      <x:c r="AE208" t="str">
        <x:f>IF(U208&lt;&gt;"Open",U208,IF(N208&gt;=0.8,"Commit",IF(N208&gt;=0.5,"Best Case","Pipeline")))</x:f>
        <x:v>Pipeline</x:v>
      </x:c>
    </x:row>
    <x:row r="209">
      <x:c r="A209" t="str">
        <x:v>L00208</x:v>
      </x:c>
      <x:c r="B209" s="10" t="n">
        <x:v>45736</x:v>
      </x:c>
      <x:c r="C209" t="str">
        <x:v>Tuan Bui</x:v>
      </x:c>
      <x:c r="D209" t="str">
        <x:v>Central</x:v>
      </x:c>
      <x:c r="E209" t="str">
        <x:v>email nurture</x:v>
      </x:c>
      <x:c r="F209" t="str">
        <x:v>BI-PLUS</x:v>
      </x:c>
      <x:c r="G209" t="str">
        <x:v>Financial Services</x:v>
      </x:c>
      <x:c r="H209" t="str">
        <x:v>Mid-Market</x:v>
      </x:c>
      <x:c r="I209" t="str">
        <x:v>Closed Lost</x:v>
      </x:c>
      <x:c r="J209" s="10" t="n">
        <x:v>45812</x:v>
      </x:c>
      <x:c r="K209" s="10" t="n">
        <x:v>45812</x:v>
      </x:c>
      <x:c r="L209" s="22" t="n">
        <x:v>44200</x:v>
      </x:c>
      <x:c r="M209" s="24" t="n">
        <x:v>0</x:v>
      </x:c>
      <x:c r="N209" s="24" t="n">
        <x:v>0</x:v>
      </x:c>
      <x:c r="O209" t="str">
        <x:v>No Decision</x:v>
      </x:c>
      <x:c r="P209" t="n">
        <x:v>2</x:v>
      </x:c>
      <x:c r="Q209" t="str">
        <x:f>IFERROR(XLOOKUP(E209,Lookups!$A$5:$A$24,Lookups!$B$5:$B$24),"Other")</x:f>
        <x:v>Email</x:v>
      </x:c>
      <x:c r="R209" t="str">
        <x:f>IFERROR(XLOOKUP(F209,Lookups!$D$5:$D$10,Lookups!$E$5:$E$10),"Unknown Product")</x:f>
        <x:v>Analytics Plus</x:v>
      </x:c>
      <x:c r="S209" t="str">
        <x:f>IFERROR(XLOOKUP(F209,Lookups!$D$5:$D$10,Lookups!$F$5:$F$10),"Unknown")</x:f>
        <x:v>Analytics</x:v>
      </x:c>
      <x:c r="T209" t="str">
        <x:f>IF(L209&gt;=50000,"Enterprise",IF(L209&gt;=20000,"Mid-Market","SMB"))</x:f>
        <x:v>Mid-Market</x:v>
      </x:c>
      <x:c r="U209" t="str">
        <x:f>IF(I209="Closed Won","Won",IF(I209="Closed Lost","Lost","Open"))</x:f>
        <x:v>Lost</x:v>
      </x:c>
      <x:c r="V209" s="22" t="n">
        <x:f>IF(U209="Won",L209*(1-M209),0)</x:f>
        <x:v>0</x:v>
      </x:c>
      <x:c r="W209" s="22" t="n">
        <x:f>IF(U209="Open",L209*N209,0)</x:f>
        <x:v>0</x:v>
      </x:c>
      <x:c r="X209" s="26" t="n">
        <x:f>IF(U209="Open","",IFERROR(K209-B209,""))</x:f>
        <x:v>76</x:v>
      </x:c>
      <x:c r="Y209" s="26" t="n">
        <x:f>IF(U209="Open",Lookups!$B$2-B209,X209)</x:f>
        <x:v>76</x:v>
      </x:c>
      <x:c r="Z209" t="str">
        <x:f>IF(AND(U209="Open",Y209&gt;30),"STALE","OK")</x:f>
        <x:v>OK</x:v>
      </x:c>
      <x:c r="AA209" t="str">
        <x:f>TEXT(B209,"yyyy-mm")</x:f>
        <x:v>2025-03</x:v>
      </x:c>
      <x:c r="AB209" t="str">
        <x:f>IF(K209="","",TEXT(K209,"yyyy-mm"))</x:f>
        <x:v>2025-06</x:v>
      </x:c>
      <x:c r="AC209" t="str">
        <x:f>"Q"&amp;ROUNDUP(MONTH(B209)/3,0)&amp;"-"&amp;YEAR(B209)</x:f>
        <x:v>Q1-2025</x:v>
      </x:c>
      <x:c r="AD209" s="26" t="n">
        <x:f>MIN(100,IF(H209="Enterprise",30,IF(H209="Mid-Market",22,14))+IF(T209="Enterprise",25,IF(T209="Mid-Market",18,10))+IF(Q209="Referral",25,IF(Q209="Organic Search",20,IF(Q209="Email",18,14)))+IF(G209="Technology",10,5))</x:f>
        <x:v>63</x:v>
      </x:c>
      <x:c r="AE209" t="str">
        <x:f>IF(U209&lt;&gt;"Open",U209,IF(N209&gt;=0.8,"Commit",IF(N209&gt;=0.5,"Best Case","Pipeline")))</x:f>
        <x:v>Lost</x:v>
      </x:c>
    </x:row>
    <x:row r="210">
      <x:c r="A210" t="str">
        <x:v>L00209</x:v>
      </x:c>
      <x:c r="B210" s="10" t="n">
        <x:v>45891</x:v>
      </x:c>
      <x:c r="C210" t="str">
        <x:v>Quynh Vu</x:v>
      </x:c>
      <x:c r="D210" t="str">
        <x:v>North</x:v>
      </x:c>
      <x:c r="E210" t="str">
        <x:v>Outbound</x:v>
      </x:c>
      <x:c r="F210" t="str">
        <x:v>CS-CLOUD</x:v>
      </x:c>
      <x:c r="G210" t="str">
        <x:v>Professional Services</x:v>
      </x:c>
      <x:c r="H210" t="str">
        <x:v>SMB</x:v>
      </x:c>
      <x:c r="I210" t="str">
        <x:v>Closed Lost</x:v>
      </x:c>
      <x:c r="J210" s="10" t="n">
        <x:v>45927</x:v>
      </x:c>
      <x:c r="K210" s="10" t="n">
        <x:v>45927</x:v>
      </x:c>
      <x:c r="L210" s="22" t="n">
        <x:v>12800</x:v>
      </x:c>
      <x:c r="M210" s="24" t="n">
        <x:v>0</x:v>
      </x:c>
      <x:c r="N210" s="24" t="n">
        <x:v>0</x:v>
      </x:c>
      <x:c r="O210" t="str">
        <x:v>Budget</x:v>
      </x:c>
      <x:c r="P210" t="n">
        <x:v>4</x:v>
      </x:c>
      <x:c r="Q210" t="str">
        <x:f>IFERROR(XLOOKUP(E210,Lookups!$A$5:$A$24,Lookups!$B$5:$B$24),"Other")</x:f>
        <x:v>Outbound</x:v>
      </x:c>
      <x:c r="R210" t="str">
        <x:f>IFERROR(XLOOKUP(F210,Lookups!$D$5:$D$10,Lookups!$E$5:$E$10),"Unknown Product")</x:f>
        <x:v>Service Cloud</x:v>
      </x:c>
      <x:c r="S210" t="str">
        <x:f>IFERROR(XLOOKUP(F210,Lookups!$D$5:$D$10,Lookups!$F$5:$F$10),"Unknown")</x:f>
        <x:v>Customer Service</x:v>
      </x:c>
      <x:c r="T210" t="str">
        <x:f>IF(L210&gt;=50000,"Enterprise",IF(L210&gt;=20000,"Mid-Market","SMB"))</x:f>
        <x:v>SMB</x:v>
      </x:c>
      <x:c r="U210" t="str">
        <x:f>IF(I210="Closed Won","Won",IF(I210="Closed Lost","Lost","Open"))</x:f>
        <x:v>Lost</x:v>
      </x:c>
      <x:c r="V210" s="22" t="n">
        <x:f>IF(U210="Won",L210*(1-M210),0)</x:f>
        <x:v>0</x:v>
      </x:c>
      <x:c r="W210" s="22" t="n">
        <x:f>IF(U210="Open",L210*N210,0)</x:f>
        <x:v>0</x:v>
      </x:c>
      <x:c r="X210" s="26" t="n">
        <x:f>IF(U210="Open","",IFERROR(K210-B210,""))</x:f>
        <x:v>36</x:v>
      </x:c>
      <x:c r="Y210" s="26" t="n">
        <x:f>IF(U210="Open",Lookups!$B$2-B210,X210)</x:f>
        <x:v>36</x:v>
      </x:c>
      <x:c r="Z210" t="str">
        <x:f>IF(AND(U210="Open",Y210&gt;30),"STALE","OK")</x:f>
        <x:v>OK</x:v>
      </x:c>
      <x:c r="AA210" t="str">
        <x:f>TEXT(B210,"yyyy-mm")</x:f>
        <x:v>2025-08</x:v>
      </x:c>
      <x:c r="AB210" t="str">
        <x:f>IF(K210="","",TEXT(K210,"yyyy-mm"))</x:f>
        <x:v>2025-09</x:v>
      </x:c>
      <x:c r="AC210" t="str">
        <x:f>"Q"&amp;ROUNDUP(MONTH(B210)/3,0)&amp;"-"&amp;YEAR(B210)</x:f>
        <x:v>Q3-2025</x:v>
      </x:c>
      <x:c r="AD210" s="26" t="n">
        <x:f>MIN(100,IF(H210="Enterprise",30,IF(H210="Mid-Market",22,14))+IF(T210="Enterprise",25,IF(T210="Mid-Market",18,10))+IF(Q210="Referral",25,IF(Q210="Organic Search",20,IF(Q210="Email",18,14)))+IF(G210="Technology",10,5))</x:f>
        <x:v>43</x:v>
      </x:c>
      <x:c r="AE210" t="str">
        <x:f>IF(U210&lt;&gt;"Open",U210,IF(N210&gt;=0.8,"Commit",IF(N210&gt;=0.5,"Best Case","Pipeline")))</x:f>
        <x:v>Lost</x:v>
      </x:c>
    </x:row>
    <x:row r="211">
      <x:c r="A211" t="str">
        <x:v>L00210</x:v>
      </x:c>
      <x:c r="B211" s="10" t="n">
        <x:v>45922</x:v>
      </x:c>
      <x:c r="C211" t="str">
        <x:v>An Nguyen</x:v>
      </x:c>
      <x:c r="D211" t="str">
        <x:v>South</x:v>
      </x:c>
      <x:c r="E211" t="str">
        <x:v>SEO</x:v>
      </x:c>
      <x:c r="F211" t="str">
        <x:v>CRM-PRO</x:v>
      </x:c>
      <x:c r="G211" t="str">
        <x:v>Healthcare</x:v>
      </x:c>
      <x:c r="H211" t="str">
        <x:v>Enterprise</x:v>
      </x:c>
      <x:c r="I211" t="str">
        <x:v>Closed Lost</x:v>
      </x:c>
      <x:c r="J211" s="10" t="n">
        <x:v>45978</x:v>
      </x:c>
      <x:c r="K211" s="10" t="n">
        <x:v>45978</x:v>
      </x:c>
      <x:c r="L211" s="22" t="n">
        <x:v>81400</x:v>
      </x:c>
      <x:c r="M211" s="24" t="n">
        <x:v>0</x:v>
      </x:c>
      <x:c r="N211" s="24" t="n">
        <x:v>0</x:v>
      </x:c>
      <x:c r="O211" t="str">
        <x:v>No Decision</x:v>
      </x:c>
      <x:c r="P211" t="n">
        <x:v>4</x:v>
      </x:c>
      <x:c r="Q211" t="str">
        <x:f>IFERROR(XLOOKUP(E211,Lookups!$A$5:$A$24,Lookups!$B$5:$B$24),"Other")</x:f>
        <x:v>Organic Search</x:v>
      </x:c>
      <x:c r="R211" t="str">
        <x:f>IFERROR(XLOOKUP(F211,Lookups!$D$5:$D$10,Lookups!$E$5:$E$10),"Unknown Product")</x:f>
        <x:v>NexaCRM Pro</x:v>
      </x:c>
      <x:c r="S211" t="str">
        <x:f>IFERROR(XLOOKUP(F211,Lookups!$D$5:$D$10,Lookups!$F$5:$F$10),"Unknown")</x:f>
        <x:v>CRM</x:v>
      </x:c>
      <x:c r="T211" t="str">
        <x:f>IF(L211&gt;=50000,"Enterprise",IF(L211&gt;=20000,"Mid-Market","SMB"))</x:f>
        <x:v>Enterprise</x:v>
      </x:c>
      <x:c r="U211" t="str">
        <x:f>IF(I211="Closed Won","Won",IF(I211="Closed Lost","Lost","Open"))</x:f>
        <x:v>Lost</x:v>
      </x:c>
      <x:c r="V211" s="22" t="n">
        <x:f>IF(U211="Won",L211*(1-M211),0)</x:f>
        <x:v>0</x:v>
      </x:c>
      <x:c r="W211" s="22" t="n">
        <x:f>IF(U211="Open",L211*N211,0)</x:f>
        <x:v>0</x:v>
      </x:c>
      <x:c r="X211" s="26" t="n">
        <x:f>IF(U211="Open","",IFERROR(K211-B211,""))</x:f>
        <x:v>56</x:v>
      </x:c>
      <x:c r="Y211" s="26" t="n">
        <x:f>IF(U211="Open",Lookups!$B$2-B211,X211)</x:f>
        <x:v>56</x:v>
      </x:c>
      <x:c r="Z211" t="str">
        <x:f>IF(AND(U211="Open",Y211&gt;30),"STALE","OK")</x:f>
        <x:v>OK</x:v>
      </x:c>
      <x:c r="AA211" t="str">
        <x:f>TEXT(B211,"yyyy-mm")</x:f>
        <x:v>2025-09</x:v>
      </x:c>
      <x:c r="AB211" t="str">
        <x:f>IF(K211="","",TEXT(K211,"yyyy-mm"))</x:f>
        <x:v>2025-11</x:v>
      </x:c>
      <x:c r="AC211" t="str">
        <x:f>"Q"&amp;ROUNDUP(MONTH(B211)/3,0)&amp;"-"&amp;YEAR(B211)</x:f>
        <x:v>Q3-2025</x:v>
      </x:c>
      <x:c r="AD211" s="26" t="n">
        <x:f>MIN(100,IF(H211="Enterprise",30,IF(H211="Mid-Market",22,14))+IF(T211="Enterprise",25,IF(T211="Mid-Market",18,10))+IF(Q211="Referral",25,IF(Q211="Organic Search",20,IF(Q211="Email",18,14)))+IF(G211="Technology",10,5))</x:f>
        <x:v>80</x:v>
      </x:c>
      <x:c r="AE211" t="str">
        <x:f>IF(U211&lt;&gt;"Open",U211,IF(N211&gt;=0.8,"Commit",IF(N211&gt;=0.5,"Best Case","Pipeline")))</x:f>
        <x:v>Lost</x:v>
      </x:c>
    </x:row>
    <x:row r="212">
      <x:c r="A212" t="str">
        <x:v>L00211</x:v>
      </x:c>
      <x:c r="B212" s="10" t="n">
        <x:v>46199</x:v>
      </x:c>
      <x:c r="C212" t="str">
        <x:v>Bao Tran</x:v>
      </x:c>
      <x:c r="D212" t="str">
        <x:v>South</x:v>
      </x:c>
      <x:c r="E212" t="str">
        <x:v>organic search</x:v>
      </x:c>
      <x:c r="F212" t="str">
        <x:v>CRM-CORE</x:v>
      </x:c>
      <x:c r="G212" t="str">
        <x:v>Retail</x:v>
      </x:c>
      <x:c r="H212" t="str">
        <x:v>Mid-Market</x:v>
      </x:c>
      <x:c r="I212" t="str">
        <x:v>Closed Lost</x:v>
      </x:c>
      <x:c r="J212" s="10" t="n">
        <x:v>46265</x:v>
      </x:c>
      <x:c r="K212" s="10" t="n">
        <x:v>46265</x:v>
      </x:c>
      <x:c r="L212" s="22" t="n">
        <x:v>17500</x:v>
      </x:c>
      <x:c r="M212" s="24" t="n">
        <x:v>0</x:v>
      </x:c>
      <x:c r="N212" s="24" t="n">
        <x:v>0</x:v>
      </x:c>
      <x:c r="O212" t="str">
        <x:v>Price</x:v>
      </x:c>
      <x:c r="P212" t="n">
        <x:v>2</x:v>
      </x:c>
      <x:c r="Q212" t="str">
        <x:f>IFERROR(XLOOKUP(E212,Lookups!$A$5:$A$24,Lookups!$B$5:$B$24),"Other")</x:f>
        <x:v>Organic Search</x:v>
      </x:c>
      <x:c r="R212" t="str">
        <x:f>IFERROR(XLOOKUP(F212,Lookups!$D$5:$D$10,Lookups!$E$5:$E$10),"Unknown Product")</x:f>
        <x:v>NexaCRM Core</x:v>
      </x:c>
      <x:c r="S212" t="str">
        <x:f>IFERROR(XLOOKUP(F212,Lookups!$D$5:$D$10,Lookups!$F$5:$F$10),"Unknown")</x:f>
        <x:v>CRM</x:v>
      </x:c>
      <x:c r="T212" t="str">
        <x:f>IF(L212&gt;=50000,"Enterprise",IF(L212&gt;=20000,"Mid-Market","SMB"))</x:f>
        <x:v>SMB</x:v>
      </x:c>
      <x:c r="U212" t="str">
        <x:f>IF(I212="Closed Won","Won",IF(I212="Closed Lost","Lost","Open"))</x:f>
        <x:v>Lost</x:v>
      </x:c>
      <x:c r="V212" s="22" t="n">
        <x:f>IF(U212="Won",L212*(1-M212),0)</x:f>
        <x:v>0</x:v>
      </x:c>
      <x:c r="W212" s="22" t="n">
        <x:f>IF(U212="Open",L212*N212,0)</x:f>
        <x:v>0</x:v>
      </x:c>
      <x:c r="X212" s="26" t="n">
        <x:f>IF(U212="Open","",IFERROR(K212-B212,""))</x:f>
        <x:v>66</x:v>
      </x:c>
      <x:c r="Y212" s="26" t="n">
        <x:f>IF(U212="Open",Lookups!$B$2-B212,X212)</x:f>
        <x:v>66</x:v>
      </x:c>
      <x:c r="Z212" t="str">
        <x:f>IF(AND(U212="Open",Y212&gt;30),"STALE","OK")</x:f>
        <x:v>OK</x:v>
      </x:c>
      <x:c r="AA212" t="str">
        <x:f>TEXT(B212,"yyyy-mm")</x:f>
        <x:v>2026-06</x:v>
      </x:c>
      <x:c r="AB212" t="str">
        <x:f>IF(K212="","",TEXT(K212,"yyyy-mm"))</x:f>
        <x:v>2026-08</x:v>
      </x:c>
      <x:c r="AC212" t="str">
        <x:f>"Q"&amp;ROUNDUP(MONTH(B212)/3,0)&amp;"-"&amp;YEAR(B212)</x:f>
        <x:v>Q2-2026</x:v>
      </x:c>
      <x:c r="AD212" s="26" t="n">
        <x:f>MIN(100,IF(H212="Enterprise",30,IF(H212="Mid-Market",22,14))+IF(T212="Enterprise",25,IF(T212="Mid-Market",18,10))+IF(Q212="Referral",25,IF(Q212="Organic Search",20,IF(Q212="Email",18,14)))+IF(G212="Technology",10,5))</x:f>
        <x:v>57</x:v>
      </x:c>
      <x:c r="AE212" t="str">
        <x:f>IF(U212&lt;&gt;"Open",U212,IF(N212&gt;=0.8,"Commit",IF(N212&gt;=0.5,"Best Case","Pipeline")))</x:f>
        <x:v>Lost</x:v>
      </x:c>
    </x:row>
    <x:row r="213">
      <x:c r="A213" t="str">
        <x:v>L00212</x:v>
      </x:c>
      <x:c r="B213" s="10" t="n">
        <x:v>46204</x:v>
      </x:c>
      <x:c r="C213" t="str">
        <x:v>An Nguyen</x:v>
      </x:c>
      <x:c r="D213" t="str">
        <x:v>South</x:v>
      </x:c>
      <x:c r="E213" t="str">
        <x:v>google cpc</x:v>
      </x:c>
      <x:c r="F213" t="str">
        <x:v>CRM-PRO</x:v>
      </x:c>
      <x:c r="G213" t="str">
        <x:v>Education</x:v>
      </x:c>
      <x:c r="H213" t="str">
        <x:v>SMB</x:v>
      </x:c>
      <x:c r="I213" t="str">
        <x:v>Qualified</x:v>
      </x:c>
      <x:c r="J213" s="10" t="n">
        <x:v>46254</x:v>
      </x:c>
      <x:c r="K213" s="10"/>
      <x:c r="L213" s="22" t="n">
        <x:v>23700</x:v>
      </x:c>
      <x:c r="M213" s="24" t="n">
        <x:v>0</x:v>
      </x:c>
      <x:c r="N213" s="24" t="n">
        <x:v>0.2</x:v>
      </x:c>
      <x:c r="O213" t="str"/>
      <x:c r="P213" t="n">
        <x:v>2</x:v>
      </x:c>
      <x:c r="Q213" t="str">
        <x:f>IFERROR(XLOOKUP(E213,Lookups!$A$5:$A$24,Lookups!$B$5:$B$24),"Other")</x:f>
        <x:v>Paid Search</x:v>
      </x:c>
      <x:c r="R213" t="str">
        <x:f>IFERROR(XLOOKUP(F213,Lookups!$D$5:$D$10,Lookups!$E$5:$E$10),"Unknown Product")</x:f>
        <x:v>NexaCRM Pro</x:v>
      </x:c>
      <x:c r="S213" t="str">
        <x:f>IFERROR(XLOOKUP(F213,Lookups!$D$5:$D$10,Lookups!$F$5:$F$10),"Unknown")</x:f>
        <x:v>CRM</x:v>
      </x:c>
      <x:c r="T213" t="str">
        <x:f>IF(L213&gt;=50000,"Enterprise",IF(L213&gt;=20000,"Mid-Market","SMB"))</x:f>
        <x:v>Mid-Market</x:v>
      </x:c>
      <x:c r="U213" t="str">
        <x:f>IF(I213="Closed Won","Won",IF(I213="Closed Lost","Lost","Open"))</x:f>
        <x:v>Open</x:v>
      </x:c>
      <x:c r="V213" s="22" t="n">
        <x:f>IF(U213="Won",L213*(1-M213),0)</x:f>
        <x:v>0</x:v>
      </x:c>
      <x:c r="W213" s="22" t="n">
        <x:f>IF(U213="Open",L213*N213,0)</x:f>
        <x:v>4740</x:v>
      </x:c>
      <x:c r="X213" s="26" t="str">
        <x:f>IF(U213="Open","",IFERROR(K213-B213,""))</x:f>
      </x:c>
      <x:c r="Y213" s="26" t="n">
        <x:f>IF(U213="Open",Lookups!$B$2-B213,X213)</x:f>
        <x:v>62</x:v>
      </x:c>
      <x:c r="Z213" t="str">
        <x:f>IF(AND(U213="Open",Y213&gt;30),"STALE","OK")</x:f>
        <x:v>STALE</x:v>
      </x:c>
      <x:c r="AA213" t="str">
        <x:f>TEXT(B213,"yyyy-mm")</x:f>
        <x:v>2026-07</x:v>
      </x:c>
      <x:c r="AB213" t="str">
        <x:f>IF(K213="","",TEXT(K213,"yyyy-mm"))</x:f>
      </x:c>
      <x:c r="AC213" t="str">
        <x:f>"Q"&amp;ROUNDUP(MONTH(B213)/3,0)&amp;"-"&amp;YEAR(B213)</x:f>
        <x:v>Q3-2026</x:v>
      </x:c>
      <x:c r="AD213" s="26" t="n">
        <x:f>MIN(100,IF(H213="Enterprise",30,IF(H213="Mid-Market",22,14))+IF(T213="Enterprise",25,IF(T213="Mid-Market",18,10))+IF(Q213="Referral",25,IF(Q213="Organic Search",20,IF(Q213="Email",18,14)))+IF(G213="Technology",10,5))</x:f>
        <x:v>51</x:v>
      </x:c>
      <x:c r="AE213" t="str">
        <x:f>IF(U213&lt;&gt;"Open",U213,IF(N213&gt;=0.8,"Commit",IF(N213&gt;=0.5,"Best Case","Pipeline")))</x:f>
        <x:v>Pipeline</x:v>
      </x:c>
    </x:row>
    <x:row r="214">
      <x:c r="A214" t="str">
        <x:v>L00213</x:v>
      </x:c>
      <x:c r="B214" s="10" t="n">
        <x:v>46207</x:v>
      </x:c>
      <x:c r="C214" t="str">
        <x:v>Duy Pham</x:v>
      </x:c>
      <x:c r="D214" t="str">
        <x:v>South</x:v>
      </x:c>
      <x:c r="E214" t="str">
        <x:v>Referral</x:v>
      </x:c>
      <x:c r="F214" t="str">
        <x:v>BI-PLUS</x:v>
      </x:c>
      <x:c r="G214" t="str">
        <x:v>Education</x:v>
      </x:c>
      <x:c r="H214" t="str">
        <x:v>Mid-Market</x:v>
      </x:c>
      <x:c r="I214" t="str">
        <x:v>Closed Won</x:v>
      </x:c>
      <x:c r="J214" s="10" t="n">
        <x:v>46266</x:v>
      </x:c>
      <x:c r="K214" s="10" t="n">
        <x:v>46266</x:v>
      </x:c>
      <x:c r="L214" s="22" t="n">
        <x:v>30200</x:v>
      </x:c>
      <x:c r="M214" s="24" t="n">
        <x:v>0.08</x:v>
      </x:c>
      <x:c r="N214" s="24" t="n">
        <x:v>1</x:v>
      </x:c>
      <x:c r="O214" t="str"/>
      <x:c r="P214" t="n">
        <x:v>6</x:v>
      </x:c>
      <x:c r="Q214" t="str">
        <x:f>IFERROR(XLOOKUP(E214,Lookups!$A$5:$A$24,Lookups!$B$5:$B$24),"Other")</x:f>
        <x:v>Referral</x:v>
      </x:c>
      <x:c r="R214" t="str">
        <x:f>IFERROR(XLOOKUP(F214,Lookups!$D$5:$D$10,Lookups!$E$5:$E$10),"Unknown Product")</x:f>
        <x:v>Analytics Plus</x:v>
      </x:c>
      <x:c r="S214" t="str">
        <x:f>IFERROR(XLOOKUP(F214,Lookups!$D$5:$D$10,Lookups!$F$5:$F$10),"Unknown")</x:f>
        <x:v>Analytics</x:v>
      </x:c>
      <x:c r="T214" t="str">
        <x:f>IF(L214&gt;=50000,"Enterprise",IF(L214&gt;=20000,"Mid-Market","SMB"))</x:f>
        <x:v>Mid-Market</x:v>
      </x:c>
      <x:c r="U214" t="str">
        <x:f>IF(I214="Closed Won","Won",IF(I214="Closed Lost","Lost","Open"))</x:f>
        <x:v>Won</x:v>
      </x:c>
      <x:c r="V214" s="22" t="n">
        <x:f>IF(U214="Won",L214*(1-M214),0)</x:f>
        <x:v>27784</x:v>
      </x:c>
      <x:c r="W214" s="22" t="n">
        <x:f>IF(U214="Open",L214*N214,0)</x:f>
        <x:v>0</x:v>
      </x:c>
      <x:c r="X214" s="26" t="n">
        <x:f>IF(U214="Open","",IFERROR(K214-B214,""))</x:f>
        <x:v>59</x:v>
      </x:c>
      <x:c r="Y214" s="26" t="n">
        <x:f>IF(U214="Open",Lookups!$B$2-B214,X214)</x:f>
        <x:v>59</x:v>
      </x:c>
      <x:c r="Z214" t="str">
        <x:f>IF(AND(U214="Open",Y214&gt;30),"STALE","OK")</x:f>
        <x:v>OK</x:v>
      </x:c>
      <x:c r="AA214" t="str">
        <x:f>TEXT(B214,"yyyy-mm")</x:f>
        <x:v>2026-07</x:v>
      </x:c>
      <x:c r="AB214" t="str">
        <x:f>IF(K214="","",TEXT(K214,"yyyy-mm"))</x:f>
        <x:v>2026-09</x:v>
      </x:c>
      <x:c r="AC214" t="str">
        <x:f>"Q"&amp;ROUNDUP(MONTH(B214)/3,0)&amp;"-"&amp;YEAR(B214)</x:f>
        <x:v>Q3-2026</x:v>
      </x:c>
      <x:c r="AD214" s="26" t="n">
        <x:f>MIN(100,IF(H214="Enterprise",30,IF(H214="Mid-Market",22,14))+IF(T214="Enterprise",25,IF(T214="Mid-Market",18,10))+IF(Q214="Referral",25,IF(Q214="Organic Search",20,IF(Q214="Email",18,14)))+IF(G214="Technology",10,5))</x:f>
        <x:v>70</x:v>
      </x:c>
      <x:c r="AE214" t="str">
        <x:f>IF(U214&lt;&gt;"Open",U214,IF(N214&gt;=0.8,"Commit",IF(N214&gt;=0.5,"Best Case","Pipeline")))</x:f>
        <x:v>Won</x:v>
      </x:c>
    </x:row>
    <x:row r="215">
      <x:c r="A215" t="str">
        <x:v>L00214</x:v>
      </x:c>
      <x:c r="B215" s="10" t="n">
        <x:v>45911</x:v>
      </x:c>
      <x:c r="C215" t="str">
        <x:v>Bao Tran</x:v>
      </x:c>
      <x:c r="D215" t="str">
        <x:v>South</x:v>
      </x:c>
      <x:c r="E215" t="str">
        <x:v>Cold Email</x:v>
      </x:c>
      <x:c r="F215" t="str">
        <x:v>REV-OPS</x:v>
      </x:c>
      <x:c r="G215" t="str">
        <x:v>Healthcare</x:v>
      </x:c>
      <x:c r="H215" t="str">
        <x:v>Mid-Market</x:v>
      </x:c>
      <x:c r="I215" t="str">
        <x:v>Closed Lost</x:v>
      </x:c>
      <x:c r="J215" s="10" t="n">
        <x:v>45953</x:v>
      </x:c>
      <x:c r="K215" s="10" t="n">
        <x:v>45953</x:v>
      </x:c>
      <x:c r="L215" s="22" t="n">
        <x:v>46500</x:v>
      </x:c>
      <x:c r="M215" s="24" t="n">
        <x:v>0</x:v>
      </x:c>
      <x:c r="N215" s="24" t="n">
        <x:v>0</x:v>
      </x:c>
      <x:c r="O215" t="str">
        <x:v>No Decision</x:v>
      </x:c>
      <x:c r="P215" t="n">
        <x:v>5</x:v>
      </x:c>
      <x:c r="Q215" t="str">
        <x:f>IFERROR(XLOOKUP(E215,Lookups!$A$5:$A$24,Lookups!$B$5:$B$24),"Other")</x:f>
        <x:v>Outbound</x:v>
      </x:c>
      <x:c r="R215" t="str">
        <x:f>IFERROR(XLOOKUP(F215,Lookups!$D$5:$D$10,Lookups!$E$5:$E$10),"Unknown Product")</x:f>
        <x:v>Revenue Operations Suite</x:v>
      </x:c>
      <x:c r="S215" t="str">
        <x:f>IFERROR(XLOOKUP(F215,Lookups!$D$5:$D$10,Lookups!$F$5:$F$10),"Unknown")</x:f>
        <x:v>Revenue Ops</x:v>
      </x:c>
      <x:c r="T215" t="str">
        <x:f>IF(L215&gt;=50000,"Enterprise",IF(L215&gt;=20000,"Mid-Market","SMB"))</x:f>
        <x:v>Mid-Market</x:v>
      </x:c>
      <x:c r="U215" t="str">
        <x:f>IF(I215="Closed Won","Won",IF(I215="Closed Lost","Lost","Open"))</x:f>
        <x:v>Lost</x:v>
      </x:c>
      <x:c r="V215" s="22" t="n">
        <x:f>IF(U215="Won",L215*(1-M215),0)</x:f>
        <x:v>0</x:v>
      </x:c>
      <x:c r="W215" s="22" t="n">
        <x:f>IF(U215="Open",L215*N215,0)</x:f>
        <x:v>0</x:v>
      </x:c>
      <x:c r="X215" s="26" t="n">
        <x:f>IF(U215="Open","",IFERROR(K215-B215,""))</x:f>
        <x:v>42</x:v>
      </x:c>
      <x:c r="Y215" s="26" t="n">
        <x:f>IF(U215="Open",Lookups!$B$2-B215,X215)</x:f>
        <x:v>42</x:v>
      </x:c>
      <x:c r="Z215" t="str">
        <x:f>IF(AND(U215="Open",Y215&gt;30),"STALE","OK")</x:f>
        <x:v>OK</x:v>
      </x:c>
      <x:c r="AA215" t="str">
        <x:f>TEXT(B215,"yyyy-mm")</x:f>
        <x:v>2025-09</x:v>
      </x:c>
      <x:c r="AB215" t="str">
        <x:f>IF(K215="","",TEXT(K215,"yyyy-mm"))</x:f>
        <x:v>2025-10</x:v>
      </x:c>
      <x:c r="AC215" t="str">
        <x:f>"Q"&amp;ROUNDUP(MONTH(B215)/3,0)&amp;"-"&amp;YEAR(B215)</x:f>
        <x:v>Q3-2025</x:v>
      </x:c>
      <x:c r="AD215" s="26" t="n">
        <x:f>MIN(100,IF(H215="Enterprise",30,IF(H215="Mid-Market",22,14))+IF(T215="Enterprise",25,IF(T215="Mid-Market",18,10))+IF(Q215="Referral",25,IF(Q215="Organic Search",20,IF(Q215="Email",18,14)))+IF(G215="Technology",10,5))</x:f>
        <x:v>59</x:v>
      </x:c>
      <x:c r="AE215" t="str">
        <x:f>IF(U215&lt;&gt;"Open",U215,IF(N215&gt;=0.8,"Commit",IF(N215&gt;=0.5,"Best Case","Pipeline")))</x:f>
        <x:v>Lost</x:v>
      </x:c>
    </x:row>
    <x:row r="216">
      <x:c r="A216" t="str">
        <x:v>L00215</x:v>
      </x:c>
      <x:c r="B216" s="10" t="n">
        <x:v>46084</x:v>
      </x:c>
      <x:c r="C216" t="str">
        <x:v>Quynh Vu</x:v>
      </x:c>
      <x:c r="D216" t="str">
        <x:v>North</x:v>
      </x:c>
      <x:c r="E216" t="str">
        <x:v>SEM - Google</x:v>
      </x:c>
      <x:c r="F216" t="str">
        <x:v>MKT-AUTO</x:v>
      </x:c>
      <x:c r="G216" t="str">
        <x:v>Healthcare</x:v>
      </x:c>
      <x:c r="H216" t="str">
        <x:v>Mid-Market</x:v>
      </x:c>
      <x:c r="I216" t="str">
        <x:v>Closed Lost</x:v>
      </x:c>
      <x:c r="J216" s="10" t="n">
        <x:v>46111</x:v>
      </x:c>
      <x:c r="K216" s="10" t="n">
        <x:v>46111</x:v>
      </x:c>
      <x:c r="L216" s="22" t="n">
        <x:v>21800</x:v>
      </x:c>
      <x:c r="M216" s="24" t="n">
        <x:v>0</x:v>
      </x:c>
      <x:c r="N216" s="24" t="n">
        <x:v>0</x:v>
      </x:c>
      <x:c r="O216" t="str">
        <x:v>Budget</x:v>
      </x:c>
      <x:c r="P216" t="n">
        <x:v>4</x:v>
      </x:c>
      <x:c r="Q216" t="str">
        <x:f>IFERROR(XLOOKUP(E216,Lookups!$A$5:$A$24,Lookups!$B$5:$B$24),"Other")</x:f>
        <x:v>Paid Search</x:v>
      </x:c>
      <x:c r="R216" t="str">
        <x:f>IFERROR(XLOOKUP(F216,Lookups!$D$5:$D$10,Lookups!$E$5:$E$10),"Unknown Product")</x:f>
        <x:v>Marketing Automation</x:v>
      </x:c>
      <x:c r="S216" t="str">
        <x:f>IFERROR(XLOOKUP(F216,Lookups!$D$5:$D$10,Lookups!$F$5:$F$10),"Unknown")</x:f>
        <x:v>Marketing</x:v>
      </x:c>
      <x:c r="T216" t="str">
        <x:f>IF(L216&gt;=50000,"Enterprise",IF(L216&gt;=20000,"Mid-Market","SMB"))</x:f>
        <x:v>Mid-Market</x:v>
      </x:c>
      <x:c r="U216" t="str">
        <x:f>IF(I216="Closed Won","Won",IF(I216="Closed Lost","Lost","Open"))</x:f>
        <x:v>Lost</x:v>
      </x:c>
      <x:c r="V216" s="22" t="n">
        <x:f>IF(U216="Won",L216*(1-M216),0)</x:f>
        <x:v>0</x:v>
      </x:c>
      <x:c r="W216" s="22" t="n">
        <x:f>IF(U216="Open",L216*N216,0)</x:f>
        <x:v>0</x:v>
      </x:c>
      <x:c r="X216" s="26" t="n">
        <x:f>IF(U216="Open","",IFERROR(K216-B216,""))</x:f>
        <x:v>27</x:v>
      </x:c>
      <x:c r="Y216" s="26" t="n">
        <x:f>IF(U216="Open",Lookups!$B$2-B216,X216)</x:f>
        <x:v>27</x:v>
      </x:c>
      <x:c r="Z216" t="str">
        <x:f>IF(AND(U216="Open",Y216&gt;30),"STALE","OK")</x:f>
        <x:v>OK</x:v>
      </x:c>
      <x:c r="AA216" t="str">
        <x:f>TEXT(B216,"yyyy-mm")</x:f>
        <x:v>2026-03</x:v>
      </x:c>
      <x:c r="AB216" t="str">
        <x:f>IF(K216="","",TEXT(K216,"yyyy-mm"))</x:f>
        <x:v>2026-03</x:v>
      </x:c>
      <x:c r="AC216" t="str">
        <x:f>"Q"&amp;ROUNDUP(MONTH(B216)/3,0)&amp;"-"&amp;YEAR(B216)</x:f>
        <x:v>Q1-2026</x:v>
      </x:c>
      <x:c r="AD216" s="26" t="n">
        <x:f>MIN(100,IF(H216="Enterprise",30,IF(H216="Mid-Market",22,14))+IF(T216="Enterprise",25,IF(T216="Mid-Market",18,10))+IF(Q216="Referral",25,IF(Q216="Organic Search",20,IF(Q216="Email",18,14)))+IF(G216="Technology",10,5))</x:f>
        <x:v>59</x:v>
      </x:c>
      <x:c r="AE216" t="str">
        <x:f>IF(U216&lt;&gt;"Open",U216,IF(N216&gt;=0.8,"Commit",IF(N216&gt;=0.5,"Best Case","Pipeline")))</x:f>
        <x:v>Lost</x:v>
      </x:c>
    </x:row>
    <x:row r="217">
      <x:c r="A217" t="str">
        <x:v>L00216</x:v>
      </x:c>
      <x:c r="B217" s="10" t="n">
        <x:v>46167</x:v>
      </x:c>
      <x:c r="C217" t="str">
        <x:v>Tuan Bui</x:v>
      </x:c>
      <x:c r="D217" t="str">
        <x:v>Central</x:v>
      </x:c>
      <x:c r="E217" t="str">
        <x:v>customer referral</x:v>
      </x:c>
      <x:c r="F217" t="str">
        <x:v>REV-OPS</x:v>
      </x:c>
      <x:c r="G217" t="str">
        <x:v>Professional Services</x:v>
      </x:c>
      <x:c r="H217" t="str">
        <x:v>SMB</x:v>
      </x:c>
      <x:c r="I217" t="str">
        <x:v>Closed Won</x:v>
      </x:c>
      <x:c r="J217" s="10" t="n">
        <x:v>46223</x:v>
      </x:c>
      <x:c r="K217" s="10" t="n">
        <x:v>46223</x:v>
      </x:c>
      <x:c r="L217" s="22" t="n">
        <x:v>20500</x:v>
      </x:c>
      <x:c r="M217" s="24" t="n">
        <x:v>0.05</x:v>
      </x:c>
      <x:c r="N217" s="24" t="n">
        <x:v>1</x:v>
      </x:c>
      <x:c r="O217" t="str"/>
      <x:c r="P217" t="n">
        <x:v>6</x:v>
      </x:c>
      <x:c r="Q217" t="str">
        <x:f>IFERROR(XLOOKUP(E217,Lookups!$A$5:$A$24,Lookups!$B$5:$B$24),"Other")</x:f>
        <x:v>Referral</x:v>
      </x:c>
      <x:c r="R217" t="str">
        <x:f>IFERROR(XLOOKUP(F217,Lookups!$D$5:$D$10,Lookups!$E$5:$E$10),"Unknown Product")</x:f>
        <x:v>Revenue Operations Suite</x:v>
      </x:c>
      <x:c r="S217" t="str">
        <x:f>IFERROR(XLOOKUP(F217,Lookups!$D$5:$D$10,Lookups!$F$5:$F$10),"Unknown")</x:f>
        <x:v>Revenue Ops</x:v>
      </x:c>
      <x:c r="T217" t="str">
        <x:f>IF(L217&gt;=50000,"Enterprise",IF(L217&gt;=20000,"Mid-Market","SMB"))</x:f>
        <x:v>Mid-Market</x:v>
      </x:c>
      <x:c r="U217" t="str">
        <x:f>IF(I217="Closed Won","Won",IF(I217="Closed Lost","Lost","Open"))</x:f>
        <x:v>Won</x:v>
      </x:c>
      <x:c r="V217" s="22" t="n">
        <x:f>IF(U217="Won",L217*(1-M217),0)</x:f>
        <x:v>19475</x:v>
      </x:c>
      <x:c r="W217" s="22" t="n">
        <x:f>IF(U217="Open",L217*N217,0)</x:f>
        <x:v>0</x:v>
      </x:c>
      <x:c r="X217" s="26" t="n">
        <x:f>IF(U217="Open","",IFERROR(K217-B217,""))</x:f>
        <x:v>56</x:v>
      </x:c>
      <x:c r="Y217" s="26" t="n">
        <x:f>IF(U217="Open",Lookups!$B$2-B217,X217)</x:f>
        <x:v>56</x:v>
      </x:c>
      <x:c r="Z217" t="str">
        <x:f>IF(AND(U217="Open",Y217&gt;30),"STALE","OK")</x:f>
        <x:v>OK</x:v>
      </x:c>
      <x:c r="AA217" t="str">
        <x:f>TEXT(B217,"yyyy-mm")</x:f>
        <x:v>2026-05</x:v>
      </x:c>
      <x:c r="AB217" t="str">
        <x:f>IF(K217="","",TEXT(K217,"yyyy-mm"))</x:f>
        <x:v>2026-07</x:v>
      </x:c>
      <x:c r="AC217" t="str">
        <x:f>"Q"&amp;ROUNDUP(MONTH(B217)/3,0)&amp;"-"&amp;YEAR(B217)</x:f>
        <x:v>Q2-2026</x:v>
      </x:c>
      <x:c r="AD217" s="26" t="n">
        <x:f>MIN(100,IF(H217="Enterprise",30,IF(H217="Mid-Market",22,14))+IF(T217="Enterprise",25,IF(T217="Mid-Market",18,10))+IF(Q217="Referral",25,IF(Q217="Organic Search",20,IF(Q217="Email",18,14)))+IF(G217="Technology",10,5))</x:f>
        <x:v>62</x:v>
      </x:c>
      <x:c r="AE217" t="str">
        <x:f>IF(U217&lt;&gt;"Open",U217,IF(N217&gt;=0.8,"Commit",IF(N217&gt;=0.5,"Best Case","Pipeline")))</x:f>
        <x:v>Won</x:v>
      </x:c>
    </x:row>
    <x:row r="218">
      <x:c r="A218" t="str">
        <x:v>L00217</x:v>
      </x:c>
      <x:c r="B218" s="10" t="n">
        <x:v>45898</x:v>
      </x:c>
      <x:c r="C218" t="str">
        <x:v>Chi Le</x:v>
      </x:c>
      <x:c r="D218" t="str">
        <x:v>South</x:v>
      </x:c>
      <x:c r="E218" t="str">
        <x:v>Outbound</x:v>
      </x:c>
      <x:c r="F218" t="str">
        <x:v>CRM-PRO</x:v>
      </x:c>
      <x:c r="G218" t="str">
        <x:v>Education</x:v>
      </x:c>
      <x:c r="H218" t="str">
        <x:v>Enterprise</x:v>
      </x:c>
      <x:c r="I218" t="str">
        <x:v>Closed Won</x:v>
      </x:c>
      <x:c r="J218" s="10" t="n">
        <x:v>45970</x:v>
      </x:c>
      <x:c r="K218" s="10" t="n">
        <x:v>45970</x:v>
      </x:c>
      <x:c r="L218" s="22" t="n">
        <x:v>78300</x:v>
      </x:c>
      <x:c r="M218" s="24" t="n">
        <x:v>0</x:v>
      </x:c>
      <x:c r="N218" s="24" t="n">
        <x:v>1</x:v>
      </x:c>
      <x:c r="O218" t="str"/>
      <x:c r="P218" t="n">
        <x:v>6</x:v>
      </x:c>
      <x:c r="Q218" t="str">
        <x:f>IFERROR(XLOOKUP(E218,Lookups!$A$5:$A$24,Lookups!$B$5:$B$24),"Other")</x:f>
        <x:v>Outbound</x:v>
      </x:c>
      <x:c r="R218" t="str">
        <x:f>IFERROR(XLOOKUP(F218,Lookups!$D$5:$D$10,Lookups!$E$5:$E$10),"Unknown Product")</x:f>
        <x:v>NexaCRM Pro</x:v>
      </x:c>
      <x:c r="S218" t="str">
        <x:f>IFERROR(XLOOKUP(F218,Lookups!$D$5:$D$10,Lookups!$F$5:$F$10),"Unknown")</x:f>
        <x:v>CRM</x:v>
      </x:c>
      <x:c r="T218" t="str">
        <x:f>IF(L218&gt;=50000,"Enterprise",IF(L218&gt;=20000,"Mid-Market","SMB"))</x:f>
        <x:v>Enterprise</x:v>
      </x:c>
      <x:c r="U218" t="str">
        <x:f>IF(I218="Closed Won","Won",IF(I218="Closed Lost","Lost","Open"))</x:f>
        <x:v>Won</x:v>
      </x:c>
      <x:c r="V218" s="22" t="n">
        <x:f>IF(U218="Won",L218*(1-M218),0)</x:f>
        <x:v>78300</x:v>
      </x:c>
      <x:c r="W218" s="22" t="n">
        <x:f>IF(U218="Open",L218*N218,0)</x:f>
        <x:v>0</x:v>
      </x:c>
      <x:c r="X218" s="26" t="n">
        <x:f>IF(U218="Open","",IFERROR(K218-B218,""))</x:f>
        <x:v>72</x:v>
      </x:c>
      <x:c r="Y218" s="26" t="n">
        <x:f>IF(U218="Open",Lookups!$B$2-B218,X218)</x:f>
        <x:v>72</x:v>
      </x:c>
      <x:c r="Z218" t="str">
        <x:f>IF(AND(U218="Open",Y218&gt;30),"STALE","OK")</x:f>
        <x:v>OK</x:v>
      </x:c>
      <x:c r="AA218" t="str">
        <x:f>TEXT(B218,"yyyy-mm")</x:f>
        <x:v>2025-08</x:v>
      </x:c>
      <x:c r="AB218" t="str">
        <x:f>IF(K218="","",TEXT(K218,"yyyy-mm"))</x:f>
        <x:v>2025-11</x:v>
      </x:c>
      <x:c r="AC218" t="str">
        <x:f>"Q"&amp;ROUNDUP(MONTH(B218)/3,0)&amp;"-"&amp;YEAR(B218)</x:f>
        <x:v>Q3-2025</x:v>
      </x:c>
      <x:c r="AD218" s="26" t="n">
        <x:f>MIN(100,IF(H218="Enterprise",30,IF(H218="Mid-Market",22,14))+IF(T218="Enterprise",25,IF(T218="Mid-Market",18,10))+IF(Q218="Referral",25,IF(Q218="Organic Search",20,IF(Q218="Email",18,14)))+IF(G218="Technology",10,5))</x:f>
        <x:v>74</x:v>
      </x:c>
      <x:c r="AE218" t="str">
        <x:f>IF(U218&lt;&gt;"Open",U218,IF(N218&gt;=0.8,"Commit",IF(N218&gt;=0.5,"Best Case","Pipeline")))</x:f>
        <x:v>Won</x:v>
      </x:c>
    </x:row>
    <x:row r="219">
      <x:c r="A219" t="str">
        <x:v>L00218</x:v>
      </x:c>
      <x:c r="B219" s="10" t="n">
        <x:v>45794</x:v>
      </x:c>
      <x:c r="C219" t="str">
        <x:v>Bao Tran</x:v>
      </x:c>
      <x:c r="D219" t="str">
        <x:v>South</x:v>
      </x:c>
      <x:c r="E219" t="str">
        <x:v>SDR Outreach</x:v>
      </x:c>
      <x:c r="F219" t="str">
        <x:v>CS-CLOUD</x:v>
      </x:c>
      <x:c r="G219" t="str">
        <x:v>Retail</x:v>
      </x:c>
      <x:c r="H219" t="str">
        <x:v>SMB</x:v>
      </x:c>
      <x:c r="I219" t="str">
        <x:v>Closed Lost</x:v>
      </x:c>
      <x:c r="J219" s="10" t="n">
        <x:v>45824</x:v>
      </x:c>
      <x:c r="K219" s="10" t="n">
        <x:v>45824</x:v>
      </x:c>
      <x:c r="L219" s="22" t="n">
        <x:v>24300</x:v>
      </x:c>
      <x:c r="M219" s="24" t="n">
        <x:v>0</x:v>
      </x:c>
      <x:c r="N219" s="24" t="n">
        <x:v>0</x:v>
      </x:c>
      <x:c r="O219" t="str">
        <x:v>No Decision</x:v>
      </x:c>
      <x:c r="P219" t="n">
        <x:v>2</x:v>
      </x:c>
      <x:c r="Q219" t="str">
        <x:f>IFERROR(XLOOKUP(E219,Lookups!$A$5:$A$24,Lookups!$B$5:$B$24),"Other")</x:f>
        <x:v>Outbound</x:v>
      </x:c>
      <x:c r="R219" t="str">
        <x:f>IFERROR(XLOOKUP(F219,Lookups!$D$5:$D$10,Lookups!$E$5:$E$10),"Unknown Product")</x:f>
        <x:v>Service Cloud</x:v>
      </x:c>
      <x:c r="S219" t="str">
        <x:f>IFERROR(XLOOKUP(F219,Lookups!$D$5:$D$10,Lookups!$F$5:$F$10),"Unknown")</x:f>
        <x:v>Customer Service</x:v>
      </x:c>
      <x:c r="T219" t="str">
        <x:f>IF(L219&gt;=50000,"Enterprise",IF(L219&gt;=20000,"Mid-Market","SMB"))</x:f>
        <x:v>Mid-Market</x:v>
      </x:c>
      <x:c r="U219" t="str">
        <x:f>IF(I219="Closed Won","Won",IF(I219="Closed Lost","Lost","Open"))</x:f>
        <x:v>Lost</x:v>
      </x:c>
      <x:c r="V219" s="22" t="n">
        <x:f>IF(U219="Won",L219*(1-M219),0)</x:f>
        <x:v>0</x:v>
      </x:c>
      <x:c r="W219" s="22" t="n">
        <x:f>IF(U219="Open",L219*N219,0)</x:f>
        <x:v>0</x:v>
      </x:c>
      <x:c r="X219" s="26" t="n">
        <x:f>IF(U219="Open","",IFERROR(K219-B219,""))</x:f>
        <x:v>30</x:v>
      </x:c>
      <x:c r="Y219" s="26" t="n">
        <x:f>IF(U219="Open",Lookups!$B$2-B219,X219)</x:f>
        <x:v>30</x:v>
      </x:c>
      <x:c r="Z219" t="str">
        <x:f>IF(AND(U219="Open",Y219&gt;30),"STALE","OK")</x:f>
        <x:v>OK</x:v>
      </x:c>
      <x:c r="AA219" t="str">
        <x:f>TEXT(B219,"yyyy-mm")</x:f>
        <x:v>2025-05</x:v>
      </x:c>
      <x:c r="AB219" t="str">
        <x:f>IF(K219="","",TEXT(K219,"yyyy-mm"))</x:f>
        <x:v>2025-06</x:v>
      </x:c>
      <x:c r="AC219" t="str">
        <x:f>"Q"&amp;ROUNDUP(MONTH(B219)/3,0)&amp;"-"&amp;YEAR(B219)</x:f>
        <x:v>Q2-2025</x:v>
      </x:c>
      <x:c r="AD219" s="26" t="n">
        <x:f>MIN(100,IF(H219="Enterprise",30,IF(H219="Mid-Market",22,14))+IF(T219="Enterprise",25,IF(T219="Mid-Market",18,10))+IF(Q219="Referral",25,IF(Q219="Organic Search",20,IF(Q219="Email",18,14)))+IF(G219="Technology",10,5))</x:f>
        <x:v>51</x:v>
      </x:c>
      <x:c r="AE219" t="str">
        <x:f>IF(U219&lt;&gt;"Open",U219,IF(N219&gt;=0.8,"Commit",IF(N219&gt;=0.5,"Best Case","Pipeline")))</x:f>
        <x:v>Lost</x:v>
      </x:c>
    </x:row>
    <x:row r="220">
      <x:c r="A220" t="str">
        <x:v>L00219</x:v>
      </x:c>
      <x:c r="B220" s="10" t="n">
        <x:v>45858</x:v>
      </x:c>
      <x:c r="C220" t="str">
        <x:v>Duy Pham</x:v>
      </x:c>
      <x:c r="D220" t="str">
        <x:v>South</x:v>
      </x:c>
      <x:c r="E220" t="str">
        <x:v>SDR Outreach</x:v>
      </x:c>
      <x:c r="F220" t="str">
        <x:v>MKT-AUTO</x:v>
      </x:c>
      <x:c r="G220" t="str">
        <x:v>Technology</x:v>
      </x:c>
      <x:c r="H220" t="str">
        <x:v>SMB</x:v>
      </x:c>
      <x:c r="I220" t="str">
        <x:v>Negotiation</x:v>
      </x:c>
      <x:c r="J220" s="10" t="n">
        <x:v>46125</x:v>
      </x:c>
      <x:c r="K220" s="10"/>
      <x:c r="L220" s="22" t="n">
        <x:v>17900</x:v>
      </x:c>
      <x:c r="M220" s="24" t="n">
        <x:v>0</x:v>
      </x:c>
      <x:c r="N220" s="24" t="n">
        <x:v>0.85</x:v>
      </x:c>
      <x:c r="O220" t="str"/>
      <x:c r="P220" t="n">
        <x:v>5</x:v>
      </x:c>
      <x:c r="Q220" t="str">
        <x:f>IFERROR(XLOOKUP(E220,Lookups!$A$5:$A$24,Lookups!$B$5:$B$24),"Other")</x:f>
        <x:v>Outbound</x:v>
      </x:c>
      <x:c r="R220" t="str">
        <x:f>IFERROR(XLOOKUP(F220,Lookups!$D$5:$D$10,Lookups!$E$5:$E$10),"Unknown Product")</x:f>
        <x:v>Marketing Automation</x:v>
      </x:c>
      <x:c r="S220" t="str">
        <x:f>IFERROR(XLOOKUP(F220,Lookups!$D$5:$D$10,Lookups!$F$5:$F$10),"Unknown")</x:f>
        <x:v>Marketing</x:v>
      </x:c>
      <x:c r="T220" t="str">
        <x:f>IF(L220&gt;=50000,"Enterprise",IF(L220&gt;=20000,"Mid-Market","SMB"))</x:f>
        <x:v>SMB</x:v>
      </x:c>
      <x:c r="U220" t="str">
        <x:f>IF(I220="Closed Won","Won",IF(I220="Closed Lost","Lost","Open"))</x:f>
        <x:v>Open</x:v>
      </x:c>
      <x:c r="V220" s="22" t="n">
        <x:f>IF(U220="Won",L220*(1-M220),0)</x:f>
        <x:v>0</x:v>
      </x:c>
      <x:c r="W220" s="22" t="n">
        <x:f>IF(U220="Open",L220*N220,0)</x:f>
        <x:v>15215</x:v>
      </x:c>
      <x:c r="X220" s="26" t="str">
        <x:f>IF(U220="Open","",IFERROR(K220-B220,""))</x:f>
      </x:c>
      <x:c r="Y220" s="26" t="n">
        <x:f>IF(U220="Open",Lookups!$B$2-B220,X220)</x:f>
        <x:v>408</x:v>
      </x:c>
      <x:c r="Z220" t="str">
        <x:f>IF(AND(U220="Open",Y220&gt;30),"STALE","OK")</x:f>
        <x:v>STALE</x:v>
      </x:c>
      <x:c r="AA220" t="str">
        <x:f>TEXT(B220,"yyyy-mm")</x:f>
        <x:v>2025-07</x:v>
      </x:c>
      <x:c r="AB220" t="str">
        <x:f>IF(K220="","",TEXT(K220,"yyyy-mm"))</x:f>
      </x:c>
      <x:c r="AC220" t="str">
        <x:f>"Q"&amp;ROUNDUP(MONTH(B220)/3,0)&amp;"-"&amp;YEAR(B220)</x:f>
        <x:v>Q3-2025</x:v>
      </x:c>
      <x:c r="AD220" s="26" t="n">
        <x:f>MIN(100,IF(H220="Enterprise",30,IF(H220="Mid-Market",22,14))+IF(T220="Enterprise",25,IF(T220="Mid-Market",18,10))+IF(Q220="Referral",25,IF(Q220="Organic Search",20,IF(Q220="Email",18,14)))+IF(G220="Technology",10,5))</x:f>
        <x:v>48</x:v>
      </x:c>
      <x:c r="AE220" t="str">
        <x:f>IF(U220&lt;&gt;"Open",U220,IF(N220&gt;=0.8,"Commit",IF(N220&gt;=0.5,"Best Case","Pipeline")))</x:f>
        <x:v>Commit</x:v>
      </x:c>
    </x:row>
    <x:row r="221">
      <x:c r="A221" t="str">
        <x:v>L00220</x:v>
      </x:c>
      <x:c r="B221" s="10" t="n">
        <x:v>46018</x:v>
      </x:c>
      <x:c r="C221" t="str">
        <x:v>Bao Tran</x:v>
      </x:c>
      <x:c r="D221" t="str">
        <x:v>South</x:v>
      </x:c>
      <x:c r="E221" t="str">
        <x:v>SEM - Google</x:v>
      </x:c>
      <x:c r="F221" t="str">
        <x:v>CRM-CORE</x:v>
      </x:c>
      <x:c r="G221" t="str">
        <x:v>Financial Services</x:v>
      </x:c>
      <x:c r="H221" t="str">
        <x:v>Mid-Market</x:v>
      </x:c>
      <x:c r="I221" t="str">
        <x:v>Closed Lost</x:v>
      </x:c>
      <x:c r="J221" s="10" t="n">
        <x:v>46057</x:v>
      </x:c>
      <x:c r="K221" s="10" t="n">
        <x:v>46057</x:v>
      </x:c>
      <x:c r="L221" s="22" t="n">
        <x:v>11500</x:v>
      </x:c>
      <x:c r="M221" s="24" t="n">
        <x:v>0</x:v>
      </x:c>
      <x:c r="N221" s="24" t="n">
        <x:v>0</x:v>
      </x:c>
      <x:c r="O221" t="str">
        <x:v>No Decision</x:v>
      </x:c>
      <x:c r="P221" t="n">
        <x:v>2</x:v>
      </x:c>
      <x:c r="Q221" t="str">
        <x:f>IFERROR(XLOOKUP(E221,Lookups!$A$5:$A$24,Lookups!$B$5:$B$24),"Other")</x:f>
        <x:v>Paid Search</x:v>
      </x:c>
      <x:c r="R221" t="str">
        <x:f>IFERROR(XLOOKUP(F221,Lookups!$D$5:$D$10,Lookups!$E$5:$E$10),"Unknown Product")</x:f>
        <x:v>NexaCRM Core</x:v>
      </x:c>
      <x:c r="S221" t="str">
        <x:f>IFERROR(XLOOKUP(F221,Lookups!$D$5:$D$10,Lookups!$F$5:$F$10),"Unknown")</x:f>
        <x:v>CRM</x:v>
      </x:c>
      <x:c r="T221" t="str">
        <x:f>IF(L221&gt;=50000,"Enterprise",IF(L221&gt;=20000,"Mid-Market","SMB"))</x:f>
        <x:v>SMB</x:v>
      </x:c>
      <x:c r="U221" t="str">
        <x:f>IF(I221="Closed Won","Won",IF(I221="Closed Lost","Lost","Open"))</x:f>
        <x:v>Lost</x:v>
      </x:c>
      <x:c r="V221" s="22" t="n">
        <x:f>IF(U221="Won",L221*(1-M221),0)</x:f>
        <x:v>0</x:v>
      </x:c>
      <x:c r="W221" s="22" t="n">
        <x:f>IF(U221="Open",L221*N221,0)</x:f>
        <x:v>0</x:v>
      </x:c>
      <x:c r="X221" s="26" t="n">
        <x:f>IF(U221="Open","",IFERROR(K221-B221,""))</x:f>
        <x:v>39</x:v>
      </x:c>
      <x:c r="Y221" s="26" t="n">
        <x:f>IF(U221="Open",Lookups!$B$2-B221,X221)</x:f>
        <x:v>39</x:v>
      </x:c>
      <x:c r="Z221" t="str">
        <x:f>IF(AND(U221="Open",Y221&gt;30),"STALE","OK")</x:f>
        <x:v>OK</x:v>
      </x:c>
      <x:c r="AA221" t="str">
        <x:f>TEXT(B221,"yyyy-mm")</x:f>
        <x:v>2025-12</x:v>
      </x:c>
      <x:c r="AB221" t="str">
        <x:f>IF(K221="","",TEXT(K221,"yyyy-mm"))</x:f>
        <x:v>2026-02</x:v>
      </x:c>
      <x:c r="AC221" t="str">
        <x:f>"Q"&amp;ROUNDUP(MONTH(B221)/3,0)&amp;"-"&amp;YEAR(B221)</x:f>
        <x:v>Q4-2025</x:v>
      </x:c>
      <x:c r="AD221" s="26" t="n">
        <x:f>MIN(100,IF(H221="Enterprise",30,IF(H221="Mid-Market",22,14))+IF(T221="Enterprise",25,IF(T221="Mid-Market",18,10))+IF(Q221="Referral",25,IF(Q221="Organic Search",20,IF(Q221="Email",18,14)))+IF(G221="Technology",10,5))</x:f>
        <x:v>51</x:v>
      </x:c>
      <x:c r="AE221" t="str">
        <x:f>IF(U221&lt;&gt;"Open",U221,IF(N221&gt;=0.8,"Commit",IF(N221&gt;=0.5,"Best Case","Pipeline")))</x:f>
        <x:v>Lost</x:v>
      </x:c>
    </x:row>
    <x:row r="222">
      <x:c r="A222" t="str">
        <x:v>L00221</x:v>
      </x:c>
      <x:c r="B222" s="10" t="n">
        <x:v>45734</x:v>
      </x:c>
      <x:c r="C222" t="str">
        <x:v>Tuan Bui</x:v>
      </x:c>
      <x:c r="D222" t="str">
        <x:v>Central</x:v>
      </x:c>
      <x:c r="E222" t="str">
        <x:v>Referral</x:v>
      </x:c>
      <x:c r="F222" t="str">
        <x:v>CRM-CORE</x:v>
      </x:c>
      <x:c r="G222" t="str">
        <x:v>Manufacturing</x:v>
      </x:c>
      <x:c r="H222" t="str">
        <x:v>SMB</x:v>
      </x:c>
      <x:c r="I222" t="str">
        <x:v>Closed Lost</x:v>
      </x:c>
      <x:c r="J222" s="10" t="n">
        <x:v>45766</x:v>
      </x:c>
      <x:c r="K222" s="10" t="n">
        <x:v>45766</x:v>
      </x:c>
      <x:c r="L222" s="22" t="n">
        <x:v>5600</x:v>
      </x:c>
      <x:c r="M222" s="24" t="n">
        <x:v>0</x:v>
      </x:c>
      <x:c r="N222" s="24" t="n">
        <x:v>0</x:v>
      </x:c>
      <x:c r="O222" t="str">
        <x:v>No Decision</x:v>
      </x:c>
      <x:c r="P222" t="n">
        <x:v>3</x:v>
      </x:c>
      <x:c r="Q222" t="str">
        <x:f>IFERROR(XLOOKUP(E222,Lookups!$A$5:$A$24,Lookups!$B$5:$B$24),"Other")</x:f>
        <x:v>Referral</x:v>
      </x:c>
      <x:c r="R222" t="str">
        <x:f>IFERROR(XLOOKUP(F222,Lookups!$D$5:$D$10,Lookups!$E$5:$E$10),"Unknown Product")</x:f>
        <x:v>NexaCRM Core</x:v>
      </x:c>
      <x:c r="S222" t="str">
        <x:f>IFERROR(XLOOKUP(F222,Lookups!$D$5:$D$10,Lookups!$F$5:$F$10),"Unknown")</x:f>
        <x:v>CRM</x:v>
      </x:c>
      <x:c r="T222" t="str">
        <x:f>IF(L222&gt;=50000,"Enterprise",IF(L222&gt;=20000,"Mid-Market","SMB"))</x:f>
        <x:v>SMB</x:v>
      </x:c>
      <x:c r="U222" t="str">
        <x:f>IF(I222="Closed Won","Won",IF(I222="Closed Lost","Lost","Open"))</x:f>
        <x:v>Lost</x:v>
      </x:c>
      <x:c r="V222" s="22" t="n">
        <x:f>IF(U222="Won",L222*(1-M222),0)</x:f>
        <x:v>0</x:v>
      </x:c>
      <x:c r="W222" s="22" t="n">
        <x:f>IF(U222="Open",L222*N222,0)</x:f>
        <x:v>0</x:v>
      </x:c>
      <x:c r="X222" s="26" t="n">
        <x:f>IF(U222="Open","",IFERROR(K222-B222,""))</x:f>
        <x:v>32</x:v>
      </x:c>
      <x:c r="Y222" s="26" t="n">
        <x:f>IF(U222="Open",Lookups!$B$2-B222,X222)</x:f>
        <x:v>32</x:v>
      </x:c>
      <x:c r="Z222" t="str">
        <x:f>IF(AND(U222="Open",Y222&gt;30),"STALE","OK")</x:f>
        <x:v>OK</x:v>
      </x:c>
      <x:c r="AA222" t="str">
        <x:f>TEXT(B222,"yyyy-mm")</x:f>
        <x:v>2025-03</x:v>
      </x:c>
      <x:c r="AB222" t="str">
        <x:f>IF(K222="","",TEXT(K222,"yyyy-mm"))</x:f>
        <x:v>2025-04</x:v>
      </x:c>
      <x:c r="AC222" t="str">
        <x:f>"Q"&amp;ROUNDUP(MONTH(B222)/3,0)&amp;"-"&amp;YEAR(B222)</x:f>
        <x:v>Q1-2025</x:v>
      </x:c>
      <x:c r="AD222" s="26" t="n">
        <x:f>MIN(100,IF(H222="Enterprise",30,IF(H222="Mid-Market",22,14))+IF(T222="Enterprise",25,IF(T222="Mid-Market",18,10))+IF(Q222="Referral",25,IF(Q222="Organic Search",20,IF(Q222="Email",18,14)))+IF(G222="Technology",10,5))</x:f>
        <x:v>54</x:v>
      </x:c>
      <x:c r="AE222" t="str">
        <x:f>IF(U222&lt;&gt;"Open",U222,IF(N222&gt;=0.8,"Commit",IF(N222&gt;=0.5,"Best Case","Pipeline")))</x:f>
        <x:v>Lost</x:v>
      </x:c>
    </x:row>
    <x:row r="223">
      <x:c r="A223" t="str">
        <x:v>L00222</x:v>
      </x:c>
      <x:c r="B223" s="10" t="n">
        <x:v>46103</x:v>
      </x:c>
      <x:c r="C223" t="str">
        <x:v>Minh Do</x:v>
      </x:c>
      <x:c r="D223" t="str">
        <x:v>North</x:v>
      </x:c>
      <x:c r="E223" t="str">
        <x:v>SDR Outreach</x:v>
      </x:c>
      <x:c r="F223" t="str">
        <x:v>CRM-PRO</x:v>
      </x:c>
      <x:c r="G223" t="str">
        <x:v>Financial Services</x:v>
      </x:c>
      <x:c r="H223" t="str">
        <x:v>SMB</x:v>
      </x:c>
      <x:c r="I223" t="str">
        <x:v>Proposal</x:v>
      </x:c>
      <x:c r="J223" s="10" t="n">
        <x:v>46247</x:v>
      </x:c>
      <x:c r="K223" s="10"/>
      <x:c r="L223" s="22" t="n">
        <x:v>16200</x:v>
      </x:c>
      <x:c r="M223" s="24" t="n">
        <x:v>0</x:v>
      </x:c>
      <x:c r="N223" s="24" t="n">
        <x:v>0.65</x:v>
      </x:c>
      <x:c r="O223" t="str"/>
      <x:c r="P223" t="n">
        <x:v>4</x:v>
      </x:c>
      <x:c r="Q223" t="str">
        <x:f>IFERROR(XLOOKUP(E223,Lookups!$A$5:$A$24,Lookups!$B$5:$B$24),"Other")</x:f>
        <x:v>Outbound</x:v>
      </x:c>
      <x:c r="R223" t="str">
        <x:f>IFERROR(XLOOKUP(F223,Lookups!$D$5:$D$10,Lookups!$E$5:$E$10),"Unknown Product")</x:f>
        <x:v>NexaCRM Pro</x:v>
      </x:c>
      <x:c r="S223" t="str">
        <x:f>IFERROR(XLOOKUP(F223,Lookups!$D$5:$D$10,Lookups!$F$5:$F$10),"Unknown")</x:f>
        <x:v>CRM</x:v>
      </x:c>
      <x:c r="T223" t="str">
        <x:f>IF(L223&gt;=50000,"Enterprise",IF(L223&gt;=20000,"Mid-Market","SMB"))</x:f>
        <x:v>SMB</x:v>
      </x:c>
      <x:c r="U223" t="str">
        <x:f>IF(I223="Closed Won","Won",IF(I223="Closed Lost","Lost","Open"))</x:f>
        <x:v>Open</x:v>
      </x:c>
      <x:c r="V223" s="22" t="n">
        <x:f>IF(U223="Won",L223*(1-M223),0)</x:f>
        <x:v>0</x:v>
      </x:c>
      <x:c r="W223" s="22" t="n">
        <x:f>IF(U223="Open",L223*N223,0)</x:f>
        <x:v>10530</x:v>
      </x:c>
      <x:c r="X223" s="26" t="str">
        <x:f>IF(U223="Open","",IFERROR(K223-B223,""))</x:f>
      </x:c>
      <x:c r="Y223" s="26" t="n">
        <x:f>IF(U223="Open",Lookups!$B$2-B223,X223)</x:f>
        <x:v>163</x:v>
      </x:c>
      <x:c r="Z223" t="str">
        <x:f>IF(AND(U223="Open",Y223&gt;30),"STALE","OK")</x:f>
        <x:v>STALE</x:v>
      </x:c>
      <x:c r="AA223" t="str">
        <x:f>TEXT(B223,"yyyy-mm")</x:f>
        <x:v>2026-03</x:v>
      </x:c>
      <x:c r="AB223" t="str">
        <x:f>IF(K223="","",TEXT(K223,"yyyy-mm"))</x:f>
      </x:c>
      <x:c r="AC223" t="str">
        <x:f>"Q"&amp;ROUNDUP(MONTH(B223)/3,0)&amp;"-"&amp;YEAR(B223)</x:f>
        <x:v>Q1-2026</x:v>
      </x:c>
      <x:c r="AD223" s="26" t="n">
        <x:f>MIN(100,IF(H223="Enterprise",30,IF(H223="Mid-Market",22,14))+IF(T223="Enterprise",25,IF(T223="Mid-Market",18,10))+IF(Q223="Referral",25,IF(Q223="Organic Search",20,IF(Q223="Email",18,14)))+IF(G223="Technology",10,5))</x:f>
        <x:v>43</x:v>
      </x:c>
      <x:c r="AE223" t="str">
        <x:f>IF(U223&lt;&gt;"Open",U223,IF(N223&gt;=0.8,"Commit",IF(N223&gt;=0.5,"Best Case","Pipeline")))</x:f>
        <x:v>Best Case</x:v>
      </x:c>
    </x:row>
    <x:row r="224">
      <x:c r="A224" t="str">
        <x:v>L00223</x:v>
      </x:c>
      <x:c r="B224" s="10" t="n">
        <x:v>45974</x:v>
      </x:c>
      <x:c r="C224" t="str">
        <x:v>Quynh Vu</x:v>
      </x:c>
      <x:c r="D224" t="str">
        <x:v>North</x:v>
      </x:c>
      <x:c r="E224" t="str">
        <x:v>SDR Outreach</x:v>
      </x:c>
      <x:c r="F224" t="str">
        <x:v>CRM-CORE</x:v>
      </x:c>
      <x:c r="G224" t="str">
        <x:v>Technology</x:v>
      </x:c>
      <x:c r="H224" t="str">
        <x:v>Enterprise</x:v>
      </x:c>
      <x:c r="I224" t="str">
        <x:v>Negotiation</x:v>
      </x:c>
      <x:c r="J224" s="10" t="n">
        <x:v>46216</x:v>
      </x:c>
      <x:c r="K224" s="10"/>
      <x:c r="L224" s="22" t="n">
        <x:v>28100</x:v>
      </x:c>
      <x:c r="M224" s="24" t="n">
        <x:v>0.05</x:v>
      </x:c>
      <x:c r="N224" s="24" t="n">
        <x:v>0.85</x:v>
      </x:c>
      <x:c r="O224" t="str"/>
      <x:c r="P224" t="n">
        <x:v>5</x:v>
      </x:c>
      <x:c r="Q224" t="str">
        <x:f>IFERROR(XLOOKUP(E224,Lookups!$A$5:$A$24,Lookups!$B$5:$B$24),"Other")</x:f>
        <x:v>Outbound</x:v>
      </x:c>
      <x:c r="R224" t="str">
        <x:f>IFERROR(XLOOKUP(F224,Lookups!$D$5:$D$10,Lookups!$E$5:$E$10),"Unknown Product")</x:f>
        <x:v>NexaCRM Core</x:v>
      </x:c>
      <x:c r="S224" t="str">
        <x:f>IFERROR(XLOOKUP(F224,Lookups!$D$5:$D$10,Lookups!$F$5:$F$10),"Unknown")</x:f>
        <x:v>CRM</x:v>
      </x:c>
      <x:c r="T224" t="str">
        <x:f>IF(L224&gt;=50000,"Enterprise",IF(L224&gt;=20000,"Mid-Market","SMB"))</x:f>
        <x:v>Mid-Market</x:v>
      </x:c>
      <x:c r="U224" t="str">
        <x:f>IF(I224="Closed Won","Won",IF(I224="Closed Lost","Lost","Open"))</x:f>
        <x:v>Open</x:v>
      </x:c>
      <x:c r="V224" s="22" t="n">
        <x:f>IF(U224="Won",L224*(1-M224),0)</x:f>
        <x:v>0</x:v>
      </x:c>
      <x:c r="W224" s="22" t="n">
        <x:f>IF(U224="Open",L224*N224,0)</x:f>
        <x:v>23885</x:v>
      </x:c>
      <x:c r="X224" s="26" t="str">
        <x:f>IF(U224="Open","",IFERROR(K224-B224,""))</x:f>
      </x:c>
      <x:c r="Y224" s="26" t="n">
        <x:f>IF(U224="Open",Lookups!$B$2-B224,X224)</x:f>
        <x:v>292</x:v>
      </x:c>
      <x:c r="Z224" t="str">
        <x:f>IF(AND(U224="Open",Y224&gt;30),"STALE","OK")</x:f>
        <x:v>STALE</x:v>
      </x:c>
      <x:c r="AA224" t="str">
        <x:f>TEXT(B224,"yyyy-mm")</x:f>
        <x:v>2025-11</x:v>
      </x:c>
      <x:c r="AB224" t="str">
        <x:f>IF(K224="","",TEXT(K224,"yyyy-mm"))</x:f>
      </x:c>
      <x:c r="AC224" t="str">
        <x:f>"Q"&amp;ROUNDUP(MONTH(B224)/3,0)&amp;"-"&amp;YEAR(B224)</x:f>
        <x:v>Q4-2025</x:v>
      </x:c>
      <x:c r="AD224" s="26" t="n">
        <x:f>MIN(100,IF(H224="Enterprise",30,IF(H224="Mid-Market",22,14))+IF(T224="Enterprise",25,IF(T224="Mid-Market",18,10))+IF(Q224="Referral",25,IF(Q224="Organic Search",20,IF(Q224="Email",18,14)))+IF(G224="Technology",10,5))</x:f>
        <x:v>72</x:v>
      </x:c>
      <x:c r="AE224" t="str">
        <x:f>IF(U224&lt;&gt;"Open",U224,IF(N224&gt;=0.8,"Commit",IF(N224&gt;=0.5,"Best Case","Pipeline")))</x:f>
        <x:v>Commit</x:v>
      </x:c>
    </x:row>
    <x:row r="225">
      <x:c r="A225" t="str">
        <x:v>L00224</x:v>
      </x:c>
      <x:c r="B225" s="10" t="n">
        <x:v>45996</x:v>
      </x:c>
      <x:c r="C225" t="str">
        <x:v>Chi Le</x:v>
      </x:c>
      <x:c r="D225" t="str">
        <x:v>South</x:v>
      </x:c>
      <x:c r="E225" t="str">
        <x:v>Google Ads</x:v>
      </x:c>
      <x:c r="F225" t="str">
        <x:v>CRM-PRO</x:v>
      </x:c>
      <x:c r="G225" t="str">
        <x:v>Retail</x:v>
      </x:c>
      <x:c r="H225" t="str">
        <x:v>SMB</x:v>
      </x:c>
      <x:c r="I225" t="str">
        <x:v>Closed Lost</x:v>
      </x:c>
      <x:c r="J225" s="10" t="n">
        <x:v>46045</x:v>
      </x:c>
      <x:c r="K225" s="10" t="n">
        <x:v>46045</x:v>
      </x:c>
      <x:c r="L225" s="22" t="n">
        <x:v>23200</x:v>
      </x:c>
      <x:c r="M225" s="24" t="n">
        <x:v>0</x:v>
      </x:c>
      <x:c r="N225" s="24" t="n">
        <x:v>0</x:v>
      </x:c>
      <x:c r="O225" t="str">
        <x:v>No Decision</x:v>
      </x:c>
      <x:c r="P225" t="n">
        <x:v>2</x:v>
      </x:c>
      <x:c r="Q225" t="str">
        <x:f>IFERROR(XLOOKUP(E225,Lookups!$A$5:$A$24,Lookups!$B$5:$B$24),"Other")</x:f>
        <x:v>Paid Search</x:v>
      </x:c>
      <x:c r="R225" t="str">
        <x:f>IFERROR(XLOOKUP(F225,Lookups!$D$5:$D$10,Lookups!$E$5:$E$10),"Unknown Product")</x:f>
        <x:v>NexaCRM Pro</x:v>
      </x:c>
      <x:c r="S225" t="str">
        <x:f>IFERROR(XLOOKUP(F225,Lookups!$D$5:$D$10,Lookups!$F$5:$F$10),"Unknown")</x:f>
        <x:v>CRM</x:v>
      </x:c>
      <x:c r="T225" t="str">
        <x:f>IF(L225&gt;=50000,"Enterprise",IF(L225&gt;=20000,"Mid-Market","SMB"))</x:f>
        <x:v>Mid-Market</x:v>
      </x:c>
      <x:c r="U225" t="str">
        <x:f>IF(I225="Closed Won","Won",IF(I225="Closed Lost","Lost","Open"))</x:f>
        <x:v>Lost</x:v>
      </x:c>
      <x:c r="V225" s="22" t="n">
        <x:f>IF(U225="Won",L225*(1-M225),0)</x:f>
        <x:v>0</x:v>
      </x:c>
      <x:c r="W225" s="22" t="n">
        <x:f>IF(U225="Open",L225*N225,0)</x:f>
        <x:v>0</x:v>
      </x:c>
      <x:c r="X225" s="26" t="n">
        <x:f>IF(U225="Open","",IFERROR(K225-B225,""))</x:f>
        <x:v>49</x:v>
      </x:c>
      <x:c r="Y225" s="26" t="n">
        <x:f>IF(U225="Open",Lookups!$B$2-B225,X225)</x:f>
        <x:v>49</x:v>
      </x:c>
      <x:c r="Z225" t="str">
        <x:f>IF(AND(U225="Open",Y225&gt;30),"STALE","OK")</x:f>
        <x:v>OK</x:v>
      </x:c>
      <x:c r="AA225" t="str">
        <x:f>TEXT(B225,"yyyy-mm")</x:f>
        <x:v>2025-12</x:v>
      </x:c>
      <x:c r="AB225" t="str">
        <x:f>IF(K225="","",TEXT(K225,"yyyy-mm"))</x:f>
        <x:v>2026-01</x:v>
      </x:c>
      <x:c r="AC225" t="str">
        <x:f>"Q"&amp;ROUNDUP(MONTH(B225)/3,0)&amp;"-"&amp;YEAR(B225)</x:f>
        <x:v>Q4-2025</x:v>
      </x:c>
      <x:c r="AD225" s="26" t="n">
        <x:f>MIN(100,IF(H225="Enterprise",30,IF(H225="Mid-Market",22,14))+IF(T225="Enterprise",25,IF(T225="Mid-Market",18,10))+IF(Q225="Referral",25,IF(Q225="Organic Search",20,IF(Q225="Email",18,14)))+IF(G225="Technology",10,5))</x:f>
        <x:v>51</x:v>
      </x:c>
      <x:c r="AE225" t="str">
        <x:f>IF(U225&lt;&gt;"Open",U225,IF(N225&gt;=0.8,"Commit",IF(N225&gt;=0.5,"Best Case","Pipeline")))</x:f>
        <x:v>Lost</x:v>
      </x:c>
    </x:row>
    <x:row r="226">
      <x:c r="A226" t="str">
        <x:v>L00225</x:v>
      </x:c>
      <x:c r="B226" s="10" t="n">
        <x:v>45713</x:v>
      </x:c>
      <x:c r="C226" t="str">
        <x:v>Tuan Bui</x:v>
      </x:c>
      <x:c r="D226" t="str">
        <x:v>Central</x:v>
      </x:c>
      <x:c r="E226" t="str">
        <x:v>LinkedIn Ads</x:v>
      </x:c>
      <x:c r="F226" t="str">
        <x:v>BI-PLUS</x:v>
      </x:c>
      <x:c r="G226" t="str">
        <x:v>Education</x:v>
      </x:c>
      <x:c r="H226" t="str">
        <x:v>Mid-Market</x:v>
      </x:c>
      <x:c r="I226" t="str">
        <x:v>Closed Lost</x:v>
      </x:c>
      <x:c r="J226" s="10" t="n">
        <x:v>45757</x:v>
      </x:c>
      <x:c r="K226" s="10" t="n">
        <x:v>45757</x:v>
      </x:c>
      <x:c r="L226" s="22" t="n">
        <x:v>48000</x:v>
      </x:c>
      <x:c r="M226" s="24" t="n">
        <x:v>0</x:v>
      </x:c>
      <x:c r="N226" s="24" t="n">
        <x:v>0</x:v>
      </x:c>
      <x:c r="O226" t="str">
        <x:v>Competitor</x:v>
      </x:c>
      <x:c r="P226" t="n">
        <x:v>2</x:v>
      </x:c>
      <x:c r="Q226" t="str">
        <x:f>IFERROR(XLOOKUP(E226,Lookups!$A$5:$A$24,Lookups!$B$5:$B$24),"Other")</x:f>
        <x:v>LinkedIn</x:v>
      </x:c>
      <x:c r="R226" t="str">
        <x:f>IFERROR(XLOOKUP(F226,Lookups!$D$5:$D$10,Lookups!$E$5:$E$10),"Unknown Product")</x:f>
        <x:v>Analytics Plus</x:v>
      </x:c>
      <x:c r="S226" t="str">
        <x:f>IFERROR(XLOOKUP(F226,Lookups!$D$5:$D$10,Lookups!$F$5:$F$10),"Unknown")</x:f>
        <x:v>Analytics</x:v>
      </x:c>
      <x:c r="T226" t="str">
        <x:f>IF(L226&gt;=50000,"Enterprise",IF(L226&gt;=20000,"Mid-Market","SMB"))</x:f>
        <x:v>Mid-Market</x:v>
      </x:c>
      <x:c r="U226" t="str">
        <x:f>IF(I226="Closed Won","Won",IF(I226="Closed Lost","Lost","Open"))</x:f>
        <x:v>Lost</x:v>
      </x:c>
      <x:c r="V226" s="22" t="n">
        <x:f>IF(U226="Won",L226*(1-M226),0)</x:f>
        <x:v>0</x:v>
      </x:c>
      <x:c r="W226" s="22" t="n">
        <x:f>IF(U226="Open",L226*N226,0)</x:f>
        <x:v>0</x:v>
      </x:c>
      <x:c r="X226" s="26" t="n">
        <x:f>IF(U226="Open","",IFERROR(K226-B226,""))</x:f>
        <x:v>44</x:v>
      </x:c>
      <x:c r="Y226" s="26" t="n">
        <x:f>IF(U226="Open",Lookups!$B$2-B226,X226)</x:f>
        <x:v>44</x:v>
      </x:c>
      <x:c r="Z226" t="str">
        <x:f>IF(AND(U226="Open",Y226&gt;30),"STALE","OK")</x:f>
        <x:v>OK</x:v>
      </x:c>
      <x:c r="AA226" t="str">
        <x:f>TEXT(B226,"yyyy-mm")</x:f>
        <x:v>2025-02</x:v>
      </x:c>
      <x:c r="AB226" t="str">
        <x:f>IF(K226="","",TEXT(K226,"yyyy-mm"))</x:f>
        <x:v>2025-04</x:v>
      </x:c>
      <x:c r="AC226" t="str">
        <x:f>"Q"&amp;ROUNDUP(MONTH(B226)/3,0)&amp;"-"&amp;YEAR(B226)</x:f>
        <x:v>Q1-2025</x:v>
      </x:c>
      <x:c r="AD226" s="26" t="n">
        <x:f>MIN(100,IF(H226="Enterprise",30,IF(H226="Mid-Market",22,14))+IF(T226="Enterprise",25,IF(T226="Mid-Market",18,10))+IF(Q226="Referral",25,IF(Q226="Organic Search",20,IF(Q226="Email",18,14)))+IF(G226="Technology",10,5))</x:f>
        <x:v>59</x:v>
      </x:c>
      <x:c r="AE226" t="str">
        <x:f>IF(U226&lt;&gt;"Open",U226,IF(N226&gt;=0.8,"Commit",IF(N226&gt;=0.5,"Best Case","Pipeline")))</x:f>
        <x:v>Lost</x:v>
      </x:c>
    </x:row>
    <x:row r="227">
      <x:c r="A227" t="str">
        <x:v>L00226</x:v>
      </x:c>
      <x:c r="B227" s="10" t="n">
        <x:v>46209</x:v>
      </x:c>
      <x:c r="C227" t="str">
        <x:v>Bao Tran</x:v>
      </x:c>
      <x:c r="D227" t="str">
        <x:v>South</x:v>
      </x:c>
      <x:c r="E227" t="str">
        <x:v>Referral</x:v>
      </x:c>
      <x:c r="F227" t="str">
        <x:v>BI-PLUS</x:v>
      </x:c>
      <x:c r="G227" t="str">
        <x:v>Manufacturing</x:v>
      </x:c>
      <x:c r="H227" t="str">
        <x:v>SMB</x:v>
      </x:c>
      <x:c r="I227" t="str">
        <x:v>Closed Won</x:v>
      </x:c>
      <x:c r="J227" s="10" t="n">
        <x:v>46266</x:v>
      </x:c>
      <x:c r="K227" s="10" t="n">
        <x:v>46266</x:v>
      </x:c>
      <x:c r="L227" s="22" t="n">
        <x:v>17800</x:v>
      </x:c>
      <x:c r="M227" s="24" t="n">
        <x:v>0.08</x:v>
      </x:c>
      <x:c r="N227" s="24" t="n">
        <x:v>1</x:v>
      </x:c>
      <x:c r="O227" t="str"/>
      <x:c r="P227" t="n">
        <x:v>6</x:v>
      </x:c>
      <x:c r="Q227" t="str">
        <x:f>IFERROR(XLOOKUP(E227,Lookups!$A$5:$A$24,Lookups!$B$5:$B$24),"Other")</x:f>
        <x:v>Referral</x:v>
      </x:c>
      <x:c r="R227" t="str">
        <x:f>IFERROR(XLOOKUP(F227,Lookups!$D$5:$D$10,Lookups!$E$5:$E$10),"Unknown Product")</x:f>
        <x:v>Analytics Plus</x:v>
      </x:c>
      <x:c r="S227" t="str">
        <x:f>IFERROR(XLOOKUP(F227,Lookups!$D$5:$D$10,Lookups!$F$5:$F$10),"Unknown")</x:f>
        <x:v>Analytics</x:v>
      </x:c>
      <x:c r="T227" t="str">
        <x:f>IF(L227&gt;=50000,"Enterprise",IF(L227&gt;=20000,"Mid-Market","SMB"))</x:f>
        <x:v>SMB</x:v>
      </x:c>
      <x:c r="U227" t="str">
        <x:f>IF(I227="Closed Won","Won",IF(I227="Closed Lost","Lost","Open"))</x:f>
        <x:v>Won</x:v>
      </x:c>
      <x:c r="V227" s="22" t="n">
        <x:f>IF(U227="Won",L227*(1-M227),0)</x:f>
        <x:v>16376</x:v>
      </x:c>
      <x:c r="W227" s="22" t="n">
        <x:f>IF(U227="Open",L227*N227,0)</x:f>
        <x:v>0</x:v>
      </x:c>
      <x:c r="X227" s="26" t="n">
        <x:f>IF(U227="Open","",IFERROR(K227-B227,""))</x:f>
        <x:v>57</x:v>
      </x:c>
      <x:c r="Y227" s="26" t="n">
        <x:f>IF(U227="Open",Lookups!$B$2-B227,X227)</x:f>
        <x:v>57</x:v>
      </x:c>
      <x:c r="Z227" t="str">
        <x:f>IF(AND(U227="Open",Y227&gt;30),"STALE","OK")</x:f>
        <x:v>OK</x:v>
      </x:c>
      <x:c r="AA227" t="str">
        <x:f>TEXT(B227,"yyyy-mm")</x:f>
        <x:v>2026-07</x:v>
      </x:c>
      <x:c r="AB227" t="str">
        <x:f>IF(K227="","",TEXT(K227,"yyyy-mm"))</x:f>
        <x:v>2026-09</x:v>
      </x:c>
      <x:c r="AC227" t="str">
        <x:f>"Q"&amp;ROUNDUP(MONTH(B227)/3,0)&amp;"-"&amp;YEAR(B227)</x:f>
        <x:v>Q3-2026</x:v>
      </x:c>
      <x:c r="AD227" s="26" t="n">
        <x:f>MIN(100,IF(H227="Enterprise",30,IF(H227="Mid-Market",22,14))+IF(T227="Enterprise",25,IF(T227="Mid-Market",18,10))+IF(Q227="Referral",25,IF(Q227="Organic Search",20,IF(Q227="Email",18,14)))+IF(G227="Technology",10,5))</x:f>
        <x:v>54</x:v>
      </x:c>
      <x:c r="AE227" t="str">
        <x:f>IF(U227&lt;&gt;"Open",U227,IF(N227&gt;=0.8,"Commit",IF(N227&gt;=0.5,"Best Case","Pipeline")))</x:f>
        <x:v>Won</x:v>
      </x:c>
    </x:row>
    <x:row r="228">
      <x:c r="A228" t="str">
        <x:v>L00227</x:v>
      </x:c>
      <x:c r="B228" s="10" t="n">
        <x:v>45960</x:v>
      </x:c>
      <x:c r="C228" t="str">
        <x:v>Tuan Bui</x:v>
      </x:c>
      <x:c r="D228" t="str">
        <x:v>Central</x:v>
      </x:c>
      <x:c r="E228" t="str">
        <x:v>Outbound</x:v>
      </x:c>
      <x:c r="F228" t="str">
        <x:v>CRM-PRO</x:v>
      </x:c>
      <x:c r="G228" t="str">
        <x:v>Manufacturing</x:v>
      </x:c>
      <x:c r="H228" t="str">
        <x:v>SMB</x:v>
      </x:c>
      <x:c r="I228" t="str">
        <x:v>Closed Lost</x:v>
      </x:c>
      <x:c r="J228" s="10" t="n">
        <x:v>46017</x:v>
      </x:c>
      <x:c r="K228" s="10" t="n">
        <x:v>46017</x:v>
      </x:c>
      <x:c r="L228" s="22" t="n">
        <x:v>18400</x:v>
      </x:c>
      <x:c r="M228" s="24" t="n">
        <x:v>0</x:v>
      </x:c>
      <x:c r="N228" s="24" t="n">
        <x:v>0</x:v>
      </x:c>
      <x:c r="O228" t="str">
        <x:v>Price</x:v>
      </x:c>
      <x:c r="P228" t="n">
        <x:v>3</x:v>
      </x:c>
      <x:c r="Q228" t="str">
        <x:f>IFERROR(XLOOKUP(E228,Lookups!$A$5:$A$24,Lookups!$B$5:$B$24),"Other")</x:f>
        <x:v>Outbound</x:v>
      </x:c>
      <x:c r="R228" t="str">
        <x:f>IFERROR(XLOOKUP(F228,Lookups!$D$5:$D$10,Lookups!$E$5:$E$10),"Unknown Product")</x:f>
        <x:v>NexaCRM Pro</x:v>
      </x:c>
      <x:c r="S228" t="str">
        <x:f>IFERROR(XLOOKUP(F228,Lookups!$D$5:$D$10,Lookups!$F$5:$F$10),"Unknown")</x:f>
        <x:v>CRM</x:v>
      </x:c>
      <x:c r="T228" t="str">
        <x:f>IF(L228&gt;=50000,"Enterprise",IF(L228&gt;=20000,"Mid-Market","SMB"))</x:f>
        <x:v>SMB</x:v>
      </x:c>
      <x:c r="U228" t="str">
        <x:f>IF(I228="Closed Won","Won",IF(I228="Closed Lost","Lost","Open"))</x:f>
        <x:v>Lost</x:v>
      </x:c>
      <x:c r="V228" s="22" t="n">
        <x:f>IF(U228="Won",L228*(1-M228),0)</x:f>
        <x:v>0</x:v>
      </x:c>
      <x:c r="W228" s="22" t="n">
        <x:f>IF(U228="Open",L228*N228,0)</x:f>
        <x:v>0</x:v>
      </x:c>
      <x:c r="X228" s="26" t="n">
        <x:f>IF(U228="Open","",IFERROR(K228-B228,""))</x:f>
        <x:v>57</x:v>
      </x:c>
      <x:c r="Y228" s="26" t="n">
        <x:f>IF(U228="Open",Lookups!$B$2-B228,X228)</x:f>
        <x:v>57</x:v>
      </x:c>
      <x:c r="Z228" t="str">
        <x:f>IF(AND(U228="Open",Y228&gt;30),"STALE","OK")</x:f>
        <x:v>OK</x:v>
      </x:c>
      <x:c r="AA228" t="str">
        <x:f>TEXT(B228,"yyyy-mm")</x:f>
        <x:v>2025-10</x:v>
      </x:c>
      <x:c r="AB228" t="str">
        <x:f>IF(K228="","",TEXT(K228,"yyyy-mm"))</x:f>
        <x:v>2025-12</x:v>
      </x:c>
      <x:c r="AC228" t="str">
        <x:f>"Q"&amp;ROUNDUP(MONTH(B228)/3,0)&amp;"-"&amp;YEAR(B228)</x:f>
        <x:v>Q4-2025</x:v>
      </x:c>
      <x:c r="AD228" s="26" t="n">
        <x:f>MIN(100,IF(H228="Enterprise",30,IF(H228="Mid-Market",22,14))+IF(T228="Enterprise",25,IF(T228="Mid-Market",18,10))+IF(Q228="Referral",25,IF(Q228="Organic Search",20,IF(Q228="Email",18,14)))+IF(G228="Technology",10,5))</x:f>
        <x:v>43</x:v>
      </x:c>
      <x:c r="AE228" t="str">
        <x:f>IF(U228&lt;&gt;"Open",U228,IF(N228&gt;=0.8,"Commit",IF(N228&gt;=0.5,"Best Case","Pipeline")))</x:f>
        <x:v>Lost</x:v>
      </x:c>
    </x:row>
    <x:row r="229">
      <x:c r="A229" t="str">
        <x:v>L00228</x:v>
      </x:c>
      <x:c r="B229" s="10" t="n">
        <x:v>46210</x:v>
      </x:c>
      <x:c r="C229" t="str">
        <x:v>Ha Vo</x:v>
      </x:c>
      <x:c r="D229" t="str">
        <x:v>North</x:v>
      </x:c>
      <x:c r="E229" t="str">
        <x:v>Outbound</x:v>
      </x:c>
      <x:c r="F229" t="str">
        <x:v>CRM-PRO</x:v>
      </x:c>
      <x:c r="G229" t="str">
        <x:v>Technology</x:v>
      </x:c>
      <x:c r="H229" t="str">
        <x:v>SMB</x:v>
      </x:c>
      <x:c r="I229" t="str">
        <x:v>Qualified</x:v>
      </x:c>
      <x:c r="J229" s="10" t="n">
        <x:v>46236</x:v>
      </x:c>
      <x:c r="K229" s="10"/>
      <x:c r="L229" s="22" t="n">
        <x:v>13700</x:v>
      </x:c>
      <x:c r="M229" s="24" t="n">
        <x:v>0</x:v>
      </x:c>
      <x:c r="N229" s="24" t="n">
        <x:v>0.2</x:v>
      </x:c>
      <x:c r="O229" t="str"/>
      <x:c r="P229" t="n">
        <x:v>2</x:v>
      </x:c>
      <x:c r="Q229" t="str">
        <x:f>IFERROR(XLOOKUP(E229,Lookups!$A$5:$A$24,Lookups!$B$5:$B$24),"Other")</x:f>
        <x:v>Outbound</x:v>
      </x:c>
      <x:c r="R229" t="str">
        <x:f>IFERROR(XLOOKUP(F229,Lookups!$D$5:$D$10,Lookups!$E$5:$E$10),"Unknown Product")</x:f>
        <x:v>NexaCRM Pro</x:v>
      </x:c>
      <x:c r="S229" t="str">
        <x:f>IFERROR(XLOOKUP(F229,Lookups!$D$5:$D$10,Lookups!$F$5:$F$10),"Unknown")</x:f>
        <x:v>CRM</x:v>
      </x:c>
      <x:c r="T229" t="str">
        <x:f>IF(L229&gt;=50000,"Enterprise",IF(L229&gt;=20000,"Mid-Market","SMB"))</x:f>
        <x:v>SMB</x:v>
      </x:c>
      <x:c r="U229" t="str">
        <x:f>IF(I229="Closed Won","Won",IF(I229="Closed Lost","Lost","Open"))</x:f>
        <x:v>Open</x:v>
      </x:c>
      <x:c r="V229" s="22" t="n">
        <x:f>IF(U229="Won",L229*(1-M229),0)</x:f>
        <x:v>0</x:v>
      </x:c>
      <x:c r="W229" s="22" t="n">
        <x:f>IF(U229="Open",L229*N229,0)</x:f>
        <x:v>2740</x:v>
      </x:c>
      <x:c r="X229" s="26" t="str">
        <x:f>IF(U229="Open","",IFERROR(K229-B229,""))</x:f>
      </x:c>
      <x:c r="Y229" s="26" t="n">
        <x:f>IF(U229="Open",Lookups!$B$2-B229,X229)</x:f>
        <x:v>56</x:v>
      </x:c>
      <x:c r="Z229" t="str">
        <x:f>IF(AND(U229="Open",Y229&gt;30),"STALE","OK")</x:f>
        <x:v>STALE</x:v>
      </x:c>
      <x:c r="AA229" t="str">
        <x:f>TEXT(B229,"yyyy-mm")</x:f>
        <x:v>2026-07</x:v>
      </x:c>
      <x:c r="AB229" t="str">
        <x:f>IF(K229="","",TEXT(K229,"yyyy-mm"))</x:f>
      </x:c>
      <x:c r="AC229" t="str">
        <x:f>"Q"&amp;ROUNDUP(MONTH(B229)/3,0)&amp;"-"&amp;YEAR(B229)</x:f>
        <x:v>Q3-2026</x:v>
      </x:c>
      <x:c r="AD229" s="26" t="n">
        <x:f>MIN(100,IF(H229="Enterprise",30,IF(H229="Mid-Market",22,14))+IF(T229="Enterprise",25,IF(T229="Mid-Market",18,10))+IF(Q229="Referral",25,IF(Q229="Organic Search",20,IF(Q229="Email",18,14)))+IF(G229="Technology",10,5))</x:f>
        <x:v>48</x:v>
      </x:c>
      <x:c r="AE229" t="str">
        <x:f>IF(U229&lt;&gt;"Open",U229,IF(N229&gt;=0.8,"Commit",IF(N229&gt;=0.5,"Best Case","Pipeline")))</x:f>
        <x:v>Pipeline</x:v>
      </x:c>
    </x:row>
    <x:row r="230">
      <x:c r="A230" t="str">
        <x:v>L00229</x:v>
      </x:c>
      <x:c r="B230" s="10" t="n">
        <x:v>45872</x:v>
      </x:c>
      <x:c r="C230" t="str">
        <x:v>Chi Le</x:v>
      </x:c>
      <x:c r="D230" t="str">
        <x:v>South</x:v>
      </x:c>
      <x:c r="E230" t="str">
        <x:v>newsletter</x:v>
      </x:c>
      <x:c r="F230" t="str">
        <x:v>CRM-CORE</x:v>
      </x:c>
      <x:c r="G230" t="str">
        <x:v>Financial Services</x:v>
      </x:c>
      <x:c r="H230" t="str">
        <x:v>SMB</x:v>
      </x:c>
      <x:c r="I230" t="str">
        <x:v>Closed Lost</x:v>
      </x:c>
      <x:c r="J230" s="10" t="n">
        <x:v>45907</x:v>
      </x:c>
      <x:c r="K230" s="10" t="n">
        <x:v>45907</x:v>
      </x:c>
      <x:c r="L230" s="22" t="n">
        <x:v>7000</x:v>
      </x:c>
      <x:c r="M230" s="24" t="n">
        <x:v>0</x:v>
      </x:c>
      <x:c r="N230" s="24" t="n">
        <x:v>0</x:v>
      </x:c>
      <x:c r="O230" t="str">
        <x:v>Competitor</x:v>
      </x:c>
      <x:c r="P230" t="n">
        <x:v>5</x:v>
      </x:c>
      <x:c r="Q230" t="str">
        <x:f>IFERROR(XLOOKUP(E230,Lookups!$A$5:$A$24,Lookups!$B$5:$B$24),"Other")</x:f>
        <x:v>Email</x:v>
      </x:c>
      <x:c r="R230" t="str">
        <x:f>IFERROR(XLOOKUP(F230,Lookups!$D$5:$D$10,Lookups!$E$5:$E$10),"Unknown Product")</x:f>
        <x:v>NexaCRM Core</x:v>
      </x:c>
      <x:c r="S230" t="str">
        <x:f>IFERROR(XLOOKUP(F230,Lookups!$D$5:$D$10,Lookups!$F$5:$F$10),"Unknown")</x:f>
        <x:v>CRM</x:v>
      </x:c>
      <x:c r="T230" t="str">
        <x:f>IF(L230&gt;=50000,"Enterprise",IF(L230&gt;=20000,"Mid-Market","SMB"))</x:f>
        <x:v>SMB</x:v>
      </x:c>
      <x:c r="U230" t="str">
        <x:f>IF(I230="Closed Won","Won",IF(I230="Closed Lost","Lost","Open"))</x:f>
        <x:v>Lost</x:v>
      </x:c>
      <x:c r="V230" s="22" t="n">
        <x:f>IF(U230="Won",L230*(1-M230),0)</x:f>
        <x:v>0</x:v>
      </x:c>
      <x:c r="W230" s="22" t="n">
        <x:f>IF(U230="Open",L230*N230,0)</x:f>
        <x:v>0</x:v>
      </x:c>
      <x:c r="X230" s="26" t="n">
        <x:f>IF(U230="Open","",IFERROR(K230-B230,""))</x:f>
        <x:v>35</x:v>
      </x:c>
      <x:c r="Y230" s="26" t="n">
        <x:f>IF(U230="Open",Lookups!$B$2-B230,X230)</x:f>
        <x:v>35</x:v>
      </x:c>
      <x:c r="Z230" t="str">
        <x:f>IF(AND(U230="Open",Y230&gt;30),"STALE","OK")</x:f>
        <x:v>OK</x:v>
      </x:c>
      <x:c r="AA230" t="str">
        <x:f>TEXT(B230,"yyyy-mm")</x:f>
        <x:v>2025-08</x:v>
      </x:c>
      <x:c r="AB230" t="str">
        <x:f>IF(K230="","",TEXT(K230,"yyyy-mm"))</x:f>
        <x:v>2025-09</x:v>
      </x:c>
      <x:c r="AC230" t="str">
        <x:f>"Q"&amp;ROUNDUP(MONTH(B230)/3,0)&amp;"-"&amp;YEAR(B230)</x:f>
        <x:v>Q3-2025</x:v>
      </x:c>
      <x:c r="AD230" s="26" t="n">
        <x:f>MIN(100,IF(H230="Enterprise",30,IF(H230="Mid-Market",22,14))+IF(T230="Enterprise",25,IF(T230="Mid-Market",18,10))+IF(Q230="Referral",25,IF(Q230="Organic Search",20,IF(Q230="Email",18,14)))+IF(G230="Technology",10,5))</x:f>
        <x:v>47</x:v>
      </x:c>
      <x:c r="AE230" t="str">
        <x:f>IF(U230&lt;&gt;"Open",U230,IF(N230&gt;=0.8,"Commit",IF(N230&gt;=0.5,"Best Case","Pipeline")))</x:f>
        <x:v>Lost</x:v>
      </x:c>
    </x:row>
    <x:row r="231">
      <x:c r="A231" t="str">
        <x:v>L00230</x:v>
      </x:c>
      <x:c r="B231" s="10" t="n">
        <x:v>46207</x:v>
      </x:c>
      <x:c r="C231" t="str">
        <x:v>Quynh Vu</x:v>
      </x:c>
      <x:c r="D231" t="str">
        <x:v>North</x:v>
      </x:c>
      <x:c r="E231" t="str">
        <x:v>customer referral</x:v>
      </x:c>
      <x:c r="F231" t="str">
        <x:v>CRM-CORE</x:v>
      </x:c>
      <x:c r="G231" t="str">
        <x:v>Education</x:v>
      </x:c>
      <x:c r="H231" t="str">
        <x:v>Mid-Market</x:v>
      </x:c>
      <x:c r="I231" t="str">
        <x:v>Qualified</x:v>
      </x:c>
      <x:c r="J231" s="10" t="n">
        <x:v>46241</x:v>
      </x:c>
      <x:c r="K231" s="10"/>
      <x:c r="L231" s="22" t="n">
        <x:v>13000</x:v>
      </x:c>
      <x:c r="M231" s="24" t="n">
        <x:v>0</x:v>
      </x:c>
      <x:c r="N231" s="24" t="n">
        <x:v>0.2</x:v>
      </x:c>
      <x:c r="O231" t="str"/>
      <x:c r="P231" t="n">
        <x:v>2</x:v>
      </x:c>
      <x:c r="Q231" t="str">
        <x:f>IFERROR(XLOOKUP(E231,Lookups!$A$5:$A$24,Lookups!$B$5:$B$24),"Other")</x:f>
        <x:v>Referral</x:v>
      </x:c>
      <x:c r="R231" t="str">
        <x:f>IFERROR(XLOOKUP(F231,Lookups!$D$5:$D$10,Lookups!$E$5:$E$10),"Unknown Product")</x:f>
        <x:v>NexaCRM Core</x:v>
      </x:c>
      <x:c r="S231" t="str">
        <x:f>IFERROR(XLOOKUP(F231,Lookups!$D$5:$D$10,Lookups!$F$5:$F$10),"Unknown")</x:f>
        <x:v>CRM</x:v>
      </x:c>
      <x:c r="T231" t="str">
        <x:f>IF(L231&gt;=50000,"Enterprise",IF(L231&gt;=20000,"Mid-Market","SMB"))</x:f>
        <x:v>SMB</x:v>
      </x:c>
      <x:c r="U231" t="str">
        <x:f>IF(I231="Closed Won","Won",IF(I231="Closed Lost","Lost","Open"))</x:f>
        <x:v>Open</x:v>
      </x:c>
      <x:c r="V231" s="22" t="n">
        <x:f>IF(U231="Won",L231*(1-M231),0)</x:f>
        <x:v>0</x:v>
      </x:c>
      <x:c r="W231" s="22" t="n">
        <x:f>IF(U231="Open",L231*N231,0)</x:f>
        <x:v>2600</x:v>
      </x:c>
      <x:c r="X231" s="26" t="str">
        <x:f>IF(U231="Open","",IFERROR(K231-B231,""))</x:f>
      </x:c>
      <x:c r="Y231" s="26" t="n">
        <x:f>IF(U231="Open",Lookups!$B$2-B231,X231)</x:f>
        <x:v>59</x:v>
      </x:c>
      <x:c r="Z231" t="str">
        <x:f>IF(AND(U231="Open",Y231&gt;30),"STALE","OK")</x:f>
        <x:v>STALE</x:v>
      </x:c>
      <x:c r="AA231" t="str">
        <x:f>TEXT(B231,"yyyy-mm")</x:f>
        <x:v>2026-07</x:v>
      </x:c>
      <x:c r="AB231" t="str">
        <x:f>IF(K231="","",TEXT(K231,"yyyy-mm"))</x:f>
      </x:c>
      <x:c r="AC231" t="str">
        <x:f>"Q"&amp;ROUNDUP(MONTH(B231)/3,0)&amp;"-"&amp;YEAR(B231)</x:f>
        <x:v>Q3-2026</x:v>
      </x:c>
      <x:c r="AD231" s="26" t="n">
        <x:f>MIN(100,IF(H231="Enterprise",30,IF(H231="Mid-Market",22,14))+IF(T231="Enterprise",25,IF(T231="Mid-Market",18,10))+IF(Q231="Referral",25,IF(Q231="Organic Search",20,IF(Q231="Email",18,14)))+IF(G231="Technology",10,5))</x:f>
        <x:v>62</x:v>
      </x:c>
      <x:c r="AE231" t="str">
        <x:f>IF(U231&lt;&gt;"Open",U231,IF(N231&gt;=0.8,"Commit",IF(N231&gt;=0.5,"Best Case","Pipeline")))</x:f>
        <x:v>Pipeline</x:v>
      </x:c>
    </x:row>
    <x:row r="232">
      <x:c r="A232" t="str">
        <x:v>L00231</x:v>
      </x:c>
      <x:c r="B232" s="10" t="n">
        <x:v>45758</x:v>
      </x:c>
      <x:c r="C232" t="str">
        <x:v>Minh Do</x:v>
      </x:c>
      <x:c r="D232" t="str">
        <x:v>North</x:v>
      </x:c>
      <x:c r="E232" t="str">
        <x:v>organic search</x:v>
      </x:c>
      <x:c r="F232" t="str">
        <x:v>CRM-PRO</x:v>
      </x:c>
      <x:c r="G232" t="str">
        <x:v>Manufacturing</x:v>
      </x:c>
      <x:c r="H232" t="str">
        <x:v>Mid-Market</x:v>
      </x:c>
      <x:c r="I232" t="str">
        <x:v>Closed Lost</x:v>
      </x:c>
      <x:c r="J232" s="10" t="n">
        <x:v>45824</x:v>
      </x:c>
      <x:c r="K232" s="10" t="n">
        <x:v>45824</x:v>
      </x:c>
      <x:c r="L232" s="22" t="n">
        <x:v>43600</x:v>
      </x:c>
      <x:c r="M232" s="24" t="n">
        <x:v>0</x:v>
      </x:c>
      <x:c r="N232" s="24" t="n">
        <x:v>0</x:v>
      </x:c>
      <x:c r="O232" t="str">
        <x:v>Timing</x:v>
      </x:c>
      <x:c r="P232" t="n">
        <x:v>5</x:v>
      </x:c>
      <x:c r="Q232" t="str">
        <x:f>IFERROR(XLOOKUP(E232,Lookups!$A$5:$A$24,Lookups!$B$5:$B$24),"Other")</x:f>
        <x:v>Organic Search</x:v>
      </x:c>
      <x:c r="R232" t="str">
        <x:f>IFERROR(XLOOKUP(F232,Lookups!$D$5:$D$10,Lookups!$E$5:$E$10),"Unknown Product")</x:f>
        <x:v>NexaCRM Pro</x:v>
      </x:c>
      <x:c r="S232" t="str">
        <x:f>IFERROR(XLOOKUP(F232,Lookups!$D$5:$D$10,Lookups!$F$5:$F$10),"Unknown")</x:f>
        <x:v>CRM</x:v>
      </x:c>
      <x:c r="T232" t="str">
        <x:f>IF(L232&gt;=50000,"Enterprise",IF(L232&gt;=20000,"Mid-Market","SMB"))</x:f>
        <x:v>Mid-Market</x:v>
      </x:c>
      <x:c r="U232" t="str">
        <x:f>IF(I232="Closed Won","Won",IF(I232="Closed Lost","Lost","Open"))</x:f>
        <x:v>Lost</x:v>
      </x:c>
      <x:c r="V232" s="22" t="n">
        <x:f>IF(U232="Won",L232*(1-M232),0)</x:f>
        <x:v>0</x:v>
      </x:c>
      <x:c r="W232" s="22" t="n">
        <x:f>IF(U232="Open",L232*N232,0)</x:f>
        <x:v>0</x:v>
      </x:c>
      <x:c r="X232" s="26" t="n">
        <x:f>IF(U232="Open","",IFERROR(K232-B232,""))</x:f>
        <x:v>66</x:v>
      </x:c>
      <x:c r="Y232" s="26" t="n">
        <x:f>IF(U232="Open",Lookups!$B$2-B232,X232)</x:f>
        <x:v>66</x:v>
      </x:c>
      <x:c r="Z232" t="str">
        <x:f>IF(AND(U232="Open",Y232&gt;30),"STALE","OK")</x:f>
        <x:v>OK</x:v>
      </x:c>
      <x:c r="AA232" t="str">
        <x:f>TEXT(B232,"yyyy-mm")</x:f>
        <x:v>2025-04</x:v>
      </x:c>
      <x:c r="AB232" t="str">
        <x:f>IF(K232="","",TEXT(K232,"yyyy-mm"))</x:f>
        <x:v>2025-06</x:v>
      </x:c>
      <x:c r="AC232" t="str">
        <x:f>"Q"&amp;ROUNDUP(MONTH(B232)/3,0)&amp;"-"&amp;YEAR(B232)</x:f>
        <x:v>Q2-2025</x:v>
      </x:c>
      <x:c r="AD232" s="26" t="n">
        <x:f>MIN(100,IF(H232="Enterprise",30,IF(H232="Mid-Market",22,14))+IF(T232="Enterprise",25,IF(T232="Mid-Market",18,10))+IF(Q232="Referral",25,IF(Q232="Organic Search",20,IF(Q232="Email",18,14)))+IF(G232="Technology",10,5))</x:f>
        <x:v>65</x:v>
      </x:c>
      <x:c r="AE232" t="str">
        <x:f>IF(U232&lt;&gt;"Open",U232,IF(N232&gt;=0.8,"Commit",IF(N232&gt;=0.5,"Best Case","Pipeline")))</x:f>
        <x:v>Lost</x:v>
      </x:c>
    </x:row>
    <x:row r="233">
      <x:c r="A233" t="str">
        <x:v>L00232</x:v>
      </x:c>
      <x:c r="B233" s="10" t="n">
        <x:v>46033</x:v>
      </x:c>
      <x:c r="C233" t="str">
        <x:v>Minh Do</x:v>
      </x:c>
      <x:c r="D233" t="str">
        <x:v>North</x:v>
      </x:c>
      <x:c r="E233" t="str">
        <x:v>Google Ads</x:v>
      </x:c>
      <x:c r="F233" t="str">
        <x:v>CRM-CORE</x:v>
      </x:c>
      <x:c r="G233" t="str">
        <x:v>Healthcare</x:v>
      </x:c>
      <x:c r="H233" t="str">
        <x:v>SMB</x:v>
      </x:c>
      <x:c r="I233" t="str">
        <x:v>Closed Lost</x:v>
      </x:c>
      <x:c r="J233" s="10" t="n">
        <x:v>46053</x:v>
      </x:c>
      <x:c r="K233" s="10" t="n">
        <x:v>46053</x:v>
      </x:c>
      <x:c r="L233" s="22" t="n">
        <x:v>9700</x:v>
      </x:c>
      <x:c r="M233" s="24" t="n">
        <x:v>0</x:v>
      </x:c>
      <x:c r="N233" s="24" t="n">
        <x:v>0</x:v>
      </x:c>
      <x:c r="O233" t="str">
        <x:v>Price</x:v>
      </x:c>
      <x:c r="P233" t="n">
        <x:v>4</x:v>
      </x:c>
      <x:c r="Q233" t="str">
        <x:f>IFERROR(XLOOKUP(E233,Lookups!$A$5:$A$24,Lookups!$B$5:$B$24),"Other")</x:f>
        <x:v>Paid Search</x:v>
      </x:c>
      <x:c r="R233" t="str">
        <x:f>IFERROR(XLOOKUP(F233,Lookups!$D$5:$D$10,Lookups!$E$5:$E$10),"Unknown Product")</x:f>
        <x:v>NexaCRM Core</x:v>
      </x:c>
      <x:c r="S233" t="str">
        <x:f>IFERROR(XLOOKUP(F233,Lookups!$D$5:$D$10,Lookups!$F$5:$F$10),"Unknown")</x:f>
        <x:v>CRM</x:v>
      </x:c>
      <x:c r="T233" t="str">
        <x:f>IF(L233&gt;=50000,"Enterprise",IF(L233&gt;=20000,"Mid-Market","SMB"))</x:f>
        <x:v>SMB</x:v>
      </x:c>
      <x:c r="U233" t="str">
        <x:f>IF(I233="Closed Won","Won",IF(I233="Closed Lost","Lost","Open"))</x:f>
        <x:v>Lost</x:v>
      </x:c>
      <x:c r="V233" s="22" t="n">
        <x:f>IF(U233="Won",L233*(1-M233),0)</x:f>
        <x:v>0</x:v>
      </x:c>
      <x:c r="W233" s="22" t="n">
        <x:f>IF(U233="Open",L233*N233,0)</x:f>
        <x:v>0</x:v>
      </x:c>
      <x:c r="X233" s="26" t="n">
        <x:f>IF(U233="Open","",IFERROR(K233-B233,""))</x:f>
        <x:v>20</x:v>
      </x:c>
      <x:c r="Y233" s="26" t="n">
        <x:f>IF(U233="Open",Lookups!$B$2-B233,X233)</x:f>
        <x:v>20</x:v>
      </x:c>
      <x:c r="Z233" t="str">
        <x:f>IF(AND(U233="Open",Y233&gt;30),"STALE","OK")</x:f>
        <x:v>OK</x:v>
      </x:c>
      <x:c r="AA233" t="str">
        <x:f>TEXT(B233,"yyyy-mm")</x:f>
        <x:v>2026-01</x:v>
      </x:c>
      <x:c r="AB233" t="str">
        <x:f>IF(K233="","",TEXT(K233,"yyyy-mm"))</x:f>
        <x:v>2026-01</x:v>
      </x:c>
      <x:c r="AC233" t="str">
        <x:f>"Q"&amp;ROUNDUP(MONTH(B233)/3,0)&amp;"-"&amp;YEAR(B233)</x:f>
        <x:v>Q1-2026</x:v>
      </x:c>
      <x:c r="AD233" s="26" t="n">
        <x:f>MIN(100,IF(H233="Enterprise",30,IF(H233="Mid-Market",22,14))+IF(T233="Enterprise",25,IF(T233="Mid-Market",18,10))+IF(Q233="Referral",25,IF(Q233="Organic Search",20,IF(Q233="Email",18,14)))+IF(G233="Technology",10,5))</x:f>
        <x:v>43</x:v>
      </x:c>
      <x:c r="AE233" t="str">
        <x:f>IF(U233&lt;&gt;"Open",U233,IF(N233&gt;=0.8,"Commit",IF(N233&gt;=0.5,"Best Case","Pipeline")))</x:f>
        <x:v>Lost</x:v>
      </x:c>
    </x:row>
    <x:row r="234">
      <x:c r="A234" t="str">
        <x:v>L00233</x:v>
      </x:c>
      <x:c r="B234" s="10" t="n">
        <x:v>46071</x:v>
      </x:c>
      <x:c r="C234" t="str">
        <x:v>Chi Le</x:v>
      </x:c>
      <x:c r="D234" t="str">
        <x:v>South</x:v>
      </x:c>
      <x:c r="E234" t="str">
        <x:v>Cold Email</x:v>
      </x:c>
      <x:c r="F234" t="str">
        <x:v>CRM-PRO</x:v>
      </x:c>
      <x:c r="G234" t="str">
        <x:v>Financial Services</x:v>
      </x:c>
      <x:c r="H234" t="str">
        <x:v>Mid-Market</x:v>
      </x:c>
      <x:c r="I234" t="str">
        <x:v>Closed Lost</x:v>
      </x:c>
      <x:c r="J234" s="10" t="n">
        <x:v>46125</x:v>
      </x:c>
      <x:c r="K234" s="10" t="n">
        <x:v>46125</x:v>
      </x:c>
      <x:c r="L234" s="22" t="n">
        <x:v>25800</x:v>
      </x:c>
      <x:c r="M234" s="24" t="n">
        <x:v>0</x:v>
      </x:c>
      <x:c r="N234" s="24" t="n">
        <x:v>0</x:v>
      </x:c>
      <x:c r="O234" t="str">
        <x:v>No Decision</x:v>
      </x:c>
      <x:c r="P234" t="n">
        <x:v>3</x:v>
      </x:c>
      <x:c r="Q234" t="str">
        <x:f>IFERROR(XLOOKUP(E234,Lookups!$A$5:$A$24,Lookups!$B$5:$B$24),"Other")</x:f>
        <x:v>Outbound</x:v>
      </x:c>
      <x:c r="R234" t="str">
        <x:f>IFERROR(XLOOKUP(F234,Lookups!$D$5:$D$10,Lookups!$E$5:$E$10),"Unknown Product")</x:f>
        <x:v>NexaCRM Pro</x:v>
      </x:c>
      <x:c r="S234" t="str">
        <x:f>IFERROR(XLOOKUP(F234,Lookups!$D$5:$D$10,Lookups!$F$5:$F$10),"Unknown")</x:f>
        <x:v>CRM</x:v>
      </x:c>
      <x:c r="T234" t="str">
        <x:f>IF(L234&gt;=50000,"Enterprise",IF(L234&gt;=20000,"Mid-Market","SMB"))</x:f>
        <x:v>Mid-Market</x:v>
      </x:c>
      <x:c r="U234" t="str">
        <x:f>IF(I234="Closed Won","Won",IF(I234="Closed Lost","Lost","Open"))</x:f>
        <x:v>Lost</x:v>
      </x:c>
      <x:c r="V234" s="22" t="n">
        <x:f>IF(U234="Won",L234*(1-M234),0)</x:f>
        <x:v>0</x:v>
      </x:c>
      <x:c r="W234" s="22" t="n">
        <x:f>IF(U234="Open",L234*N234,0)</x:f>
        <x:v>0</x:v>
      </x:c>
      <x:c r="X234" s="26" t="n">
        <x:f>IF(U234="Open","",IFERROR(K234-B234,""))</x:f>
        <x:v>54</x:v>
      </x:c>
      <x:c r="Y234" s="26" t="n">
        <x:f>IF(U234="Open",Lookups!$B$2-B234,X234)</x:f>
        <x:v>54</x:v>
      </x:c>
      <x:c r="Z234" t="str">
        <x:f>IF(AND(U234="Open",Y234&gt;30),"STALE","OK")</x:f>
        <x:v>OK</x:v>
      </x:c>
      <x:c r="AA234" t="str">
        <x:f>TEXT(B234,"yyyy-mm")</x:f>
        <x:v>2026-02</x:v>
      </x:c>
      <x:c r="AB234" t="str">
        <x:f>IF(K234="","",TEXT(K234,"yyyy-mm"))</x:f>
        <x:v>2026-04</x:v>
      </x:c>
      <x:c r="AC234" t="str">
        <x:f>"Q"&amp;ROUNDUP(MONTH(B234)/3,0)&amp;"-"&amp;YEAR(B234)</x:f>
        <x:v>Q1-2026</x:v>
      </x:c>
      <x:c r="AD234" s="26" t="n">
        <x:f>MIN(100,IF(H234="Enterprise",30,IF(H234="Mid-Market",22,14))+IF(T234="Enterprise",25,IF(T234="Mid-Market",18,10))+IF(Q234="Referral",25,IF(Q234="Organic Search",20,IF(Q234="Email",18,14)))+IF(G234="Technology",10,5))</x:f>
        <x:v>59</x:v>
      </x:c>
      <x:c r="AE234" t="str">
        <x:f>IF(U234&lt;&gt;"Open",U234,IF(N234&gt;=0.8,"Commit",IF(N234&gt;=0.5,"Best Case","Pipeline")))</x:f>
        <x:v>Lost</x:v>
      </x:c>
    </x:row>
    <x:row r="235">
      <x:c r="A235" t="str">
        <x:v>L00234</x:v>
      </x:c>
      <x:c r="B235" s="10" t="n">
        <x:v>46261</x:v>
      </x:c>
      <x:c r="C235" t="str">
        <x:v>Chi Le</x:v>
      </x:c>
      <x:c r="D235" t="str">
        <x:v>South</x:v>
      </x:c>
      <x:c r="E235" t="str">
        <x:v>google cpc</x:v>
      </x:c>
      <x:c r="F235" t="str">
        <x:v>CRM-PRO</x:v>
      </x:c>
      <x:c r="G235" t="str">
        <x:v>Professional Services</x:v>
      </x:c>
      <x:c r="H235" t="str">
        <x:v>Mid-Market</x:v>
      </x:c>
      <x:c r="I235" t="str">
        <x:v>New</x:v>
      </x:c>
      <x:c r="J235" s="10" t="n">
        <x:v>46263</x:v>
      </x:c>
      <x:c r="K235" s="10"/>
      <x:c r="L235" s="22" t="n">
        <x:v>32700</x:v>
      </x:c>
      <x:c r="M235" s="24" t="n">
        <x:v>0</x:v>
      </x:c>
      <x:c r="N235" s="24" t="n">
        <x:v>0.05</x:v>
      </x:c>
      <x:c r="O235" t="str"/>
      <x:c r="P235" t="n">
        <x:v>1</x:v>
      </x:c>
      <x:c r="Q235" t="str">
        <x:f>IFERROR(XLOOKUP(E235,Lookups!$A$5:$A$24,Lookups!$B$5:$B$24),"Other")</x:f>
        <x:v>Paid Search</x:v>
      </x:c>
      <x:c r="R235" t="str">
        <x:f>IFERROR(XLOOKUP(F235,Lookups!$D$5:$D$10,Lookups!$E$5:$E$10),"Unknown Product")</x:f>
        <x:v>NexaCRM Pro</x:v>
      </x:c>
      <x:c r="S235" t="str">
        <x:f>IFERROR(XLOOKUP(F235,Lookups!$D$5:$D$10,Lookups!$F$5:$F$10),"Unknown")</x:f>
        <x:v>CRM</x:v>
      </x:c>
      <x:c r="T235" t="str">
        <x:f>IF(L235&gt;=50000,"Enterprise",IF(L235&gt;=20000,"Mid-Market","SMB"))</x:f>
        <x:v>Mid-Market</x:v>
      </x:c>
      <x:c r="U235" t="str">
        <x:f>IF(I235="Closed Won","Won",IF(I235="Closed Lost","Lost","Open"))</x:f>
        <x:v>Open</x:v>
      </x:c>
      <x:c r="V235" s="22" t="n">
        <x:f>IF(U235="Won",L235*(1-M235),0)</x:f>
        <x:v>0</x:v>
      </x:c>
      <x:c r="W235" s="22" t="n">
        <x:f>IF(U235="Open",L235*N235,0)</x:f>
        <x:v>1635</x:v>
      </x:c>
      <x:c r="X235" s="26" t="str">
        <x:f>IF(U235="Open","",IFERROR(K235-B235,""))</x:f>
      </x:c>
      <x:c r="Y235" s="26" t="n">
        <x:f>IF(U235="Open",Lookups!$B$2-B235,X235)</x:f>
        <x:v>5</x:v>
      </x:c>
      <x:c r="Z235" t="str">
        <x:f>IF(AND(U235="Open",Y235&gt;30),"STALE","OK")</x:f>
        <x:v>OK</x:v>
      </x:c>
      <x:c r="AA235" t="str">
        <x:f>TEXT(B235,"yyyy-mm")</x:f>
        <x:v>2026-08</x:v>
      </x:c>
      <x:c r="AB235" t="str">
        <x:f>IF(K235="","",TEXT(K235,"yyyy-mm"))</x:f>
      </x:c>
      <x:c r="AC235" t="str">
        <x:f>"Q"&amp;ROUNDUP(MONTH(B235)/3,0)&amp;"-"&amp;YEAR(B235)</x:f>
        <x:v>Q3-2026</x:v>
      </x:c>
      <x:c r="AD235" s="26" t="n">
        <x:f>MIN(100,IF(H235="Enterprise",30,IF(H235="Mid-Market",22,14))+IF(T235="Enterprise",25,IF(T235="Mid-Market",18,10))+IF(Q235="Referral",25,IF(Q235="Organic Search",20,IF(Q235="Email",18,14)))+IF(G235="Technology",10,5))</x:f>
        <x:v>59</x:v>
      </x:c>
      <x:c r="AE235" t="str">
        <x:f>IF(U235&lt;&gt;"Open",U235,IF(N235&gt;=0.8,"Commit",IF(N235&gt;=0.5,"Best Case","Pipeline")))</x:f>
        <x:v>Pipeline</x:v>
      </x:c>
    </x:row>
    <x:row r="236">
      <x:c r="A236" t="str">
        <x:v>L00235</x:v>
      </x:c>
      <x:c r="B236" s="10" t="n">
        <x:v>46014</x:v>
      </x:c>
      <x:c r="C236" t="str">
        <x:v>Duy Pham</x:v>
      </x:c>
      <x:c r="D236" t="str">
        <x:v>South</x:v>
      </x:c>
      <x:c r="E236" t="str">
        <x:v>organic search</x:v>
      </x:c>
      <x:c r="F236" t="str">
        <x:v>CS-CLOUD</x:v>
      </x:c>
      <x:c r="G236" t="str">
        <x:v>Retail</x:v>
      </x:c>
      <x:c r="H236" t="str">
        <x:v>SMB</x:v>
      </x:c>
      <x:c r="I236" t="str">
        <x:v>Negotiation</x:v>
      </x:c>
      <x:c r="J236" s="10" t="n">
        <x:v>46177</x:v>
      </x:c>
      <x:c r="K236" s="10"/>
      <x:c r="L236" s="22" t="n">
        <x:v>20100</x:v>
      </x:c>
      <x:c r="M236" s="24" t="n">
        <x:v>0</x:v>
      </x:c>
      <x:c r="N236" s="24" t="n">
        <x:v>0.85</x:v>
      </x:c>
      <x:c r="O236" t="str"/>
      <x:c r="P236" t="n">
        <x:v>5</x:v>
      </x:c>
      <x:c r="Q236" t="str">
        <x:f>IFERROR(XLOOKUP(E236,Lookups!$A$5:$A$24,Lookups!$B$5:$B$24),"Other")</x:f>
        <x:v>Organic Search</x:v>
      </x:c>
      <x:c r="R236" t="str">
        <x:f>IFERROR(XLOOKUP(F236,Lookups!$D$5:$D$10,Lookups!$E$5:$E$10),"Unknown Product")</x:f>
        <x:v>Service Cloud</x:v>
      </x:c>
      <x:c r="S236" t="str">
        <x:f>IFERROR(XLOOKUP(F236,Lookups!$D$5:$D$10,Lookups!$F$5:$F$10),"Unknown")</x:f>
        <x:v>Customer Service</x:v>
      </x:c>
      <x:c r="T236" t="str">
        <x:f>IF(L236&gt;=50000,"Enterprise",IF(L236&gt;=20000,"Mid-Market","SMB"))</x:f>
        <x:v>Mid-Market</x:v>
      </x:c>
      <x:c r="U236" t="str">
        <x:f>IF(I236="Closed Won","Won",IF(I236="Closed Lost","Lost","Open"))</x:f>
        <x:v>Open</x:v>
      </x:c>
      <x:c r="V236" s="22" t="n">
        <x:f>IF(U236="Won",L236*(1-M236),0)</x:f>
        <x:v>0</x:v>
      </x:c>
      <x:c r="W236" s="22" t="n">
        <x:f>IF(U236="Open",L236*N236,0)</x:f>
        <x:v>17085</x:v>
      </x:c>
      <x:c r="X236" s="26" t="str">
        <x:f>IF(U236="Open","",IFERROR(K236-B236,""))</x:f>
      </x:c>
      <x:c r="Y236" s="26" t="n">
        <x:f>IF(U236="Open",Lookups!$B$2-B236,X236)</x:f>
        <x:v>252</x:v>
      </x:c>
      <x:c r="Z236" t="str">
        <x:f>IF(AND(U236="Open",Y236&gt;30),"STALE","OK")</x:f>
        <x:v>STALE</x:v>
      </x:c>
      <x:c r="AA236" t="str">
        <x:f>TEXT(B236,"yyyy-mm")</x:f>
        <x:v>2025-12</x:v>
      </x:c>
      <x:c r="AB236" t="str">
        <x:f>IF(K236="","",TEXT(K236,"yyyy-mm"))</x:f>
      </x:c>
      <x:c r="AC236" t="str">
        <x:f>"Q"&amp;ROUNDUP(MONTH(B236)/3,0)&amp;"-"&amp;YEAR(B236)</x:f>
        <x:v>Q4-2025</x:v>
      </x:c>
      <x:c r="AD236" s="26" t="n">
        <x:f>MIN(100,IF(H236="Enterprise",30,IF(H236="Mid-Market",22,14))+IF(T236="Enterprise",25,IF(T236="Mid-Market",18,10))+IF(Q236="Referral",25,IF(Q236="Organic Search",20,IF(Q236="Email",18,14)))+IF(G236="Technology",10,5))</x:f>
        <x:v>57</x:v>
      </x:c>
      <x:c r="AE236" t="str">
        <x:f>IF(U236&lt;&gt;"Open",U236,IF(N236&gt;=0.8,"Commit",IF(N236&gt;=0.5,"Best Case","Pipeline")))</x:f>
        <x:v>Commit</x:v>
      </x:c>
    </x:row>
    <x:row r="237">
      <x:c r="A237" t="str">
        <x:v>L00236</x:v>
      </x:c>
      <x:c r="B237" s="10" t="n">
        <x:v>45727</x:v>
      </x:c>
      <x:c r="C237" t="str">
        <x:v>Minh Do</x:v>
      </x:c>
      <x:c r="D237" t="str">
        <x:v>North</x:v>
      </x:c>
      <x:c r="E237" t="str">
        <x:v>SEO</x:v>
      </x:c>
      <x:c r="F237" t="str">
        <x:v>CRM-PRO</x:v>
      </x:c>
      <x:c r="G237" t="str">
        <x:v>Manufacturing</x:v>
      </x:c>
      <x:c r="H237" t="str">
        <x:v>SMB</x:v>
      </x:c>
      <x:c r="I237" t="str">
        <x:v>Closed Lost</x:v>
      </x:c>
      <x:c r="J237" s="10" t="n">
        <x:v>45769</x:v>
      </x:c>
      <x:c r="K237" s="10" t="n">
        <x:v>45769</x:v>
      </x:c>
      <x:c r="L237" s="22" t="n">
        <x:v>16900</x:v>
      </x:c>
      <x:c r="M237" s="24" t="n">
        <x:v>0</x:v>
      </x:c>
      <x:c r="N237" s="24" t="n">
        <x:v>0</x:v>
      </x:c>
      <x:c r="O237" t="str">
        <x:v>No Decision</x:v>
      </x:c>
      <x:c r="P237" t="n">
        <x:v>4</x:v>
      </x:c>
      <x:c r="Q237" t="str">
        <x:f>IFERROR(XLOOKUP(E237,Lookups!$A$5:$A$24,Lookups!$B$5:$B$24),"Other")</x:f>
        <x:v>Organic Search</x:v>
      </x:c>
      <x:c r="R237" t="str">
        <x:f>IFERROR(XLOOKUP(F237,Lookups!$D$5:$D$10,Lookups!$E$5:$E$10),"Unknown Product")</x:f>
        <x:v>NexaCRM Pro</x:v>
      </x:c>
      <x:c r="S237" t="str">
        <x:f>IFERROR(XLOOKUP(F237,Lookups!$D$5:$D$10,Lookups!$F$5:$F$10),"Unknown")</x:f>
        <x:v>CRM</x:v>
      </x:c>
      <x:c r="T237" t="str">
        <x:f>IF(L237&gt;=50000,"Enterprise",IF(L237&gt;=20000,"Mid-Market","SMB"))</x:f>
        <x:v>SMB</x:v>
      </x:c>
      <x:c r="U237" t="str">
        <x:f>IF(I237="Closed Won","Won",IF(I237="Closed Lost","Lost","Open"))</x:f>
        <x:v>Lost</x:v>
      </x:c>
      <x:c r="V237" s="22" t="n">
        <x:f>IF(U237="Won",L237*(1-M237),0)</x:f>
        <x:v>0</x:v>
      </x:c>
      <x:c r="W237" s="22" t="n">
        <x:f>IF(U237="Open",L237*N237,0)</x:f>
        <x:v>0</x:v>
      </x:c>
      <x:c r="X237" s="26" t="n">
        <x:f>IF(U237="Open","",IFERROR(K237-B237,""))</x:f>
        <x:v>42</x:v>
      </x:c>
      <x:c r="Y237" s="26" t="n">
        <x:f>IF(U237="Open",Lookups!$B$2-B237,X237)</x:f>
        <x:v>42</x:v>
      </x:c>
      <x:c r="Z237" t="str">
        <x:f>IF(AND(U237="Open",Y237&gt;30),"STALE","OK")</x:f>
        <x:v>OK</x:v>
      </x:c>
      <x:c r="AA237" t="str">
        <x:f>TEXT(B237,"yyyy-mm")</x:f>
        <x:v>2025-03</x:v>
      </x:c>
      <x:c r="AB237" t="str">
        <x:f>IF(K237="","",TEXT(K237,"yyyy-mm"))</x:f>
        <x:v>2025-04</x:v>
      </x:c>
      <x:c r="AC237" t="str">
        <x:f>"Q"&amp;ROUNDUP(MONTH(B237)/3,0)&amp;"-"&amp;YEAR(B237)</x:f>
        <x:v>Q1-2025</x:v>
      </x:c>
      <x:c r="AD237" s="26" t="n">
        <x:f>MIN(100,IF(H237="Enterprise",30,IF(H237="Mid-Market",22,14))+IF(T237="Enterprise",25,IF(T237="Mid-Market",18,10))+IF(Q237="Referral",25,IF(Q237="Organic Search",20,IF(Q237="Email",18,14)))+IF(G237="Technology",10,5))</x:f>
        <x:v>49</x:v>
      </x:c>
      <x:c r="AE237" t="str">
        <x:f>IF(U237&lt;&gt;"Open",U237,IF(N237&gt;=0.8,"Commit",IF(N237&gt;=0.5,"Best Case","Pipeline")))</x:f>
        <x:v>Lost</x:v>
      </x:c>
    </x:row>
    <x:row r="238">
      <x:c r="A238" t="str">
        <x:v>L00237</x:v>
      </x:c>
      <x:c r="B238" s="10" t="n">
        <x:v>45750</x:v>
      </x:c>
      <x:c r="C238" t="str">
        <x:v>Duy Pham</x:v>
      </x:c>
      <x:c r="D238" t="str">
        <x:v>South</x:v>
      </x:c>
      <x:c r="E238" t="str">
        <x:v>organic search</x:v>
      </x:c>
      <x:c r="F238" t="str">
        <x:v>CRM-PRO</x:v>
      </x:c>
      <x:c r="G238" t="str">
        <x:v>Manufacturing</x:v>
      </x:c>
      <x:c r="H238" t="str">
        <x:v>SMB</x:v>
      </x:c>
      <x:c r="I238" t="str">
        <x:v>Negotiation</x:v>
      </x:c>
      <x:c r="J238" s="10" t="n">
        <x:v>46196</x:v>
      </x:c>
      <x:c r="K238" s="10"/>
      <x:c r="L238" s="22" t="n">
        <x:v>20800</x:v>
      </x:c>
      <x:c r="M238" s="24" t="n">
        <x:v>0</x:v>
      </x:c>
      <x:c r="N238" s="24" t="n">
        <x:v>0.85</x:v>
      </x:c>
      <x:c r="O238" t="str"/>
      <x:c r="P238" t="n">
        <x:v>5</x:v>
      </x:c>
      <x:c r="Q238" t="str">
        <x:f>IFERROR(XLOOKUP(E238,Lookups!$A$5:$A$24,Lookups!$B$5:$B$24),"Other")</x:f>
        <x:v>Organic Search</x:v>
      </x:c>
      <x:c r="R238" t="str">
        <x:f>IFERROR(XLOOKUP(F238,Lookups!$D$5:$D$10,Lookups!$E$5:$E$10),"Unknown Product")</x:f>
        <x:v>NexaCRM Pro</x:v>
      </x:c>
      <x:c r="S238" t="str">
        <x:f>IFERROR(XLOOKUP(F238,Lookups!$D$5:$D$10,Lookups!$F$5:$F$10),"Unknown")</x:f>
        <x:v>CRM</x:v>
      </x:c>
      <x:c r="T238" t="str">
        <x:f>IF(L238&gt;=50000,"Enterprise",IF(L238&gt;=20000,"Mid-Market","SMB"))</x:f>
        <x:v>Mid-Market</x:v>
      </x:c>
      <x:c r="U238" t="str">
        <x:f>IF(I238="Closed Won","Won",IF(I238="Closed Lost","Lost","Open"))</x:f>
        <x:v>Open</x:v>
      </x:c>
      <x:c r="V238" s="22" t="n">
        <x:f>IF(U238="Won",L238*(1-M238),0)</x:f>
        <x:v>0</x:v>
      </x:c>
      <x:c r="W238" s="22" t="n">
        <x:f>IF(U238="Open",L238*N238,0)</x:f>
        <x:v>17680</x:v>
      </x:c>
      <x:c r="X238" s="26" t="str">
        <x:f>IF(U238="Open","",IFERROR(K238-B238,""))</x:f>
      </x:c>
      <x:c r="Y238" s="26" t="n">
        <x:f>IF(U238="Open",Lookups!$B$2-B238,X238)</x:f>
        <x:v>516</x:v>
      </x:c>
      <x:c r="Z238" t="str">
        <x:f>IF(AND(U238="Open",Y238&gt;30),"STALE","OK")</x:f>
        <x:v>STALE</x:v>
      </x:c>
      <x:c r="AA238" t="str">
        <x:f>TEXT(B238,"yyyy-mm")</x:f>
        <x:v>2025-04</x:v>
      </x:c>
      <x:c r="AB238" t="str">
        <x:f>IF(K238="","",TEXT(K238,"yyyy-mm"))</x:f>
      </x:c>
      <x:c r="AC238" t="str">
        <x:f>"Q"&amp;ROUNDUP(MONTH(B238)/3,0)&amp;"-"&amp;YEAR(B238)</x:f>
        <x:v>Q2-2025</x:v>
      </x:c>
      <x:c r="AD238" s="26" t="n">
        <x:f>MIN(100,IF(H238="Enterprise",30,IF(H238="Mid-Market",22,14))+IF(T238="Enterprise",25,IF(T238="Mid-Market",18,10))+IF(Q238="Referral",25,IF(Q238="Organic Search",20,IF(Q238="Email",18,14)))+IF(G238="Technology",10,5))</x:f>
        <x:v>57</x:v>
      </x:c>
      <x:c r="AE238" t="str">
        <x:f>IF(U238&lt;&gt;"Open",U238,IF(N238&gt;=0.8,"Commit",IF(N238&gt;=0.5,"Best Case","Pipeline")))</x:f>
        <x:v>Commit</x:v>
      </x:c>
    </x:row>
    <x:row r="239">
      <x:c r="A239" t="str">
        <x:v>L00238</x:v>
      </x:c>
      <x:c r="B239" s="10" t="n">
        <x:v>46004</x:v>
      </x:c>
      <x:c r="C239" t="str">
        <x:v>Bao Tran</x:v>
      </x:c>
      <x:c r="D239" t="str">
        <x:v>South</x:v>
      </x:c>
      <x:c r="E239" t="str">
        <x:v>google cpc</x:v>
      </x:c>
      <x:c r="F239" t="str">
        <x:v>REV-OPS</x:v>
      </x:c>
      <x:c r="G239" t="str">
        <x:v>Retail</x:v>
      </x:c>
      <x:c r="H239" t="str">
        <x:v>Enterprise</x:v>
      </x:c>
      <x:c r="I239" t="str">
        <x:v>Negotiation</x:v>
      </x:c>
      <x:c r="J239" s="10" t="n">
        <x:v>46145</x:v>
      </x:c>
      <x:c r="K239" s="10"/>
      <x:c r="L239" s="22" t="n">
        <x:v>86800</x:v>
      </x:c>
      <x:c r="M239" s="24" t="n">
        <x:v>0</x:v>
      </x:c>
      <x:c r="N239" s="24" t="n">
        <x:v>0.85</x:v>
      </x:c>
      <x:c r="O239" t="str"/>
      <x:c r="P239" t="n">
        <x:v>5</x:v>
      </x:c>
      <x:c r="Q239" t="str">
        <x:f>IFERROR(XLOOKUP(E239,Lookups!$A$5:$A$24,Lookups!$B$5:$B$24),"Other")</x:f>
        <x:v>Paid Search</x:v>
      </x:c>
      <x:c r="R239" t="str">
        <x:f>IFERROR(XLOOKUP(F239,Lookups!$D$5:$D$10,Lookups!$E$5:$E$10),"Unknown Product")</x:f>
        <x:v>Revenue Operations Suite</x:v>
      </x:c>
      <x:c r="S239" t="str">
        <x:f>IFERROR(XLOOKUP(F239,Lookups!$D$5:$D$10,Lookups!$F$5:$F$10),"Unknown")</x:f>
        <x:v>Revenue Ops</x:v>
      </x:c>
      <x:c r="T239" t="str">
        <x:f>IF(L239&gt;=50000,"Enterprise",IF(L239&gt;=20000,"Mid-Market","SMB"))</x:f>
        <x:v>Enterprise</x:v>
      </x:c>
      <x:c r="U239" t="str">
        <x:f>IF(I239="Closed Won","Won",IF(I239="Closed Lost","Lost","Open"))</x:f>
        <x:v>Open</x:v>
      </x:c>
      <x:c r="V239" s="22" t="n">
        <x:f>IF(U239="Won",L239*(1-M239),0)</x:f>
        <x:v>0</x:v>
      </x:c>
      <x:c r="W239" s="22" t="n">
        <x:f>IF(U239="Open",L239*N239,0)</x:f>
        <x:v>73780</x:v>
      </x:c>
      <x:c r="X239" s="26" t="str">
        <x:f>IF(U239="Open","",IFERROR(K239-B239,""))</x:f>
      </x:c>
      <x:c r="Y239" s="26" t="n">
        <x:f>IF(U239="Open",Lookups!$B$2-B239,X239)</x:f>
        <x:v>262</x:v>
      </x:c>
      <x:c r="Z239" t="str">
        <x:f>IF(AND(U239="Open",Y239&gt;30),"STALE","OK")</x:f>
        <x:v>STALE</x:v>
      </x:c>
      <x:c r="AA239" t="str">
        <x:f>TEXT(B239,"yyyy-mm")</x:f>
        <x:v>2025-12</x:v>
      </x:c>
      <x:c r="AB239" t="str">
        <x:f>IF(K239="","",TEXT(K239,"yyyy-mm"))</x:f>
      </x:c>
      <x:c r="AC239" t="str">
        <x:f>"Q"&amp;ROUNDUP(MONTH(B239)/3,0)&amp;"-"&amp;YEAR(B239)</x:f>
        <x:v>Q4-2025</x:v>
      </x:c>
      <x:c r="AD239" s="26" t="n">
        <x:f>MIN(100,IF(H239="Enterprise",30,IF(H239="Mid-Market",22,14))+IF(T239="Enterprise",25,IF(T239="Mid-Market",18,10))+IF(Q239="Referral",25,IF(Q239="Organic Search",20,IF(Q239="Email",18,14)))+IF(G239="Technology",10,5))</x:f>
        <x:v>74</x:v>
      </x:c>
      <x:c r="AE239" t="str">
        <x:f>IF(U239&lt;&gt;"Open",U239,IF(N239&gt;=0.8,"Commit",IF(N239&gt;=0.5,"Best Case","Pipeline")))</x:f>
        <x:v>Commit</x:v>
      </x:c>
    </x:row>
    <x:row r="240">
      <x:c r="A240" t="str">
        <x:v>L00239</x:v>
      </x:c>
      <x:c r="B240" s="10" t="n">
        <x:v>45868</x:v>
      </x:c>
      <x:c r="C240" t="str">
        <x:v>Ha Vo</x:v>
      </x:c>
      <x:c r="D240" t="str">
        <x:v>North</x:v>
      </x:c>
      <x:c r="E240" t="str">
        <x:v>linkedin</x:v>
      </x:c>
      <x:c r="F240" t="str">
        <x:v>MKT-AUTO</x:v>
      </x:c>
      <x:c r="G240" t="str">
        <x:v>Professional Services</x:v>
      </x:c>
      <x:c r="H240" t="str">
        <x:v>Mid-Market</x:v>
      </x:c>
      <x:c r="I240" t="str">
        <x:v>Closed Lost</x:v>
      </x:c>
      <x:c r="J240" s="10" t="n">
        <x:v>45931</x:v>
      </x:c>
      <x:c r="K240" s="10" t="n">
        <x:v>45931</x:v>
      </x:c>
      <x:c r="L240" s="22" t="n">
        <x:v>34200</x:v>
      </x:c>
      <x:c r="M240" s="24" t="n">
        <x:v>0</x:v>
      </x:c>
      <x:c r="N240" s="24" t="n">
        <x:v>0</x:v>
      </x:c>
      <x:c r="O240" t="str">
        <x:v>Timing</x:v>
      </x:c>
      <x:c r="P240" t="n">
        <x:v>3</x:v>
      </x:c>
      <x:c r="Q240" t="str">
        <x:f>IFERROR(XLOOKUP(E240,Lookups!$A$5:$A$24,Lookups!$B$5:$B$24),"Other")</x:f>
        <x:v>LinkedIn</x:v>
      </x:c>
      <x:c r="R240" t="str">
        <x:f>IFERROR(XLOOKUP(F240,Lookups!$D$5:$D$10,Lookups!$E$5:$E$10),"Unknown Product")</x:f>
        <x:v>Marketing Automation</x:v>
      </x:c>
      <x:c r="S240" t="str">
        <x:f>IFERROR(XLOOKUP(F240,Lookups!$D$5:$D$10,Lookups!$F$5:$F$10),"Unknown")</x:f>
        <x:v>Marketing</x:v>
      </x:c>
      <x:c r="T240" t="str">
        <x:f>IF(L240&gt;=50000,"Enterprise",IF(L240&gt;=20000,"Mid-Market","SMB"))</x:f>
        <x:v>Mid-Market</x:v>
      </x:c>
      <x:c r="U240" t="str">
        <x:f>IF(I240="Closed Won","Won",IF(I240="Closed Lost","Lost","Open"))</x:f>
        <x:v>Lost</x:v>
      </x:c>
      <x:c r="V240" s="22" t="n">
        <x:f>IF(U240="Won",L240*(1-M240),0)</x:f>
        <x:v>0</x:v>
      </x:c>
      <x:c r="W240" s="22" t="n">
        <x:f>IF(U240="Open",L240*N240,0)</x:f>
        <x:v>0</x:v>
      </x:c>
      <x:c r="X240" s="26" t="n">
        <x:f>IF(U240="Open","",IFERROR(K240-B240,""))</x:f>
        <x:v>63</x:v>
      </x:c>
      <x:c r="Y240" s="26" t="n">
        <x:f>IF(U240="Open",Lookups!$B$2-B240,X240)</x:f>
        <x:v>63</x:v>
      </x:c>
      <x:c r="Z240" t="str">
        <x:f>IF(AND(U240="Open",Y240&gt;30),"STALE","OK")</x:f>
        <x:v>OK</x:v>
      </x:c>
      <x:c r="AA240" t="str">
        <x:f>TEXT(B240,"yyyy-mm")</x:f>
        <x:v>2025-07</x:v>
      </x:c>
      <x:c r="AB240" t="str">
        <x:f>IF(K240="","",TEXT(K240,"yyyy-mm"))</x:f>
        <x:v>2025-10</x:v>
      </x:c>
      <x:c r="AC240" t="str">
        <x:f>"Q"&amp;ROUNDUP(MONTH(B240)/3,0)&amp;"-"&amp;YEAR(B240)</x:f>
        <x:v>Q3-2025</x:v>
      </x:c>
      <x:c r="AD240" s="26" t="n">
        <x:f>MIN(100,IF(H240="Enterprise",30,IF(H240="Mid-Market",22,14))+IF(T240="Enterprise",25,IF(T240="Mid-Market",18,10))+IF(Q240="Referral",25,IF(Q240="Organic Search",20,IF(Q240="Email",18,14)))+IF(G240="Technology",10,5))</x:f>
        <x:v>59</x:v>
      </x:c>
      <x:c r="AE240" t="str">
        <x:f>IF(U240&lt;&gt;"Open",U240,IF(N240&gt;=0.8,"Commit",IF(N240&gt;=0.5,"Best Case","Pipeline")))</x:f>
        <x:v>Lost</x:v>
      </x:c>
    </x:row>
    <x:row r="241">
      <x:c r="A241" t="str">
        <x:v>L00240</x:v>
      </x:c>
      <x:c r="B241" s="10" t="n">
        <x:v>45677</x:v>
      </x:c>
      <x:c r="C241" t="str">
        <x:v>Bao Tran</x:v>
      </x:c>
      <x:c r="D241" t="str">
        <x:v>South</x:v>
      </x:c>
      <x:c r="E241" t="str">
        <x:v>google cpc</x:v>
      </x:c>
      <x:c r="F241" t="str">
        <x:v>CRM-CORE</x:v>
      </x:c>
      <x:c r="G241" t="str">
        <x:v>Technology</x:v>
      </x:c>
      <x:c r="H241" t="str">
        <x:v>Mid-Market</x:v>
      </x:c>
      <x:c r="I241" t="str">
        <x:v>Closed Lost</x:v>
      </x:c>
      <x:c r="J241" s="10" t="n">
        <x:v>45736</x:v>
      </x:c>
      <x:c r="K241" s="10" t="n">
        <x:v>45736</x:v>
      </x:c>
      <x:c r="L241" s="22" t="n">
        <x:v>10100</x:v>
      </x:c>
      <x:c r="M241" s="24" t="n">
        <x:v>0</x:v>
      </x:c>
      <x:c r="N241" s="24" t="n">
        <x:v>0</x:v>
      </x:c>
      <x:c r="O241" t="str">
        <x:v>Timing</x:v>
      </x:c>
      <x:c r="P241" t="n">
        <x:v>2</x:v>
      </x:c>
      <x:c r="Q241" t="str">
        <x:f>IFERROR(XLOOKUP(E241,Lookups!$A$5:$A$24,Lookups!$B$5:$B$24),"Other")</x:f>
        <x:v>Paid Search</x:v>
      </x:c>
      <x:c r="R241" t="str">
        <x:f>IFERROR(XLOOKUP(F241,Lookups!$D$5:$D$10,Lookups!$E$5:$E$10),"Unknown Product")</x:f>
        <x:v>NexaCRM Core</x:v>
      </x:c>
      <x:c r="S241" t="str">
        <x:f>IFERROR(XLOOKUP(F241,Lookups!$D$5:$D$10,Lookups!$F$5:$F$10),"Unknown")</x:f>
        <x:v>CRM</x:v>
      </x:c>
      <x:c r="T241" t="str">
        <x:f>IF(L241&gt;=50000,"Enterprise",IF(L241&gt;=20000,"Mid-Market","SMB"))</x:f>
        <x:v>SMB</x:v>
      </x:c>
      <x:c r="U241" t="str">
        <x:f>IF(I241="Closed Won","Won",IF(I241="Closed Lost","Lost","Open"))</x:f>
        <x:v>Lost</x:v>
      </x:c>
      <x:c r="V241" s="22" t="n">
        <x:f>IF(U241="Won",L241*(1-M241),0)</x:f>
        <x:v>0</x:v>
      </x:c>
      <x:c r="W241" s="22" t="n">
        <x:f>IF(U241="Open",L241*N241,0)</x:f>
        <x:v>0</x:v>
      </x:c>
      <x:c r="X241" s="26" t="n">
        <x:f>IF(U241="Open","",IFERROR(K241-B241,""))</x:f>
        <x:v>59</x:v>
      </x:c>
      <x:c r="Y241" s="26" t="n">
        <x:f>IF(U241="Open",Lookups!$B$2-B241,X241)</x:f>
        <x:v>59</x:v>
      </x:c>
      <x:c r="Z241" t="str">
        <x:f>IF(AND(U241="Open",Y241&gt;30),"STALE","OK")</x:f>
        <x:v>OK</x:v>
      </x:c>
      <x:c r="AA241" t="str">
        <x:f>TEXT(B241,"yyyy-mm")</x:f>
        <x:v>2025-01</x:v>
      </x:c>
      <x:c r="AB241" t="str">
        <x:f>IF(K241="","",TEXT(K241,"yyyy-mm"))</x:f>
        <x:v>2025-03</x:v>
      </x:c>
      <x:c r="AC241" t="str">
        <x:f>"Q"&amp;ROUNDUP(MONTH(B241)/3,0)&amp;"-"&amp;YEAR(B241)</x:f>
        <x:v>Q1-2025</x:v>
      </x:c>
      <x:c r="AD241" s="26" t="n">
        <x:f>MIN(100,IF(H241="Enterprise",30,IF(H241="Mid-Market",22,14))+IF(T241="Enterprise",25,IF(T241="Mid-Market",18,10))+IF(Q241="Referral",25,IF(Q241="Organic Search",20,IF(Q241="Email",18,14)))+IF(G241="Technology",10,5))</x:f>
        <x:v>56</x:v>
      </x:c>
      <x:c r="AE241" t="str">
        <x:f>IF(U241&lt;&gt;"Open",U241,IF(N241&gt;=0.8,"Commit",IF(N241&gt;=0.5,"Best Case","Pipeline")))</x:f>
        <x:v>Lost</x:v>
      </x:c>
    </x:row>
    <x:row r="242">
      <x:c r="A242" t="str">
        <x:v>L00241</x:v>
      </x:c>
      <x:c r="B242" s="10" t="n">
        <x:v>46180</x:v>
      </x:c>
      <x:c r="C242" t="str">
        <x:v>An Nguyen</x:v>
      </x:c>
      <x:c r="D242" t="str">
        <x:v>South</x:v>
      </x:c>
      <x:c r="E242" t="str">
        <x:v>Google Ads</x:v>
      </x:c>
      <x:c r="F242" t="str">
        <x:v>CRM-CORE</x:v>
      </x:c>
      <x:c r="G242" t="str">
        <x:v>Financial Services</x:v>
      </x:c>
      <x:c r="H242" t="str">
        <x:v>SMB</x:v>
      </x:c>
      <x:c r="I242" t="str">
        <x:v>Demo / Meeting</x:v>
      </x:c>
      <x:c r="J242" s="10" t="n">
        <x:v>46253</x:v>
      </x:c>
      <x:c r="K242" s="10"/>
      <x:c r="L242" s="22" t="n">
        <x:v>7500</x:v>
      </x:c>
      <x:c r="M242" s="24" t="n">
        <x:v>0</x:v>
      </x:c>
      <x:c r="N242" s="24" t="n">
        <x:v>0.4</x:v>
      </x:c>
      <x:c r="O242" t="str"/>
      <x:c r="P242" t="n">
        <x:v>3</x:v>
      </x:c>
      <x:c r="Q242" t="str">
        <x:f>IFERROR(XLOOKUP(E242,Lookups!$A$5:$A$24,Lookups!$B$5:$B$24),"Other")</x:f>
        <x:v>Paid Search</x:v>
      </x:c>
      <x:c r="R242" t="str">
        <x:f>IFERROR(XLOOKUP(F242,Lookups!$D$5:$D$10,Lookups!$E$5:$E$10),"Unknown Product")</x:f>
        <x:v>NexaCRM Core</x:v>
      </x:c>
      <x:c r="S242" t="str">
        <x:f>IFERROR(XLOOKUP(F242,Lookups!$D$5:$D$10,Lookups!$F$5:$F$10),"Unknown")</x:f>
        <x:v>CRM</x:v>
      </x:c>
      <x:c r="T242" t="str">
        <x:f>IF(L242&gt;=50000,"Enterprise",IF(L242&gt;=20000,"Mid-Market","SMB"))</x:f>
        <x:v>SMB</x:v>
      </x:c>
      <x:c r="U242" t="str">
        <x:f>IF(I242="Closed Won","Won",IF(I242="Closed Lost","Lost","Open"))</x:f>
        <x:v>Open</x:v>
      </x:c>
      <x:c r="V242" s="22" t="n">
        <x:f>IF(U242="Won",L242*(1-M242),0)</x:f>
        <x:v>0</x:v>
      </x:c>
      <x:c r="W242" s="22" t="n">
        <x:f>IF(U242="Open",L242*N242,0)</x:f>
        <x:v>3000</x:v>
      </x:c>
      <x:c r="X242" s="26" t="str">
        <x:f>IF(U242="Open","",IFERROR(K242-B242,""))</x:f>
      </x:c>
      <x:c r="Y242" s="26" t="n">
        <x:f>IF(U242="Open",Lookups!$B$2-B242,X242)</x:f>
        <x:v>86</x:v>
      </x:c>
      <x:c r="Z242" t="str">
        <x:f>IF(AND(U242="Open",Y242&gt;30),"STALE","OK")</x:f>
        <x:v>STALE</x:v>
      </x:c>
      <x:c r="AA242" t="str">
        <x:f>TEXT(B242,"yyyy-mm")</x:f>
        <x:v>2026-06</x:v>
      </x:c>
      <x:c r="AB242" t="str">
        <x:f>IF(K242="","",TEXT(K242,"yyyy-mm"))</x:f>
      </x:c>
      <x:c r="AC242" t="str">
        <x:f>"Q"&amp;ROUNDUP(MONTH(B242)/3,0)&amp;"-"&amp;YEAR(B242)</x:f>
        <x:v>Q2-2026</x:v>
      </x:c>
      <x:c r="AD242" s="26" t="n">
        <x:f>MIN(100,IF(H242="Enterprise",30,IF(H242="Mid-Market",22,14))+IF(T242="Enterprise",25,IF(T242="Mid-Market",18,10))+IF(Q242="Referral",25,IF(Q242="Organic Search",20,IF(Q242="Email",18,14)))+IF(G242="Technology",10,5))</x:f>
        <x:v>43</x:v>
      </x:c>
      <x:c r="AE242" t="str">
        <x:f>IF(U242&lt;&gt;"Open",U242,IF(N242&gt;=0.8,"Commit",IF(N242&gt;=0.5,"Best Case","Pipeline")))</x:f>
        <x:v>Pipeline</x:v>
      </x:c>
    </x:row>
    <x:row r="243">
      <x:c r="A243" t="str">
        <x:v>L00242</x:v>
      </x:c>
      <x:c r="B243" s="10" t="n">
        <x:v>45857</x:v>
      </x:c>
      <x:c r="C243" t="str">
        <x:v>Minh Do</x:v>
      </x:c>
      <x:c r="D243" t="str">
        <x:v>North</x:v>
      </x:c>
      <x:c r="E243" t="str">
        <x:v>email nurture</x:v>
      </x:c>
      <x:c r="F243" t="str">
        <x:v>CRM-CORE</x:v>
      </x:c>
      <x:c r="G243" t="str">
        <x:v>Manufacturing</x:v>
      </x:c>
      <x:c r="H243" t="str">
        <x:v>SMB</x:v>
      </x:c>
      <x:c r="I243" t="str">
        <x:v>Closed Won</x:v>
      </x:c>
      <x:c r="J243" s="10" t="n">
        <x:v>45895</x:v>
      </x:c>
      <x:c r="K243" s="10" t="n">
        <x:v>45895</x:v>
      </x:c>
      <x:c r="L243" s="22" t="n">
        <x:v>9400</x:v>
      </x:c>
      <x:c r="M243" s="24" t="n">
        <x:v>0</x:v>
      </x:c>
      <x:c r="N243" s="24" t="n">
        <x:v>1</x:v>
      </x:c>
      <x:c r="O243" t="str"/>
      <x:c r="P243" t="n">
        <x:v>6</x:v>
      </x:c>
      <x:c r="Q243" t="str">
        <x:f>IFERROR(XLOOKUP(E243,Lookups!$A$5:$A$24,Lookups!$B$5:$B$24),"Other")</x:f>
        <x:v>Email</x:v>
      </x:c>
      <x:c r="R243" t="str">
        <x:f>IFERROR(XLOOKUP(F243,Lookups!$D$5:$D$10,Lookups!$E$5:$E$10),"Unknown Product")</x:f>
        <x:v>NexaCRM Core</x:v>
      </x:c>
      <x:c r="S243" t="str">
        <x:f>IFERROR(XLOOKUP(F243,Lookups!$D$5:$D$10,Lookups!$F$5:$F$10),"Unknown")</x:f>
        <x:v>CRM</x:v>
      </x:c>
      <x:c r="T243" t="str">
        <x:f>IF(L243&gt;=50000,"Enterprise",IF(L243&gt;=20000,"Mid-Market","SMB"))</x:f>
        <x:v>SMB</x:v>
      </x:c>
      <x:c r="U243" t="str">
        <x:f>IF(I243="Closed Won","Won",IF(I243="Closed Lost","Lost","Open"))</x:f>
        <x:v>Won</x:v>
      </x:c>
      <x:c r="V243" s="22" t="n">
        <x:f>IF(U243="Won",L243*(1-M243),0)</x:f>
        <x:v>9400</x:v>
      </x:c>
      <x:c r="W243" s="22" t="n">
        <x:f>IF(U243="Open",L243*N243,0)</x:f>
        <x:v>0</x:v>
      </x:c>
      <x:c r="X243" s="26" t="n">
        <x:f>IF(U243="Open","",IFERROR(K243-B243,""))</x:f>
        <x:v>38</x:v>
      </x:c>
      <x:c r="Y243" s="26" t="n">
        <x:f>IF(U243="Open",Lookups!$B$2-B243,X243)</x:f>
        <x:v>38</x:v>
      </x:c>
      <x:c r="Z243" t="str">
        <x:f>IF(AND(U243="Open",Y243&gt;30),"STALE","OK")</x:f>
        <x:v>OK</x:v>
      </x:c>
      <x:c r="AA243" t="str">
        <x:f>TEXT(B243,"yyyy-mm")</x:f>
        <x:v>2025-07</x:v>
      </x:c>
      <x:c r="AB243" t="str">
        <x:f>IF(K243="","",TEXT(K243,"yyyy-mm"))</x:f>
        <x:v>2025-08</x:v>
      </x:c>
      <x:c r="AC243" t="str">
        <x:f>"Q"&amp;ROUNDUP(MONTH(B243)/3,0)&amp;"-"&amp;YEAR(B243)</x:f>
        <x:v>Q3-2025</x:v>
      </x:c>
      <x:c r="AD243" s="26" t="n">
        <x:f>MIN(100,IF(H243="Enterprise",30,IF(H243="Mid-Market",22,14))+IF(T243="Enterprise",25,IF(T243="Mid-Market",18,10))+IF(Q243="Referral",25,IF(Q243="Organic Search",20,IF(Q243="Email",18,14)))+IF(G243="Technology",10,5))</x:f>
        <x:v>47</x:v>
      </x:c>
      <x:c r="AE243" t="str">
        <x:f>IF(U243&lt;&gt;"Open",U243,IF(N243&gt;=0.8,"Commit",IF(N243&gt;=0.5,"Best Case","Pipeline")))</x:f>
        <x:v>Won</x:v>
      </x:c>
    </x:row>
    <x:row r="244">
      <x:c r="A244" t="str">
        <x:v>L00243</x:v>
      </x:c>
      <x:c r="B244" s="10" t="n">
        <x:v>45816</x:v>
      </x:c>
      <x:c r="C244" t="str">
        <x:v>Bao Tran</x:v>
      </x:c>
      <x:c r="D244" t="str">
        <x:v>South</x:v>
      </x:c>
      <x:c r="E244" t="str">
        <x:v>email nurture</x:v>
      </x:c>
      <x:c r="F244" t="str">
        <x:v>BI-PLUS</x:v>
      </x:c>
      <x:c r="G244" t="str">
        <x:v>Manufacturing</x:v>
      </x:c>
      <x:c r="H244" t="str">
        <x:v>Enterprise</x:v>
      </x:c>
      <x:c r="I244" t="str">
        <x:v>Closed Lost</x:v>
      </x:c>
      <x:c r="J244" s="10" t="n">
        <x:v>45826</x:v>
      </x:c>
      <x:c r="K244" s="10" t="n">
        <x:v>45826</x:v>
      </x:c>
      <x:c r="L244" s="22" t="n">
        <x:v>88500</x:v>
      </x:c>
      <x:c r="M244" s="24" t="n">
        <x:v>0</x:v>
      </x:c>
      <x:c r="N244" s="24" t="n">
        <x:v>0</x:v>
      </x:c>
      <x:c r="O244" t="str">
        <x:v>Price</x:v>
      </x:c>
      <x:c r="P244" t="n">
        <x:v>4</x:v>
      </x:c>
      <x:c r="Q244" t="str">
        <x:f>IFERROR(XLOOKUP(E244,Lookups!$A$5:$A$24,Lookups!$B$5:$B$24),"Other")</x:f>
        <x:v>Email</x:v>
      </x:c>
      <x:c r="R244" t="str">
        <x:f>IFERROR(XLOOKUP(F244,Lookups!$D$5:$D$10,Lookups!$E$5:$E$10),"Unknown Product")</x:f>
        <x:v>Analytics Plus</x:v>
      </x:c>
      <x:c r="S244" t="str">
        <x:f>IFERROR(XLOOKUP(F244,Lookups!$D$5:$D$10,Lookups!$F$5:$F$10),"Unknown")</x:f>
        <x:v>Analytics</x:v>
      </x:c>
      <x:c r="T244" t="str">
        <x:f>IF(L244&gt;=50000,"Enterprise",IF(L244&gt;=20000,"Mid-Market","SMB"))</x:f>
        <x:v>Enterprise</x:v>
      </x:c>
      <x:c r="U244" t="str">
        <x:f>IF(I244="Closed Won","Won",IF(I244="Closed Lost","Lost","Open"))</x:f>
        <x:v>Lost</x:v>
      </x:c>
      <x:c r="V244" s="22" t="n">
        <x:f>IF(U244="Won",L244*(1-M244),0)</x:f>
        <x:v>0</x:v>
      </x:c>
      <x:c r="W244" s="22" t="n">
        <x:f>IF(U244="Open",L244*N244,0)</x:f>
        <x:v>0</x:v>
      </x:c>
      <x:c r="X244" s="26" t="n">
        <x:f>IF(U244="Open","",IFERROR(K244-B244,""))</x:f>
        <x:v>10</x:v>
      </x:c>
      <x:c r="Y244" s="26" t="n">
        <x:f>IF(U244="Open",Lookups!$B$2-B244,X244)</x:f>
        <x:v>10</x:v>
      </x:c>
      <x:c r="Z244" t="str">
        <x:f>IF(AND(U244="Open",Y244&gt;30),"STALE","OK")</x:f>
        <x:v>OK</x:v>
      </x:c>
      <x:c r="AA244" t="str">
        <x:f>TEXT(B244,"yyyy-mm")</x:f>
        <x:v>2025-06</x:v>
      </x:c>
      <x:c r="AB244" t="str">
        <x:f>IF(K244="","",TEXT(K244,"yyyy-mm"))</x:f>
        <x:v>2025-06</x:v>
      </x:c>
      <x:c r="AC244" t="str">
        <x:f>"Q"&amp;ROUNDUP(MONTH(B244)/3,0)&amp;"-"&amp;YEAR(B244)</x:f>
        <x:v>Q2-2025</x:v>
      </x:c>
      <x:c r="AD244" s="26" t="n">
        <x:f>MIN(100,IF(H244="Enterprise",30,IF(H244="Mid-Market",22,14))+IF(T244="Enterprise",25,IF(T244="Mid-Market",18,10))+IF(Q244="Referral",25,IF(Q244="Organic Search",20,IF(Q244="Email",18,14)))+IF(G244="Technology",10,5))</x:f>
        <x:v>78</x:v>
      </x:c>
      <x:c r="AE244" t="str">
        <x:f>IF(U244&lt;&gt;"Open",U244,IF(N244&gt;=0.8,"Commit",IF(N244&gt;=0.5,"Best Case","Pipeline")))</x:f>
        <x:v>Lost</x:v>
      </x:c>
    </x:row>
    <x:row r="245">
      <x:c r="A245" t="str">
        <x:v>L00244</x:v>
      </x:c>
      <x:c r="B245" s="10" t="n">
        <x:v>46248</x:v>
      </x:c>
      <x:c r="C245" t="str">
        <x:v>Ha Vo</x:v>
      </x:c>
      <x:c r="D245" t="str">
        <x:v>North</x:v>
      </x:c>
      <x:c r="E245" t="str">
        <x:v>Google Organic</x:v>
      </x:c>
      <x:c r="F245" t="str">
        <x:v>CRM-CORE</x:v>
      </x:c>
      <x:c r="G245" t="str">
        <x:v>Technology</x:v>
      </x:c>
      <x:c r="H245" t="str">
        <x:v>Mid-Market</x:v>
      </x:c>
      <x:c r="I245" t="str">
        <x:v>Qualified</x:v>
      </x:c>
      <x:c r="J245" s="10" t="n">
        <x:v>46262</x:v>
      </x:c>
      <x:c r="K245" s="10"/>
      <x:c r="L245" s="22" t="n">
        <x:v>17500</x:v>
      </x:c>
      <x:c r="M245" s="24" t="n">
        <x:v>0</x:v>
      </x:c>
      <x:c r="N245" s="24" t="n">
        <x:v>0.2</x:v>
      </x:c>
      <x:c r="O245" t="str"/>
      <x:c r="P245" t="n">
        <x:v>2</x:v>
      </x:c>
      <x:c r="Q245" t="str">
        <x:f>IFERROR(XLOOKUP(E245,Lookups!$A$5:$A$24,Lookups!$B$5:$B$24),"Other")</x:f>
        <x:v>Organic Search</x:v>
      </x:c>
      <x:c r="R245" t="str">
        <x:f>IFERROR(XLOOKUP(F245,Lookups!$D$5:$D$10,Lookups!$E$5:$E$10),"Unknown Product")</x:f>
        <x:v>NexaCRM Core</x:v>
      </x:c>
      <x:c r="S245" t="str">
        <x:f>IFERROR(XLOOKUP(F245,Lookups!$D$5:$D$10,Lookups!$F$5:$F$10),"Unknown")</x:f>
        <x:v>CRM</x:v>
      </x:c>
      <x:c r="T245" t="str">
        <x:f>IF(L245&gt;=50000,"Enterprise",IF(L245&gt;=20000,"Mid-Market","SMB"))</x:f>
        <x:v>SMB</x:v>
      </x:c>
      <x:c r="U245" t="str">
        <x:f>IF(I245="Closed Won","Won",IF(I245="Closed Lost","Lost","Open"))</x:f>
        <x:v>Open</x:v>
      </x:c>
      <x:c r="V245" s="22" t="n">
        <x:f>IF(U245="Won",L245*(1-M245),0)</x:f>
        <x:v>0</x:v>
      </x:c>
      <x:c r="W245" s="22" t="n">
        <x:f>IF(U245="Open",L245*N245,0)</x:f>
        <x:v>3500</x:v>
      </x:c>
      <x:c r="X245" s="26" t="str">
        <x:f>IF(U245="Open","",IFERROR(K245-B245,""))</x:f>
      </x:c>
      <x:c r="Y245" s="26" t="n">
        <x:f>IF(U245="Open",Lookups!$B$2-B245,X245)</x:f>
        <x:v>18</x:v>
      </x:c>
      <x:c r="Z245" t="str">
        <x:f>IF(AND(U245="Open",Y245&gt;30),"STALE","OK")</x:f>
        <x:v>OK</x:v>
      </x:c>
      <x:c r="AA245" t="str">
        <x:f>TEXT(B245,"yyyy-mm")</x:f>
        <x:v>2026-08</x:v>
      </x:c>
      <x:c r="AB245" t="str">
        <x:f>IF(K245="","",TEXT(K245,"yyyy-mm"))</x:f>
      </x:c>
      <x:c r="AC245" t="str">
        <x:f>"Q"&amp;ROUNDUP(MONTH(B245)/3,0)&amp;"-"&amp;YEAR(B245)</x:f>
        <x:v>Q3-2026</x:v>
      </x:c>
      <x:c r="AD245" s="26" t="n">
        <x:f>MIN(100,IF(H245="Enterprise",30,IF(H245="Mid-Market",22,14))+IF(T245="Enterprise",25,IF(T245="Mid-Market",18,10))+IF(Q245="Referral",25,IF(Q245="Organic Search",20,IF(Q245="Email",18,14)))+IF(G245="Technology",10,5))</x:f>
        <x:v>62</x:v>
      </x:c>
      <x:c r="AE245" t="str">
        <x:f>IF(U245&lt;&gt;"Open",U245,IF(N245&gt;=0.8,"Commit",IF(N245&gt;=0.5,"Best Case","Pipeline")))</x:f>
        <x:v>Pipeline</x:v>
      </x:c>
    </x:row>
    <x:row r="246">
      <x:c r="A246" t="str">
        <x:v>L00245</x:v>
      </x:c>
      <x:c r="B246" s="10" t="n">
        <x:v>46029</x:v>
      </x:c>
      <x:c r="C246" t="str">
        <x:v>Duy Pham</x:v>
      </x:c>
      <x:c r="D246" t="str">
        <x:v>South</x:v>
      </x:c>
      <x:c r="E246" t="str">
        <x:v>SEM - Google</x:v>
      </x:c>
      <x:c r="F246" t="str">
        <x:v>CRM-CORE</x:v>
      </x:c>
      <x:c r="G246" t="str">
        <x:v>Technology</x:v>
      </x:c>
      <x:c r="H246" t="str">
        <x:v>Mid-Market</x:v>
      </x:c>
      <x:c r="I246" t="str">
        <x:v>Closed Lost</x:v>
      </x:c>
      <x:c r="J246" s="10" t="n">
        <x:v>46063</x:v>
      </x:c>
      <x:c r="K246" s="10" t="n">
        <x:v>46063</x:v>
      </x:c>
      <x:c r="L246" s="22" t="n">
        <x:v>16400</x:v>
      </x:c>
      <x:c r="M246" s="24" t="n">
        <x:v>0</x:v>
      </x:c>
      <x:c r="N246" s="24" t="n">
        <x:v>0</x:v>
      </x:c>
      <x:c r="O246" t="str">
        <x:v>Price</x:v>
      </x:c>
      <x:c r="P246" t="n">
        <x:v>4</x:v>
      </x:c>
      <x:c r="Q246" t="str">
        <x:f>IFERROR(XLOOKUP(E246,Lookups!$A$5:$A$24,Lookups!$B$5:$B$24),"Other")</x:f>
        <x:v>Paid Search</x:v>
      </x:c>
      <x:c r="R246" t="str">
        <x:f>IFERROR(XLOOKUP(F246,Lookups!$D$5:$D$10,Lookups!$E$5:$E$10),"Unknown Product")</x:f>
        <x:v>NexaCRM Core</x:v>
      </x:c>
      <x:c r="S246" t="str">
        <x:f>IFERROR(XLOOKUP(F246,Lookups!$D$5:$D$10,Lookups!$F$5:$F$10),"Unknown")</x:f>
        <x:v>CRM</x:v>
      </x:c>
      <x:c r="T246" t="str">
        <x:f>IF(L246&gt;=50000,"Enterprise",IF(L246&gt;=20000,"Mid-Market","SMB"))</x:f>
        <x:v>SMB</x:v>
      </x:c>
      <x:c r="U246" t="str">
        <x:f>IF(I246="Closed Won","Won",IF(I246="Closed Lost","Lost","Open"))</x:f>
        <x:v>Lost</x:v>
      </x:c>
      <x:c r="V246" s="22" t="n">
        <x:f>IF(U246="Won",L246*(1-M246),0)</x:f>
        <x:v>0</x:v>
      </x:c>
      <x:c r="W246" s="22" t="n">
        <x:f>IF(U246="Open",L246*N246,0)</x:f>
        <x:v>0</x:v>
      </x:c>
      <x:c r="X246" s="26" t="n">
        <x:f>IF(U246="Open","",IFERROR(K246-B246,""))</x:f>
        <x:v>34</x:v>
      </x:c>
      <x:c r="Y246" s="26" t="n">
        <x:f>IF(U246="Open",Lookups!$B$2-B246,X246)</x:f>
        <x:v>34</x:v>
      </x:c>
      <x:c r="Z246" t="str">
        <x:f>IF(AND(U246="Open",Y246&gt;30),"STALE","OK")</x:f>
        <x:v>OK</x:v>
      </x:c>
      <x:c r="AA246" t="str">
        <x:f>TEXT(B246,"yyyy-mm")</x:f>
        <x:v>2026-01</x:v>
      </x:c>
      <x:c r="AB246" t="str">
        <x:f>IF(K246="","",TEXT(K246,"yyyy-mm"))</x:f>
        <x:v>2026-02</x:v>
      </x:c>
      <x:c r="AC246" t="str">
        <x:f>"Q"&amp;ROUNDUP(MONTH(B246)/3,0)&amp;"-"&amp;YEAR(B246)</x:f>
        <x:v>Q1-2026</x:v>
      </x:c>
      <x:c r="AD246" s="26" t="n">
        <x:f>MIN(100,IF(H246="Enterprise",30,IF(H246="Mid-Market",22,14))+IF(T246="Enterprise",25,IF(T246="Mid-Market",18,10))+IF(Q246="Referral",25,IF(Q246="Organic Search",20,IF(Q246="Email",18,14)))+IF(G246="Technology",10,5))</x:f>
        <x:v>56</x:v>
      </x:c>
      <x:c r="AE246" t="str">
        <x:f>IF(U246&lt;&gt;"Open",U246,IF(N246&gt;=0.8,"Commit",IF(N246&gt;=0.5,"Best Case","Pipeline")))</x:f>
        <x:v>Lost</x:v>
      </x:c>
    </x:row>
    <x:row r="247">
      <x:c r="A247" t="str">
        <x:v>L00246</x:v>
      </x:c>
      <x:c r="B247" s="10" t="n">
        <x:v>46244</x:v>
      </x:c>
      <x:c r="C247" t="str">
        <x:v>Duy Pham</x:v>
      </x:c>
      <x:c r="D247" t="str">
        <x:v>South</x:v>
      </x:c>
      <x:c r="E247" t="str">
        <x:v>Google Ads</x:v>
      </x:c>
      <x:c r="F247" t="str">
        <x:v>BI-PLUS</x:v>
      </x:c>
      <x:c r="G247" t="str">
        <x:v>Manufacturing</x:v>
      </x:c>
      <x:c r="H247" t="str">
        <x:v>Mid-Market</x:v>
      </x:c>
      <x:c r="I247" t="str">
        <x:v>New</x:v>
      </x:c>
      <x:c r="J247" s="10" t="n">
        <x:v>46258</x:v>
      </x:c>
      <x:c r="K247" s="10"/>
      <x:c r="L247" s="22" t="n">
        <x:v>33300</x:v>
      </x:c>
      <x:c r="M247" s="24" t="n">
        <x:v>0</x:v>
      </x:c>
      <x:c r="N247" s="24" t="n">
        <x:v>0.05</x:v>
      </x:c>
      <x:c r="O247" t="str"/>
      <x:c r="P247" t="n">
        <x:v>1</x:v>
      </x:c>
      <x:c r="Q247" t="str">
        <x:f>IFERROR(XLOOKUP(E247,Lookups!$A$5:$A$24,Lookups!$B$5:$B$24),"Other")</x:f>
        <x:v>Paid Search</x:v>
      </x:c>
      <x:c r="R247" t="str">
        <x:f>IFERROR(XLOOKUP(F247,Lookups!$D$5:$D$10,Lookups!$E$5:$E$10),"Unknown Product")</x:f>
        <x:v>Analytics Plus</x:v>
      </x:c>
      <x:c r="S247" t="str">
        <x:f>IFERROR(XLOOKUP(F247,Lookups!$D$5:$D$10,Lookups!$F$5:$F$10),"Unknown")</x:f>
        <x:v>Analytics</x:v>
      </x:c>
      <x:c r="T247" t="str">
        <x:f>IF(L247&gt;=50000,"Enterprise",IF(L247&gt;=20000,"Mid-Market","SMB"))</x:f>
        <x:v>Mid-Market</x:v>
      </x:c>
      <x:c r="U247" t="str">
        <x:f>IF(I247="Closed Won","Won",IF(I247="Closed Lost","Lost","Open"))</x:f>
        <x:v>Open</x:v>
      </x:c>
      <x:c r="V247" s="22" t="n">
        <x:f>IF(U247="Won",L247*(1-M247),0)</x:f>
        <x:v>0</x:v>
      </x:c>
      <x:c r="W247" s="22" t="n">
        <x:f>IF(U247="Open",L247*N247,0)</x:f>
        <x:v>1665</x:v>
      </x:c>
      <x:c r="X247" s="26" t="str">
        <x:f>IF(U247="Open","",IFERROR(K247-B247,""))</x:f>
      </x:c>
      <x:c r="Y247" s="26" t="n">
        <x:f>IF(U247="Open",Lookups!$B$2-B247,X247)</x:f>
        <x:v>22</x:v>
      </x:c>
      <x:c r="Z247" t="str">
        <x:f>IF(AND(U247="Open",Y247&gt;30),"STALE","OK")</x:f>
        <x:v>OK</x:v>
      </x:c>
      <x:c r="AA247" t="str">
        <x:f>TEXT(B247,"yyyy-mm")</x:f>
        <x:v>2026-08</x:v>
      </x:c>
      <x:c r="AB247" t="str">
        <x:f>IF(K247="","",TEXT(K247,"yyyy-mm"))</x:f>
      </x:c>
      <x:c r="AC247" t="str">
        <x:f>"Q"&amp;ROUNDUP(MONTH(B247)/3,0)&amp;"-"&amp;YEAR(B247)</x:f>
        <x:v>Q3-2026</x:v>
      </x:c>
      <x:c r="AD247" s="26" t="n">
        <x:f>MIN(100,IF(H247="Enterprise",30,IF(H247="Mid-Market",22,14))+IF(T247="Enterprise",25,IF(T247="Mid-Market",18,10))+IF(Q247="Referral",25,IF(Q247="Organic Search",20,IF(Q247="Email",18,14)))+IF(G247="Technology",10,5))</x:f>
        <x:v>59</x:v>
      </x:c>
      <x:c r="AE247" t="str">
        <x:f>IF(U247&lt;&gt;"Open",U247,IF(N247&gt;=0.8,"Commit",IF(N247&gt;=0.5,"Best Case","Pipeline")))</x:f>
        <x:v>Pipeline</x:v>
      </x:c>
    </x:row>
    <x:row r="248">
      <x:c r="A248" t="str">
        <x:v>L00247</x:v>
      </x:c>
      <x:c r="B248" s="10" t="n">
        <x:v>46083</x:v>
      </x:c>
      <x:c r="C248" t="str">
        <x:v>Chi Le</x:v>
      </x:c>
      <x:c r="D248" t="str">
        <x:v>South</x:v>
      </x:c>
      <x:c r="E248" t="str">
        <x:v>SDR Outreach</x:v>
      </x:c>
      <x:c r="F248" t="str">
        <x:v>BI-PLUS</x:v>
      </x:c>
      <x:c r="G248" t="str">
        <x:v>Technology</x:v>
      </x:c>
      <x:c r="H248" t="str">
        <x:v>Enterprise</x:v>
      </x:c>
      <x:c r="I248" t="str">
        <x:v>Closed Lost</x:v>
      </x:c>
      <x:c r="J248" s="10" t="n">
        <x:v>46139</x:v>
      </x:c>
      <x:c r="K248" s="10" t="n">
        <x:v>46139</x:v>
      </x:c>
      <x:c r="L248" s="22" t="n">
        <x:v>95300</x:v>
      </x:c>
      <x:c r="M248" s="24" t="n">
        <x:v>0</x:v>
      </x:c>
      <x:c r="N248" s="24" t="n">
        <x:v>0</x:v>
      </x:c>
      <x:c r="O248" t="str">
        <x:v>Feature Gap</x:v>
      </x:c>
      <x:c r="P248" t="n">
        <x:v>5</x:v>
      </x:c>
      <x:c r="Q248" t="str">
        <x:f>IFERROR(XLOOKUP(E248,Lookups!$A$5:$A$24,Lookups!$B$5:$B$24),"Other")</x:f>
        <x:v>Outbound</x:v>
      </x:c>
      <x:c r="R248" t="str">
        <x:f>IFERROR(XLOOKUP(F248,Lookups!$D$5:$D$10,Lookups!$E$5:$E$10),"Unknown Product")</x:f>
        <x:v>Analytics Plus</x:v>
      </x:c>
      <x:c r="S248" t="str">
        <x:f>IFERROR(XLOOKUP(F248,Lookups!$D$5:$D$10,Lookups!$F$5:$F$10),"Unknown")</x:f>
        <x:v>Analytics</x:v>
      </x:c>
      <x:c r="T248" t="str">
        <x:f>IF(L248&gt;=50000,"Enterprise",IF(L248&gt;=20000,"Mid-Market","SMB"))</x:f>
        <x:v>Enterprise</x:v>
      </x:c>
      <x:c r="U248" t="str">
        <x:f>IF(I248="Closed Won","Won",IF(I248="Closed Lost","Lost","Open"))</x:f>
        <x:v>Lost</x:v>
      </x:c>
      <x:c r="V248" s="22" t="n">
        <x:f>IF(U248="Won",L248*(1-M248),0)</x:f>
        <x:v>0</x:v>
      </x:c>
      <x:c r="W248" s="22" t="n">
        <x:f>IF(U248="Open",L248*N248,0)</x:f>
        <x:v>0</x:v>
      </x:c>
      <x:c r="X248" s="26" t="n">
        <x:f>IF(U248="Open","",IFERROR(K248-B248,""))</x:f>
        <x:v>56</x:v>
      </x:c>
      <x:c r="Y248" s="26" t="n">
        <x:f>IF(U248="Open",Lookups!$B$2-B248,X248)</x:f>
        <x:v>56</x:v>
      </x:c>
      <x:c r="Z248" t="str">
        <x:f>IF(AND(U248="Open",Y248&gt;30),"STALE","OK")</x:f>
        <x:v>OK</x:v>
      </x:c>
      <x:c r="AA248" t="str">
        <x:f>TEXT(B248,"yyyy-mm")</x:f>
        <x:v>2026-03</x:v>
      </x:c>
      <x:c r="AB248" t="str">
        <x:f>IF(K248="","",TEXT(K248,"yyyy-mm"))</x:f>
        <x:v>2026-04</x:v>
      </x:c>
      <x:c r="AC248" t="str">
        <x:f>"Q"&amp;ROUNDUP(MONTH(B248)/3,0)&amp;"-"&amp;YEAR(B248)</x:f>
        <x:v>Q1-2026</x:v>
      </x:c>
      <x:c r="AD248" s="26" t="n">
        <x:f>MIN(100,IF(H248="Enterprise",30,IF(H248="Mid-Market",22,14))+IF(T248="Enterprise",25,IF(T248="Mid-Market",18,10))+IF(Q248="Referral",25,IF(Q248="Organic Search",20,IF(Q248="Email",18,14)))+IF(G248="Technology",10,5))</x:f>
        <x:v>79</x:v>
      </x:c>
      <x:c r="AE248" t="str">
        <x:f>IF(U248&lt;&gt;"Open",U248,IF(N248&gt;=0.8,"Commit",IF(N248&gt;=0.5,"Best Case","Pipeline")))</x:f>
        <x:v>Lost</x:v>
      </x:c>
    </x:row>
    <x:row r="249">
      <x:c r="A249" t="str">
        <x:v>L00248</x:v>
      </x:c>
      <x:c r="B249" s="10" t="n">
        <x:v>45948</x:v>
      </x:c>
      <x:c r="C249" t="str">
        <x:v>Quynh Vu</x:v>
      </x:c>
      <x:c r="D249" t="str">
        <x:v>North</x:v>
      </x:c>
      <x:c r="E249" t="str">
        <x:v>Webinar</x:v>
      </x:c>
      <x:c r="F249" t="str">
        <x:v>BI-PLUS</x:v>
      </x:c>
      <x:c r="G249" t="str">
        <x:v>Retail</x:v>
      </x:c>
      <x:c r="H249" t="str">
        <x:v>SMB</x:v>
      </x:c>
      <x:c r="I249" t="str">
        <x:v>Closed Lost</x:v>
      </x:c>
      <x:c r="J249" s="10" t="n">
        <x:v>45989</x:v>
      </x:c>
      <x:c r="K249" s="10" t="n">
        <x:v>45989</x:v>
      </x:c>
      <x:c r="L249" s="22" t="n">
        <x:v>17600</x:v>
      </x:c>
      <x:c r="M249" s="24" t="n">
        <x:v>0</x:v>
      </x:c>
      <x:c r="N249" s="24" t="n">
        <x:v>0</x:v>
      </x:c>
      <x:c r="O249" t="str">
        <x:v>Price</x:v>
      </x:c>
      <x:c r="P249" t="n">
        <x:v>5</x:v>
      </x:c>
      <x:c r="Q249" t="str">
        <x:f>IFERROR(XLOOKUP(E249,Lookups!$A$5:$A$24,Lookups!$B$5:$B$24),"Other")</x:f>
        <x:v>Webinar</x:v>
      </x:c>
      <x:c r="R249" t="str">
        <x:f>IFERROR(XLOOKUP(F249,Lookups!$D$5:$D$10,Lookups!$E$5:$E$10),"Unknown Product")</x:f>
        <x:v>Analytics Plus</x:v>
      </x:c>
      <x:c r="S249" t="str">
        <x:f>IFERROR(XLOOKUP(F249,Lookups!$D$5:$D$10,Lookups!$F$5:$F$10),"Unknown")</x:f>
        <x:v>Analytics</x:v>
      </x:c>
      <x:c r="T249" t="str">
        <x:f>IF(L249&gt;=50000,"Enterprise",IF(L249&gt;=20000,"Mid-Market","SMB"))</x:f>
        <x:v>SMB</x:v>
      </x:c>
      <x:c r="U249" t="str">
        <x:f>IF(I249="Closed Won","Won",IF(I249="Closed Lost","Lost","Open"))</x:f>
        <x:v>Lost</x:v>
      </x:c>
      <x:c r="V249" s="22" t="n">
        <x:f>IF(U249="Won",L249*(1-M249),0)</x:f>
        <x:v>0</x:v>
      </x:c>
      <x:c r="W249" s="22" t="n">
        <x:f>IF(U249="Open",L249*N249,0)</x:f>
        <x:v>0</x:v>
      </x:c>
      <x:c r="X249" s="26" t="n">
        <x:f>IF(U249="Open","",IFERROR(K249-B249,""))</x:f>
        <x:v>41</x:v>
      </x:c>
      <x:c r="Y249" s="26" t="n">
        <x:f>IF(U249="Open",Lookups!$B$2-B249,X249)</x:f>
        <x:v>41</x:v>
      </x:c>
      <x:c r="Z249" t="str">
        <x:f>IF(AND(U249="Open",Y249&gt;30),"STALE","OK")</x:f>
        <x:v>OK</x:v>
      </x:c>
      <x:c r="AA249" t="str">
        <x:f>TEXT(B249,"yyyy-mm")</x:f>
        <x:v>2025-10</x:v>
      </x:c>
      <x:c r="AB249" t="str">
        <x:f>IF(K249="","",TEXT(K249,"yyyy-mm"))</x:f>
        <x:v>2025-11</x:v>
      </x:c>
      <x:c r="AC249" t="str">
        <x:f>"Q"&amp;ROUNDUP(MONTH(B249)/3,0)&amp;"-"&amp;YEAR(B249)</x:f>
        <x:v>Q4-2025</x:v>
      </x:c>
      <x:c r="AD249" s="26" t="n">
        <x:f>MIN(100,IF(H249="Enterprise",30,IF(H249="Mid-Market",22,14))+IF(T249="Enterprise",25,IF(T249="Mid-Market",18,10))+IF(Q249="Referral",25,IF(Q249="Organic Search",20,IF(Q249="Email",18,14)))+IF(G249="Technology",10,5))</x:f>
        <x:v>43</x:v>
      </x:c>
      <x:c r="AE249" t="str">
        <x:f>IF(U249&lt;&gt;"Open",U249,IF(N249&gt;=0.8,"Commit",IF(N249&gt;=0.5,"Best Case","Pipeline")))</x:f>
        <x:v>Lost</x:v>
      </x:c>
    </x:row>
    <x:row r="250">
      <x:c r="A250" t="str">
        <x:v>L00249</x:v>
      </x:c>
      <x:c r="B250" s="10" t="n">
        <x:v>45711</x:v>
      </x:c>
      <x:c r="C250" t="str">
        <x:v>Chi Le</x:v>
      </x:c>
      <x:c r="D250" t="str">
        <x:v>South</x:v>
      </x:c>
      <x:c r="E250" t="str">
        <x:v>SEM - Google</x:v>
      </x:c>
      <x:c r="F250" t="str">
        <x:v>CS-CLOUD</x:v>
      </x:c>
      <x:c r="G250" t="str">
        <x:v>Financial Services</x:v>
      </x:c>
      <x:c r="H250" t="str">
        <x:v>Mid-Market</x:v>
      </x:c>
      <x:c r="I250" t="str">
        <x:v>Negotiation</x:v>
      </x:c>
      <x:c r="J250" s="10" t="n">
        <x:v>46121</x:v>
      </x:c>
      <x:c r="K250" s="10"/>
      <x:c r="L250" s="22" t="n">
        <x:v>35000</x:v>
      </x:c>
      <x:c r="M250" s="24" t="n">
        <x:v>0.03</x:v>
      </x:c>
      <x:c r="N250" s="24" t="n">
        <x:v>0.85</x:v>
      </x:c>
      <x:c r="O250" t="str"/>
      <x:c r="P250" t="n">
        <x:v>5</x:v>
      </x:c>
      <x:c r="Q250" t="str">
        <x:f>IFERROR(XLOOKUP(E250,Lookups!$A$5:$A$24,Lookups!$B$5:$B$24),"Other")</x:f>
        <x:v>Paid Search</x:v>
      </x:c>
      <x:c r="R250" t="str">
        <x:f>IFERROR(XLOOKUP(F250,Lookups!$D$5:$D$10,Lookups!$E$5:$E$10),"Unknown Product")</x:f>
        <x:v>Service Cloud</x:v>
      </x:c>
      <x:c r="S250" t="str">
        <x:f>IFERROR(XLOOKUP(F250,Lookups!$D$5:$D$10,Lookups!$F$5:$F$10),"Unknown")</x:f>
        <x:v>Customer Service</x:v>
      </x:c>
      <x:c r="T250" t="str">
        <x:f>IF(L250&gt;=50000,"Enterprise",IF(L250&gt;=20000,"Mid-Market","SMB"))</x:f>
        <x:v>Mid-Market</x:v>
      </x:c>
      <x:c r="U250" t="str">
        <x:f>IF(I250="Closed Won","Won",IF(I250="Closed Lost","Lost","Open"))</x:f>
        <x:v>Open</x:v>
      </x:c>
      <x:c r="V250" s="22" t="n">
        <x:f>IF(U250="Won",L250*(1-M250),0)</x:f>
        <x:v>0</x:v>
      </x:c>
      <x:c r="W250" s="22" t="n">
        <x:f>IF(U250="Open",L250*N250,0)</x:f>
        <x:v>29750</x:v>
      </x:c>
      <x:c r="X250" s="26" t="str">
        <x:f>IF(U250="Open","",IFERROR(K250-B250,""))</x:f>
      </x:c>
      <x:c r="Y250" s="26" t="n">
        <x:f>IF(U250="Open",Lookups!$B$2-B250,X250)</x:f>
        <x:v>555</x:v>
      </x:c>
      <x:c r="Z250" t="str">
        <x:f>IF(AND(U250="Open",Y250&gt;30),"STALE","OK")</x:f>
        <x:v>STALE</x:v>
      </x:c>
      <x:c r="AA250" t="str">
        <x:f>TEXT(B250,"yyyy-mm")</x:f>
        <x:v>2025-02</x:v>
      </x:c>
      <x:c r="AB250" t="str">
        <x:f>IF(K250="","",TEXT(K250,"yyyy-mm"))</x:f>
      </x:c>
      <x:c r="AC250" t="str">
        <x:f>"Q"&amp;ROUNDUP(MONTH(B250)/3,0)&amp;"-"&amp;YEAR(B250)</x:f>
        <x:v>Q1-2025</x:v>
      </x:c>
      <x:c r="AD250" s="26" t="n">
        <x:f>MIN(100,IF(H250="Enterprise",30,IF(H250="Mid-Market",22,14))+IF(T250="Enterprise",25,IF(T250="Mid-Market",18,10))+IF(Q250="Referral",25,IF(Q250="Organic Search",20,IF(Q250="Email",18,14)))+IF(G250="Technology",10,5))</x:f>
        <x:v>59</x:v>
      </x:c>
      <x:c r="AE250" t="str">
        <x:f>IF(U250&lt;&gt;"Open",U250,IF(N250&gt;=0.8,"Commit",IF(N250&gt;=0.5,"Best Case","Pipeline")))</x:f>
        <x:v>Commit</x:v>
      </x:c>
    </x:row>
    <x:row r="251">
      <x:c r="A251" t="str">
        <x:v>L00250</x:v>
      </x:c>
      <x:c r="B251" s="10" t="n">
        <x:v>46265</x:v>
      </x:c>
      <x:c r="C251" t="str">
        <x:v>Duy Pham</x:v>
      </x:c>
      <x:c r="D251" t="str">
        <x:v>South</x:v>
      </x:c>
      <x:c r="E251" t="str">
        <x:v>Outbound</x:v>
      </x:c>
      <x:c r="F251" t="str">
        <x:v>BI-PLUS</x:v>
      </x:c>
      <x:c r="G251" t="str">
        <x:v>Manufacturing</x:v>
      </x:c>
      <x:c r="H251" t="str">
        <x:v>SMB</x:v>
      </x:c>
      <x:c r="I251" t="str">
        <x:v>New</x:v>
      </x:c>
      <x:c r="J251" s="10" t="n">
        <x:v>46266</x:v>
      </x:c>
      <x:c r="K251" s="10"/>
      <x:c r="L251" s="22" t="n">
        <x:v>14700</x:v>
      </x:c>
      <x:c r="M251" s="24" t="n">
        <x:v>0.05</x:v>
      </x:c>
      <x:c r="N251" s="24" t="n">
        <x:v>0.05</x:v>
      </x:c>
      <x:c r="O251" t="str"/>
      <x:c r="P251" t="n">
        <x:v>1</x:v>
      </x:c>
      <x:c r="Q251" t="str">
        <x:f>IFERROR(XLOOKUP(E251,Lookups!$A$5:$A$24,Lookups!$B$5:$B$24),"Other")</x:f>
        <x:v>Outbound</x:v>
      </x:c>
      <x:c r="R251" t="str">
        <x:f>IFERROR(XLOOKUP(F251,Lookups!$D$5:$D$10,Lookups!$E$5:$E$10),"Unknown Product")</x:f>
        <x:v>Analytics Plus</x:v>
      </x:c>
      <x:c r="S251" t="str">
        <x:f>IFERROR(XLOOKUP(F251,Lookups!$D$5:$D$10,Lookups!$F$5:$F$10),"Unknown")</x:f>
        <x:v>Analytics</x:v>
      </x:c>
      <x:c r="T251" t="str">
        <x:f>IF(L251&gt;=50000,"Enterprise",IF(L251&gt;=20000,"Mid-Market","SMB"))</x:f>
        <x:v>SMB</x:v>
      </x:c>
      <x:c r="U251" t="str">
        <x:f>IF(I251="Closed Won","Won",IF(I251="Closed Lost","Lost","Open"))</x:f>
        <x:v>Open</x:v>
      </x:c>
      <x:c r="V251" s="22" t="n">
        <x:f>IF(U251="Won",L251*(1-M251),0)</x:f>
        <x:v>0</x:v>
      </x:c>
      <x:c r="W251" s="22" t="n">
        <x:f>IF(U251="Open",L251*N251,0)</x:f>
        <x:v>735</x:v>
      </x:c>
      <x:c r="X251" s="26" t="str">
        <x:f>IF(U251="Open","",IFERROR(K251-B251,""))</x:f>
      </x:c>
      <x:c r="Y251" s="26" t="n">
        <x:f>IF(U251="Open",Lookups!$B$2-B251,X251)</x:f>
        <x:v>1</x:v>
      </x:c>
      <x:c r="Z251" t="str">
        <x:f>IF(AND(U251="Open",Y251&gt;30),"STALE","OK")</x:f>
        <x:v>OK</x:v>
      </x:c>
      <x:c r="AA251" t="str">
        <x:f>TEXT(B251,"yyyy-mm")</x:f>
        <x:v>2026-08</x:v>
      </x:c>
      <x:c r="AB251" t="str">
        <x:f>IF(K251="","",TEXT(K251,"yyyy-mm"))</x:f>
      </x:c>
      <x:c r="AC251" t="str">
        <x:f>"Q"&amp;ROUNDUP(MONTH(B251)/3,0)&amp;"-"&amp;YEAR(B251)</x:f>
        <x:v>Q3-2026</x:v>
      </x:c>
      <x:c r="AD251" s="26" t="n">
        <x:f>MIN(100,IF(H251="Enterprise",30,IF(H251="Mid-Market",22,14))+IF(T251="Enterprise",25,IF(T251="Mid-Market",18,10))+IF(Q251="Referral",25,IF(Q251="Organic Search",20,IF(Q251="Email",18,14)))+IF(G251="Technology",10,5))</x:f>
        <x:v>43</x:v>
      </x:c>
      <x:c r="AE251" t="str">
        <x:f>IF(U251&lt;&gt;"Open",U251,IF(N251&gt;=0.8,"Commit",IF(N251&gt;=0.5,"Best Case","Pipeline")))</x:f>
        <x:v>Pipeline</x:v>
      </x:c>
    </x:row>
    <x:row r="252">
      <x:c r="A252" t="str">
        <x:v>L00251</x:v>
      </x:c>
      <x:c r="B252" s="10" t="n">
        <x:v>45867</x:v>
      </x:c>
      <x:c r="C252" t="str">
        <x:v>Bao Tran</x:v>
      </x:c>
      <x:c r="D252" t="str">
        <x:v>South</x:v>
      </x:c>
      <x:c r="E252" t="str">
        <x:v>Conference Scan</x:v>
      </x:c>
      <x:c r="F252" t="str">
        <x:v>REV-OPS</x:v>
      </x:c>
      <x:c r="G252" t="str">
        <x:v>Manufacturing</x:v>
      </x:c>
      <x:c r="H252" t="str">
        <x:v>Mid-Market</x:v>
      </x:c>
      <x:c r="I252" t="str">
        <x:v>Closed Lost</x:v>
      </x:c>
      <x:c r="J252" s="10" t="n">
        <x:v>45936</x:v>
      </x:c>
      <x:c r="K252" s="10" t="n">
        <x:v>45936</x:v>
      </x:c>
      <x:c r="L252" s="22" t="n">
        <x:v>59800</x:v>
      </x:c>
      <x:c r="M252" s="24" t="n">
        <x:v>0</x:v>
      </x:c>
      <x:c r="N252" s="24" t="n">
        <x:v>0</x:v>
      </x:c>
      <x:c r="O252" t="str">
        <x:v>Price</x:v>
      </x:c>
      <x:c r="P252" t="n">
        <x:v>3</x:v>
      </x:c>
      <x:c r="Q252" t="str">
        <x:f>IFERROR(XLOOKUP(E252,Lookups!$A$5:$A$24,Lookups!$B$5:$B$24),"Other")</x:f>
        <x:v>Other</x:v>
      </x:c>
      <x:c r="R252" t="str">
        <x:f>IFERROR(XLOOKUP(F252,Lookups!$D$5:$D$10,Lookups!$E$5:$E$10),"Unknown Product")</x:f>
        <x:v>Revenue Operations Suite</x:v>
      </x:c>
      <x:c r="S252" t="str">
        <x:f>IFERROR(XLOOKUP(F252,Lookups!$D$5:$D$10,Lookups!$F$5:$F$10),"Unknown")</x:f>
        <x:v>Revenue Ops</x:v>
      </x:c>
      <x:c r="T252" t="str">
        <x:f>IF(L252&gt;=50000,"Enterprise",IF(L252&gt;=20000,"Mid-Market","SMB"))</x:f>
        <x:v>Enterprise</x:v>
      </x:c>
      <x:c r="U252" t="str">
        <x:f>IF(I252="Closed Won","Won",IF(I252="Closed Lost","Lost","Open"))</x:f>
        <x:v>Lost</x:v>
      </x:c>
      <x:c r="V252" s="22" t="n">
        <x:f>IF(U252="Won",L252*(1-M252),0)</x:f>
        <x:v>0</x:v>
      </x:c>
      <x:c r="W252" s="22" t="n">
        <x:f>IF(U252="Open",L252*N252,0)</x:f>
        <x:v>0</x:v>
      </x:c>
      <x:c r="X252" s="26" t="n">
        <x:f>IF(U252="Open","",IFERROR(K252-B252,""))</x:f>
        <x:v>69</x:v>
      </x:c>
      <x:c r="Y252" s="26" t="n">
        <x:f>IF(U252="Open",Lookups!$B$2-B252,X252)</x:f>
        <x:v>69</x:v>
      </x:c>
      <x:c r="Z252" t="str">
        <x:f>IF(AND(U252="Open",Y252&gt;30),"STALE","OK")</x:f>
        <x:v>OK</x:v>
      </x:c>
      <x:c r="AA252" t="str">
        <x:f>TEXT(B252,"yyyy-mm")</x:f>
        <x:v>2025-07</x:v>
      </x:c>
      <x:c r="AB252" t="str">
        <x:f>IF(K252="","",TEXT(K252,"yyyy-mm"))</x:f>
        <x:v>2025-10</x:v>
      </x:c>
      <x:c r="AC252" t="str">
        <x:f>"Q"&amp;ROUNDUP(MONTH(B252)/3,0)&amp;"-"&amp;YEAR(B252)</x:f>
        <x:v>Q3-2025</x:v>
      </x:c>
      <x:c r="AD252" s="26" t="n">
        <x:f>MIN(100,IF(H252="Enterprise",30,IF(H252="Mid-Market",22,14))+IF(T252="Enterprise",25,IF(T252="Mid-Market",18,10))+IF(Q252="Referral",25,IF(Q252="Organic Search",20,IF(Q252="Email",18,14)))+IF(G252="Technology",10,5))</x:f>
        <x:v>66</x:v>
      </x:c>
      <x:c r="AE252" t="str">
        <x:f>IF(U252&lt;&gt;"Open",U252,IF(N252&gt;=0.8,"Commit",IF(N252&gt;=0.5,"Best Case","Pipeline")))</x:f>
        <x:v>Lost</x:v>
      </x:c>
    </x:row>
    <x:row r="253">
      <x:c r="A253" t="str">
        <x:v>L00252</x:v>
      </x:c>
      <x:c r="B253" s="10" t="n">
        <x:v>46244</x:v>
      </x:c>
      <x:c r="C253" t="str">
        <x:v>Tuan Bui</x:v>
      </x:c>
      <x:c r="D253" t="str">
        <x:v>Central</x:v>
      </x:c>
      <x:c r="E253" t="str">
        <x:v>SDR Outreach</x:v>
      </x:c>
      <x:c r="F253" t="str">
        <x:v>CRM-PRO</x:v>
      </x:c>
      <x:c r="G253" t="str">
        <x:v>Manufacturing</x:v>
      </x:c>
      <x:c r="H253" t="str">
        <x:v>SMB</x:v>
      </x:c>
      <x:c r="I253" t="str">
        <x:v>New</x:v>
      </x:c>
      <x:c r="J253" s="10" t="n">
        <x:v>46251</x:v>
      </x:c>
      <x:c r="K253" s="10"/>
      <x:c r="L253" s="22" t="n">
        <x:v>19800</x:v>
      </x:c>
      <x:c r="M253" s="24" t="n">
        <x:v>0.05</x:v>
      </x:c>
      <x:c r="N253" s="24" t="n">
        <x:v>0.05</x:v>
      </x:c>
      <x:c r="O253" t="str"/>
      <x:c r="P253" t="n">
        <x:v>1</x:v>
      </x:c>
      <x:c r="Q253" t="str">
        <x:f>IFERROR(XLOOKUP(E253,Lookups!$A$5:$A$24,Lookups!$B$5:$B$24),"Other")</x:f>
        <x:v>Outbound</x:v>
      </x:c>
      <x:c r="R253" t="str">
        <x:f>IFERROR(XLOOKUP(F253,Lookups!$D$5:$D$10,Lookups!$E$5:$E$10),"Unknown Product")</x:f>
        <x:v>NexaCRM Pro</x:v>
      </x:c>
      <x:c r="S253" t="str">
        <x:f>IFERROR(XLOOKUP(F253,Lookups!$D$5:$D$10,Lookups!$F$5:$F$10),"Unknown")</x:f>
        <x:v>CRM</x:v>
      </x:c>
      <x:c r="T253" t="str">
        <x:f>IF(L253&gt;=50000,"Enterprise",IF(L253&gt;=20000,"Mid-Market","SMB"))</x:f>
        <x:v>SMB</x:v>
      </x:c>
      <x:c r="U253" t="str">
        <x:f>IF(I253="Closed Won","Won",IF(I253="Closed Lost","Lost","Open"))</x:f>
        <x:v>Open</x:v>
      </x:c>
      <x:c r="V253" s="22" t="n">
        <x:f>IF(U253="Won",L253*(1-M253),0)</x:f>
        <x:v>0</x:v>
      </x:c>
      <x:c r="W253" s="22" t="n">
        <x:f>IF(U253="Open",L253*N253,0)</x:f>
        <x:v>990</x:v>
      </x:c>
      <x:c r="X253" s="26" t="str">
        <x:f>IF(U253="Open","",IFERROR(K253-B253,""))</x:f>
      </x:c>
      <x:c r="Y253" s="26" t="n">
        <x:f>IF(U253="Open",Lookups!$B$2-B253,X253)</x:f>
        <x:v>22</x:v>
      </x:c>
      <x:c r="Z253" t="str">
        <x:f>IF(AND(U253="Open",Y253&gt;30),"STALE","OK")</x:f>
        <x:v>OK</x:v>
      </x:c>
      <x:c r="AA253" t="str">
        <x:f>TEXT(B253,"yyyy-mm")</x:f>
        <x:v>2026-08</x:v>
      </x:c>
      <x:c r="AB253" t="str">
        <x:f>IF(K253="","",TEXT(K253,"yyyy-mm"))</x:f>
      </x:c>
      <x:c r="AC253" t="str">
        <x:f>"Q"&amp;ROUNDUP(MONTH(B253)/3,0)&amp;"-"&amp;YEAR(B253)</x:f>
        <x:v>Q3-2026</x:v>
      </x:c>
      <x:c r="AD253" s="26" t="n">
        <x:f>MIN(100,IF(H253="Enterprise",30,IF(H253="Mid-Market",22,14))+IF(T253="Enterprise",25,IF(T253="Mid-Market",18,10))+IF(Q253="Referral",25,IF(Q253="Organic Search",20,IF(Q253="Email",18,14)))+IF(G253="Technology",10,5))</x:f>
        <x:v>43</x:v>
      </x:c>
      <x:c r="AE253" t="str">
        <x:f>IF(U253&lt;&gt;"Open",U253,IF(N253&gt;=0.8,"Commit",IF(N253&gt;=0.5,"Best Case","Pipeline")))</x:f>
        <x:v>Pipeline</x:v>
      </x:c>
    </x:row>
    <x:row r="254">
      <x:c r="A254" t="str">
        <x:v>L00253</x:v>
      </x:c>
      <x:c r="B254" s="10" t="n">
        <x:v>45998</x:v>
      </x:c>
      <x:c r="C254" t="str">
        <x:v>Chi Le</x:v>
      </x:c>
      <x:c r="D254" t="str">
        <x:v>South</x:v>
      </x:c>
      <x:c r="E254" t="str">
        <x:v>organic search</x:v>
      </x:c>
      <x:c r="F254" t="str">
        <x:v>CS-CLOUD</x:v>
      </x:c>
      <x:c r="G254" t="str">
        <x:v>Technology</x:v>
      </x:c>
      <x:c r="H254" t="str">
        <x:v>SMB</x:v>
      </x:c>
      <x:c r="I254" t="str">
        <x:v>Negotiation</x:v>
      </x:c>
      <x:c r="J254" s="10" t="n">
        <x:v>46200</x:v>
      </x:c>
      <x:c r="K254" s="10"/>
      <x:c r="L254" s="22" t="n">
        <x:v>18300</x:v>
      </x:c>
      <x:c r="M254" s="24" t="n">
        <x:v>0</x:v>
      </x:c>
      <x:c r="N254" s="24" t="n">
        <x:v>0.85</x:v>
      </x:c>
      <x:c r="O254" t="str"/>
      <x:c r="P254" t="n">
        <x:v>5</x:v>
      </x:c>
      <x:c r="Q254" t="str">
        <x:f>IFERROR(XLOOKUP(E254,Lookups!$A$5:$A$24,Lookups!$B$5:$B$24),"Other")</x:f>
        <x:v>Organic Search</x:v>
      </x:c>
      <x:c r="R254" t="str">
        <x:f>IFERROR(XLOOKUP(F254,Lookups!$D$5:$D$10,Lookups!$E$5:$E$10),"Unknown Product")</x:f>
        <x:v>Service Cloud</x:v>
      </x:c>
      <x:c r="S254" t="str">
        <x:f>IFERROR(XLOOKUP(F254,Lookups!$D$5:$D$10,Lookups!$F$5:$F$10),"Unknown")</x:f>
        <x:v>Customer Service</x:v>
      </x:c>
      <x:c r="T254" t="str">
        <x:f>IF(L254&gt;=50000,"Enterprise",IF(L254&gt;=20000,"Mid-Market","SMB"))</x:f>
        <x:v>SMB</x:v>
      </x:c>
      <x:c r="U254" t="str">
        <x:f>IF(I254="Closed Won","Won",IF(I254="Closed Lost","Lost","Open"))</x:f>
        <x:v>Open</x:v>
      </x:c>
      <x:c r="V254" s="22" t="n">
        <x:f>IF(U254="Won",L254*(1-M254),0)</x:f>
        <x:v>0</x:v>
      </x:c>
      <x:c r="W254" s="22" t="n">
        <x:f>IF(U254="Open",L254*N254,0)</x:f>
        <x:v>15555</x:v>
      </x:c>
      <x:c r="X254" s="26" t="str">
        <x:f>IF(U254="Open","",IFERROR(K254-B254,""))</x:f>
      </x:c>
      <x:c r="Y254" s="26" t="n">
        <x:f>IF(U254="Open",Lookups!$B$2-B254,X254)</x:f>
        <x:v>268</x:v>
      </x:c>
      <x:c r="Z254" t="str">
        <x:f>IF(AND(U254="Open",Y254&gt;30),"STALE","OK")</x:f>
        <x:v>STALE</x:v>
      </x:c>
      <x:c r="AA254" t="str">
        <x:f>TEXT(B254,"yyyy-mm")</x:f>
        <x:v>2025-12</x:v>
      </x:c>
      <x:c r="AB254" t="str">
        <x:f>IF(K254="","",TEXT(K254,"yyyy-mm"))</x:f>
      </x:c>
      <x:c r="AC254" t="str">
        <x:f>"Q"&amp;ROUNDUP(MONTH(B254)/3,0)&amp;"-"&amp;YEAR(B254)</x:f>
        <x:v>Q4-2025</x:v>
      </x:c>
      <x:c r="AD254" s="26" t="n">
        <x:f>MIN(100,IF(H254="Enterprise",30,IF(H254="Mid-Market",22,14))+IF(T254="Enterprise",25,IF(T254="Mid-Market",18,10))+IF(Q254="Referral",25,IF(Q254="Organic Search",20,IF(Q254="Email",18,14)))+IF(G254="Technology",10,5))</x:f>
        <x:v>54</x:v>
      </x:c>
      <x:c r="AE254" t="str">
        <x:f>IF(U254&lt;&gt;"Open",U254,IF(N254&gt;=0.8,"Commit",IF(N254&gt;=0.5,"Best Case","Pipeline")))</x:f>
        <x:v>Commit</x:v>
      </x:c>
    </x:row>
    <x:row r="255">
      <x:c r="A255" t="str">
        <x:v>L00254</x:v>
      </x:c>
      <x:c r="B255" s="10" t="n">
        <x:v>45991</x:v>
      </x:c>
      <x:c r="C255" t="str">
        <x:v>Bao Tran</x:v>
      </x:c>
      <x:c r="D255" t="str">
        <x:v>South</x:v>
      </x:c>
      <x:c r="E255" t="str">
        <x:v>Webinar</x:v>
      </x:c>
      <x:c r="F255" t="str">
        <x:v>MKT-AUTO</x:v>
      </x:c>
      <x:c r="G255" t="str">
        <x:v>Financial Services</x:v>
      </x:c>
      <x:c r="H255" t="str">
        <x:v>Mid-Market</x:v>
      </x:c>
      <x:c r="I255" t="str">
        <x:v>Closed Won</x:v>
      </x:c>
      <x:c r="J255" s="10" t="n">
        <x:v>46020</x:v>
      </x:c>
      <x:c r="K255" s="10" t="n">
        <x:v>46020</x:v>
      </x:c>
      <x:c r="L255" s="22" t="n">
        <x:v>25100</x:v>
      </x:c>
      <x:c r="M255" s="24" t="n">
        <x:v>0.08</x:v>
      </x:c>
      <x:c r="N255" s="24" t="n">
        <x:v>1</x:v>
      </x:c>
      <x:c r="O255" t="str"/>
      <x:c r="P255" t="n">
        <x:v>6</x:v>
      </x:c>
      <x:c r="Q255" t="str">
        <x:f>IFERROR(XLOOKUP(E255,Lookups!$A$5:$A$24,Lookups!$B$5:$B$24),"Other")</x:f>
        <x:v>Webinar</x:v>
      </x:c>
      <x:c r="R255" t="str">
        <x:f>IFERROR(XLOOKUP(F255,Lookups!$D$5:$D$10,Lookups!$E$5:$E$10),"Unknown Product")</x:f>
        <x:v>Marketing Automation</x:v>
      </x:c>
      <x:c r="S255" t="str">
        <x:f>IFERROR(XLOOKUP(F255,Lookups!$D$5:$D$10,Lookups!$F$5:$F$10),"Unknown")</x:f>
        <x:v>Marketing</x:v>
      </x:c>
      <x:c r="T255" t="str">
        <x:f>IF(L255&gt;=50000,"Enterprise",IF(L255&gt;=20000,"Mid-Market","SMB"))</x:f>
        <x:v>Mid-Market</x:v>
      </x:c>
      <x:c r="U255" t="str">
        <x:f>IF(I255="Closed Won","Won",IF(I255="Closed Lost","Lost","Open"))</x:f>
        <x:v>Won</x:v>
      </x:c>
      <x:c r="V255" s="22" t="n">
        <x:f>IF(U255="Won",L255*(1-M255),0)</x:f>
        <x:v>23092</x:v>
      </x:c>
      <x:c r="W255" s="22" t="n">
        <x:f>IF(U255="Open",L255*N255,0)</x:f>
        <x:v>0</x:v>
      </x:c>
      <x:c r="X255" s="26" t="n">
        <x:f>IF(U255="Open","",IFERROR(K255-B255,""))</x:f>
        <x:v>29</x:v>
      </x:c>
      <x:c r="Y255" s="26" t="n">
        <x:f>IF(U255="Open",Lookups!$B$2-B255,X255)</x:f>
        <x:v>29</x:v>
      </x:c>
      <x:c r="Z255" t="str">
        <x:f>IF(AND(U255="Open",Y255&gt;30),"STALE","OK")</x:f>
        <x:v>OK</x:v>
      </x:c>
      <x:c r="AA255" t="str">
        <x:f>TEXT(B255,"yyyy-mm")</x:f>
        <x:v>2025-11</x:v>
      </x:c>
      <x:c r="AB255" t="str">
        <x:f>IF(K255="","",TEXT(K255,"yyyy-mm"))</x:f>
        <x:v>2025-12</x:v>
      </x:c>
      <x:c r="AC255" t="str">
        <x:f>"Q"&amp;ROUNDUP(MONTH(B255)/3,0)&amp;"-"&amp;YEAR(B255)</x:f>
        <x:v>Q4-2025</x:v>
      </x:c>
      <x:c r="AD255" s="26" t="n">
        <x:f>MIN(100,IF(H255="Enterprise",30,IF(H255="Mid-Market",22,14))+IF(T255="Enterprise",25,IF(T255="Mid-Market",18,10))+IF(Q255="Referral",25,IF(Q255="Organic Search",20,IF(Q255="Email",18,14)))+IF(G255="Technology",10,5))</x:f>
        <x:v>59</x:v>
      </x:c>
      <x:c r="AE255" t="str">
        <x:f>IF(U255&lt;&gt;"Open",U255,IF(N255&gt;=0.8,"Commit",IF(N255&gt;=0.5,"Best Case","Pipeline")))</x:f>
        <x:v>Won</x:v>
      </x:c>
    </x:row>
    <x:row r="256">
      <x:c r="A256" t="str">
        <x:v>L00255</x:v>
      </x:c>
      <x:c r="B256" s="10" t="n">
        <x:v>46130</x:v>
      </x:c>
      <x:c r="C256" t="str">
        <x:v>Duy Pham</x:v>
      </x:c>
      <x:c r="D256" t="str">
        <x:v>South</x:v>
      </x:c>
      <x:c r="E256" t="str">
        <x:v>google cpc</x:v>
      </x:c>
      <x:c r="F256" t="str">
        <x:v>CRM-PRO</x:v>
      </x:c>
      <x:c r="G256" t="str">
        <x:v>Professional Services</x:v>
      </x:c>
      <x:c r="H256" t="str">
        <x:v>SMB</x:v>
      </x:c>
      <x:c r="I256" t="str">
        <x:v>Closed Lost</x:v>
      </x:c>
      <x:c r="J256" s="10" t="n">
        <x:v>46207</x:v>
      </x:c>
      <x:c r="K256" s="10" t="n">
        <x:v>46207</x:v>
      </x:c>
      <x:c r="L256" s="22" t="n">
        <x:v>12200</x:v>
      </x:c>
      <x:c r="M256" s="24" t="n">
        <x:v>0</x:v>
      </x:c>
      <x:c r="N256" s="24" t="n">
        <x:v>0</x:v>
      </x:c>
      <x:c r="O256" t="str">
        <x:v>Timing</x:v>
      </x:c>
      <x:c r="P256" t="n">
        <x:v>5</x:v>
      </x:c>
      <x:c r="Q256" t="str">
        <x:f>IFERROR(XLOOKUP(E256,Lookups!$A$5:$A$24,Lookups!$B$5:$B$24),"Other")</x:f>
        <x:v>Paid Search</x:v>
      </x:c>
      <x:c r="R256" t="str">
        <x:f>IFERROR(XLOOKUP(F256,Lookups!$D$5:$D$10,Lookups!$E$5:$E$10),"Unknown Product")</x:f>
        <x:v>NexaCRM Pro</x:v>
      </x:c>
      <x:c r="S256" t="str">
        <x:f>IFERROR(XLOOKUP(F256,Lookups!$D$5:$D$10,Lookups!$F$5:$F$10),"Unknown")</x:f>
        <x:v>CRM</x:v>
      </x:c>
      <x:c r="T256" t="str">
        <x:f>IF(L256&gt;=50000,"Enterprise",IF(L256&gt;=20000,"Mid-Market","SMB"))</x:f>
        <x:v>SMB</x:v>
      </x:c>
      <x:c r="U256" t="str">
        <x:f>IF(I256="Closed Won","Won",IF(I256="Closed Lost","Lost","Open"))</x:f>
        <x:v>Lost</x:v>
      </x:c>
      <x:c r="V256" s="22" t="n">
        <x:f>IF(U256="Won",L256*(1-M256),0)</x:f>
        <x:v>0</x:v>
      </x:c>
      <x:c r="W256" s="22" t="n">
        <x:f>IF(U256="Open",L256*N256,0)</x:f>
        <x:v>0</x:v>
      </x:c>
      <x:c r="X256" s="26" t="n">
        <x:f>IF(U256="Open","",IFERROR(K256-B256,""))</x:f>
        <x:v>77</x:v>
      </x:c>
      <x:c r="Y256" s="26" t="n">
        <x:f>IF(U256="Open",Lookups!$B$2-B256,X256)</x:f>
        <x:v>77</x:v>
      </x:c>
      <x:c r="Z256" t="str">
        <x:f>IF(AND(U256="Open",Y256&gt;30),"STALE","OK")</x:f>
        <x:v>OK</x:v>
      </x:c>
      <x:c r="AA256" t="str">
        <x:f>TEXT(B256,"yyyy-mm")</x:f>
        <x:v>2026-04</x:v>
      </x:c>
      <x:c r="AB256" t="str">
        <x:f>IF(K256="","",TEXT(K256,"yyyy-mm"))</x:f>
        <x:v>2026-07</x:v>
      </x:c>
      <x:c r="AC256" t="str">
        <x:f>"Q"&amp;ROUNDUP(MONTH(B256)/3,0)&amp;"-"&amp;YEAR(B256)</x:f>
        <x:v>Q2-2026</x:v>
      </x:c>
      <x:c r="AD256" s="26" t="n">
        <x:f>MIN(100,IF(H256="Enterprise",30,IF(H256="Mid-Market",22,14))+IF(T256="Enterprise",25,IF(T256="Mid-Market",18,10))+IF(Q256="Referral",25,IF(Q256="Organic Search",20,IF(Q256="Email",18,14)))+IF(G256="Technology",10,5))</x:f>
        <x:v>43</x:v>
      </x:c>
      <x:c r="AE256" t="str">
        <x:f>IF(U256&lt;&gt;"Open",U256,IF(N256&gt;=0.8,"Commit",IF(N256&gt;=0.5,"Best Case","Pipeline")))</x:f>
        <x:v>Lost</x:v>
      </x:c>
    </x:row>
    <x:row r="257">
      <x:c r="A257" t="str">
        <x:v>L00256</x:v>
      </x:c>
      <x:c r="B257" s="10" t="n">
        <x:v>46035</x:v>
      </x:c>
      <x:c r="C257" t="str">
        <x:v>Tuan Bui</x:v>
      </x:c>
      <x:c r="D257" t="str">
        <x:v>Central</x:v>
      </x:c>
      <x:c r="E257" t="str">
        <x:v>LinkedIn Ads</x:v>
      </x:c>
      <x:c r="F257" t="str">
        <x:v>CS-CLOUD</x:v>
      </x:c>
      <x:c r="G257" t="str">
        <x:v>Healthcare</x:v>
      </x:c>
      <x:c r="H257" t="str">
        <x:v>Mid-Market</x:v>
      </x:c>
      <x:c r="I257" t="str">
        <x:v>Negotiation</x:v>
      </x:c>
      <x:c r="J257" s="10" t="n">
        <x:v>46181</x:v>
      </x:c>
      <x:c r="K257" s="10"/>
      <x:c r="L257" s="22" t="n">
        <x:v>33300</x:v>
      </x:c>
      <x:c r="M257" s="24" t="n">
        <x:v>0.03</x:v>
      </x:c>
      <x:c r="N257" s="24" t="n">
        <x:v>0.85</x:v>
      </x:c>
      <x:c r="O257" t="str"/>
      <x:c r="P257" t="n">
        <x:v>5</x:v>
      </x:c>
      <x:c r="Q257" t="str">
        <x:f>IFERROR(XLOOKUP(E257,Lookups!$A$5:$A$24,Lookups!$B$5:$B$24),"Other")</x:f>
        <x:v>LinkedIn</x:v>
      </x:c>
      <x:c r="R257" t="str">
        <x:f>IFERROR(XLOOKUP(F257,Lookups!$D$5:$D$10,Lookups!$E$5:$E$10),"Unknown Product")</x:f>
        <x:v>Service Cloud</x:v>
      </x:c>
      <x:c r="S257" t="str">
        <x:f>IFERROR(XLOOKUP(F257,Lookups!$D$5:$D$10,Lookups!$F$5:$F$10),"Unknown")</x:f>
        <x:v>Customer Service</x:v>
      </x:c>
      <x:c r="T257" t="str">
        <x:f>IF(L257&gt;=50000,"Enterprise",IF(L257&gt;=20000,"Mid-Market","SMB"))</x:f>
        <x:v>Mid-Market</x:v>
      </x:c>
      <x:c r="U257" t="str">
        <x:f>IF(I257="Closed Won","Won",IF(I257="Closed Lost","Lost","Open"))</x:f>
        <x:v>Open</x:v>
      </x:c>
      <x:c r="V257" s="22" t="n">
        <x:f>IF(U257="Won",L257*(1-M257),0)</x:f>
        <x:v>0</x:v>
      </x:c>
      <x:c r="W257" s="22" t="n">
        <x:f>IF(U257="Open",L257*N257,0)</x:f>
        <x:v>28305</x:v>
      </x:c>
      <x:c r="X257" s="26" t="str">
        <x:f>IF(U257="Open","",IFERROR(K257-B257,""))</x:f>
      </x:c>
      <x:c r="Y257" s="26" t="n">
        <x:f>IF(U257="Open",Lookups!$B$2-B257,X257)</x:f>
        <x:v>231</x:v>
      </x:c>
      <x:c r="Z257" t="str">
        <x:f>IF(AND(U257="Open",Y257&gt;30),"STALE","OK")</x:f>
        <x:v>STALE</x:v>
      </x:c>
      <x:c r="AA257" t="str">
        <x:f>TEXT(B257,"yyyy-mm")</x:f>
        <x:v>2026-01</x:v>
      </x:c>
      <x:c r="AB257" t="str">
        <x:f>IF(K257="","",TEXT(K257,"yyyy-mm"))</x:f>
      </x:c>
      <x:c r="AC257" t="str">
        <x:f>"Q"&amp;ROUNDUP(MONTH(B257)/3,0)&amp;"-"&amp;YEAR(B257)</x:f>
        <x:v>Q1-2026</x:v>
      </x:c>
      <x:c r="AD257" s="26" t="n">
        <x:f>MIN(100,IF(H257="Enterprise",30,IF(H257="Mid-Market",22,14))+IF(T257="Enterprise",25,IF(T257="Mid-Market",18,10))+IF(Q257="Referral",25,IF(Q257="Organic Search",20,IF(Q257="Email",18,14)))+IF(G257="Technology",10,5))</x:f>
        <x:v>59</x:v>
      </x:c>
      <x:c r="AE257" t="str">
        <x:f>IF(U257&lt;&gt;"Open",U257,IF(N257&gt;=0.8,"Commit",IF(N257&gt;=0.5,"Best Case","Pipeline")))</x:f>
        <x:v>Commit</x:v>
      </x:c>
    </x:row>
    <x:row r="258">
      <x:c r="A258" t="str">
        <x:v>L00257</x:v>
      </x:c>
      <x:c r="B258" s="10" t="n">
        <x:v>45696</x:v>
      </x:c>
      <x:c r="C258" t="str">
        <x:v>An Nguyen</x:v>
      </x:c>
      <x:c r="D258" t="str">
        <x:v>South</x:v>
      </x:c>
      <x:c r="E258" t="str">
        <x:v>Email Campaign</x:v>
      </x:c>
      <x:c r="F258" t="str">
        <x:v>CRM-CORE</x:v>
      </x:c>
      <x:c r="G258" t="str">
        <x:v>Manufacturing</x:v>
      </x:c>
      <x:c r="H258" t="str">
        <x:v>SMB</x:v>
      </x:c>
      <x:c r="I258" t="str">
        <x:v>Closed Lost</x:v>
      </x:c>
      <x:c r="J258" s="10" t="n">
        <x:v>45727</x:v>
      </x:c>
      <x:c r="K258" s="10" t="n">
        <x:v>45727</x:v>
      </x:c>
      <x:c r="L258" s="22" t="n">
        <x:v>4600</x:v>
      </x:c>
      <x:c r="M258" s="24" t="n">
        <x:v>0</x:v>
      </x:c>
      <x:c r="N258" s="24" t="n">
        <x:v>0</x:v>
      </x:c>
      <x:c r="O258" t="str">
        <x:v>Feature Gap</x:v>
      </x:c>
      <x:c r="P258" t="n">
        <x:v>3</x:v>
      </x:c>
      <x:c r="Q258" t="str">
        <x:f>IFERROR(XLOOKUP(E258,Lookups!$A$5:$A$24,Lookups!$B$5:$B$24),"Other")</x:f>
        <x:v>Email</x:v>
      </x:c>
      <x:c r="R258" t="str">
        <x:f>IFERROR(XLOOKUP(F258,Lookups!$D$5:$D$10,Lookups!$E$5:$E$10),"Unknown Product")</x:f>
        <x:v>NexaCRM Core</x:v>
      </x:c>
      <x:c r="S258" t="str">
        <x:f>IFERROR(XLOOKUP(F258,Lookups!$D$5:$D$10,Lookups!$F$5:$F$10),"Unknown")</x:f>
        <x:v>CRM</x:v>
      </x:c>
      <x:c r="T258" t="str">
        <x:f>IF(L258&gt;=50000,"Enterprise",IF(L258&gt;=20000,"Mid-Market","SMB"))</x:f>
        <x:v>SMB</x:v>
      </x:c>
      <x:c r="U258" t="str">
        <x:f>IF(I258="Closed Won","Won",IF(I258="Closed Lost","Lost","Open"))</x:f>
        <x:v>Lost</x:v>
      </x:c>
      <x:c r="V258" s="22" t="n">
        <x:f>IF(U258="Won",L258*(1-M258),0)</x:f>
        <x:v>0</x:v>
      </x:c>
      <x:c r="W258" s="22" t="n">
        <x:f>IF(U258="Open",L258*N258,0)</x:f>
        <x:v>0</x:v>
      </x:c>
      <x:c r="X258" s="26" t="n">
        <x:f>IF(U258="Open","",IFERROR(K258-B258,""))</x:f>
        <x:v>31</x:v>
      </x:c>
      <x:c r="Y258" s="26" t="n">
        <x:f>IF(U258="Open",Lookups!$B$2-B258,X258)</x:f>
        <x:v>31</x:v>
      </x:c>
      <x:c r="Z258" t="str">
        <x:f>IF(AND(U258="Open",Y258&gt;30),"STALE","OK")</x:f>
        <x:v>OK</x:v>
      </x:c>
      <x:c r="AA258" t="str">
        <x:f>TEXT(B258,"yyyy-mm")</x:f>
        <x:v>2025-02</x:v>
      </x:c>
      <x:c r="AB258" t="str">
        <x:f>IF(K258="","",TEXT(K258,"yyyy-mm"))</x:f>
        <x:v>2025-03</x:v>
      </x:c>
      <x:c r="AC258" t="str">
        <x:f>"Q"&amp;ROUNDUP(MONTH(B258)/3,0)&amp;"-"&amp;YEAR(B258)</x:f>
        <x:v>Q1-2025</x:v>
      </x:c>
      <x:c r="AD258" s="26" t="n">
        <x:f>MIN(100,IF(H258="Enterprise",30,IF(H258="Mid-Market",22,14))+IF(T258="Enterprise",25,IF(T258="Mid-Market",18,10))+IF(Q258="Referral",25,IF(Q258="Organic Search",20,IF(Q258="Email",18,14)))+IF(G258="Technology",10,5))</x:f>
        <x:v>47</x:v>
      </x:c>
      <x:c r="AE258" t="str">
        <x:f>IF(U258&lt;&gt;"Open",U258,IF(N258&gt;=0.8,"Commit",IF(N258&gt;=0.5,"Best Case","Pipeline")))</x:f>
        <x:v>Lost</x:v>
      </x:c>
    </x:row>
    <x:row r="259">
      <x:c r="A259" t="str">
        <x:v>L00258</x:v>
      </x:c>
      <x:c r="B259" s="10" t="n">
        <x:v>46248</x:v>
      </x:c>
      <x:c r="C259" t="str">
        <x:v>Ha Vo</x:v>
      </x:c>
      <x:c r="D259" t="str">
        <x:v>North</x:v>
      </x:c>
      <x:c r="E259" t="str">
        <x:v>newsletter</x:v>
      </x:c>
      <x:c r="F259" t="str">
        <x:v>CS-CLOUD</x:v>
      </x:c>
      <x:c r="G259" t="str">
        <x:v>Manufacturing</x:v>
      </x:c>
      <x:c r="H259" t="str">
        <x:v>Mid-Market</x:v>
      </x:c>
      <x:c r="I259" t="str">
        <x:v>New</x:v>
      </x:c>
      <x:c r="J259" s="10" t="n">
        <x:v>46261</x:v>
      </x:c>
      <x:c r="K259" s="10"/>
      <x:c r="L259" s="22" t="n">
        <x:v>34000</x:v>
      </x:c>
      <x:c r="M259" s="24" t="n">
        <x:v>0.03</x:v>
      </x:c>
      <x:c r="N259" s="24" t="n">
        <x:v>0.05</x:v>
      </x:c>
      <x:c r="O259" t="str"/>
      <x:c r="P259" t="n">
        <x:v>1</x:v>
      </x:c>
      <x:c r="Q259" t="str">
        <x:f>IFERROR(XLOOKUP(E259,Lookups!$A$5:$A$24,Lookups!$B$5:$B$24),"Other")</x:f>
        <x:v>Email</x:v>
      </x:c>
      <x:c r="R259" t="str">
        <x:f>IFERROR(XLOOKUP(F259,Lookups!$D$5:$D$10,Lookups!$E$5:$E$10),"Unknown Product")</x:f>
        <x:v>Service Cloud</x:v>
      </x:c>
      <x:c r="S259" t="str">
        <x:f>IFERROR(XLOOKUP(F259,Lookups!$D$5:$D$10,Lookups!$F$5:$F$10),"Unknown")</x:f>
        <x:v>Customer Service</x:v>
      </x:c>
      <x:c r="T259" t="str">
        <x:f>IF(L259&gt;=50000,"Enterprise",IF(L259&gt;=20000,"Mid-Market","SMB"))</x:f>
        <x:v>Mid-Market</x:v>
      </x:c>
      <x:c r="U259" t="str">
        <x:f>IF(I259="Closed Won","Won",IF(I259="Closed Lost","Lost","Open"))</x:f>
        <x:v>Open</x:v>
      </x:c>
      <x:c r="V259" s="22" t="n">
        <x:f>IF(U259="Won",L259*(1-M259),0)</x:f>
        <x:v>0</x:v>
      </x:c>
      <x:c r="W259" s="22" t="n">
        <x:f>IF(U259="Open",L259*N259,0)</x:f>
        <x:v>1700</x:v>
      </x:c>
      <x:c r="X259" s="26" t="str">
        <x:f>IF(U259="Open","",IFERROR(K259-B259,""))</x:f>
      </x:c>
      <x:c r="Y259" s="26" t="n">
        <x:f>IF(U259="Open",Lookups!$B$2-B259,X259)</x:f>
        <x:v>18</x:v>
      </x:c>
      <x:c r="Z259" t="str">
        <x:f>IF(AND(U259="Open",Y259&gt;30),"STALE","OK")</x:f>
        <x:v>OK</x:v>
      </x:c>
      <x:c r="AA259" t="str">
        <x:f>TEXT(B259,"yyyy-mm")</x:f>
        <x:v>2026-08</x:v>
      </x:c>
      <x:c r="AB259" t="str">
        <x:f>IF(K259="","",TEXT(K259,"yyyy-mm"))</x:f>
      </x:c>
      <x:c r="AC259" t="str">
        <x:f>"Q"&amp;ROUNDUP(MONTH(B259)/3,0)&amp;"-"&amp;YEAR(B259)</x:f>
        <x:v>Q3-2026</x:v>
      </x:c>
      <x:c r="AD259" s="26" t="n">
        <x:f>MIN(100,IF(H259="Enterprise",30,IF(H259="Mid-Market",22,14))+IF(T259="Enterprise",25,IF(T259="Mid-Market",18,10))+IF(Q259="Referral",25,IF(Q259="Organic Search",20,IF(Q259="Email",18,14)))+IF(G259="Technology",10,5))</x:f>
        <x:v>63</x:v>
      </x:c>
      <x:c r="AE259" t="str">
        <x:f>IF(U259&lt;&gt;"Open",U259,IF(N259&gt;=0.8,"Commit",IF(N259&gt;=0.5,"Best Case","Pipeline")))</x:f>
        <x:v>Pipeline</x:v>
      </x:c>
    </x:row>
    <x:row r="260">
      <x:c r="A260" t="str">
        <x:v>L00259</x:v>
      </x:c>
      <x:c r="B260" s="10" t="n">
        <x:v>45946</x:v>
      </x:c>
      <x:c r="C260" t="str">
        <x:v>Bao Tran</x:v>
      </x:c>
      <x:c r="D260" t="str">
        <x:v>South</x:v>
      </x:c>
      <x:c r="E260" t="str">
        <x:v>Cold Email</x:v>
      </x:c>
      <x:c r="F260" t="str">
        <x:v>CRM-PRO</x:v>
      </x:c>
      <x:c r="G260" t="str">
        <x:v>Financial Services</x:v>
      </x:c>
      <x:c r="H260" t="str">
        <x:v>Mid-Market</x:v>
      </x:c>
      <x:c r="I260" t="str">
        <x:v>Closed Won</x:v>
      </x:c>
      <x:c r="J260" s="10" t="n">
        <x:v>45993</x:v>
      </x:c>
      <x:c r="K260" s="10" t="n">
        <x:v>45993</x:v>
      </x:c>
      <x:c r="L260" s="22" t="n">
        <x:v>25700</x:v>
      </x:c>
      <x:c r="M260" s="24" t="n">
        <x:v>0</x:v>
      </x:c>
      <x:c r="N260" s="24" t="n">
        <x:v>1</x:v>
      </x:c>
      <x:c r="O260" t="str"/>
      <x:c r="P260" t="n">
        <x:v>6</x:v>
      </x:c>
      <x:c r="Q260" t="str">
        <x:f>IFERROR(XLOOKUP(E260,Lookups!$A$5:$A$24,Lookups!$B$5:$B$24),"Other")</x:f>
        <x:v>Outbound</x:v>
      </x:c>
      <x:c r="R260" t="str">
        <x:f>IFERROR(XLOOKUP(F260,Lookups!$D$5:$D$10,Lookups!$E$5:$E$10),"Unknown Product")</x:f>
        <x:v>NexaCRM Pro</x:v>
      </x:c>
      <x:c r="S260" t="str">
        <x:f>IFERROR(XLOOKUP(F260,Lookups!$D$5:$D$10,Lookups!$F$5:$F$10),"Unknown")</x:f>
        <x:v>CRM</x:v>
      </x:c>
      <x:c r="T260" t="str">
        <x:f>IF(L260&gt;=50000,"Enterprise",IF(L260&gt;=20000,"Mid-Market","SMB"))</x:f>
        <x:v>Mid-Market</x:v>
      </x:c>
      <x:c r="U260" t="str">
        <x:f>IF(I260="Closed Won","Won",IF(I260="Closed Lost","Lost","Open"))</x:f>
        <x:v>Won</x:v>
      </x:c>
      <x:c r="V260" s="22" t="n">
        <x:f>IF(U260="Won",L260*(1-M260),0)</x:f>
        <x:v>25700</x:v>
      </x:c>
      <x:c r="W260" s="22" t="n">
        <x:f>IF(U260="Open",L260*N260,0)</x:f>
        <x:v>0</x:v>
      </x:c>
      <x:c r="X260" s="26" t="n">
        <x:f>IF(U260="Open","",IFERROR(K260-B260,""))</x:f>
        <x:v>47</x:v>
      </x:c>
      <x:c r="Y260" s="26" t="n">
        <x:f>IF(U260="Open",Lookups!$B$2-B260,X260)</x:f>
        <x:v>47</x:v>
      </x:c>
      <x:c r="Z260" t="str">
        <x:f>IF(AND(U260="Open",Y260&gt;30),"STALE","OK")</x:f>
        <x:v>OK</x:v>
      </x:c>
      <x:c r="AA260" t="str">
        <x:f>TEXT(B260,"yyyy-mm")</x:f>
        <x:v>2025-10</x:v>
      </x:c>
      <x:c r="AB260" t="str">
        <x:f>IF(K260="","",TEXT(K260,"yyyy-mm"))</x:f>
        <x:v>2025-12</x:v>
      </x:c>
      <x:c r="AC260" t="str">
        <x:f>"Q"&amp;ROUNDUP(MONTH(B260)/3,0)&amp;"-"&amp;YEAR(B260)</x:f>
        <x:v>Q4-2025</x:v>
      </x:c>
      <x:c r="AD260" s="26" t="n">
        <x:f>MIN(100,IF(H260="Enterprise",30,IF(H260="Mid-Market",22,14))+IF(T260="Enterprise",25,IF(T260="Mid-Market",18,10))+IF(Q260="Referral",25,IF(Q260="Organic Search",20,IF(Q260="Email",18,14)))+IF(G260="Technology",10,5))</x:f>
        <x:v>59</x:v>
      </x:c>
      <x:c r="AE260" t="str">
        <x:f>IF(U260&lt;&gt;"Open",U260,IF(N260&gt;=0.8,"Commit",IF(N260&gt;=0.5,"Best Case","Pipeline")))</x:f>
        <x:v>Won</x:v>
      </x:c>
    </x:row>
    <x:row r="261">
      <x:c r="A261" t="str">
        <x:v>L00260</x:v>
      </x:c>
      <x:c r="B261" s="10" t="n">
        <x:v>45986</x:v>
      </x:c>
      <x:c r="C261" t="str">
        <x:v>Tuan Bui</x:v>
      </x:c>
      <x:c r="D261" t="str">
        <x:v>Central</x:v>
      </x:c>
      <x:c r="E261" t="str">
        <x:v>LinkedIn Ads</x:v>
      </x:c>
      <x:c r="F261" t="str">
        <x:v>CRM-CORE</x:v>
      </x:c>
      <x:c r="G261" t="str">
        <x:v>Manufacturing</x:v>
      </x:c>
      <x:c r="H261" t="str">
        <x:v>Mid-Market</x:v>
      </x:c>
      <x:c r="I261" t="str">
        <x:v>Closed Lost</x:v>
      </x:c>
      <x:c r="J261" s="10" t="n">
        <x:v>46040</x:v>
      </x:c>
      <x:c r="K261" s="10" t="n">
        <x:v>46040</x:v>
      </x:c>
      <x:c r="L261" s="22" t="n">
        <x:v>15400</x:v>
      </x:c>
      <x:c r="M261" s="24" t="n">
        <x:v>0</x:v>
      </x:c>
      <x:c r="N261" s="24" t="n">
        <x:v>0</x:v>
      </x:c>
      <x:c r="O261" t="str">
        <x:v>Budget</x:v>
      </x:c>
      <x:c r="P261" t="n">
        <x:v>2</x:v>
      </x:c>
      <x:c r="Q261" t="str">
        <x:f>IFERROR(XLOOKUP(E261,Lookups!$A$5:$A$24,Lookups!$B$5:$B$24),"Other")</x:f>
        <x:v>LinkedIn</x:v>
      </x:c>
      <x:c r="R261" t="str">
        <x:f>IFERROR(XLOOKUP(F261,Lookups!$D$5:$D$10,Lookups!$E$5:$E$10),"Unknown Product")</x:f>
        <x:v>NexaCRM Core</x:v>
      </x:c>
      <x:c r="S261" t="str">
        <x:f>IFERROR(XLOOKUP(F261,Lookups!$D$5:$D$10,Lookups!$F$5:$F$10),"Unknown")</x:f>
        <x:v>CRM</x:v>
      </x:c>
      <x:c r="T261" t="str">
        <x:f>IF(L261&gt;=50000,"Enterprise",IF(L261&gt;=20000,"Mid-Market","SMB"))</x:f>
        <x:v>SMB</x:v>
      </x:c>
      <x:c r="U261" t="str">
        <x:f>IF(I261="Closed Won","Won",IF(I261="Closed Lost","Lost","Open"))</x:f>
        <x:v>Lost</x:v>
      </x:c>
      <x:c r="V261" s="22" t="n">
        <x:f>IF(U261="Won",L261*(1-M261),0)</x:f>
        <x:v>0</x:v>
      </x:c>
      <x:c r="W261" s="22" t="n">
        <x:f>IF(U261="Open",L261*N261,0)</x:f>
        <x:v>0</x:v>
      </x:c>
      <x:c r="X261" s="26" t="n">
        <x:f>IF(U261="Open","",IFERROR(K261-B261,""))</x:f>
        <x:v>54</x:v>
      </x:c>
      <x:c r="Y261" s="26" t="n">
        <x:f>IF(U261="Open",Lookups!$B$2-B261,X261)</x:f>
        <x:v>54</x:v>
      </x:c>
      <x:c r="Z261" t="str">
        <x:f>IF(AND(U261="Open",Y261&gt;30),"STALE","OK")</x:f>
        <x:v>OK</x:v>
      </x:c>
      <x:c r="AA261" t="str">
        <x:f>TEXT(B261,"yyyy-mm")</x:f>
        <x:v>2025-11</x:v>
      </x:c>
      <x:c r="AB261" t="str">
        <x:f>IF(K261="","",TEXT(K261,"yyyy-mm"))</x:f>
        <x:v>2026-01</x:v>
      </x:c>
      <x:c r="AC261" t="str">
        <x:f>"Q"&amp;ROUNDUP(MONTH(B261)/3,0)&amp;"-"&amp;YEAR(B261)</x:f>
        <x:v>Q4-2025</x:v>
      </x:c>
      <x:c r="AD261" s="26" t="n">
        <x:f>MIN(100,IF(H261="Enterprise",30,IF(H261="Mid-Market",22,14))+IF(T261="Enterprise",25,IF(T261="Mid-Market",18,10))+IF(Q261="Referral",25,IF(Q261="Organic Search",20,IF(Q261="Email",18,14)))+IF(G261="Technology",10,5))</x:f>
        <x:v>51</x:v>
      </x:c>
      <x:c r="AE261" t="str">
        <x:f>IF(U261&lt;&gt;"Open",U261,IF(N261&gt;=0.8,"Commit",IF(N261&gt;=0.5,"Best Case","Pipeline")))</x:f>
        <x:v>Lost</x:v>
      </x:c>
    </x:row>
    <x:row r="262">
      <x:c r="A262" t="str">
        <x:v>L00261</x:v>
      </x:c>
      <x:c r="B262" s="10" t="n">
        <x:v>45696</x:v>
      </x:c>
      <x:c r="C262" t="str">
        <x:v>An Nguyen</x:v>
      </x:c>
      <x:c r="D262" t="str">
        <x:v>South</x:v>
      </x:c>
      <x:c r="E262" t="str">
        <x:v>Google Ads</x:v>
      </x:c>
      <x:c r="F262" t="str">
        <x:v>CS-CLOUD</x:v>
      </x:c>
      <x:c r="G262" t="str">
        <x:v>Technology</x:v>
      </x:c>
      <x:c r="H262" t="str">
        <x:v>SMB</x:v>
      </x:c>
      <x:c r="I262" t="str">
        <x:v>Closed Lost</x:v>
      </x:c>
      <x:c r="J262" s="10" t="n">
        <x:v>45763</x:v>
      </x:c>
      <x:c r="K262" s="10" t="n">
        <x:v>45763</x:v>
      </x:c>
      <x:c r="L262" s="22" t="n">
        <x:v>23500</x:v>
      </x:c>
      <x:c r="M262" s="24" t="n">
        <x:v>0</x:v>
      </x:c>
      <x:c r="N262" s="24" t="n">
        <x:v>0</x:v>
      </x:c>
      <x:c r="O262" t="str">
        <x:v>Competitor</x:v>
      </x:c>
      <x:c r="P262" t="n">
        <x:v>5</x:v>
      </x:c>
      <x:c r="Q262" t="str">
        <x:f>IFERROR(XLOOKUP(E262,Lookups!$A$5:$A$24,Lookups!$B$5:$B$24),"Other")</x:f>
        <x:v>Paid Search</x:v>
      </x:c>
      <x:c r="R262" t="str">
        <x:f>IFERROR(XLOOKUP(F262,Lookups!$D$5:$D$10,Lookups!$E$5:$E$10),"Unknown Product")</x:f>
        <x:v>Service Cloud</x:v>
      </x:c>
      <x:c r="S262" t="str">
        <x:f>IFERROR(XLOOKUP(F262,Lookups!$D$5:$D$10,Lookups!$F$5:$F$10),"Unknown")</x:f>
        <x:v>Customer Service</x:v>
      </x:c>
      <x:c r="T262" t="str">
        <x:f>IF(L262&gt;=50000,"Enterprise",IF(L262&gt;=20000,"Mid-Market","SMB"))</x:f>
        <x:v>Mid-Market</x:v>
      </x:c>
      <x:c r="U262" t="str">
        <x:f>IF(I262="Closed Won","Won",IF(I262="Closed Lost","Lost","Open"))</x:f>
        <x:v>Lost</x:v>
      </x:c>
      <x:c r="V262" s="22" t="n">
        <x:f>IF(U262="Won",L262*(1-M262),0)</x:f>
        <x:v>0</x:v>
      </x:c>
      <x:c r="W262" s="22" t="n">
        <x:f>IF(U262="Open",L262*N262,0)</x:f>
        <x:v>0</x:v>
      </x:c>
      <x:c r="X262" s="26" t="n">
        <x:f>IF(U262="Open","",IFERROR(K262-B262,""))</x:f>
        <x:v>67</x:v>
      </x:c>
      <x:c r="Y262" s="26" t="n">
        <x:f>IF(U262="Open",Lookups!$B$2-B262,X262)</x:f>
        <x:v>67</x:v>
      </x:c>
      <x:c r="Z262" t="str">
        <x:f>IF(AND(U262="Open",Y262&gt;30),"STALE","OK")</x:f>
        <x:v>OK</x:v>
      </x:c>
      <x:c r="AA262" t="str">
        <x:f>TEXT(B262,"yyyy-mm")</x:f>
        <x:v>2025-02</x:v>
      </x:c>
      <x:c r="AB262" t="str">
        <x:f>IF(K262="","",TEXT(K262,"yyyy-mm"))</x:f>
        <x:v>2025-04</x:v>
      </x:c>
      <x:c r="AC262" t="str">
        <x:f>"Q"&amp;ROUNDUP(MONTH(B262)/3,0)&amp;"-"&amp;YEAR(B262)</x:f>
        <x:v>Q1-2025</x:v>
      </x:c>
      <x:c r="AD262" s="26" t="n">
        <x:f>MIN(100,IF(H262="Enterprise",30,IF(H262="Mid-Market",22,14))+IF(T262="Enterprise",25,IF(T262="Mid-Market",18,10))+IF(Q262="Referral",25,IF(Q262="Organic Search",20,IF(Q262="Email",18,14)))+IF(G262="Technology",10,5))</x:f>
        <x:v>56</x:v>
      </x:c>
      <x:c r="AE262" t="str">
        <x:f>IF(U262&lt;&gt;"Open",U262,IF(N262&gt;=0.8,"Commit",IF(N262&gt;=0.5,"Best Case","Pipeline")))</x:f>
        <x:v>Lost</x:v>
      </x:c>
    </x:row>
    <x:row r="263">
      <x:c r="A263" t="str">
        <x:v>L00262</x:v>
      </x:c>
      <x:c r="B263" s="10" t="n">
        <x:v>46116</x:v>
      </x:c>
      <x:c r="C263" t="str">
        <x:v>Duy Pham</x:v>
      </x:c>
      <x:c r="D263" t="str">
        <x:v>South</x:v>
      </x:c>
      <x:c r="E263" t="str">
        <x:v>SEM - Google</x:v>
      </x:c>
      <x:c r="F263" t="str">
        <x:v>BI-PLUS</x:v>
      </x:c>
      <x:c r="G263" t="str">
        <x:v>Education</x:v>
      </x:c>
      <x:c r="H263" t="str">
        <x:v>SMB</x:v>
      </x:c>
      <x:c r="I263" t="str">
        <x:v>Closed Won</x:v>
      </x:c>
      <x:c r="J263" s="10" t="n">
        <x:v>46149</x:v>
      </x:c>
      <x:c r="K263" s="10" t="n">
        <x:v>46149</x:v>
      </x:c>
      <x:c r="L263" s="22" t="n">
        <x:v>15200</x:v>
      </x:c>
      <x:c r="M263" s="24" t="n">
        <x:v>0.1</x:v>
      </x:c>
      <x:c r="N263" s="24" t="n">
        <x:v>1</x:v>
      </x:c>
      <x:c r="O263" t="str"/>
      <x:c r="P263" t="n">
        <x:v>6</x:v>
      </x:c>
      <x:c r="Q263" t="str">
        <x:f>IFERROR(XLOOKUP(E263,Lookups!$A$5:$A$24,Lookups!$B$5:$B$24),"Other")</x:f>
        <x:v>Paid Search</x:v>
      </x:c>
      <x:c r="R263" t="str">
        <x:f>IFERROR(XLOOKUP(F263,Lookups!$D$5:$D$10,Lookups!$E$5:$E$10),"Unknown Product")</x:f>
        <x:v>Analytics Plus</x:v>
      </x:c>
      <x:c r="S263" t="str">
        <x:f>IFERROR(XLOOKUP(F263,Lookups!$D$5:$D$10,Lookups!$F$5:$F$10),"Unknown")</x:f>
        <x:v>Analytics</x:v>
      </x:c>
      <x:c r="T263" t="str">
        <x:f>IF(L263&gt;=50000,"Enterprise",IF(L263&gt;=20000,"Mid-Market","SMB"))</x:f>
        <x:v>SMB</x:v>
      </x:c>
      <x:c r="U263" t="str">
        <x:f>IF(I263="Closed Won","Won",IF(I263="Closed Lost","Lost","Open"))</x:f>
        <x:v>Won</x:v>
      </x:c>
      <x:c r="V263" s="22" t="n">
        <x:f>IF(U263="Won",L263*(1-M263),0)</x:f>
        <x:v>13680</x:v>
      </x:c>
      <x:c r="W263" s="22" t="n">
        <x:f>IF(U263="Open",L263*N263,0)</x:f>
        <x:v>0</x:v>
      </x:c>
      <x:c r="X263" s="26" t="n">
        <x:f>IF(U263="Open","",IFERROR(K263-B263,""))</x:f>
        <x:v>33</x:v>
      </x:c>
      <x:c r="Y263" s="26" t="n">
        <x:f>IF(U263="Open",Lookups!$B$2-B263,X263)</x:f>
        <x:v>33</x:v>
      </x:c>
      <x:c r="Z263" t="str">
        <x:f>IF(AND(U263="Open",Y263&gt;30),"STALE","OK")</x:f>
        <x:v>OK</x:v>
      </x:c>
      <x:c r="AA263" t="str">
        <x:f>TEXT(B263,"yyyy-mm")</x:f>
        <x:v>2026-04</x:v>
      </x:c>
      <x:c r="AB263" t="str">
        <x:f>IF(K263="","",TEXT(K263,"yyyy-mm"))</x:f>
        <x:v>2026-05</x:v>
      </x:c>
      <x:c r="AC263" t="str">
        <x:f>"Q"&amp;ROUNDUP(MONTH(B263)/3,0)&amp;"-"&amp;YEAR(B263)</x:f>
        <x:v>Q2-2026</x:v>
      </x:c>
      <x:c r="AD263" s="26" t="n">
        <x:f>MIN(100,IF(H263="Enterprise",30,IF(H263="Mid-Market",22,14))+IF(T263="Enterprise",25,IF(T263="Mid-Market",18,10))+IF(Q263="Referral",25,IF(Q263="Organic Search",20,IF(Q263="Email",18,14)))+IF(G263="Technology",10,5))</x:f>
        <x:v>43</x:v>
      </x:c>
      <x:c r="AE263" t="str">
        <x:f>IF(U263&lt;&gt;"Open",U263,IF(N263&gt;=0.8,"Commit",IF(N263&gt;=0.5,"Best Case","Pipeline")))</x:f>
        <x:v>Won</x:v>
      </x:c>
    </x:row>
    <x:row r="264">
      <x:c r="A264" t="str">
        <x:v>L00263</x:v>
      </x:c>
      <x:c r="B264" s="10" t="n">
        <x:v>46210</x:v>
      </x:c>
      <x:c r="C264" t="str">
        <x:v>Chi Le</x:v>
      </x:c>
      <x:c r="D264" t="str">
        <x:v>South</x:v>
      </x:c>
      <x:c r="E264" t="str">
        <x:v>Partner Referral</x:v>
      </x:c>
      <x:c r="F264" t="str">
        <x:v>CRM-CORE</x:v>
      </x:c>
      <x:c r="G264" t="str">
        <x:v>Healthcare</x:v>
      </x:c>
      <x:c r="H264" t="str">
        <x:v>Mid-Market</x:v>
      </x:c>
      <x:c r="I264" t="str">
        <x:v>Demo / Meeting</x:v>
      </x:c>
      <x:c r="J264" s="10" t="n">
        <x:v>46255</x:v>
      </x:c>
      <x:c r="K264" s="10"/>
      <x:c r="L264" s="22" t="n">
        <x:v>14300</x:v>
      </x:c>
      <x:c r="M264" s="24" t="n">
        <x:v>0.05</x:v>
      </x:c>
      <x:c r="N264" s="24" t="n">
        <x:v>0.4</x:v>
      </x:c>
      <x:c r="O264" t="str"/>
      <x:c r="P264" t="n">
        <x:v>3</x:v>
      </x:c>
      <x:c r="Q264" t="str">
        <x:f>IFERROR(XLOOKUP(E264,Lookups!$A$5:$A$24,Lookups!$B$5:$B$24),"Other")</x:f>
        <x:v>Referral</x:v>
      </x:c>
      <x:c r="R264" t="str">
        <x:f>IFERROR(XLOOKUP(F264,Lookups!$D$5:$D$10,Lookups!$E$5:$E$10),"Unknown Product")</x:f>
        <x:v>NexaCRM Core</x:v>
      </x:c>
      <x:c r="S264" t="str">
        <x:f>IFERROR(XLOOKUP(F264,Lookups!$D$5:$D$10,Lookups!$F$5:$F$10),"Unknown")</x:f>
        <x:v>CRM</x:v>
      </x:c>
      <x:c r="T264" t="str">
        <x:f>IF(L264&gt;=50000,"Enterprise",IF(L264&gt;=20000,"Mid-Market","SMB"))</x:f>
        <x:v>SMB</x:v>
      </x:c>
      <x:c r="U264" t="str">
        <x:f>IF(I264="Closed Won","Won",IF(I264="Closed Lost","Lost","Open"))</x:f>
        <x:v>Open</x:v>
      </x:c>
      <x:c r="V264" s="22" t="n">
        <x:f>IF(U264="Won",L264*(1-M264),0)</x:f>
        <x:v>0</x:v>
      </x:c>
      <x:c r="W264" s="22" t="n">
        <x:f>IF(U264="Open",L264*N264,0)</x:f>
        <x:v>5720</x:v>
      </x:c>
      <x:c r="X264" s="26" t="str">
        <x:f>IF(U264="Open","",IFERROR(K264-B264,""))</x:f>
      </x:c>
      <x:c r="Y264" s="26" t="n">
        <x:f>IF(U264="Open",Lookups!$B$2-B264,X264)</x:f>
        <x:v>56</x:v>
      </x:c>
      <x:c r="Z264" t="str">
        <x:f>IF(AND(U264="Open",Y264&gt;30),"STALE","OK")</x:f>
        <x:v>STALE</x:v>
      </x:c>
      <x:c r="AA264" t="str">
        <x:f>TEXT(B264,"yyyy-mm")</x:f>
        <x:v>2026-07</x:v>
      </x:c>
      <x:c r="AB264" t="str">
        <x:f>IF(K264="","",TEXT(K264,"yyyy-mm"))</x:f>
      </x:c>
      <x:c r="AC264" t="str">
        <x:f>"Q"&amp;ROUNDUP(MONTH(B264)/3,0)&amp;"-"&amp;YEAR(B264)</x:f>
        <x:v>Q3-2026</x:v>
      </x:c>
      <x:c r="AD264" s="26" t="n">
        <x:f>MIN(100,IF(H264="Enterprise",30,IF(H264="Mid-Market",22,14))+IF(T264="Enterprise",25,IF(T264="Mid-Market",18,10))+IF(Q264="Referral",25,IF(Q264="Organic Search",20,IF(Q264="Email",18,14)))+IF(G264="Technology",10,5))</x:f>
        <x:v>62</x:v>
      </x:c>
      <x:c r="AE264" t="str">
        <x:f>IF(U264&lt;&gt;"Open",U264,IF(N264&gt;=0.8,"Commit",IF(N264&gt;=0.5,"Best Case","Pipeline")))</x:f>
        <x:v>Pipeline</x:v>
      </x:c>
    </x:row>
    <x:row r="265">
      <x:c r="A265" t="str">
        <x:v>L00264</x:v>
      </x:c>
      <x:c r="B265" s="10" t="n">
        <x:v>45905</x:v>
      </x:c>
      <x:c r="C265" t="str">
        <x:v>Ha Vo</x:v>
      </x:c>
      <x:c r="D265" t="str">
        <x:v>North</x:v>
      </x:c>
      <x:c r="E265" t="str">
        <x:v>newsletter</x:v>
      </x:c>
      <x:c r="F265" t="str">
        <x:v>MKT-AUTO</x:v>
      </x:c>
      <x:c r="G265" t="str">
        <x:v>Professional Services</x:v>
      </x:c>
      <x:c r="H265" t="str">
        <x:v>Mid-Market</x:v>
      </x:c>
      <x:c r="I265" t="str">
        <x:v>Closed Lost</x:v>
      </x:c>
      <x:c r="J265" s="10" t="n">
        <x:v>45955</x:v>
      </x:c>
      <x:c r="K265" s="10" t="n">
        <x:v>45955</x:v>
      </x:c>
      <x:c r="L265" s="22" t="n">
        <x:v>29600</x:v>
      </x:c>
      <x:c r="M265" s="24" t="n">
        <x:v>0</x:v>
      </x:c>
      <x:c r="N265" s="24" t="n">
        <x:v>0</x:v>
      </x:c>
      <x:c r="O265" t="str">
        <x:v>Price</x:v>
      </x:c>
      <x:c r="P265" t="n">
        <x:v>5</x:v>
      </x:c>
      <x:c r="Q265" t="str">
        <x:f>IFERROR(XLOOKUP(E265,Lookups!$A$5:$A$24,Lookups!$B$5:$B$24),"Other")</x:f>
        <x:v>Email</x:v>
      </x:c>
      <x:c r="R265" t="str">
        <x:f>IFERROR(XLOOKUP(F265,Lookups!$D$5:$D$10,Lookups!$E$5:$E$10),"Unknown Product")</x:f>
        <x:v>Marketing Automation</x:v>
      </x:c>
      <x:c r="S265" t="str">
        <x:f>IFERROR(XLOOKUP(F265,Lookups!$D$5:$D$10,Lookups!$F$5:$F$10),"Unknown")</x:f>
        <x:v>Marketing</x:v>
      </x:c>
      <x:c r="T265" t="str">
        <x:f>IF(L265&gt;=50000,"Enterprise",IF(L265&gt;=20000,"Mid-Market","SMB"))</x:f>
        <x:v>Mid-Market</x:v>
      </x:c>
      <x:c r="U265" t="str">
        <x:f>IF(I265="Closed Won","Won",IF(I265="Closed Lost","Lost","Open"))</x:f>
        <x:v>Lost</x:v>
      </x:c>
      <x:c r="V265" s="22" t="n">
        <x:f>IF(U265="Won",L265*(1-M265),0)</x:f>
        <x:v>0</x:v>
      </x:c>
      <x:c r="W265" s="22" t="n">
        <x:f>IF(U265="Open",L265*N265,0)</x:f>
        <x:v>0</x:v>
      </x:c>
      <x:c r="X265" s="26" t="n">
        <x:f>IF(U265="Open","",IFERROR(K265-B265,""))</x:f>
        <x:v>50</x:v>
      </x:c>
      <x:c r="Y265" s="26" t="n">
        <x:f>IF(U265="Open",Lookups!$B$2-B265,X265)</x:f>
        <x:v>50</x:v>
      </x:c>
      <x:c r="Z265" t="str">
        <x:f>IF(AND(U265="Open",Y265&gt;30),"STALE","OK")</x:f>
        <x:v>OK</x:v>
      </x:c>
      <x:c r="AA265" t="str">
        <x:f>TEXT(B265,"yyyy-mm")</x:f>
        <x:v>2025-09</x:v>
      </x:c>
      <x:c r="AB265" t="str">
        <x:f>IF(K265="","",TEXT(K265,"yyyy-mm"))</x:f>
        <x:v>2025-10</x:v>
      </x:c>
      <x:c r="AC265" t="str">
        <x:f>"Q"&amp;ROUNDUP(MONTH(B265)/3,0)&amp;"-"&amp;YEAR(B265)</x:f>
        <x:v>Q3-2025</x:v>
      </x:c>
      <x:c r="AD265" s="26" t="n">
        <x:f>MIN(100,IF(H265="Enterprise",30,IF(H265="Mid-Market",22,14))+IF(T265="Enterprise",25,IF(T265="Mid-Market",18,10))+IF(Q265="Referral",25,IF(Q265="Organic Search",20,IF(Q265="Email",18,14)))+IF(G265="Technology",10,5))</x:f>
        <x:v>63</x:v>
      </x:c>
      <x:c r="AE265" t="str">
        <x:f>IF(U265&lt;&gt;"Open",U265,IF(N265&gt;=0.8,"Commit",IF(N265&gt;=0.5,"Best Case","Pipeline")))</x:f>
        <x:v>Lost</x:v>
      </x:c>
    </x:row>
    <x:row r="266">
      <x:c r="A266" t="str">
        <x:v>L00265</x:v>
      </x:c>
      <x:c r="B266" s="10" t="n">
        <x:v>45833</x:v>
      </x:c>
      <x:c r="C266" t="str">
        <x:v>Duy Pham</x:v>
      </x:c>
      <x:c r="D266" t="str">
        <x:v>South</x:v>
      </x:c>
      <x:c r="E266" t="str">
        <x:v>SEM - Google</x:v>
      </x:c>
      <x:c r="F266" t="str">
        <x:v>CS-CLOUD</x:v>
      </x:c>
      <x:c r="G266" t="str">
        <x:v>Education</x:v>
      </x:c>
      <x:c r="H266" t="str">
        <x:v>SMB</x:v>
      </x:c>
      <x:c r="I266" t="str">
        <x:v>Closed Lost</x:v>
      </x:c>
      <x:c r="J266" s="10" t="n">
        <x:v>45888</x:v>
      </x:c>
      <x:c r="K266" s="10" t="n">
        <x:v>45888</x:v>
      </x:c>
      <x:c r="L266" s="22" t="n">
        <x:v>25200</x:v>
      </x:c>
      <x:c r="M266" s="24" t="n">
        <x:v>0</x:v>
      </x:c>
      <x:c r="N266" s="24" t="n">
        <x:v>0</x:v>
      </x:c>
      <x:c r="O266" t="str">
        <x:v>Timing</x:v>
      </x:c>
      <x:c r="P266" t="n">
        <x:v>5</x:v>
      </x:c>
      <x:c r="Q266" t="str">
        <x:f>IFERROR(XLOOKUP(E266,Lookups!$A$5:$A$24,Lookups!$B$5:$B$24),"Other")</x:f>
        <x:v>Paid Search</x:v>
      </x:c>
      <x:c r="R266" t="str">
        <x:f>IFERROR(XLOOKUP(F266,Lookups!$D$5:$D$10,Lookups!$E$5:$E$10),"Unknown Product")</x:f>
        <x:v>Service Cloud</x:v>
      </x:c>
      <x:c r="S266" t="str">
        <x:f>IFERROR(XLOOKUP(F266,Lookups!$D$5:$D$10,Lookups!$F$5:$F$10),"Unknown")</x:f>
        <x:v>Customer Service</x:v>
      </x:c>
      <x:c r="T266" t="str">
        <x:f>IF(L266&gt;=50000,"Enterprise",IF(L266&gt;=20000,"Mid-Market","SMB"))</x:f>
        <x:v>Mid-Market</x:v>
      </x:c>
      <x:c r="U266" t="str">
        <x:f>IF(I266="Closed Won","Won",IF(I266="Closed Lost","Lost","Open"))</x:f>
        <x:v>Lost</x:v>
      </x:c>
      <x:c r="V266" s="22" t="n">
        <x:f>IF(U266="Won",L266*(1-M266),0)</x:f>
        <x:v>0</x:v>
      </x:c>
      <x:c r="W266" s="22" t="n">
        <x:f>IF(U266="Open",L266*N266,0)</x:f>
        <x:v>0</x:v>
      </x:c>
      <x:c r="X266" s="26" t="n">
        <x:f>IF(U266="Open","",IFERROR(K266-B266,""))</x:f>
        <x:v>55</x:v>
      </x:c>
      <x:c r="Y266" s="26" t="n">
        <x:f>IF(U266="Open",Lookups!$B$2-B266,X266)</x:f>
        <x:v>55</x:v>
      </x:c>
      <x:c r="Z266" t="str">
        <x:f>IF(AND(U266="Open",Y266&gt;30),"STALE","OK")</x:f>
        <x:v>OK</x:v>
      </x:c>
      <x:c r="AA266" t="str">
        <x:f>TEXT(B266,"yyyy-mm")</x:f>
        <x:v>2025-06</x:v>
      </x:c>
      <x:c r="AB266" t="str">
        <x:f>IF(K266="","",TEXT(K266,"yyyy-mm"))</x:f>
        <x:v>2025-08</x:v>
      </x:c>
      <x:c r="AC266" t="str">
        <x:f>"Q"&amp;ROUNDUP(MONTH(B266)/3,0)&amp;"-"&amp;YEAR(B266)</x:f>
        <x:v>Q2-2025</x:v>
      </x:c>
      <x:c r="AD266" s="26" t="n">
        <x:f>MIN(100,IF(H266="Enterprise",30,IF(H266="Mid-Market",22,14))+IF(T266="Enterprise",25,IF(T266="Mid-Market",18,10))+IF(Q266="Referral",25,IF(Q266="Organic Search",20,IF(Q266="Email",18,14)))+IF(G266="Technology",10,5))</x:f>
        <x:v>51</x:v>
      </x:c>
      <x:c r="AE266" t="str">
        <x:f>IF(U266&lt;&gt;"Open",U266,IF(N266&gt;=0.8,"Commit",IF(N266&gt;=0.5,"Best Case","Pipeline")))</x:f>
        <x:v>Lost</x:v>
      </x:c>
    </x:row>
    <x:row r="267">
      <x:c r="A267" t="str">
        <x:v>L00266</x:v>
      </x:c>
      <x:c r="B267" s="10" t="n">
        <x:v>45701</x:v>
      </x:c>
      <x:c r="C267" t="str">
        <x:v>Chi Le</x:v>
      </x:c>
      <x:c r="D267" t="str">
        <x:v>South</x:v>
      </x:c>
      <x:c r="E267" t="str">
        <x:v>Webinar</x:v>
      </x:c>
      <x:c r="F267" t="str">
        <x:v>BI-PLUS</x:v>
      </x:c>
      <x:c r="G267" t="str">
        <x:v>Retail</x:v>
      </x:c>
      <x:c r="H267" t="str">
        <x:v>Mid-Market</x:v>
      </x:c>
      <x:c r="I267" t="str">
        <x:v>Closed Lost</x:v>
      </x:c>
      <x:c r="J267" s="10" t="n">
        <x:v>45737</x:v>
      </x:c>
      <x:c r="K267" s="10" t="n">
        <x:v>45737</x:v>
      </x:c>
      <x:c r="L267" s="22" t="n">
        <x:v>42300</x:v>
      </x:c>
      <x:c r="M267" s="24" t="n">
        <x:v>0</x:v>
      </x:c>
      <x:c r="N267" s="24" t="n">
        <x:v>0</x:v>
      </x:c>
      <x:c r="O267" t="str">
        <x:v>Competitor</x:v>
      </x:c>
      <x:c r="P267" t="n">
        <x:v>4</x:v>
      </x:c>
      <x:c r="Q267" t="str">
        <x:f>IFERROR(XLOOKUP(E267,Lookups!$A$5:$A$24,Lookups!$B$5:$B$24),"Other")</x:f>
        <x:v>Webinar</x:v>
      </x:c>
      <x:c r="R267" t="str">
        <x:f>IFERROR(XLOOKUP(F267,Lookups!$D$5:$D$10,Lookups!$E$5:$E$10),"Unknown Product")</x:f>
        <x:v>Analytics Plus</x:v>
      </x:c>
      <x:c r="S267" t="str">
        <x:f>IFERROR(XLOOKUP(F267,Lookups!$D$5:$D$10,Lookups!$F$5:$F$10),"Unknown")</x:f>
        <x:v>Analytics</x:v>
      </x:c>
      <x:c r="T267" t="str">
        <x:f>IF(L267&gt;=50000,"Enterprise",IF(L267&gt;=20000,"Mid-Market","SMB"))</x:f>
        <x:v>Mid-Market</x:v>
      </x:c>
      <x:c r="U267" t="str">
        <x:f>IF(I267="Closed Won","Won",IF(I267="Closed Lost","Lost","Open"))</x:f>
        <x:v>Lost</x:v>
      </x:c>
      <x:c r="V267" s="22" t="n">
        <x:f>IF(U267="Won",L267*(1-M267),0)</x:f>
        <x:v>0</x:v>
      </x:c>
      <x:c r="W267" s="22" t="n">
        <x:f>IF(U267="Open",L267*N267,0)</x:f>
        <x:v>0</x:v>
      </x:c>
      <x:c r="X267" s="26" t="n">
        <x:f>IF(U267="Open","",IFERROR(K267-B267,""))</x:f>
        <x:v>36</x:v>
      </x:c>
      <x:c r="Y267" s="26" t="n">
        <x:f>IF(U267="Open",Lookups!$B$2-B267,X267)</x:f>
        <x:v>36</x:v>
      </x:c>
      <x:c r="Z267" t="str">
        <x:f>IF(AND(U267="Open",Y267&gt;30),"STALE","OK")</x:f>
        <x:v>OK</x:v>
      </x:c>
      <x:c r="AA267" t="str">
        <x:f>TEXT(B267,"yyyy-mm")</x:f>
        <x:v>2025-02</x:v>
      </x:c>
      <x:c r="AB267" t="str">
        <x:f>IF(K267="","",TEXT(K267,"yyyy-mm"))</x:f>
        <x:v>2025-03</x:v>
      </x:c>
      <x:c r="AC267" t="str">
        <x:f>"Q"&amp;ROUNDUP(MONTH(B267)/3,0)&amp;"-"&amp;YEAR(B267)</x:f>
        <x:v>Q1-2025</x:v>
      </x:c>
      <x:c r="AD267" s="26" t="n">
        <x:f>MIN(100,IF(H267="Enterprise",30,IF(H267="Mid-Market",22,14))+IF(T267="Enterprise",25,IF(T267="Mid-Market",18,10))+IF(Q267="Referral",25,IF(Q267="Organic Search",20,IF(Q267="Email",18,14)))+IF(G267="Technology",10,5))</x:f>
        <x:v>59</x:v>
      </x:c>
      <x:c r="AE267" t="str">
        <x:f>IF(U267&lt;&gt;"Open",U267,IF(N267&gt;=0.8,"Commit",IF(N267&gt;=0.5,"Best Case","Pipeline")))</x:f>
        <x:v>Lost</x:v>
      </x:c>
    </x:row>
    <x:row r="268">
      <x:c r="A268" t="str">
        <x:v>L00267</x:v>
      </x:c>
      <x:c r="B268" s="10" t="n">
        <x:v>45811</x:v>
      </x:c>
      <x:c r="C268" t="str">
        <x:v>Ha Vo</x:v>
      </x:c>
      <x:c r="D268" t="str">
        <x:v>North</x:v>
      </x:c>
      <x:c r="E268" t="str">
        <x:v>SEO</x:v>
      </x:c>
      <x:c r="F268" t="str">
        <x:v>CRM-CORE</x:v>
      </x:c>
      <x:c r="G268" t="str">
        <x:v>Manufacturing</x:v>
      </x:c>
      <x:c r="H268" t="str">
        <x:v>SMB</x:v>
      </x:c>
      <x:c r="I268" t="str">
        <x:v>Closed Lost</x:v>
      </x:c>
      <x:c r="J268" s="10" t="n">
        <x:v>45859</x:v>
      </x:c>
      <x:c r="K268" s="10" t="n">
        <x:v>45859</x:v>
      </x:c>
      <x:c r="L268" s="22" t="n">
        <x:v>6300</x:v>
      </x:c>
      <x:c r="M268" s="24" t="n">
        <x:v>0</x:v>
      </x:c>
      <x:c r="N268" s="24" t="n">
        <x:v>0</x:v>
      </x:c>
      <x:c r="O268" t="str">
        <x:v>Competitor</x:v>
      </x:c>
      <x:c r="P268" t="n">
        <x:v>4</x:v>
      </x:c>
      <x:c r="Q268" t="str">
        <x:f>IFERROR(XLOOKUP(E268,Lookups!$A$5:$A$24,Lookups!$B$5:$B$24),"Other")</x:f>
        <x:v>Organic Search</x:v>
      </x:c>
      <x:c r="R268" t="str">
        <x:f>IFERROR(XLOOKUP(F268,Lookups!$D$5:$D$10,Lookups!$E$5:$E$10),"Unknown Product")</x:f>
        <x:v>NexaCRM Core</x:v>
      </x:c>
      <x:c r="S268" t="str">
        <x:f>IFERROR(XLOOKUP(F268,Lookups!$D$5:$D$10,Lookups!$F$5:$F$10),"Unknown")</x:f>
        <x:v>CRM</x:v>
      </x:c>
      <x:c r="T268" t="str">
        <x:f>IF(L268&gt;=50000,"Enterprise",IF(L268&gt;=20000,"Mid-Market","SMB"))</x:f>
        <x:v>SMB</x:v>
      </x:c>
      <x:c r="U268" t="str">
        <x:f>IF(I268="Closed Won","Won",IF(I268="Closed Lost","Lost","Open"))</x:f>
        <x:v>Lost</x:v>
      </x:c>
      <x:c r="V268" s="22" t="n">
        <x:f>IF(U268="Won",L268*(1-M268),0)</x:f>
        <x:v>0</x:v>
      </x:c>
      <x:c r="W268" s="22" t="n">
        <x:f>IF(U268="Open",L268*N268,0)</x:f>
        <x:v>0</x:v>
      </x:c>
      <x:c r="X268" s="26" t="n">
        <x:f>IF(U268="Open","",IFERROR(K268-B268,""))</x:f>
        <x:v>48</x:v>
      </x:c>
      <x:c r="Y268" s="26" t="n">
        <x:f>IF(U268="Open",Lookups!$B$2-B268,X268)</x:f>
        <x:v>48</x:v>
      </x:c>
      <x:c r="Z268" t="str">
        <x:f>IF(AND(U268="Open",Y268&gt;30),"STALE","OK")</x:f>
        <x:v>OK</x:v>
      </x:c>
      <x:c r="AA268" t="str">
        <x:f>TEXT(B268,"yyyy-mm")</x:f>
        <x:v>2025-06</x:v>
      </x:c>
      <x:c r="AB268" t="str">
        <x:f>IF(K268="","",TEXT(K268,"yyyy-mm"))</x:f>
        <x:v>2025-07</x:v>
      </x:c>
      <x:c r="AC268" t="str">
        <x:f>"Q"&amp;ROUNDUP(MONTH(B268)/3,0)&amp;"-"&amp;YEAR(B268)</x:f>
        <x:v>Q2-2025</x:v>
      </x:c>
      <x:c r="AD268" s="26" t="n">
        <x:f>MIN(100,IF(H268="Enterprise",30,IF(H268="Mid-Market",22,14))+IF(T268="Enterprise",25,IF(T268="Mid-Market",18,10))+IF(Q268="Referral",25,IF(Q268="Organic Search",20,IF(Q268="Email",18,14)))+IF(G268="Technology",10,5))</x:f>
        <x:v>49</x:v>
      </x:c>
      <x:c r="AE268" t="str">
        <x:f>IF(U268&lt;&gt;"Open",U268,IF(N268&gt;=0.8,"Commit",IF(N268&gt;=0.5,"Best Case","Pipeline")))</x:f>
        <x:v>Lost</x:v>
      </x:c>
    </x:row>
    <x:row r="269">
      <x:c r="A269" t="str">
        <x:v>L00268</x:v>
      </x:c>
      <x:c r="B269" s="10" t="n">
        <x:v>46145</x:v>
      </x:c>
      <x:c r="C269" t="str">
        <x:v>Quynh Vu</x:v>
      </x:c>
      <x:c r="D269" t="str">
        <x:v>North</x:v>
      </x:c>
      <x:c r="E269" t="str">
        <x:v>google cpc</x:v>
      </x:c>
      <x:c r="F269" t="str">
        <x:v>MKT-AUTO</x:v>
      </x:c>
      <x:c r="G269" t="str">
        <x:v>Education</x:v>
      </x:c>
      <x:c r="H269" t="str">
        <x:v>SMB</x:v>
      </x:c>
      <x:c r="I269" t="str">
        <x:v>Closed Lost</x:v>
      </x:c>
      <x:c r="J269" s="10" t="n">
        <x:v>46191</x:v>
      </x:c>
      <x:c r="K269" s="10" t="n">
        <x:v>46191</x:v>
      </x:c>
      <x:c r="L269" s="22" t="n">
        <x:v>18700</x:v>
      </x:c>
      <x:c r="M269" s="24" t="n">
        <x:v>0</x:v>
      </x:c>
      <x:c r="N269" s="24" t="n">
        <x:v>0</x:v>
      </x:c>
      <x:c r="O269" t="str">
        <x:v>Budget</x:v>
      </x:c>
      <x:c r="P269" t="n">
        <x:v>2</x:v>
      </x:c>
      <x:c r="Q269" t="str">
        <x:f>IFERROR(XLOOKUP(E269,Lookups!$A$5:$A$24,Lookups!$B$5:$B$24),"Other")</x:f>
        <x:v>Paid Search</x:v>
      </x:c>
      <x:c r="R269" t="str">
        <x:f>IFERROR(XLOOKUP(F269,Lookups!$D$5:$D$10,Lookups!$E$5:$E$10),"Unknown Product")</x:f>
        <x:v>Marketing Automation</x:v>
      </x:c>
      <x:c r="S269" t="str">
        <x:f>IFERROR(XLOOKUP(F269,Lookups!$D$5:$D$10,Lookups!$F$5:$F$10),"Unknown")</x:f>
        <x:v>Marketing</x:v>
      </x:c>
      <x:c r="T269" t="str">
        <x:f>IF(L269&gt;=50000,"Enterprise",IF(L269&gt;=20000,"Mid-Market","SMB"))</x:f>
        <x:v>SMB</x:v>
      </x:c>
      <x:c r="U269" t="str">
        <x:f>IF(I269="Closed Won","Won",IF(I269="Closed Lost","Lost","Open"))</x:f>
        <x:v>Lost</x:v>
      </x:c>
      <x:c r="V269" s="22" t="n">
        <x:f>IF(U269="Won",L269*(1-M269),0)</x:f>
        <x:v>0</x:v>
      </x:c>
      <x:c r="W269" s="22" t="n">
        <x:f>IF(U269="Open",L269*N269,0)</x:f>
        <x:v>0</x:v>
      </x:c>
      <x:c r="X269" s="26" t="n">
        <x:f>IF(U269="Open","",IFERROR(K269-B269,""))</x:f>
        <x:v>46</x:v>
      </x:c>
      <x:c r="Y269" s="26" t="n">
        <x:f>IF(U269="Open",Lookups!$B$2-B269,X269)</x:f>
        <x:v>46</x:v>
      </x:c>
      <x:c r="Z269" t="str">
        <x:f>IF(AND(U269="Open",Y269&gt;30),"STALE","OK")</x:f>
        <x:v>OK</x:v>
      </x:c>
      <x:c r="AA269" t="str">
        <x:f>TEXT(B269,"yyyy-mm")</x:f>
        <x:v>2026-05</x:v>
      </x:c>
      <x:c r="AB269" t="str">
        <x:f>IF(K269="","",TEXT(K269,"yyyy-mm"))</x:f>
        <x:v>2026-06</x:v>
      </x:c>
      <x:c r="AC269" t="str">
        <x:f>"Q"&amp;ROUNDUP(MONTH(B269)/3,0)&amp;"-"&amp;YEAR(B269)</x:f>
        <x:v>Q2-2026</x:v>
      </x:c>
      <x:c r="AD269" s="26" t="n">
        <x:f>MIN(100,IF(H269="Enterprise",30,IF(H269="Mid-Market",22,14))+IF(T269="Enterprise",25,IF(T269="Mid-Market",18,10))+IF(Q269="Referral",25,IF(Q269="Organic Search",20,IF(Q269="Email",18,14)))+IF(G269="Technology",10,5))</x:f>
        <x:v>43</x:v>
      </x:c>
      <x:c r="AE269" t="str">
        <x:f>IF(U269&lt;&gt;"Open",U269,IF(N269&gt;=0.8,"Commit",IF(N269&gt;=0.5,"Best Case","Pipeline")))</x:f>
        <x:v>Lost</x:v>
      </x:c>
    </x:row>
    <x:row r="270">
      <x:c r="A270" t="str">
        <x:v>L00269</x:v>
      </x:c>
      <x:c r="B270" s="10" t="n">
        <x:v>46090</x:v>
      </x:c>
      <x:c r="C270" t="str">
        <x:v>An Nguyen</x:v>
      </x:c>
      <x:c r="D270" t="str">
        <x:v>South</x:v>
      </x:c>
      <x:c r="E270" t="str">
        <x:v>SEO</x:v>
      </x:c>
      <x:c r="F270" t="str">
        <x:v>MKT-AUTO</x:v>
      </x:c>
      <x:c r="G270" t="str">
        <x:v>Retail</x:v>
      </x:c>
      <x:c r="H270" t="str">
        <x:v>Enterprise</x:v>
      </x:c>
      <x:c r="I270" t="str">
        <x:v>Closed Lost</x:v>
      </x:c>
      <x:c r="J270" s="10" t="n">
        <x:v>46123</x:v>
      </x:c>
      <x:c r="K270" s="10" t="n">
        <x:v>46123</x:v>
      </x:c>
      <x:c r="L270" s="22" t="n">
        <x:v>59900</x:v>
      </x:c>
      <x:c r="M270" s="24" t="n">
        <x:v>0</x:v>
      </x:c>
      <x:c r="N270" s="24" t="n">
        <x:v>0</x:v>
      </x:c>
      <x:c r="O270" t="str">
        <x:v>Feature Gap</x:v>
      </x:c>
      <x:c r="P270" t="n">
        <x:v>2</x:v>
      </x:c>
      <x:c r="Q270" t="str">
        <x:f>IFERROR(XLOOKUP(E270,Lookups!$A$5:$A$24,Lookups!$B$5:$B$24),"Other")</x:f>
        <x:v>Organic Search</x:v>
      </x:c>
      <x:c r="R270" t="str">
        <x:f>IFERROR(XLOOKUP(F270,Lookups!$D$5:$D$10,Lookups!$E$5:$E$10),"Unknown Product")</x:f>
        <x:v>Marketing Automation</x:v>
      </x:c>
      <x:c r="S270" t="str">
        <x:f>IFERROR(XLOOKUP(F270,Lookups!$D$5:$D$10,Lookups!$F$5:$F$10),"Unknown")</x:f>
        <x:v>Marketing</x:v>
      </x:c>
      <x:c r="T270" t="str">
        <x:f>IF(L270&gt;=50000,"Enterprise",IF(L270&gt;=20000,"Mid-Market","SMB"))</x:f>
        <x:v>Enterprise</x:v>
      </x:c>
      <x:c r="U270" t="str">
        <x:f>IF(I270="Closed Won","Won",IF(I270="Closed Lost","Lost","Open"))</x:f>
        <x:v>Lost</x:v>
      </x:c>
      <x:c r="V270" s="22" t="n">
        <x:f>IF(U270="Won",L270*(1-M270),0)</x:f>
        <x:v>0</x:v>
      </x:c>
      <x:c r="W270" s="22" t="n">
        <x:f>IF(U270="Open",L270*N270,0)</x:f>
        <x:v>0</x:v>
      </x:c>
      <x:c r="X270" s="26" t="n">
        <x:f>IF(U270="Open","",IFERROR(K270-B270,""))</x:f>
        <x:v>33</x:v>
      </x:c>
      <x:c r="Y270" s="26" t="n">
        <x:f>IF(U270="Open",Lookups!$B$2-B270,X270)</x:f>
        <x:v>33</x:v>
      </x:c>
      <x:c r="Z270" t="str">
        <x:f>IF(AND(U270="Open",Y270&gt;30),"STALE","OK")</x:f>
        <x:v>OK</x:v>
      </x:c>
      <x:c r="AA270" t="str">
        <x:f>TEXT(B270,"yyyy-mm")</x:f>
        <x:v>2026-03</x:v>
      </x:c>
      <x:c r="AB270" t="str">
        <x:f>IF(K270="","",TEXT(K270,"yyyy-mm"))</x:f>
        <x:v>2026-04</x:v>
      </x:c>
      <x:c r="AC270" t="str">
        <x:f>"Q"&amp;ROUNDUP(MONTH(B270)/3,0)&amp;"-"&amp;YEAR(B270)</x:f>
        <x:v>Q1-2026</x:v>
      </x:c>
      <x:c r="AD270" s="26" t="n">
        <x:f>MIN(100,IF(H270="Enterprise",30,IF(H270="Mid-Market",22,14))+IF(T270="Enterprise",25,IF(T270="Mid-Market",18,10))+IF(Q270="Referral",25,IF(Q270="Organic Search",20,IF(Q270="Email",18,14)))+IF(G270="Technology",10,5))</x:f>
        <x:v>80</x:v>
      </x:c>
      <x:c r="AE270" t="str">
        <x:f>IF(U270&lt;&gt;"Open",U270,IF(N270&gt;=0.8,"Commit",IF(N270&gt;=0.5,"Best Case","Pipeline")))</x:f>
        <x:v>Lost</x:v>
      </x:c>
    </x:row>
    <x:row r="271">
      <x:c r="A271" t="str">
        <x:v>L00270</x:v>
      </x:c>
      <x:c r="B271" s="10" t="n">
        <x:v>46095</x:v>
      </x:c>
      <x:c r="C271" t="str">
        <x:v>Tuan Bui</x:v>
      </x:c>
      <x:c r="D271" t="str">
        <x:v>Central</x:v>
      </x:c>
      <x:c r="E271" t="str">
        <x:v>Referral</x:v>
      </x:c>
      <x:c r="F271" t="str">
        <x:v>BI-PLUS</x:v>
      </x:c>
      <x:c r="G271" t="str">
        <x:v>Manufacturing</x:v>
      </x:c>
      <x:c r="H271" t="str">
        <x:v>Enterprise</x:v>
      </x:c>
      <x:c r="I271" t="str">
        <x:v>Closed Lost</x:v>
      </x:c>
      <x:c r="J271" s="10" t="n">
        <x:v>46123</x:v>
      </x:c>
      <x:c r="K271" s="10" t="n">
        <x:v>46123</x:v>
      </x:c>
      <x:c r="L271" s="22" t="n">
        <x:v>102500</x:v>
      </x:c>
      <x:c r="M271" s="24" t="n">
        <x:v>0</x:v>
      </x:c>
      <x:c r="N271" s="24" t="n">
        <x:v>0</x:v>
      </x:c>
      <x:c r="O271" t="str">
        <x:v>No Decision</x:v>
      </x:c>
      <x:c r="P271" t="n">
        <x:v>5</x:v>
      </x:c>
      <x:c r="Q271" t="str">
        <x:f>IFERROR(XLOOKUP(E271,Lookups!$A$5:$A$24,Lookups!$B$5:$B$24),"Other")</x:f>
        <x:v>Referral</x:v>
      </x:c>
      <x:c r="R271" t="str">
        <x:f>IFERROR(XLOOKUP(F271,Lookups!$D$5:$D$10,Lookups!$E$5:$E$10),"Unknown Product")</x:f>
        <x:v>Analytics Plus</x:v>
      </x:c>
      <x:c r="S271" t="str">
        <x:f>IFERROR(XLOOKUP(F271,Lookups!$D$5:$D$10,Lookups!$F$5:$F$10),"Unknown")</x:f>
        <x:v>Analytics</x:v>
      </x:c>
      <x:c r="T271" t="str">
        <x:f>IF(L271&gt;=50000,"Enterprise",IF(L271&gt;=20000,"Mid-Market","SMB"))</x:f>
        <x:v>Enterprise</x:v>
      </x:c>
      <x:c r="U271" t="str">
        <x:f>IF(I271="Closed Won","Won",IF(I271="Closed Lost","Lost","Open"))</x:f>
        <x:v>Lost</x:v>
      </x:c>
      <x:c r="V271" s="22" t="n">
        <x:f>IF(U271="Won",L271*(1-M271),0)</x:f>
        <x:v>0</x:v>
      </x:c>
      <x:c r="W271" s="22" t="n">
        <x:f>IF(U271="Open",L271*N271,0)</x:f>
        <x:v>0</x:v>
      </x:c>
      <x:c r="X271" s="26" t="n">
        <x:f>IF(U271="Open","",IFERROR(K271-B271,""))</x:f>
        <x:v>28</x:v>
      </x:c>
      <x:c r="Y271" s="26" t="n">
        <x:f>IF(U271="Open",Lookups!$B$2-B271,X271)</x:f>
        <x:v>28</x:v>
      </x:c>
      <x:c r="Z271" t="str">
        <x:f>IF(AND(U271="Open",Y271&gt;30),"STALE","OK")</x:f>
        <x:v>OK</x:v>
      </x:c>
      <x:c r="AA271" t="str">
        <x:f>TEXT(B271,"yyyy-mm")</x:f>
        <x:v>2026-03</x:v>
      </x:c>
      <x:c r="AB271" t="str">
        <x:f>IF(K271="","",TEXT(K271,"yyyy-mm"))</x:f>
        <x:v>2026-04</x:v>
      </x:c>
      <x:c r="AC271" t="str">
        <x:f>"Q"&amp;ROUNDUP(MONTH(B271)/3,0)&amp;"-"&amp;YEAR(B271)</x:f>
        <x:v>Q1-2026</x:v>
      </x:c>
      <x:c r="AD271" s="26" t="n">
        <x:f>MIN(100,IF(H271="Enterprise",30,IF(H271="Mid-Market",22,14))+IF(T271="Enterprise",25,IF(T271="Mid-Market",18,10))+IF(Q271="Referral",25,IF(Q271="Organic Search",20,IF(Q271="Email",18,14)))+IF(G271="Technology",10,5))</x:f>
        <x:v>85</x:v>
      </x:c>
      <x:c r="AE271" t="str">
        <x:f>IF(U271&lt;&gt;"Open",U271,IF(N271&gt;=0.8,"Commit",IF(N271&gt;=0.5,"Best Case","Pipeline")))</x:f>
        <x:v>Lost</x:v>
      </x:c>
    </x:row>
    <x:row r="272">
      <x:c r="A272" t="str">
        <x:v>L00271</x:v>
      </x:c>
      <x:c r="B272" s="10" t="n">
        <x:v>46237</x:v>
      </x:c>
      <x:c r="C272" t="str">
        <x:v>Tuan Bui</x:v>
      </x:c>
      <x:c r="D272" t="str">
        <x:v>Central</x:v>
      </x:c>
      <x:c r="E272" t="str">
        <x:v>Referral</x:v>
      </x:c>
      <x:c r="F272" t="str">
        <x:v>CRM-CORE</x:v>
      </x:c>
      <x:c r="G272" t="str">
        <x:v>Technology</x:v>
      </x:c>
      <x:c r="H272" t="str">
        <x:v>SMB</x:v>
      </x:c>
      <x:c r="I272" t="str">
        <x:v>Qualified</x:v>
      </x:c>
      <x:c r="J272" s="10" t="n">
        <x:v>46262</x:v>
      </x:c>
      <x:c r="K272" s="10"/>
      <x:c r="L272" s="22" t="n">
        <x:v>9600</x:v>
      </x:c>
      <x:c r="M272" s="24" t="n">
        <x:v>0</x:v>
      </x:c>
      <x:c r="N272" s="24" t="n">
        <x:v>0.2</x:v>
      </x:c>
      <x:c r="O272" t="str"/>
      <x:c r="P272" t="n">
        <x:v>2</x:v>
      </x:c>
      <x:c r="Q272" t="str">
        <x:f>IFERROR(XLOOKUP(E272,Lookups!$A$5:$A$24,Lookups!$B$5:$B$24),"Other")</x:f>
        <x:v>Referral</x:v>
      </x:c>
      <x:c r="R272" t="str">
        <x:f>IFERROR(XLOOKUP(F272,Lookups!$D$5:$D$10,Lookups!$E$5:$E$10),"Unknown Product")</x:f>
        <x:v>NexaCRM Core</x:v>
      </x:c>
      <x:c r="S272" t="str">
        <x:f>IFERROR(XLOOKUP(F272,Lookups!$D$5:$D$10,Lookups!$F$5:$F$10),"Unknown")</x:f>
        <x:v>CRM</x:v>
      </x:c>
      <x:c r="T272" t="str">
        <x:f>IF(L272&gt;=50000,"Enterprise",IF(L272&gt;=20000,"Mid-Market","SMB"))</x:f>
        <x:v>SMB</x:v>
      </x:c>
      <x:c r="U272" t="str">
        <x:f>IF(I272="Closed Won","Won",IF(I272="Closed Lost","Lost","Open"))</x:f>
        <x:v>Open</x:v>
      </x:c>
      <x:c r="V272" s="22" t="n">
        <x:f>IF(U272="Won",L272*(1-M272),0)</x:f>
        <x:v>0</x:v>
      </x:c>
      <x:c r="W272" s="22" t="n">
        <x:f>IF(U272="Open",L272*N272,0)</x:f>
        <x:v>1920</x:v>
      </x:c>
      <x:c r="X272" s="26" t="str">
        <x:f>IF(U272="Open","",IFERROR(K272-B272,""))</x:f>
      </x:c>
      <x:c r="Y272" s="26" t="n">
        <x:f>IF(U272="Open",Lookups!$B$2-B272,X272)</x:f>
        <x:v>29</x:v>
      </x:c>
      <x:c r="Z272" t="str">
        <x:f>IF(AND(U272="Open",Y272&gt;30),"STALE","OK")</x:f>
        <x:v>OK</x:v>
      </x:c>
      <x:c r="AA272" t="str">
        <x:f>TEXT(B272,"yyyy-mm")</x:f>
        <x:v>2026-08</x:v>
      </x:c>
      <x:c r="AB272" t="str">
        <x:f>IF(K272="","",TEXT(K272,"yyyy-mm"))</x:f>
      </x:c>
      <x:c r="AC272" t="str">
        <x:f>"Q"&amp;ROUNDUP(MONTH(B272)/3,0)&amp;"-"&amp;YEAR(B272)</x:f>
        <x:v>Q3-2026</x:v>
      </x:c>
      <x:c r="AD272" s="26" t="n">
        <x:f>MIN(100,IF(H272="Enterprise",30,IF(H272="Mid-Market",22,14))+IF(T272="Enterprise",25,IF(T272="Mid-Market",18,10))+IF(Q272="Referral",25,IF(Q272="Organic Search",20,IF(Q272="Email",18,14)))+IF(G272="Technology",10,5))</x:f>
        <x:v>59</x:v>
      </x:c>
      <x:c r="AE272" t="str">
        <x:f>IF(U272&lt;&gt;"Open",U272,IF(N272&gt;=0.8,"Commit",IF(N272&gt;=0.5,"Best Case","Pipeline")))</x:f>
        <x:v>Pipeline</x:v>
      </x:c>
    </x:row>
    <x:row r="273">
      <x:c r="A273" t="str">
        <x:v>L00272</x:v>
      </x:c>
      <x:c r="B273" s="10" t="n">
        <x:v>45843</x:v>
      </x:c>
      <x:c r="C273" t="str">
        <x:v>Duy Pham</x:v>
      </x:c>
      <x:c r="D273" t="str">
        <x:v>South</x:v>
      </x:c>
      <x:c r="E273" t="str">
        <x:v>Email Campaign</x:v>
      </x:c>
      <x:c r="F273" t="str">
        <x:v>CRM-PRO</x:v>
      </x:c>
      <x:c r="G273" t="str">
        <x:v>Financial Services</x:v>
      </x:c>
      <x:c r="H273" t="str">
        <x:v>Enterprise</x:v>
      </x:c>
      <x:c r="I273" t="str">
        <x:v>Closed Won</x:v>
      </x:c>
      <x:c r="J273" s="10" t="n">
        <x:v>45941</x:v>
      </x:c>
      <x:c r="K273" s="10" t="n">
        <x:v>45941</x:v>
      </x:c>
      <x:c r="L273" s="22" t="n">
        <x:v>88300</x:v>
      </x:c>
      <x:c r="M273" s="24" t="n">
        <x:v>0.05</x:v>
      </x:c>
      <x:c r="N273" s="24" t="n">
        <x:v>1</x:v>
      </x:c>
      <x:c r="O273" t="str"/>
      <x:c r="P273" t="n">
        <x:v>6</x:v>
      </x:c>
      <x:c r="Q273" t="str">
        <x:f>IFERROR(XLOOKUP(E273,Lookups!$A$5:$A$24,Lookups!$B$5:$B$24),"Other")</x:f>
        <x:v>Email</x:v>
      </x:c>
      <x:c r="R273" t="str">
        <x:f>IFERROR(XLOOKUP(F273,Lookups!$D$5:$D$10,Lookups!$E$5:$E$10),"Unknown Product")</x:f>
        <x:v>NexaCRM Pro</x:v>
      </x:c>
      <x:c r="S273" t="str">
        <x:f>IFERROR(XLOOKUP(F273,Lookups!$D$5:$D$10,Lookups!$F$5:$F$10),"Unknown")</x:f>
        <x:v>CRM</x:v>
      </x:c>
      <x:c r="T273" t="str">
        <x:f>IF(L273&gt;=50000,"Enterprise",IF(L273&gt;=20000,"Mid-Market","SMB"))</x:f>
        <x:v>Enterprise</x:v>
      </x:c>
      <x:c r="U273" t="str">
        <x:f>IF(I273="Closed Won","Won",IF(I273="Closed Lost","Lost","Open"))</x:f>
        <x:v>Won</x:v>
      </x:c>
      <x:c r="V273" s="22" t="n">
        <x:f>IF(U273="Won",L273*(1-M273),0)</x:f>
        <x:v>83885</x:v>
      </x:c>
      <x:c r="W273" s="22" t="n">
        <x:f>IF(U273="Open",L273*N273,0)</x:f>
        <x:v>0</x:v>
      </x:c>
      <x:c r="X273" s="26" t="n">
        <x:f>IF(U273="Open","",IFERROR(K273-B273,""))</x:f>
        <x:v>98</x:v>
      </x:c>
      <x:c r="Y273" s="26" t="n">
        <x:f>IF(U273="Open",Lookups!$B$2-B273,X273)</x:f>
        <x:v>98</x:v>
      </x:c>
      <x:c r="Z273" t="str">
        <x:f>IF(AND(U273="Open",Y273&gt;30),"STALE","OK")</x:f>
        <x:v>OK</x:v>
      </x:c>
      <x:c r="AA273" t="str">
        <x:f>TEXT(B273,"yyyy-mm")</x:f>
        <x:v>2025-07</x:v>
      </x:c>
      <x:c r="AB273" t="str">
        <x:f>IF(K273="","",TEXT(K273,"yyyy-mm"))</x:f>
        <x:v>2025-10</x:v>
      </x:c>
      <x:c r="AC273" t="str">
        <x:f>"Q"&amp;ROUNDUP(MONTH(B273)/3,0)&amp;"-"&amp;YEAR(B273)</x:f>
        <x:v>Q3-2025</x:v>
      </x:c>
      <x:c r="AD273" s="26" t="n">
        <x:f>MIN(100,IF(H273="Enterprise",30,IF(H273="Mid-Market",22,14))+IF(T273="Enterprise",25,IF(T273="Mid-Market",18,10))+IF(Q273="Referral",25,IF(Q273="Organic Search",20,IF(Q273="Email",18,14)))+IF(G273="Technology",10,5))</x:f>
        <x:v>78</x:v>
      </x:c>
      <x:c r="AE273" t="str">
        <x:f>IF(U273&lt;&gt;"Open",U273,IF(N273&gt;=0.8,"Commit",IF(N273&gt;=0.5,"Best Case","Pipeline")))</x:f>
        <x:v>Won</x:v>
      </x:c>
    </x:row>
    <x:row r="274">
      <x:c r="A274" t="str">
        <x:v>L00273</x:v>
      </x:c>
      <x:c r="B274" s="10" t="n">
        <x:v>45807</x:v>
      </x:c>
      <x:c r="C274" t="str">
        <x:v>Chi Le</x:v>
      </x:c>
      <x:c r="D274" t="str">
        <x:v>South</x:v>
      </x:c>
      <x:c r="E274" t="str">
        <x:v>customer referral</x:v>
      </x:c>
      <x:c r="F274" t="str">
        <x:v>BI-PLUS</x:v>
      </x:c>
      <x:c r="G274" t="str">
        <x:v>Technology</x:v>
      </x:c>
      <x:c r="H274" t="str">
        <x:v>Enterprise</x:v>
      </x:c>
      <x:c r="I274" t="str">
        <x:v>Closed Lost</x:v>
      </x:c>
      <x:c r="J274" s="10" t="n">
        <x:v>45831</x:v>
      </x:c>
      <x:c r="K274" s="10" t="n">
        <x:v>45831</x:v>
      </x:c>
      <x:c r="L274" s="22" t="n">
        <x:v>71000</x:v>
      </x:c>
      <x:c r="M274" s="24" t="n">
        <x:v>0</x:v>
      </x:c>
      <x:c r="N274" s="24" t="n">
        <x:v>0</x:v>
      </x:c>
      <x:c r="O274" t="str">
        <x:v>Feature Gap</x:v>
      </x:c>
      <x:c r="P274" t="n">
        <x:v>2</x:v>
      </x:c>
      <x:c r="Q274" t="str">
        <x:f>IFERROR(XLOOKUP(E274,Lookups!$A$5:$A$24,Lookups!$B$5:$B$24),"Other")</x:f>
        <x:v>Referral</x:v>
      </x:c>
      <x:c r="R274" t="str">
        <x:f>IFERROR(XLOOKUP(F274,Lookups!$D$5:$D$10,Lookups!$E$5:$E$10),"Unknown Product")</x:f>
        <x:v>Analytics Plus</x:v>
      </x:c>
      <x:c r="S274" t="str">
        <x:f>IFERROR(XLOOKUP(F274,Lookups!$D$5:$D$10,Lookups!$F$5:$F$10),"Unknown")</x:f>
        <x:v>Analytics</x:v>
      </x:c>
      <x:c r="T274" t="str">
        <x:f>IF(L274&gt;=50000,"Enterprise",IF(L274&gt;=20000,"Mid-Market","SMB"))</x:f>
        <x:v>Enterprise</x:v>
      </x:c>
      <x:c r="U274" t="str">
        <x:f>IF(I274="Closed Won","Won",IF(I274="Closed Lost","Lost","Open"))</x:f>
        <x:v>Lost</x:v>
      </x:c>
      <x:c r="V274" s="22" t="n">
        <x:f>IF(U274="Won",L274*(1-M274),0)</x:f>
        <x:v>0</x:v>
      </x:c>
      <x:c r="W274" s="22" t="n">
        <x:f>IF(U274="Open",L274*N274,0)</x:f>
        <x:v>0</x:v>
      </x:c>
      <x:c r="X274" s="26" t="n">
        <x:f>IF(U274="Open","",IFERROR(K274-B274,""))</x:f>
        <x:v>24</x:v>
      </x:c>
      <x:c r="Y274" s="26" t="n">
        <x:f>IF(U274="Open",Lookups!$B$2-B274,X274)</x:f>
        <x:v>24</x:v>
      </x:c>
      <x:c r="Z274" t="str">
        <x:f>IF(AND(U274="Open",Y274&gt;30),"STALE","OK")</x:f>
        <x:v>OK</x:v>
      </x:c>
      <x:c r="AA274" t="str">
        <x:f>TEXT(B274,"yyyy-mm")</x:f>
        <x:v>2025-05</x:v>
      </x:c>
      <x:c r="AB274" t="str">
        <x:f>IF(K274="","",TEXT(K274,"yyyy-mm"))</x:f>
        <x:v>2025-06</x:v>
      </x:c>
      <x:c r="AC274" t="str">
        <x:f>"Q"&amp;ROUNDUP(MONTH(B274)/3,0)&amp;"-"&amp;YEAR(B274)</x:f>
        <x:v>Q2-2025</x:v>
      </x:c>
      <x:c r="AD274" s="26" t="n">
        <x:f>MIN(100,IF(H274="Enterprise",30,IF(H274="Mid-Market",22,14))+IF(T274="Enterprise",25,IF(T274="Mid-Market",18,10))+IF(Q274="Referral",25,IF(Q274="Organic Search",20,IF(Q274="Email",18,14)))+IF(G274="Technology",10,5))</x:f>
        <x:v>90</x:v>
      </x:c>
      <x:c r="AE274" t="str">
        <x:f>IF(U274&lt;&gt;"Open",U274,IF(N274&gt;=0.8,"Commit",IF(N274&gt;=0.5,"Best Case","Pipeline")))</x:f>
        <x:v>Lost</x:v>
      </x:c>
    </x:row>
    <x:row r="275">
      <x:c r="A275" t="str">
        <x:v>L00274</x:v>
      </x:c>
      <x:c r="B275" s="10" t="n">
        <x:v>45710</x:v>
      </x:c>
      <x:c r="C275" t="str">
        <x:v>Quynh Vu</x:v>
      </x:c>
      <x:c r="D275" t="str">
        <x:v>North</x:v>
      </x:c>
      <x:c r="E275" t="str">
        <x:v>Referral</x:v>
      </x:c>
      <x:c r="F275" t="str">
        <x:v>MKT-AUTO</x:v>
      </x:c>
      <x:c r="G275" t="str">
        <x:v>Education</x:v>
      </x:c>
      <x:c r="H275" t="str">
        <x:v>Mid-Market</x:v>
      </x:c>
      <x:c r="I275" t="str">
        <x:v>Closed Lost</x:v>
      </x:c>
      <x:c r="J275" s="10" t="n">
        <x:v>45752</x:v>
      </x:c>
      <x:c r="K275" s="10" t="n">
        <x:v>45752</x:v>
      </x:c>
      <x:c r="L275" s="22" t="n">
        <x:v>28600</x:v>
      </x:c>
      <x:c r="M275" s="24" t="n">
        <x:v>0</x:v>
      </x:c>
      <x:c r="N275" s="24" t="n">
        <x:v>0</x:v>
      </x:c>
      <x:c r="O275" t="str">
        <x:v>Timing</x:v>
      </x:c>
      <x:c r="P275" t="n">
        <x:v>2</x:v>
      </x:c>
      <x:c r="Q275" t="str">
        <x:f>IFERROR(XLOOKUP(E275,Lookups!$A$5:$A$24,Lookups!$B$5:$B$24),"Other")</x:f>
        <x:v>Referral</x:v>
      </x:c>
      <x:c r="R275" t="str">
        <x:f>IFERROR(XLOOKUP(F275,Lookups!$D$5:$D$10,Lookups!$E$5:$E$10),"Unknown Product")</x:f>
        <x:v>Marketing Automation</x:v>
      </x:c>
      <x:c r="S275" t="str">
        <x:f>IFERROR(XLOOKUP(F275,Lookups!$D$5:$D$10,Lookups!$F$5:$F$10),"Unknown")</x:f>
        <x:v>Marketing</x:v>
      </x:c>
      <x:c r="T275" t="str">
        <x:f>IF(L275&gt;=50000,"Enterprise",IF(L275&gt;=20000,"Mid-Market","SMB"))</x:f>
        <x:v>Mid-Market</x:v>
      </x:c>
      <x:c r="U275" t="str">
        <x:f>IF(I275="Closed Won","Won",IF(I275="Closed Lost","Lost","Open"))</x:f>
        <x:v>Lost</x:v>
      </x:c>
      <x:c r="V275" s="22" t="n">
        <x:f>IF(U275="Won",L275*(1-M275),0)</x:f>
        <x:v>0</x:v>
      </x:c>
      <x:c r="W275" s="22" t="n">
        <x:f>IF(U275="Open",L275*N275,0)</x:f>
        <x:v>0</x:v>
      </x:c>
      <x:c r="X275" s="26" t="n">
        <x:f>IF(U275="Open","",IFERROR(K275-B275,""))</x:f>
        <x:v>42</x:v>
      </x:c>
      <x:c r="Y275" s="26" t="n">
        <x:f>IF(U275="Open",Lookups!$B$2-B275,X275)</x:f>
        <x:v>42</x:v>
      </x:c>
      <x:c r="Z275" t="str">
        <x:f>IF(AND(U275="Open",Y275&gt;30),"STALE","OK")</x:f>
        <x:v>OK</x:v>
      </x:c>
      <x:c r="AA275" t="str">
        <x:f>TEXT(B275,"yyyy-mm")</x:f>
        <x:v>2025-02</x:v>
      </x:c>
      <x:c r="AB275" t="str">
        <x:f>IF(K275="","",TEXT(K275,"yyyy-mm"))</x:f>
        <x:v>2025-04</x:v>
      </x:c>
      <x:c r="AC275" t="str">
        <x:f>"Q"&amp;ROUNDUP(MONTH(B275)/3,0)&amp;"-"&amp;YEAR(B275)</x:f>
        <x:v>Q1-2025</x:v>
      </x:c>
      <x:c r="AD275" s="26" t="n">
        <x:f>MIN(100,IF(H275="Enterprise",30,IF(H275="Mid-Market",22,14))+IF(T275="Enterprise",25,IF(T275="Mid-Market",18,10))+IF(Q275="Referral",25,IF(Q275="Organic Search",20,IF(Q275="Email",18,14)))+IF(G275="Technology",10,5))</x:f>
        <x:v>70</x:v>
      </x:c>
      <x:c r="AE275" t="str">
        <x:f>IF(U275&lt;&gt;"Open",U275,IF(N275&gt;=0.8,"Commit",IF(N275&gt;=0.5,"Best Case","Pipeline")))</x:f>
        <x:v>Lost</x:v>
      </x:c>
    </x:row>
    <x:row r="276">
      <x:c r="A276" t="str">
        <x:v>L00275</x:v>
      </x:c>
      <x:c r="B276" s="10" t="n">
        <x:v>46002</x:v>
      </x:c>
      <x:c r="C276" t="str">
        <x:v>Duy Pham</x:v>
      </x:c>
      <x:c r="D276" t="str">
        <x:v>South</x:v>
      </x:c>
      <x:c r="E276" t="str">
        <x:v>customer referral</x:v>
      </x:c>
      <x:c r="F276" t="str">
        <x:v>BI-PLUS</x:v>
      </x:c>
      <x:c r="G276" t="str">
        <x:v>Professional Services</x:v>
      </x:c>
      <x:c r="H276" t="str">
        <x:v>Mid-Market</x:v>
      </x:c>
      <x:c r="I276" t="str">
        <x:v>Negotiation</x:v>
      </x:c>
      <x:c r="J276" s="10" t="n">
        <x:v>46183</x:v>
      </x:c>
      <x:c r="K276" s="10"/>
      <x:c r="L276" s="22" t="n">
        <x:v>33800</x:v>
      </x:c>
      <x:c r="M276" s="24" t="n">
        <x:v>0.05</x:v>
      </x:c>
      <x:c r="N276" s="24" t="n">
        <x:v>0.85</x:v>
      </x:c>
      <x:c r="O276" t="str"/>
      <x:c r="P276" t="n">
        <x:v>5</x:v>
      </x:c>
      <x:c r="Q276" t="str">
        <x:f>IFERROR(XLOOKUP(E276,Lookups!$A$5:$A$24,Lookups!$B$5:$B$24),"Other")</x:f>
        <x:v>Referral</x:v>
      </x:c>
      <x:c r="R276" t="str">
        <x:f>IFERROR(XLOOKUP(F276,Lookups!$D$5:$D$10,Lookups!$E$5:$E$10),"Unknown Product")</x:f>
        <x:v>Analytics Plus</x:v>
      </x:c>
      <x:c r="S276" t="str">
        <x:f>IFERROR(XLOOKUP(F276,Lookups!$D$5:$D$10,Lookups!$F$5:$F$10),"Unknown")</x:f>
        <x:v>Analytics</x:v>
      </x:c>
      <x:c r="T276" t="str">
        <x:f>IF(L276&gt;=50000,"Enterprise",IF(L276&gt;=20000,"Mid-Market","SMB"))</x:f>
        <x:v>Mid-Market</x:v>
      </x:c>
      <x:c r="U276" t="str">
        <x:f>IF(I276="Closed Won","Won",IF(I276="Closed Lost","Lost","Open"))</x:f>
        <x:v>Open</x:v>
      </x:c>
      <x:c r="V276" s="22" t="n">
        <x:f>IF(U276="Won",L276*(1-M276),0)</x:f>
        <x:v>0</x:v>
      </x:c>
      <x:c r="W276" s="22" t="n">
        <x:f>IF(U276="Open",L276*N276,0)</x:f>
        <x:v>28730</x:v>
      </x:c>
      <x:c r="X276" s="26" t="str">
        <x:f>IF(U276="Open","",IFERROR(K276-B276,""))</x:f>
      </x:c>
      <x:c r="Y276" s="26" t="n">
        <x:f>IF(U276="Open",Lookups!$B$2-B276,X276)</x:f>
        <x:v>264</x:v>
      </x:c>
      <x:c r="Z276" t="str">
        <x:f>IF(AND(U276="Open",Y276&gt;30),"STALE","OK")</x:f>
        <x:v>STALE</x:v>
      </x:c>
      <x:c r="AA276" t="str">
        <x:f>TEXT(B276,"yyyy-mm")</x:f>
        <x:v>2025-12</x:v>
      </x:c>
      <x:c r="AB276" t="str">
        <x:f>IF(K276="","",TEXT(K276,"yyyy-mm"))</x:f>
      </x:c>
      <x:c r="AC276" t="str">
        <x:f>"Q"&amp;ROUNDUP(MONTH(B276)/3,0)&amp;"-"&amp;YEAR(B276)</x:f>
        <x:v>Q4-2025</x:v>
      </x:c>
      <x:c r="AD276" s="26" t="n">
        <x:f>MIN(100,IF(H276="Enterprise",30,IF(H276="Mid-Market",22,14))+IF(T276="Enterprise",25,IF(T276="Mid-Market",18,10))+IF(Q276="Referral",25,IF(Q276="Organic Search",20,IF(Q276="Email",18,14)))+IF(G276="Technology",10,5))</x:f>
        <x:v>70</x:v>
      </x:c>
      <x:c r="AE276" t="str">
        <x:f>IF(U276&lt;&gt;"Open",U276,IF(N276&gt;=0.8,"Commit",IF(N276&gt;=0.5,"Best Case","Pipeline")))</x:f>
        <x:v>Commit</x:v>
      </x:c>
    </x:row>
    <x:row r="277">
      <x:c r="A277" t="str">
        <x:v>L00276</x:v>
      </x:c>
      <x:c r="B277" s="10" t="n">
        <x:v>45949</x:v>
      </x:c>
      <x:c r="C277" t="str">
        <x:v>An Nguyen</x:v>
      </x:c>
      <x:c r="D277" t="str">
        <x:v>South</x:v>
      </x:c>
      <x:c r="E277" t="str">
        <x:v>Outbound</x:v>
      </x:c>
      <x:c r="F277" t="str">
        <x:v>BI-PLUS</x:v>
      </x:c>
      <x:c r="G277" t="str">
        <x:v>Professional Services</x:v>
      </x:c>
      <x:c r="H277" t="str">
        <x:v>SMB</x:v>
      </x:c>
      <x:c r="I277" t="str">
        <x:v>Closed Lost</x:v>
      </x:c>
      <x:c r="J277" s="10" t="n">
        <x:v>46003</x:v>
      </x:c>
      <x:c r="K277" s="10" t="n">
        <x:v>46003</x:v>
      </x:c>
      <x:c r="L277" s="22" t="n">
        <x:v>26700</x:v>
      </x:c>
      <x:c r="M277" s="24" t="n">
        <x:v>0</x:v>
      </x:c>
      <x:c r="N277" s="24" t="n">
        <x:v>0</x:v>
      </x:c>
      <x:c r="O277" t="str">
        <x:v>Feature Gap</x:v>
      </x:c>
      <x:c r="P277" t="n">
        <x:v>4</x:v>
      </x:c>
      <x:c r="Q277" t="str">
        <x:f>IFERROR(XLOOKUP(E277,Lookups!$A$5:$A$24,Lookups!$B$5:$B$24),"Other")</x:f>
        <x:v>Outbound</x:v>
      </x:c>
      <x:c r="R277" t="str">
        <x:f>IFERROR(XLOOKUP(F277,Lookups!$D$5:$D$10,Lookups!$E$5:$E$10),"Unknown Product")</x:f>
        <x:v>Analytics Plus</x:v>
      </x:c>
      <x:c r="S277" t="str">
        <x:f>IFERROR(XLOOKUP(F277,Lookups!$D$5:$D$10,Lookups!$F$5:$F$10),"Unknown")</x:f>
        <x:v>Analytics</x:v>
      </x:c>
      <x:c r="T277" t="str">
        <x:f>IF(L277&gt;=50000,"Enterprise",IF(L277&gt;=20000,"Mid-Market","SMB"))</x:f>
        <x:v>Mid-Market</x:v>
      </x:c>
      <x:c r="U277" t="str">
        <x:f>IF(I277="Closed Won","Won",IF(I277="Closed Lost","Lost","Open"))</x:f>
        <x:v>Lost</x:v>
      </x:c>
      <x:c r="V277" s="22" t="n">
        <x:f>IF(U277="Won",L277*(1-M277),0)</x:f>
        <x:v>0</x:v>
      </x:c>
      <x:c r="W277" s="22" t="n">
        <x:f>IF(U277="Open",L277*N277,0)</x:f>
        <x:v>0</x:v>
      </x:c>
      <x:c r="X277" s="26" t="n">
        <x:f>IF(U277="Open","",IFERROR(K277-B277,""))</x:f>
        <x:v>54</x:v>
      </x:c>
      <x:c r="Y277" s="26" t="n">
        <x:f>IF(U277="Open",Lookups!$B$2-B277,X277)</x:f>
        <x:v>54</x:v>
      </x:c>
      <x:c r="Z277" t="str">
        <x:f>IF(AND(U277="Open",Y277&gt;30),"STALE","OK")</x:f>
        <x:v>OK</x:v>
      </x:c>
      <x:c r="AA277" t="str">
        <x:f>TEXT(B277,"yyyy-mm")</x:f>
        <x:v>2025-10</x:v>
      </x:c>
      <x:c r="AB277" t="str">
        <x:f>IF(K277="","",TEXT(K277,"yyyy-mm"))</x:f>
        <x:v>2025-12</x:v>
      </x:c>
      <x:c r="AC277" t="str">
        <x:f>"Q"&amp;ROUNDUP(MONTH(B277)/3,0)&amp;"-"&amp;YEAR(B277)</x:f>
        <x:v>Q4-2025</x:v>
      </x:c>
      <x:c r="AD277" s="26" t="n">
        <x:f>MIN(100,IF(H277="Enterprise",30,IF(H277="Mid-Market",22,14))+IF(T277="Enterprise",25,IF(T277="Mid-Market",18,10))+IF(Q277="Referral",25,IF(Q277="Organic Search",20,IF(Q277="Email",18,14)))+IF(G277="Technology",10,5))</x:f>
        <x:v>51</x:v>
      </x:c>
      <x:c r="AE277" t="str">
        <x:f>IF(U277&lt;&gt;"Open",U277,IF(N277&gt;=0.8,"Commit",IF(N277&gt;=0.5,"Best Case","Pipeline")))</x:f>
        <x:v>Lost</x:v>
      </x:c>
    </x:row>
    <x:row r="278">
      <x:c r="A278" t="str">
        <x:v>L00277</x:v>
      </x:c>
      <x:c r="B278" s="10" t="n">
        <x:v>46021</x:v>
      </x:c>
      <x:c r="C278" t="str">
        <x:v>Bao Tran</x:v>
      </x:c>
      <x:c r="D278" t="str">
        <x:v>South</x:v>
      </x:c>
      <x:c r="E278" t="str">
        <x:v>LI Ads</x:v>
      </x:c>
      <x:c r="F278" t="str">
        <x:v>CRM-PRO</x:v>
      </x:c>
      <x:c r="G278" t="str">
        <x:v>Technology</x:v>
      </x:c>
      <x:c r="H278" t="str">
        <x:v>Enterprise</x:v>
      </x:c>
      <x:c r="I278" t="str">
        <x:v>Closed Lost</x:v>
      </x:c>
      <x:c r="J278" s="10" t="n">
        <x:v>46090</x:v>
      </x:c>
      <x:c r="K278" s="10" t="n">
        <x:v>46090</x:v>
      </x:c>
      <x:c r="L278" s="22" t="n">
        <x:v>70700</x:v>
      </x:c>
      <x:c r="M278" s="24" t="n">
        <x:v>0</x:v>
      </x:c>
      <x:c r="N278" s="24" t="n">
        <x:v>0</x:v>
      </x:c>
      <x:c r="O278" t="str">
        <x:v>Competitor</x:v>
      </x:c>
      <x:c r="P278" t="n">
        <x:v>4</x:v>
      </x:c>
      <x:c r="Q278" t="str">
        <x:f>IFERROR(XLOOKUP(E278,Lookups!$A$5:$A$24,Lookups!$B$5:$B$24),"Other")</x:f>
        <x:v>LinkedIn</x:v>
      </x:c>
      <x:c r="R278" t="str">
        <x:f>IFERROR(XLOOKUP(F278,Lookups!$D$5:$D$10,Lookups!$E$5:$E$10),"Unknown Product")</x:f>
        <x:v>NexaCRM Pro</x:v>
      </x:c>
      <x:c r="S278" t="str">
        <x:f>IFERROR(XLOOKUP(F278,Lookups!$D$5:$D$10,Lookups!$F$5:$F$10),"Unknown")</x:f>
        <x:v>CRM</x:v>
      </x:c>
      <x:c r="T278" t="str">
        <x:f>IF(L278&gt;=50000,"Enterprise",IF(L278&gt;=20000,"Mid-Market","SMB"))</x:f>
        <x:v>Enterprise</x:v>
      </x:c>
      <x:c r="U278" t="str">
        <x:f>IF(I278="Closed Won","Won",IF(I278="Closed Lost","Lost","Open"))</x:f>
        <x:v>Lost</x:v>
      </x:c>
      <x:c r="V278" s="22" t="n">
        <x:f>IF(U278="Won",L278*(1-M278),0)</x:f>
        <x:v>0</x:v>
      </x:c>
      <x:c r="W278" s="22" t="n">
        <x:f>IF(U278="Open",L278*N278,0)</x:f>
        <x:v>0</x:v>
      </x:c>
      <x:c r="X278" s="26" t="n">
        <x:f>IF(U278="Open","",IFERROR(K278-B278,""))</x:f>
        <x:v>69</x:v>
      </x:c>
      <x:c r="Y278" s="26" t="n">
        <x:f>IF(U278="Open",Lookups!$B$2-B278,X278)</x:f>
        <x:v>69</x:v>
      </x:c>
      <x:c r="Z278" t="str">
        <x:f>IF(AND(U278="Open",Y278&gt;30),"STALE","OK")</x:f>
        <x:v>OK</x:v>
      </x:c>
      <x:c r="AA278" t="str">
        <x:f>TEXT(B278,"yyyy-mm")</x:f>
        <x:v>2025-12</x:v>
      </x:c>
      <x:c r="AB278" t="str">
        <x:f>IF(K278="","",TEXT(K278,"yyyy-mm"))</x:f>
        <x:v>2026-03</x:v>
      </x:c>
      <x:c r="AC278" t="str">
        <x:f>"Q"&amp;ROUNDUP(MONTH(B278)/3,0)&amp;"-"&amp;YEAR(B278)</x:f>
        <x:v>Q4-2025</x:v>
      </x:c>
      <x:c r="AD278" s="26" t="n">
        <x:f>MIN(100,IF(H278="Enterprise",30,IF(H278="Mid-Market",22,14))+IF(T278="Enterprise",25,IF(T278="Mid-Market",18,10))+IF(Q278="Referral",25,IF(Q278="Organic Search",20,IF(Q278="Email",18,14)))+IF(G278="Technology",10,5))</x:f>
        <x:v>79</x:v>
      </x:c>
      <x:c r="AE278" t="str">
        <x:f>IF(U278&lt;&gt;"Open",U278,IF(N278&gt;=0.8,"Commit",IF(N278&gt;=0.5,"Best Case","Pipeline")))</x:f>
        <x:v>Lost</x:v>
      </x:c>
    </x:row>
    <x:row r="279">
      <x:c r="A279" t="str">
        <x:v>L00278</x:v>
      </x:c>
      <x:c r="B279" s="10" t="n">
        <x:v>45770</x:v>
      </x:c>
      <x:c r="C279" t="str">
        <x:v>Quynh Vu</x:v>
      </x:c>
      <x:c r="D279" t="str">
        <x:v>North</x:v>
      </x:c>
      <x:c r="E279" t="str">
        <x:v>Google Organic</x:v>
      </x:c>
      <x:c r="F279" t="str">
        <x:v>CS-CLOUD</x:v>
      </x:c>
      <x:c r="G279" t="str">
        <x:v>Technology</x:v>
      </x:c>
      <x:c r="H279" t="str">
        <x:v>SMB</x:v>
      </x:c>
      <x:c r="I279" t="str">
        <x:v>Negotiation</x:v>
      </x:c>
      <x:c r="J279" s="10" t="n">
        <x:v>45984</x:v>
      </x:c>
      <x:c r="K279" s="10"/>
      <x:c r="L279" s="22" t="n">
        <x:v>19300</x:v>
      </x:c>
      <x:c r="M279" s="24" t="n">
        <x:v>0.03</x:v>
      </x:c>
      <x:c r="N279" s="24" t="n">
        <x:v>0.85</x:v>
      </x:c>
      <x:c r="O279" t="str"/>
      <x:c r="P279" t="n">
        <x:v>5</x:v>
      </x:c>
      <x:c r="Q279" t="str">
        <x:f>IFERROR(XLOOKUP(E279,Lookups!$A$5:$A$24,Lookups!$B$5:$B$24),"Other")</x:f>
        <x:v>Organic Search</x:v>
      </x:c>
      <x:c r="R279" t="str">
        <x:f>IFERROR(XLOOKUP(F279,Lookups!$D$5:$D$10,Lookups!$E$5:$E$10),"Unknown Product")</x:f>
        <x:v>Service Cloud</x:v>
      </x:c>
      <x:c r="S279" t="str">
        <x:f>IFERROR(XLOOKUP(F279,Lookups!$D$5:$D$10,Lookups!$F$5:$F$10),"Unknown")</x:f>
        <x:v>Customer Service</x:v>
      </x:c>
      <x:c r="T279" t="str">
        <x:f>IF(L279&gt;=50000,"Enterprise",IF(L279&gt;=20000,"Mid-Market","SMB"))</x:f>
        <x:v>SMB</x:v>
      </x:c>
      <x:c r="U279" t="str">
        <x:f>IF(I279="Closed Won","Won",IF(I279="Closed Lost","Lost","Open"))</x:f>
        <x:v>Open</x:v>
      </x:c>
      <x:c r="V279" s="22" t="n">
        <x:f>IF(U279="Won",L279*(1-M279),0)</x:f>
        <x:v>0</x:v>
      </x:c>
      <x:c r="W279" s="22" t="n">
        <x:f>IF(U279="Open",L279*N279,0)</x:f>
        <x:v>16405</x:v>
      </x:c>
      <x:c r="X279" s="26" t="str">
        <x:f>IF(U279="Open","",IFERROR(K279-B279,""))</x:f>
      </x:c>
      <x:c r="Y279" s="26" t="n">
        <x:f>IF(U279="Open",Lookups!$B$2-B279,X279)</x:f>
        <x:v>496</x:v>
      </x:c>
      <x:c r="Z279" t="str">
        <x:f>IF(AND(U279="Open",Y279&gt;30),"STALE","OK")</x:f>
        <x:v>STALE</x:v>
      </x:c>
      <x:c r="AA279" t="str">
        <x:f>TEXT(B279,"yyyy-mm")</x:f>
        <x:v>2025-04</x:v>
      </x:c>
      <x:c r="AB279" t="str">
        <x:f>IF(K279="","",TEXT(K279,"yyyy-mm"))</x:f>
      </x:c>
      <x:c r="AC279" t="str">
        <x:f>"Q"&amp;ROUNDUP(MONTH(B279)/3,0)&amp;"-"&amp;YEAR(B279)</x:f>
        <x:v>Q2-2025</x:v>
      </x:c>
      <x:c r="AD279" s="26" t="n">
        <x:f>MIN(100,IF(H279="Enterprise",30,IF(H279="Mid-Market",22,14))+IF(T279="Enterprise",25,IF(T279="Mid-Market",18,10))+IF(Q279="Referral",25,IF(Q279="Organic Search",20,IF(Q279="Email",18,14)))+IF(G279="Technology",10,5))</x:f>
        <x:v>54</x:v>
      </x:c>
      <x:c r="AE279" t="str">
        <x:f>IF(U279&lt;&gt;"Open",U279,IF(N279&gt;=0.8,"Commit",IF(N279&gt;=0.5,"Best Case","Pipeline")))</x:f>
        <x:v>Commit</x:v>
      </x:c>
    </x:row>
    <x:row r="280">
      <x:c r="A280" t="str">
        <x:v>L00279</x:v>
      </x:c>
      <x:c r="B280" s="10" t="n">
        <x:v>45916</x:v>
      </x:c>
      <x:c r="C280" t="str">
        <x:v>Tuan Bui</x:v>
      </x:c>
      <x:c r="D280" t="str">
        <x:v>Central</x:v>
      </x:c>
      <x:c r="E280" t="str">
        <x:v>LinkedIn Ads</x:v>
      </x:c>
      <x:c r="F280" t="str">
        <x:v>BI-PLUS</x:v>
      </x:c>
      <x:c r="G280" t="str">
        <x:v>Professional Services</x:v>
      </x:c>
      <x:c r="H280" t="str">
        <x:v>Mid-Market</x:v>
      </x:c>
      <x:c r="I280" t="str">
        <x:v>Closed Lost</x:v>
      </x:c>
      <x:c r="J280" s="10" t="n">
        <x:v>45956</x:v>
      </x:c>
      <x:c r="K280" s="10" t="n">
        <x:v>45956</x:v>
      </x:c>
      <x:c r="L280" s="22" t="n">
        <x:v>53300</x:v>
      </x:c>
      <x:c r="M280" s="24" t="n">
        <x:v>0</x:v>
      </x:c>
      <x:c r="N280" s="24" t="n">
        <x:v>0</x:v>
      </x:c>
      <x:c r="O280" t="str">
        <x:v>No Decision</x:v>
      </x:c>
      <x:c r="P280" t="n">
        <x:v>5</x:v>
      </x:c>
      <x:c r="Q280" t="str">
        <x:f>IFERROR(XLOOKUP(E280,Lookups!$A$5:$A$24,Lookups!$B$5:$B$24),"Other")</x:f>
        <x:v>LinkedIn</x:v>
      </x:c>
      <x:c r="R280" t="str">
        <x:f>IFERROR(XLOOKUP(F280,Lookups!$D$5:$D$10,Lookups!$E$5:$E$10),"Unknown Product")</x:f>
        <x:v>Analytics Plus</x:v>
      </x:c>
      <x:c r="S280" t="str">
        <x:f>IFERROR(XLOOKUP(F280,Lookups!$D$5:$D$10,Lookups!$F$5:$F$10),"Unknown")</x:f>
        <x:v>Analytics</x:v>
      </x:c>
      <x:c r="T280" t="str">
        <x:f>IF(L280&gt;=50000,"Enterprise",IF(L280&gt;=20000,"Mid-Market","SMB"))</x:f>
        <x:v>Enterprise</x:v>
      </x:c>
      <x:c r="U280" t="str">
        <x:f>IF(I280="Closed Won","Won",IF(I280="Closed Lost","Lost","Open"))</x:f>
        <x:v>Lost</x:v>
      </x:c>
      <x:c r="V280" s="22" t="n">
        <x:f>IF(U280="Won",L280*(1-M280),0)</x:f>
        <x:v>0</x:v>
      </x:c>
      <x:c r="W280" s="22" t="n">
        <x:f>IF(U280="Open",L280*N280,0)</x:f>
        <x:v>0</x:v>
      </x:c>
      <x:c r="X280" s="26" t="n">
        <x:f>IF(U280="Open","",IFERROR(K280-B280,""))</x:f>
        <x:v>40</x:v>
      </x:c>
      <x:c r="Y280" s="26" t="n">
        <x:f>IF(U280="Open",Lookups!$B$2-B280,X280)</x:f>
        <x:v>40</x:v>
      </x:c>
      <x:c r="Z280" t="str">
        <x:f>IF(AND(U280="Open",Y280&gt;30),"STALE","OK")</x:f>
        <x:v>OK</x:v>
      </x:c>
      <x:c r="AA280" t="str">
        <x:f>TEXT(B280,"yyyy-mm")</x:f>
        <x:v>2025-09</x:v>
      </x:c>
      <x:c r="AB280" t="str">
        <x:f>IF(K280="","",TEXT(K280,"yyyy-mm"))</x:f>
        <x:v>2025-10</x:v>
      </x:c>
      <x:c r="AC280" t="str">
        <x:f>"Q"&amp;ROUNDUP(MONTH(B280)/3,0)&amp;"-"&amp;YEAR(B280)</x:f>
        <x:v>Q3-2025</x:v>
      </x:c>
      <x:c r="AD280" s="26" t="n">
        <x:f>MIN(100,IF(H280="Enterprise",30,IF(H280="Mid-Market",22,14))+IF(T280="Enterprise",25,IF(T280="Mid-Market",18,10))+IF(Q280="Referral",25,IF(Q280="Organic Search",20,IF(Q280="Email",18,14)))+IF(G280="Technology",10,5))</x:f>
        <x:v>66</x:v>
      </x:c>
      <x:c r="AE280" t="str">
        <x:f>IF(U280&lt;&gt;"Open",U280,IF(N280&gt;=0.8,"Commit",IF(N280&gt;=0.5,"Best Case","Pipeline")))</x:f>
        <x:v>Lost</x:v>
      </x:c>
    </x:row>
    <x:row r="281">
      <x:c r="A281" t="str">
        <x:v>L00280</x:v>
      </x:c>
      <x:c r="B281" s="10" t="n">
        <x:v>46121</x:v>
      </x:c>
      <x:c r="C281" t="str">
        <x:v>Bao Tran</x:v>
      </x:c>
      <x:c r="D281" t="str">
        <x:v>South</x:v>
      </x:c>
      <x:c r="E281" t="str">
        <x:v>email nurture</x:v>
      </x:c>
      <x:c r="F281" t="str">
        <x:v>REV-OPS</x:v>
      </x:c>
      <x:c r="G281" t="str">
        <x:v>Manufacturing</x:v>
      </x:c>
      <x:c r="H281" t="str">
        <x:v>SMB</x:v>
      </x:c>
      <x:c r="I281" t="str">
        <x:v>Closed Lost</x:v>
      </x:c>
      <x:c r="J281" s="10" t="n">
        <x:v>46154</x:v>
      </x:c>
      <x:c r="K281" s="10" t="n">
        <x:v>46154</x:v>
      </x:c>
      <x:c r="L281" s="22" t="n">
        <x:v>30400</x:v>
      </x:c>
      <x:c r="M281" s="24" t="n">
        <x:v>0</x:v>
      </x:c>
      <x:c r="N281" s="24" t="n">
        <x:v>0</x:v>
      </x:c>
      <x:c r="O281" t="str">
        <x:v>Feature Gap</x:v>
      </x:c>
      <x:c r="P281" t="n">
        <x:v>4</x:v>
      </x:c>
      <x:c r="Q281" t="str">
        <x:f>IFERROR(XLOOKUP(E281,Lookups!$A$5:$A$24,Lookups!$B$5:$B$24),"Other")</x:f>
        <x:v>Email</x:v>
      </x:c>
      <x:c r="R281" t="str">
        <x:f>IFERROR(XLOOKUP(F281,Lookups!$D$5:$D$10,Lookups!$E$5:$E$10),"Unknown Product")</x:f>
        <x:v>Revenue Operations Suite</x:v>
      </x:c>
      <x:c r="S281" t="str">
        <x:f>IFERROR(XLOOKUP(F281,Lookups!$D$5:$D$10,Lookups!$F$5:$F$10),"Unknown")</x:f>
        <x:v>Revenue Ops</x:v>
      </x:c>
      <x:c r="T281" t="str">
        <x:f>IF(L281&gt;=50000,"Enterprise",IF(L281&gt;=20000,"Mid-Market","SMB"))</x:f>
        <x:v>Mid-Market</x:v>
      </x:c>
      <x:c r="U281" t="str">
        <x:f>IF(I281="Closed Won","Won",IF(I281="Closed Lost","Lost","Open"))</x:f>
        <x:v>Lost</x:v>
      </x:c>
      <x:c r="V281" s="22" t="n">
        <x:f>IF(U281="Won",L281*(1-M281),0)</x:f>
        <x:v>0</x:v>
      </x:c>
      <x:c r="W281" s="22" t="n">
        <x:f>IF(U281="Open",L281*N281,0)</x:f>
        <x:v>0</x:v>
      </x:c>
      <x:c r="X281" s="26" t="n">
        <x:f>IF(U281="Open","",IFERROR(K281-B281,""))</x:f>
        <x:v>33</x:v>
      </x:c>
      <x:c r="Y281" s="26" t="n">
        <x:f>IF(U281="Open",Lookups!$B$2-B281,X281)</x:f>
        <x:v>33</x:v>
      </x:c>
      <x:c r="Z281" t="str">
        <x:f>IF(AND(U281="Open",Y281&gt;30),"STALE","OK")</x:f>
        <x:v>OK</x:v>
      </x:c>
      <x:c r="AA281" t="str">
        <x:f>TEXT(B281,"yyyy-mm")</x:f>
        <x:v>2026-04</x:v>
      </x:c>
      <x:c r="AB281" t="str">
        <x:f>IF(K281="","",TEXT(K281,"yyyy-mm"))</x:f>
        <x:v>2026-05</x:v>
      </x:c>
      <x:c r="AC281" t="str">
        <x:f>"Q"&amp;ROUNDUP(MONTH(B281)/3,0)&amp;"-"&amp;YEAR(B281)</x:f>
        <x:v>Q2-2026</x:v>
      </x:c>
      <x:c r="AD281" s="26" t="n">
        <x:f>MIN(100,IF(H281="Enterprise",30,IF(H281="Mid-Market",22,14))+IF(T281="Enterprise",25,IF(T281="Mid-Market",18,10))+IF(Q281="Referral",25,IF(Q281="Organic Search",20,IF(Q281="Email",18,14)))+IF(G281="Technology",10,5))</x:f>
        <x:v>55</x:v>
      </x:c>
      <x:c r="AE281" t="str">
        <x:f>IF(U281&lt;&gt;"Open",U281,IF(N281&gt;=0.8,"Commit",IF(N281&gt;=0.5,"Best Case","Pipeline")))</x:f>
        <x:v>Lost</x:v>
      </x:c>
    </x:row>
    <x:row r="282">
      <x:c r="A282" t="str">
        <x:v>L00281</x:v>
      </x:c>
      <x:c r="B282" s="10" t="n">
        <x:v>46029</x:v>
      </x:c>
      <x:c r="C282" t="str">
        <x:v>An Nguyen</x:v>
      </x:c>
      <x:c r="D282" t="str">
        <x:v>South</x:v>
      </x:c>
      <x:c r="E282" t="str">
        <x:v>Google Ads</x:v>
      </x:c>
      <x:c r="F282" t="str">
        <x:v>CRM-CORE</x:v>
      </x:c>
      <x:c r="G282" t="str">
        <x:v>Education</x:v>
      </x:c>
      <x:c r="H282" t="str">
        <x:v>SMB</x:v>
      </x:c>
      <x:c r="I282" t="str">
        <x:v>Closed Lost</x:v>
      </x:c>
      <x:c r="J282" s="10" t="n">
        <x:v>46105</x:v>
      </x:c>
      <x:c r="K282" s="10" t="n">
        <x:v>46105</x:v>
      </x:c>
      <x:c r="L282" s="22" t="n">
        <x:v>7100</x:v>
      </x:c>
      <x:c r="M282" s="24" t="n">
        <x:v>0</x:v>
      </x:c>
      <x:c r="N282" s="24" t="n">
        <x:v>0</x:v>
      </x:c>
      <x:c r="O282" t="str">
        <x:v>Price</x:v>
      </x:c>
      <x:c r="P282" t="n">
        <x:v>3</x:v>
      </x:c>
      <x:c r="Q282" t="str">
        <x:f>IFERROR(XLOOKUP(E282,Lookups!$A$5:$A$24,Lookups!$B$5:$B$24),"Other")</x:f>
        <x:v>Paid Search</x:v>
      </x:c>
      <x:c r="R282" t="str">
        <x:f>IFERROR(XLOOKUP(F282,Lookups!$D$5:$D$10,Lookups!$E$5:$E$10),"Unknown Product")</x:f>
        <x:v>NexaCRM Core</x:v>
      </x:c>
      <x:c r="S282" t="str">
        <x:f>IFERROR(XLOOKUP(F282,Lookups!$D$5:$D$10,Lookups!$F$5:$F$10),"Unknown")</x:f>
        <x:v>CRM</x:v>
      </x:c>
      <x:c r="T282" t="str">
        <x:f>IF(L282&gt;=50000,"Enterprise",IF(L282&gt;=20000,"Mid-Market","SMB"))</x:f>
        <x:v>SMB</x:v>
      </x:c>
      <x:c r="U282" t="str">
        <x:f>IF(I282="Closed Won","Won",IF(I282="Closed Lost","Lost","Open"))</x:f>
        <x:v>Lost</x:v>
      </x:c>
      <x:c r="V282" s="22" t="n">
        <x:f>IF(U282="Won",L282*(1-M282),0)</x:f>
        <x:v>0</x:v>
      </x:c>
      <x:c r="W282" s="22" t="n">
        <x:f>IF(U282="Open",L282*N282,0)</x:f>
        <x:v>0</x:v>
      </x:c>
      <x:c r="X282" s="26" t="n">
        <x:f>IF(U282="Open","",IFERROR(K282-B282,""))</x:f>
        <x:v>76</x:v>
      </x:c>
      <x:c r="Y282" s="26" t="n">
        <x:f>IF(U282="Open",Lookups!$B$2-B282,X282)</x:f>
        <x:v>76</x:v>
      </x:c>
      <x:c r="Z282" t="str">
        <x:f>IF(AND(U282="Open",Y282&gt;30),"STALE","OK")</x:f>
        <x:v>OK</x:v>
      </x:c>
      <x:c r="AA282" t="str">
        <x:f>TEXT(B282,"yyyy-mm")</x:f>
        <x:v>2026-01</x:v>
      </x:c>
      <x:c r="AB282" t="str">
        <x:f>IF(K282="","",TEXT(K282,"yyyy-mm"))</x:f>
        <x:v>2026-03</x:v>
      </x:c>
      <x:c r="AC282" t="str">
        <x:f>"Q"&amp;ROUNDUP(MONTH(B282)/3,0)&amp;"-"&amp;YEAR(B282)</x:f>
        <x:v>Q1-2026</x:v>
      </x:c>
      <x:c r="AD282" s="26" t="n">
        <x:f>MIN(100,IF(H282="Enterprise",30,IF(H282="Mid-Market",22,14))+IF(T282="Enterprise",25,IF(T282="Mid-Market",18,10))+IF(Q282="Referral",25,IF(Q282="Organic Search",20,IF(Q282="Email",18,14)))+IF(G282="Technology",10,5))</x:f>
        <x:v>43</x:v>
      </x:c>
      <x:c r="AE282" t="str">
        <x:f>IF(U282&lt;&gt;"Open",U282,IF(N282&gt;=0.8,"Commit",IF(N282&gt;=0.5,"Best Case","Pipeline")))</x:f>
        <x:v>Lost</x:v>
      </x:c>
    </x:row>
    <x:row r="283">
      <x:c r="A283" t="str">
        <x:v>L00282</x:v>
      </x:c>
      <x:c r="B283" s="10" t="n">
        <x:v>46148</x:v>
      </x:c>
      <x:c r="C283" t="str">
        <x:v>Chi Le</x:v>
      </x:c>
      <x:c r="D283" t="str">
        <x:v>South</x:v>
      </x:c>
      <x:c r="E283" t="str">
        <x:v>Email Campaign</x:v>
      </x:c>
      <x:c r="F283" t="str">
        <x:v>CRM-CORE</x:v>
      </x:c>
      <x:c r="G283" t="str">
        <x:v>Financial Services</x:v>
      </x:c>
      <x:c r="H283" t="str">
        <x:v>Enterprise</x:v>
      </x:c>
      <x:c r="I283" t="str">
        <x:v>Closed Lost</x:v>
      </x:c>
      <x:c r="J283" s="10" t="n">
        <x:v>46184</x:v>
      </x:c>
      <x:c r="K283" s="10" t="n">
        <x:v>46184</x:v>
      </x:c>
      <x:c r="L283" s="22" t="n">
        <x:v>35600</x:v>
      </x:c>
      <x:c r="M283" s="24" t="n">
        <x:v>0</x:v>
      </x:c>
      <x:c r="N283" s="24" t="n">
        <x:v>0</x:v>
      </x:c>
      <x:c r="O283" t="str">
        <x:v>Price</x:v>
      </x:c>
      <x:c r="P283" t="n">
        <x:v>2</x:v>
      </x:c>
      <x:c r="Q283" t="str">
        <x:f>IFERROR(XLOOKUP(E283,Lookups!$A$5:$A$24,Lookups!$B$5:$B$24),"Other")</x:f>
        <x:v>Email</x:v>
      </x:c>
      <x:c r="R283" t="str">
        <x:f>IFERROR(XLOOKUP(F283,Lookups!$D$5:$D$10,Lookups!$E$5:$E$10),"Unknown Product")</x:f>
        <x:v>NexaCRM Core</x:v>
      </x:c>
      <x:c r="S283" t="str">
        <x:f>IFERROR(XLOOKUP(F283,Lookups!$D$5:$D$10,Lookups!$F$5:$F$10),"Unknown")</x:f>
        <x:v>CRM</x:v>
      </x:c>
      <x:c r="T283" t="str">
        <x:f>IF(L283&gt;=50000,"Enterprise",IF(L283&gt;=20000,"Mid-Market","SMB"))</x:f>
        <x:v>Mid-Market</x:v>
      </x:c>
      <x:c r="U283" t="str">
        <x:f>IF(I283="Closed Won","Won",IF(I283="Closed Lost","Lost","Open"))</x:f>
        <x:v>Lost</x:v>
      </x:c>
      <x:c r="V283" s="22" t="n">
        <x:f>IF(U283="Won",L283*(1-M283),0)</x:f>
        <x:v>0</x:v>
      </x:c>
      <x:c r="W283" s="22" t="n">
        <x:f>IF(U283="Open",L283*N283,0)</x:f>
        <x:v>0</x:v>
      </x:c>
      <x:c r="X283" s="26" t="n">
        <x:f>IF(U283="Open","",IFERROR(K283-B283,""))</x:f>
        <x:v>36</x:v>
      </x:c>
      <x:c r="Y283" s="26" t="n">
        <x:f>IF(U283="Open",Lookups!$B$2-B283,X283)</x:f>
        <x:v>36</x:v>
      </x:c>
      <x:c r="Z283" t="str">
        <x:f>IF(AND(U283="Open",Y283&gt;30),"STALE","OK")</x:f>
        <x:v>OK</x:v>
      </x:c>
      <x:c r="AA283" t="str">
        <x:f>TEXT(B283,"yyyy-mm")</x:f>
        <x:v>2026-05</x:v>
      </x:c>
      <x:c r="AB283" t="str">
        <x:f>IF(K283="","",TEXT(K283,"yyyy-mm"))</x:f>
        <x:v>2026-06</x:v>
      </x:c>
      <x:c r="AC283" t="str">
        <x:f>"Q"&amp;ROUNDUP(MONTH(B283)/3,0)&amp;"-"&amp;YEAR(B283)</x:f>
        <x:v>Q2-2026</x:v>
      </x:c>
      <x:c r="AD283" s="26" t="n">
        <x:f>MIN(100,IF(H283="Enterprise",30,IF(H283="Mid-Market",22,14))+IF(T283="Enterprise",25,IF(T283="Mid-Market",18,10))+IF(Q283="Referral",25,IF(Q283="Organic Search",20,IF(Q283="Email",18,14)))+IF(G283="Technology",10,5))</x:f>
        <x:v>71</x:v>
      </x:c>
      <x:c r="AE283" t="str">
        <x:f>IF(U283&lt;&gt;"Open",U283,IF(N283&gt;=0.8,"Commit",IF(N283&gt;=0.5,"Best Case","Pipeline")))</x:f>
        <x:v>Lost</x:v>
      </x:c>
    </x:row>
    <x:row r="284">
      <x:c r="A284" t="str">
        <x:v>L00283</x:v>
      </x:c>
      <x:c r="B284" s="10" t="n">
        <x:v>46184</x:v>
      </x:c>
      <x:c r="C284" t="str">
        <x:v>Duy Pham</x:v>
      </x:c>
      <x:c r="D284" t="str">
        <x:v>South</x:v>
      </x:c>
      <x:c r="E284" t="str">
        <x:v>LI Ads</x:v>
      </x:c>
      <x:c r="F284" t="str">
        <x:v>REV-OPS</x:v>
      </x:c>
      <x:c r="G284" t="str">
        <x:v>Technology</x:v>
      </x:c>
      <x:c r="H284" t="str">
        <x:v>Mid-Market</x:v>
      </x:c>
      <x:c r="I284" t="str">
        <x:v>Demo / Meeting</x:v>
      </x:c>
      <x:c r="J284" s="10" t="n">
        <x:v>46225</x:v>
      </x:c>
      <x:c r="K284" s="10"/>
      <x:c r="L284" s="22" t="n">
        <x:v>76000</x:v>
      </x:c>
      <x:c r="M284" s="24" t="n">
        <x:v>0.03</x:v>
      </x:c>
      <x:c r="N284" s="24" t="n">
        <x:v>0.4</x:v>
      </x:c>
      <x:c r="O284" t="str"/>
      <x:c r="P284" t="n">
        <x:v>3</x:v>
      </x:c>
      <x:c r="Q284" t="str">
        <x:f>IFERROR(XLOOKUP(E284,Lookups!$A$5:$A$24,Lookups!$B$5:$B$24),"Other")</x:f>
        <x:v>LinkedIn</x:v>
      </x:c>
      <x:c r="R284" t="str">
        <x:f>IFERROR(XLOOKUP(F284,Lookups!$D$5:$D$10,Lookups!$E$5:$E$10),"Unknown Product")</x:f>
        <x:v>Revenue Operations Suite</x:v>
      </x:c>
      <x:c r="S284" t="str">
        <x:f>IFERROR(XLOOKUP(F284,Lookups!$D$5:$D$10,Lookups!$F$5:$F$10),"Unknown")</x:f>
        <x:v>Revenue Ops</x:v>
      </x:c>
      <x:c r="T284" t="str">
        <x:f>IF(L284&gt;=50000,"Enterprise",IF(L284&gt;=20000,"Mid-Market","SMB"))</x:f>
        <x:v>Enterprise</x:v>
      </x:c>
      <x:c r="U284" t="str">
        <x:f>IF(I284="Closed Won","Won",IF(I284="Closed Lost","Lost","Open"))</x:f>
        <x:v>Open</x:v>
      </x:c>
      <x:c r="V284" s="22" t="n">
        <x:f>IF(U284="Won",L284*(1-M284),0)</x:f>
        <x:v>0</x:v>
      </x:c>
      <x:c r="W284" s="22" t="n">
        <x:f>IF(U284="Open",L284*N284,0)</x:f>
        <x:v>30400</x:v>
      </x:c>
      <x:c r="X284" s="26" t="str">
        <x:f>IF(U284="Open","",IFERROR(K284-B284,""))</x:f>
      </x:c>
      <x:c r="Y284" s="26" t="n">
        <x:f>IF(U284="Open",Lookups!$B$2-B284,X284)</x:f>
        <x:v>82</x:v>
      </x:c>
      <x:c r="Z284" t="str">
        <x:f>IF(AND(U284="Open",Y284&gt;30),"STALE","OK")</x:f>
        <x:v>STALE</x:v>
      </x:c>
      <x:c r="AA284" t="str">
        <x:f>TEXT(B284,"yyyy-mm")</x:f>
        <x:v>2026-06</x:v>
      </x:c>
      <x:c r="AB284" t="str">
        <x:f>IF(K284="","",TEXT(K284,"yyyy-mm"))</x:f>
      </x:c>
      <x:c r="AC284" t="str">
        <x:f>"Q"&amp;ROUNDUP(MONTH(B284)/3,0)&amp;"-"&amp;YEAR(B284)</x:f>
        <x:v>Q2-2026</x:v>
      </x:c>
      <x:c r="AD284" s="26" t="n">
        <x:f>MIN(100,IF(H284="Enterprise",30,IF(H284="Mid-Market",22,14))+IF(T284="Enterprise",25,IF(T284="Mid-Market",18,10))+IF(Q284="Referral",25,IF(Q284="Organic Search",20,IF(Q284="Email",18,14)))+IF(G284="Technology",10,5))</x:f>
        <x:v>71</x:v>
      </x:c>
      <x:c r="AE284" t="str">
        <x:f>IF(U284&lt;&gt;"Open",U284,IF(N284&gt;=0.8,"Commit",IF(N284&gt;=0.5,"Best Case","Pipeline")))</x:f>
        <x:v>Pipeline</x:v>
      </x:c>
    </x:row>
    <x:row r="285">
      <x:c r="A285" t="str">
        <x:v>L00284</x:v>
      </x:c>
      <x:c r="B285" s="10" t="n">
        <x:v>45961</x:v>
      </x:c>
      <x:c r="C285" t="str">
        <x:v>An Nguyen</x:v>
      </x:c>
      <x:c r="D285" t="str">
        <x:v>South</x:v>
      </x:c>
      <x:c r="E285" t="str">
        <x:v>SEO</x:v>
      </x:c>
      <x:c r="F285" t="str">
        <x:v>CRM-PRO</x:v>
      </x:c>
      <x:c r="G285" t="str">
        <x:v>Education</x:v>
      </x:c>
      <x:c r="H285" t="str">
        <x:v>SMB</x:v>
      </x:c>
      <x:c r="I285" t="str">
        <x:v>Closed Lost</x:v>
      </x:c>
      <x:c r="J285" s="10" t="n">
        <x:v>45986</x:v>
      </x:c>
      <x:c r="K285" s="10" t="n">
        <x:v>45986</x:v>
      </x:c>
      <x:c r="L285" s="22" t="n">
        <x:v>17500</x:v>
      </x:c>
      <x:c r="M285" s="24" t="n">
        <x:v>0</x:v>
      </x:c>
      <x:c r="N285" s="24" t="n">
        <x:v>0</x:v>
      </x:c>
      <x:c r="O285" t="str">
        <x:v>Timing</x:v>
      </x:c>
      <x:c r="P285" t="n">
        <x:v>3</x:v>
      </x:c>
      <x:c r="Q285" t="str">
        <x:f>IFERROR(XLOOKUP(E285,Lookups!$A$5:$A$24,Lookups!$B$5:$B$24),"Other")</x:f>
        <x:v>Organic Search</x:v>
      </x:c>
      <x:c r="R285" t="str">
        <x:f>IFERROR(XLOOKUP(F285,Lookups!$D$5:$D$10,Lookups!$E$5:$E$10),"Unknown Product")</x:f>
        <x:v>NexaCRM Pro</x:v>
      </x:c>
      <x:c r="S285" t="str">
        <x:f>IFERROR(XLOOKUP(F285,Lookups!$D$5:$D$10,Lookups!$F$5:$F$10),"Unknown")</x:f>
        <x:v>CRM</x:v>
      </x:c>
      <x:c r="T285" t="str">
        <x:f>IF(L285&gt;=50000,"Enterprise",IF(L285&gt;=20000,"Mid-Market","SMB"))</x:f>
        <x:v>SMB</x:v>
      </x:c>
      <x:c r="U285" t="str">
        <x:f>IF(I285="Closed Won","Won",IF(I285="Closed Lost","Lost","Open"))</x:f>
        <x:v>Lost</x:v>
      </x:c>
      <x:c r="V285" s="22" t="n">
        <x:f>IF(U285="Won",L285*(1-M285),0)</x:f>
        <x:v>0</x:v>
      </x:c>
      <x:c r="W285" s="22" t="n">
        <x:f>IF(U285="Open",L285*N285,0)</x:f>
        <x:v>0</x:v>
      </x:c>
      <x:c r="X285" s="26" t="n">
        <x:f>IF(U285="Open","",IFERROR(K285-B285,""))</x:f>
        <x:v>25</x:v>
      </x:c>
      <x:c r="Y285" s="26" t="n">
        <x:f>IF(U285="Open",Lookups!$B$2-B285,X285)</x:f>
        <x:v>25</x:v>
      </x:c>
      <x:c r="Z285" t="str">
        <x:f>IF(AND(U285="Open",Y285&gt;30),"STALE","OK")</x:f>
        <x:v>OK</x:v>
      </x:c>
      <x:c r="AA285" t="str">
        <x:f>TEXT(B285,"yyyy-mm")</x:f>
        <x:v>2025-10</x:v>
      </x:c>
      <x:c r="AB285" t="str">
        <x:f>IF(K285="","",TEXT(K285,"yyyy-mm"))</x:f>
        <x:v>2025-11</x:v>
      </x:c>
      <x:c r="AC285" t="str">
        <x:f>"Q"&amp;ROUNDUP(MONTH(B285)/3,0)&amp;"-"&amp;YEAR(B285)</x:f>
        <x:v>Q4-2025</x:v>
      </x:c>
      <x:c r="AD285" s="26" t="n">
        <x:f>MIN(100,IF(H285="Enterprise",30,IF(H285="Mid-Market",22,14))+IF(T285="Enterprise",25,IF(T285="Mid-Market",18,10))+IF(Q285="Referral",25,IF(Q285="Organic Search",20,IF(Q285="Email",18,14)))+IF(G285="Technology",10,5))</x:f>
        <x:v>49</x:v>
      </x:c>
      <x:c r="AE285" t="str">
        <x:f>IF(U285&lt;&gt;"Open",U285,IF(N285&gt;=0.8,"Commit",IF(N285&gt;=0.5,"Best Case","Pipeline")))</x:f>
        <x:v>Lost</x:v>
      </x:c>
    </x:row>
    <x:row r="286">
      <x:c r="A286" t="str">
        <x:v>L00285</x:v>
      </x:c>
      <x:c r="B286" s="10" t="n">
        <x:v>46074</x:v>
      </x:c>
      <x:c r="C286" t="str">
        <x:v>Quynh Vu</x:v>
      </x:c>
      <x:c r="D286" t="str">
        <x:v>North</x:v>
      </x:c>
      <x:c r="E286" t="str">
        <x:v>SEM - Google</x:v>
      </x:c>
      <x:c r="F286" t="str">
        <x:v>CRM-PRO</x:v>
      </x:c>
      <x:c r="G286" t="str">
        <x:v>Manufacturing</x:v>
      </x:c>
      <x:c r="H286" t="str">
        <x:v>SMB</x:v>
      </x:c>
      <x:c r="I286" t="str">
        <x:v>Negotiation</x:v>
      </x:c>
      <x:c r="J286" s="10" t="n">
        <x:v>46153</x:v>
      </x:c>
      <x:c r="K286" s="10"/>
      <x:c r="L286" s="22" t="n">
        <x:v>20900</x:v>
      </x:c>
      <x:c r="M286" s="24" t="n">
        <x:v>0</x:v>
      </x:c>
      <x:c r="N286" s="24" t="n">
        <x:v>0.85</x:v>
      </x:c>
      <x:c r="O286" t="str"/>
      <x:c r="P286" t="n">
        <x:v>5</x:v>
      </x:c>
      <x:c r="Q286" t="str">
        <x:f>IFERROR(XLOOKUP(E286,Lookups!$A$5:$A$24,Lookups!$B$5:$B$24),"Other")</x:f>
        <x:v>Paid Search</x:v>
      </x:c>
      <x:c r="R286" t="str">
        <x:f>IFERROR(XLOOKUP(F286,Lookups!$D$5:$D$10,Lookups!$E$5:$E$10),"Unknown Product")</x:f>
        <x:v>NexaCRM Pro</x:v>
      </x:c>
      <x:c r="S286" t="str">
        <x:f>IFERROR(XLOOKUP(F286,Lookups!$D$5:$D$10,Lookups!$F$5:$F$10),"Unknown")</x:f>
        <x:v>CRM</x:v>
      </x:c>
      <x:c r="T286" t="str">
        <x:f>IF(L286&gt;=50000,"Enterprise",IF(L286&gt;=20000,"Mid-Market","SMB"))</x:f>
        <x:v>Mid-Market</x:v>
      </x:c>
      <x:c r="U286" t="str">
        <x:f>IF(I286="Closed Won","Won",IF(I286="Closed Lost","Lost","Open"))</x:f>
        <x:v>Open</x:v>
      </x:c>
      <x:c r="V286" s="22" t="n">
        <x:f>IF(U286="Won",L286*(1-M286),0)</x:f>
        <x:v>0</x:v>
      </x:c>
      <x:c r="W286" s="22" t="n">
        <x:f>IF(U286="Open",L286*N286,0)</x:f>
        <x:v>17765</x:v>
      </x:c>
      <x:c r="X286" s="26" t="str">
        <x:f>IF(U286="Open","",IFERROR(K286-B286,""))</x:f>
      </x:c>
      <x:c r="Y286" s="26" t="n">
        <x:f>IF(U286="Open",Lookups!$B$2-B286,X286)</x:f>
        <x:v>192</x:v>
      </x:c>
      <x:c r="Z286" t="str">
        <x:f>IF(AND(U286="Open",Y286&gt;30),"STALE","OK")</x:f>
        <x:v>STALE</x:v>
      </x:c>
      <x:c r="AA286" t="str">
        <x:f>TEXT(B286,"yyyy-mm")</x:f>
        <x:v>2026-02</x:v>
      </x:c>
      <x:c r="AB286" t="str">
        <x:f>IF(K286="","",TEXT(K286,"yyyy-mm"))</x:f>
      </x:c>
      <x:c r="AC286" t="str">
        <x:f>"Q"&amp;ROUNDUP(MONTH(B286)/3,0)&amp;"-"&amp;YEAR(B286)</x:f>
        <x:v>Q1-2026</x:v>
      </x:c>
      <x:c r="AD286" s="26" t="n">
        <x:f>MIN(100,IF(H286="Enterprise",30,IF(H286="Mid-Market",22,14))+IF(T286="Enterprise",25,IF(T286="Mid-Market",18,10))+IF(Q286="Referral",25,IF(Q286="Organic Search",20,IF(Q286="Email",18,14)))+IF(G286="Technology",10,5))</x:f>
        <x:v>51</x:v>
      </x:c>
      <x:c r="AE286" t="str">
        <x:f>IF(U286&lt;&gt;"Open",U286,IF(N286&gt;=0.8,"Commit",IF(N286&gt;=0.5,"Best Case","Pipeline")))</x:f>
        <x:v>Commit</x:v>
      </x:c>
    </x:row>
    <x:row r="287">
      <x:c r="A287" t="str">
        <x:v>L00286</x:v>
      </x:c>
      <x:c r="B287" s="10" t="n">
        <x:v>46241</x:v>
      </x:c>
      <x:c r="C287" t="str">
        <x:v>Bao Tran</x:v>
      </x:c>
      <x:c r="D287" t="str">
        <x:v>South</x:v>
      </x:c>
      <x:c r="E287" t="str">
        <x:v>Cold Email</x:v>
      </x:c>
      <x:c r="F287" t="str">
        <x:v>REV-OPS</x:v>
      </x:c>
      <x:c r="G287" t="str">
        <x:v>Healthcare</x:v>
      </x:c>
      <x:c r="H287" t="str">
        <x:v>SMB</x:v>
      </x:c>
      <x:c r="I287" t="str">
        <x:v>Closed Lost</x:v>
      </x:c>
      <x:c r="J287" s="10" t="n">
        <x:v>46266</x:v>
      </x:c>
      <x:c r="K287" s="10" t="n">
        <x:v>46266</x:v>
      </x:c>
      <x:c r="L287" s="22" t="n">
        <x:v>39300</x:v>
      </x:c>
      <x:c r="M287" s="24" t="n">
        <x:v>0</x:v>
      </x:c>
      <x:c r="N287" s="24" t="n">
        <x:v>0</x:v>
      </x:c>
      <x:c r="O287" t="str">
        <x:v>Budget</x:v>
      </x:c>
      <x:c r="P287" t="n">
        <x:v>3</x:v>
      </x:c>
      <x:c r="Q287" t="str">
        <x:f>IFERROR(XLOOKUP(E287,Lookups!$A$5:$A$24,Lookups!$B$5:$B$24),"Other")</x:f>
        <x:v>Outbound</x:v>
      </x:c>
      <x:c r="R287" t="str">
        <x:f>IFERROR(XLOOKUP(F287,Lookups!$D$5:$D$10,Lookups!$E$5:$E$10),"Unknown Product")</x:f>
        <x:v>Revenue Operations Suite</x:v>
      </x:c>
      <x:c r="S287" t="str">
        <x:f>IFERROR(XLOOKUP(F287,Lookups!$D$5:$D$10,Lookups!$F$5:$F$10),"Unknown")</x:f>
        <x:v>Revenue Ops</x:v>
      </x:c>
      <x:c r="T287" t="str">
        <x:f>IF(L287&gt;=50000,"Enterprise",IF(L287&gt;=20000,"Mid-Market","SMB"))</x:f>
        <x:v>Mid-Market</x:v>
      </x:c>
      <x:c r="U287" t="str">
        <x:f>IF(I287="Closed Won","Won",IF(I287="Closed Lost","Lost","Open"))</x:f>
        <x:v>Lost</x:v>
      </x:c>
      <x:c r="V287" s="22" t="n">
        <x:f>IF(U287="Won",L287*(1-M287),0)</x:f>
        <x:v>0</x:v>
      </x:c>
      <x:c r="W287" s="22" t="n">
        <x:f>IF(U287="Open",L287*N287,0)</x:f>
        <x:v>0</x:v>
      </x:c>
      <x:c r="X287" s="26" t="n">
        <x:f>IF(U287="Open","",IFERROR(K287-B287,""))</x:f>
        <x:v>25</x:v>
      </x:c>
      <x:c r="Y287" s="26" t="n">
        <x:f>IF(U287="Open",Lookups!$B$2-B287,X287)</x:f>
        <x:v>25</x:v>
      </x:c>
      <x:c r="Z287" t="str">
        <x:f>IF(AND(U287="Open",Y287&gt;30),"STALE","OK")</x:f>
        <x:v>OK</x:v>
      </x:c>
      <x:c r="AA287" t="str">
        <x:f>TEXT(B287,"yyyy-mm")</x:f>
        <x:v>2026-08</x:v>
      </x:c>
      <x:c r="AB287" t="str">
        <x:f>IF(K287="","",TEXT(K287,"yyyy-mm"))</x:f>
        <x:v>2026-09</x:v>
      </x:c>
      <x:c r="AC287" t="str">
        <x:f>"Q"&amp;ROUNDUP(MONTH(B287)/3,0)&amp;"-"&amp;YEAR(B287)</x:f>
        <x:v>Q3-2026</x:v>
      </x:c>
      <x:c r="AD287" s="26" t="n">
        <x:f>MIN(100,IF(H287="Enterprise",30,IF(H287="Mid-Market",22,14))+IF(T287="Enterprise",25,IF(T287="Mid-Market",18,10))+IF(Q287="Referral",25,IF(Q287="Organic Search",20,IF(Q287="Email",18,14)))+IF(G287="Technology",10,5))</x:f>
        <x:v>51</x:v>
      </x:c>
      <x:c r="AE287" t="str">
        <x:f>IF(U287&lt;&gt;"Open",U287,IF(N287&gt;=0.8,"Commit",IF(N287&gt;=0.5,"Best Case","Pipeline")))</x:f>
        <x:v>Lost</x:v>
      </x:c>
    </x:row>
    <x:row r="288">
      <x:c r="A288" t="str">
        <x:v>L00287</x:v>
      </x:c>
      <x:c r="B288" s="10" t="n">
        <x:v>45949</x:v>
      </x:c>
      <x:c r="C288" t="str">
        <x:v>An Nguyen</x:v>
      </x:c>
      <x:c r="D288" t="str">
        <x:v>South</x:v>
      </x:c>
      <x:c r="E288" t="str">
        <x:v>LI Ads</x:v>
      </x:c>
      <x:c r="F288" t="str">
        <x:v>REV-OPS</x:v>
      </x:c>
      <x:c r="G288" t="str">
        <x:v>Retail</x:v>
      </x:c>
      <x:c r="H288" t="str">
        <x:v>Mid-Market</x:v>
      </x:c>
      <x:c r="I288" t="str">
        <x:v>Closed Lost</x:v>
      </x:c>
      <x:c r="J288" s="10" t="n">
        <x:v>45998</x:v>
      </x:c>
      <x:c r="K288" s="10" t="n">
        <x:v>45998</x:v>
      </x:c>
      <x:c r="L288" s="22" t="n">
        <x:v>76200</x:v>
      </x:c>
      <x:c r="M288" s="24" t="n">
        <x:v>0</x:v>
      </x:c>
      <x:c r="N288" s="24" t="n">
        <x:v>0</x:v>
      </x:c>
      <x:c r="O288" t="str">
        <x:v>No Decision</x:v>
      </x:c>
      <x:c r="P288" t="n">
        <x:v>5</x:v>
      </x:c>
      <x:c r="Q288" t="str">
        <x:f>IFERROR(XLOOKUP(E288,Lookups!$A$5:$A$24,Lookups!$B$5:$B$24),"Other")</x:f>
        <x:v>LinkedIn</x:v>
      </x:c>
      <x:c r="R288" t="str">
        <x:f>IFERROR(XLOOKUP(F288,Lookups!$D$5:$D$10,Lookups!$E$5:$E$10),"Unknown Product")</x:f>
        <x:v>Revenue Operations Suite</x:v>
      </x:c>
      <x:c r="S288" t="str">
        <x:f>IFERROR(XLOOKUP(F288,Lookups!$D$5:$D$10,Lookups!$F$5:$F$10),"Unknown")</x:f>
        <x:v>Revenue Ops</x:v>
      </x:c>
      <x:c r="T288" t="str">
        <x:f>IF(L288&gt;=50000,"Enterprise",IF(L288&gt;=20000,"Mid-Market","SMB"))</x:f>
        <x:v>Enterprise</x:v>
      </x:c>
      <x:c r="U288" t="str">
        <x:f>IF(I288="Closed Won","Won",IF(I288="Closed Lost","Lost","Open"))</x:f>
        <x:v>Lost</x:v>
      </x:c>
      <x:c r="V288" s="22" t="n">
        <x:f>IF(U288="Won",L288*(1-M288),0)</x:f>
        <x:v>0</x:v>
      </x:c>
      <x:c r="W288" s="22" t="n">
        <x:f>IF(U288="Open",L288*N288,0)</x:f>
        <x:v>0</x:v>
      </x:c>
      <x:c r="X288" s="26" t="n">
        <x:f>IF(U288="Open","",IFERROR(K288-B288,""))</x:f>
        <x:v>49</x:v>
      </x:c>
      <x:c r="Y288" s="26" t="n">
        <x:f>IF(U288="Open",Lookups!$B$2-B288,X288)</x:f>
        <x:v>49</x:v>
      </x:c>
      <x:c r="Z288" t="str">
        <x:f>IF(AND(U288="Open",Y288&gt;30),"STALE","OK")</x:f>
        <x:v>OK</x:v>
      </x:c>
      <x:c r="AA288" t="str">
        <x:f>TEXT(B288,"yyyy-mm")</x:f>
        <x:v>2025-10</x:v>
      </x:c>
      <x:c r="AB288" t="str">
        <x:f>IF(K288="","",TEXT(K288,"yyyy-mm"))</x:f>
        <x:v>2025-12</x:v>
      </x:c>
      <x:c r="AC288" t="str">
        <x:f>"Q"&amp;ROUNDUP(MONTH(B288)/3,0)&amp;"-"&amp;YEAR(B288)</x:f>
        <x:v>Q4-2025</x:v>
      </x:c>
      <x:c r="AD288" s="26" t="n">
        <x:f>MIN(100,IF(H288="Enterprise",30,IF(H288="Mid-Market",22,14))+IF(T288="Enterprise",25,IF(T288="Mid-Market",18,10))+IF(Q288="Referral",25,IF(Q288="Organic Search",20,IF(Q288="Email",18,14)))+IF(G288="Technology",10,5))</x:f>
        <x:v>66</x:v>
      </x:c>
      <x:c r="AE288" t="str">
        <x:f>IF(U288&lt;&gt;"Open",U288,IF(N288&gt;=0.8,"Commit",IF(N288&gt;=0.5,"Best Case","Pipeline")))</x:f>
        <x:v>Lost</x:v>
      </x:c>
    </x:row>
    <x:row r="289">
      <x:c r="A289" t="str">
        <x:v>L00288</x:v>
      </x:c>
      <x:c r="B289" s="10" t="n">
        <x:v>46204</x:v>
      </x:c>
      <x:c r="C289" t="str">
        <x:v>Ha Vo</x:v>
      </x:c>
      <x:c r="D289" t="str">
        <x:v>North</x:v>
      </x:c>
      <x:c r="E289" t="str">
        <x:v>organic search</x:v>
      </x:c>
      <x:c r="F289" t="str">
        <x:v>BI-PLUS</x:v>
      </x:c>
      <x:c r="G289" t="str">
        <x:v>Financial Services</x:v>
      </x:c>
      <x:c r="H289" t="str">
        <x:v>Enterprise</x:v>
      </x:c>
      <x:c r="I289" t="str">
        <x:v>Demo / Meeting</x:v>
      </x:c>
      <x:c r="J289" s="10" t="n">
        <x:v>46250</x:v>
      </x:c>
      <x:c r="K289" s="10"/>
      <x:c r="L289" s="22" t="n">
        <x:v>65300</x:v>
      </x:c>
      <x:c r="M289" s="24" t="n">
        <x:v>0</x:v>
      </x:c>
      <x:c r="N289" s="24" t="n">
        <x:v>0.4</x:v>
      </x:c>
      <x:c r="O289" t="str"/>
      <x:c r="P289" t="n">
        <x:v>3</x:v>
      </x:c>
      <x:c r="Q289" t="str">
        <x:f>IFERROR(XLOOKUP(E289,Lookups!$A$5:$A$24,Lookups!$B$5:$B$24),"Other")</x:f>
        <x:v>Organic Search</x:v>
      </x:c>
      <x:c r="R289" t="str">
        <x:f>IFERROR(XLOOKUP(F289,Lookups!$D$5:$D$10,Lookups!$E$5:$E$10),"Unknown Product")</x:f>
        <x:v>Analytics Plus</x:v>
      </x:c>
      <x:c r="S289" t="str">
        <x:f>IFERROR(XLOOKUP(F289,Lookups!$D$5:$D$10,Lookups!$F$5:$F$10),"Unknown")</x:f>
        <x:v>Analytics</x:v>
      </x:c>
      <x:c r="T289" t="str">
        <x:f>IF(L289&gt;=50000,"Enterprise",IF(L289&gt;=20000,"Mid-Market","SMB"))</x:f>
        <x:v>Enterprise</x:v>
      </x:c>
      <x:c r="U289" t="str">
        <x:f>IF(I289="Closed Won","Won",IF(I289="Closed Lost","Lost","Open"))</x:f>
        <x:v>Open</x:v>
      </x:c>
      <x:c r="V289" s="22" t="n">
        <x:f>IF(U289="Won",L289*(1-M289),0)</x:f>
        <x:v>0</x:v>
      </x:c>
      <x:c r="W289" s="22" t="n">
        <x:f>IF(U289="Open",L289*N289,0)</x:f>
        <x:v>26120</x:v>
      </x:c>
      <x:c r="X289" s="26" t="str">
        <x:f>IF(U289="Open","",IFERROR(K289-B289,""))</x:f>
      </x:c>
      <x:c r="Y289" s="26" t="n">
        <x:f>IF(U289="Open",Lookups!$B$2-B289,X289)</x:f>
        <x:v>62</x:v>
      </x:c>
      <x:c r="Z289" t="str">
        <x:f>IF(AND(U289="Open",Y289&gt;30),"STALE","OK")</x:f>
        <x:v>STALE</x:v>
      </x:c>
      <x:c r="AA289" t="str">
        <x:f>TEXT(B289,"yyyy-mm")</x:f>
        <x:v>2026-07</x:v>
      </x:c>
      <x:c r="AB289" t="str">
        <x:f>IF(K289="","",TEXT(K289,"yyyy-mm"))</x:f>
      </x:c>
      <x:c r="AC289" t="str">
        <x:f>"Q"&amp;ROUNDUP(MONTH(B289)/3,0)&amp;"-"&amp;YEAR(B289)</x:f>
        <x:v>Q3-2026</x:v>
      </x:c>
      <x:c r="AD289" s="26" t="n">
        <x:f>MIN(100,IF(H289="Enterprise",30,IF(H289="Mid-Market",22,14))+IF(T289="Enterprise",25,IF(T289="Mid-Market",18,10))+IF(Q289="Referral",25,IF(Q289="Organic Search",20,IF(Q289="Email",18,14)))+IF(G289="Technology",10,5))</x:f>
        <x:v>80</x:v>
      </x:c>
      <x:c r="AE289" t="str">
        <x:f>IF(U289&lt;&gt;"Open",U289,IF(N289&gt;=0.8,"Commit",IF(N289&gt;=0.5,"Best Case","Pipeline")))</x:f>
        <x:v>Pipeline</x:v>
      </x:c>
    </x:row>
    <x:row r="290">
      <x:c r="A290" t="str">
        <x:v>L00289</x:v>
      </x:c>
      <x:c r="B290" s="10" t="n">
        <x:v>46216</x:v>
      </x:c>
      <x:c r="C290" t="str">
        <x:v>Chi Le</x:v>
      </x:c>
      <x:c r="D290" t="str">
        <x:v>South</x:v>
      </x:c>
      <x:c r="E290" t="str">
        <x:v>Email Campaign</x:v>
      </x:c>
      <x:c r="F290" t="str">
        <x:v>CRM-PRO</x:v>
      </x:c>
      <x:c r="G290" t="str">
        <x:v>Professional Services</x:v>
      </x:c>
      <x:c r="H290" t="str">
        <x:v>Enterprise</x:v>
      </x:c>
      <x:c r="I290" t="str">
        <x:v>Closed Won</x:v>
      </x:c>
      <x:c r="J290" s="10" t="n">
        <x:v>46260</x:v>
      </x:c>
      <x:c r="K290" s="10" t="n">
        <x:v>46260</x:v>
      </x:c>
      <x:c r="L290" s="22" t="n">
        <x:v>64900</x:v>
      </x:c>
      <x:c r="M290" s="24" t="n">
        <x:v>0.03</x:v>
      </x:c>
      <x:c r="N290" s="24" t="n">
        <x:v>1</x:v>
      </x:c>
      <x:c r="O290" t="str"/>
      <x:c r="P290" t="n">
        <x:v>6</x:v>
      </x:c>
      <x:c r="Q290" t="str">
        <x:f>IFERROR(XLOOKUP(E290,Lookups!$A$5:$A$24,Lookups!$B$5:$B$24),"Other")</x:f>
        <x:v>Email</x:v>
      </x:c>
      <x:c r="R290" t="str">
        <x:f>IFERROR(XLOOKUP(F290,Lookups!$D$5:$D$10,Lookups!$E$5:$E$10),"Unknown Product")</x:f>
        <x:v>NexaCRM Pro</x:v>
      </x:c>
      <x:c r="S290" t="str">
        <x:f>IFERROR(XLOOKUP(F290,Lookups!$D$5:$D$10,Lookups!$F$5:$F$10),"Unknown")</x:f>
        <x:v>CRM</x:v>
      </x:c>
      <x:c r="T290" t="str">
        <x:f>IF(L290&gt;=50000,"Enterprise",IF(L290&gt;=20000,"Mid-Market","SMB"))</x:f>
        <x:v>Enterprise</x:v>
      </x:c>
      <x:c r="U290" t="str">
        <x:f>IF(I290="Closed Won","Won",IF(I290="Closed Lost","Lost","Open"))</x:f>
        <x:v>Won</x:v>
      </x:c>
      <x:c r="V290" s="22" t="n">
        <x:f>IF(U290="Won",L290*(1-M290),0)</x:f>
        <x:v>62953</x:v>
      </x:c>
      <x:c r="W290" s="22" t="n">
        <x:f>IF(U290="Open",L290*N290,0)</x:f>
        <x:v>0</x:v>
      </x:c>
      <x:c r="X290" s="26" t="n">
        <x:f>IF(U290="Open","",IFERROR(K290-B290,""))</x:f>
        <x:v>44</x:v>
      </x:c>
      <x:c r="Y290" s="26" t="n">
        <x:f>IF(U290="Open",Lookups!$B$2-B290,X290)</x:f>
        <x:v>44</x:v>
      </x:c>
      <x:c r="Z290" t="str">
        <x:f>IF(AND(U290="Open",Y290&gt;30),"STALE","OK")</x:f>
        <x:v>OK</x:v>
      </x:c>
      <x:c r="AA290" t="str">
        <x:f>TEXT(B290,"yyyy-mm")</x:f>
        <x:v>2026-07</x:v>
      </x:c>
      <x:c r="AB290" t="str">
        <x:f>IF(K290="","",TEXT(K290,"yyyy-mm"))</x:f>
        <x:v>2026-08</x:v>
      </x:c>
      <x:c r="AC290" t="str">
        <x:f>"Q"&amp;ROUNDUP(MONTH(B290)/3,0)&amp;"-"&amp;YEAR(B290)</x:f>
        <x:v>Q3-2026</x:v>
      </x:c>
      <x:c r="AD290" s="26" t="n">
        <x:f>MIN(100,IF(H290="Enterprise",30,IF(H290="Mid-Market",22,14))+IF(T290="Enterprise",25,IF(T290="Mid-Market",18,10))+IF(Q290="Referral",25,IF(Q290="Organic Search",20,IF(Q290="Email",18,14)))+IF(G290="Technology",10,5))</x:f>
        <x:v>78</x:v>
      </x:c>
      <x:c r="AE290" t="str">
        <x:f>IF(U290&lt;&gt;"Open",U290,IF(N290&gt;=0.8,"Commit",IF(N290&gt;=0.5,"Best Case","Pipeline")))</x:f>
        <x:v>Won</x:v>
      </x:c>
    </x:row>
    <x:row r="291">
      <x:c r="A291" t="str">
        <x:v>L00290</x:v>
      </x:c>
      <x:c r="B291" s="10" t="n">
        <x:v>45925</x:v>
      </x:c>
      <x:c r="C291" t="str">
        <x:v>Quynh Vu</x:v>
      </x:c>
      <x:c r="D291" t="str">
        <x:v>North</x:v>
      </x:c>
      <x:c r="E291" t="str">
        <x:v>newsletter</x:v>
      </x:c>
      <x:c r="F291" t="str">
        <x:v>CS-CLOUD</x:v>
      </x:c>
      <x:c r="G291" t="str">
        <x:v>Retail</x:v>
      </x:c>
      <x:c r="H291" t="str">
        <x:v>Mid-Market</x:v>
      </x:c>
      <x:c r="I291" t="str">
        <x:v>Closed Won</x:v>
      </x:c>
      <x:c r="J291" s="10" t="n">
        <x:v>45986</x:v>
      </x:c>
      <x:c r="K291" s="10" t="n">
        <x:v>45986</x:v>
      </x:c>
      <x:c r="L291" s="22" t="n">
        <x:v>34400</x:v>
      </x:c>
      <x:c r="M291" s="24" t="n">
        <x:v>0.1</x:v>
      </x:c>
      <x:c r="N291" s="24" t="n">
        <x:v>1</x:v>
      </x:c>
      <x:c r="O291" t="str"/>
      <x:c r="P291" t="n">
        <x:v>6</x:v>
      </x:c>
      <x:c r="Q291" t="str">
        <x:f>IFERROR(XLOOKUP(E291,Lookups!$A$5:$A$24,Lookups!$B$5:$B$24),"Other")</x:f>
        <x:v>Email</x:v>
      </x:c>
      <x:c r="R291" t="str">
        <x:f>IFERROR(XLOOKUP(F291,Lookups!$D$5:$D$10,Lookups!$E$5:$E$10),"Unknown Product")</x:f>
        <x:v>Service Cloud</x:v>
      </x:c>
      <x:c r="S291" t="str">
        <x:f>IFERROR(XLOOKUP(F291,Lookups!$D$5:$D$10,Lookups!$F$5:$F$10),"Unknown")</x:f>
        <x:v>Customer Service</x:v>
      </x:c>
      <x:c r="T291" t="str">
        <x:f>IF(L291&gt;=50000,"Enterprise",IF(L291&gt;=20000,"Mid-Market","SMB"))</x:f>
        <x:v>Mid-Market</x:v>
      </x:c>
      <x:c r="U291" t="str">
        <x:f>IF(I291="Closed Won","Won",IF(I291="Closed Lost","Lost","Open"))</x:f>
        <x:v>Won</x:v>
      </x:c>
      <x:c r="V291" s="22" t="n">
        <x:f>IF(U291="Won",L291*(1-M291),0)</x:f>
        <x:v>30960</x:v>
      </x:c>
      <x:c r="W291" s="22" t="n">
        <x:f>IF(U291="Open",L291*N291,0)</x:f>
        <x:v>0</x:v>
      </x:c>
      <x:c r="X291" s="26" t="n">
        <x:f>IF(U291="Open","",IFERROR(K291-B291,""))</x:f>
        <x:v>61</x:v>
      </x:c>
      <x:c r="Y291" s="26" t="n">
        <x:f>IF(U291="Open",Lookups!$B$2-B291,X291)</x:f>
        <x:v>61</x:v>
      </x:c>
      <x:c r="Z291" t="str">
        <x:f>IF(AND(U291="Open",Y291&gt;30),"STALE","OK")</x:f>
        <x:v>OK</x:v>
      </x:c>
      <x:c r="AA291" t="str">
        <x:f>TEXT(B291,"yyyy-mm")</x:f>
        <x:v>2025-09</x:v>
      </x:c>
      <x:c r="AB291" t="str">
        <x:f>IF(K291="","",TEXT(K291,"yyyy-mm"))</x:f>
        <x:v>2025-11</x:v>
      </x:c>
      <x:c r="AC291" t="str">
        <x:f>"Q"&amp;ROUNDUP(MONTH(B291)/3,0)&amp;"-"&amp;YEAR(B291)</x:f>
        <x:v>Q3-2025</x:v>
      </x:c>
      <x:c r="AD291" s="26" t="n">
        <x:f>MIN(100,IF(H291="Enterprise",30,IF(H291="Mid-Market",22,14))+IF(T291="Enterprise",25,IF(T291="Mid-Market",18,10))+IF(Q291="Referral",25,IF(Q291="Organic Search",20,IF(Q291="Email",18,14)))+IF(G291="Technology",10,5))</x:f>
        <x:v>63</x:v>
      </x:c>
      <x:c r="AE291" t="str">
        <x:f>IF(U291&lt;&gt;"Open",U291,IF(N291&gt;=0.8,"Commit",IF(N291&gt;=0.5,"Best Case","Pipeline")))</x:f>
        <x:v>Won</x:v>
      </x:c>
    </x:row>
    <x:row r="292">
      <x:c r="A292" t="str">
        <x:v>L00291</x:v>
      </x:c>
      <x:c r="B292" s="10" t="n">
        <x:v>46051</x:v>
      </x:c>
      <x:c r="C292" t="str">
        <x:v>An Nguyen</x:v>
      </x:c>
      <x:c r="D292" t="str">
        <x:v>South</x:v>
      </x:c>
      <x:c r="E292" t="str">
        <x:v>LinkedIn Ads</x:v>
      </x:c>
      <x:c r="F292" t="str">
        <x:v>BI-PLUS</x:v>
      </x:c>
      <x:c r="G292" t="str">
        <x:v>Healthcare</x:v>
      </x:c>
      <x:c r="H292" t="str">
        <x:v>Mid-Market</x:v>
      </x:c>
      <x:c r="I292" t="str">
        <x:v>Closed Won</x:v>
      </x:c>
      <x:c r="J292" s="10" t="n">
        <x:v>46104</x:v>
      </x:c>
      <x:c r="K292" s="10" t="n">
        <x:v>46104</x:v>
      </x:c>
      <x:c r="L292" s="22" t="n">
        <x:v>30100</x:v>
      </x:c>
      <x:c r="M292" s="24" t="n">
        <x:v>0.1</x:v>
      </x:c>
      <x:c r="N292" s="24" t="n">
        <x:v>1</x:v>
      </x:c>
      <x:c r="O292" t="str"/>
      <x:c r="P292" t="n">
        <x:v>6</x:v>
      </x:c>
      <x:c r="Q292" t="str">
        <x:f>IFERROR(XLOOKUP(E292,Lookups!$A$5:$A$24,Lookups!$B$5:$B$24),"Other")</x:f>
        <x:v>LinkedIn</x:v>
      </x:c>
      <x:c r="R292" t="str">
        <x:f>IFERROR(XLOOKUP(F292,Lookups!$D$5:$D$10,Lookups!$E$5:$E$10),"Unknown Product")</x:f>
        <x:v>Analytics Plus</x:v>
      </x:c>
      <x:c r="S292" t="str">
        <x:f>IFERROR(XLOOKUP(F292,Lookups!$D$5:$D$10,Lookups!$F$5:$F$10),"Unknown")</x:f>
        <x:v>Analytics</x:v>
      </x:c>
      <x:c r="T292" t="str">
        <x:f>IF(L292&gt;=50000,"Enterprise",IF(L292&gt;=20000,"Mid-Market","SMB"))</x:f>
        <x:v>Mid-Market</x:v>
      </x:c>
      <x:c r="U292" t="str">
        <x:f>IF(I292="Closed Won","Won",IF(I292="Closed Lost","Lost","Open"))</x:f>
        <x:v>Won</x:v>
      </x:c>
      <x:c r="V292" s="22" t="n">
        <x:f>IF(U292="Won",L292*(1-M292),0)</x:f>
        <x:v>27090</x:v>
      </x:c>
      <x:c r="W292" s="22" t="n">
        <x:f>IF(U292="Open",L292*N292,0)</x:f>
        <x:v>0</x:v>
      </x:c>
      <x:c r="X292" s="26" t="n">
        <x:f>IF(U292="Open","",IFERROR(K292-B292,""))</x:f>
        <x:v>53</x:v>
      </x:c>
      <x:c r="Y292" s="26" t="n">
        <x:f>IF(U292="Open",Lookups!$B$2-B292,X292)</x:f>
        <x:v>53</x:v>
      </x:c>
      <x:c r="Z292" t="str">
        <x:f>IF(AND(U292="Open",Y292&gt;30),"STALE","OK")</x:f>
        <x:v>OK</x:v>
      </x:c>
      <x:c r="AA292" t="str">
        <x:f>TEXT(B292,"yyyy-mm")</x:f>
        <x:v>2026-01</x:v>
      </x:c>
      <x:c r="AB292" t="str">
        <x:f>IF(K292="","",TEXT(K292,"yyyy-mm"))</x:f>
        <x:v>2026-03</x:v>
      </x:c>
      <x:c r="AC292" t="str">
        <x:f>"Q"&amp;ROUNDUP(MONTH(B292)/3,0)&amp;"-"&amp;YEAR(B292)</x:f>
        <x:v>Q1-2026</x:v>
      </x:c>
      <x:c r="AD292" s="26" t="n">
        <x:f>MIN(100,IF(H292="Enterprise",30,IF(H292="Mid-Market",22,14))+IF(T292="Enterprise",25,IF(T292="Mid-Market",18,10))+IF(Q292="Referral",25,IF(Q292="Organic Search",20,IF(Q292="Email",18,14)))+IF(G292="Technology",10,5))</x:f>
        <x:v>59</x:v>
      </x:c>
      <x:c r="AE292" t="str">
        <x:f>IF(U292&lt;&gt;"Open",U292,IF(N292&gt;=0.8,"Commit",IF(N292&gt;=0.5,"Best Case","Pipeline")))</x:f>
        <x:v>Won</x:v>
      </x:c>
    </x:row>
    <x:row r="293">
      <x:c r="A293" t="str">
        <x:v>L00292</x:v>
      </x:c>
      <x:c r="B293" s="10" t="n">
        <x:v>45882</x:v>
      </x:c>
      <x:c r="C293" t="str">
        <x:v>Bao Tran</x:v>
      </x:c>
      <x:c r="D293" t="str">
        <x:v>South</x:v>
      </x:c>
      <x:c r="E293" t="str">
        <x:v>Outbound</x:v>
      </x:c>
      <x:c r="F293" t="str">
        <x:v>CRM-CORE</x:v>
      </x:c>
      <x:c r="G293" t="str">
        <x:v>Retail</x:v>
      </x:c>
      <x:c r="H293" t="str">
        <x:v>SMB</x:v>
      </x:c>
      <x:c r="I293" t="str">
        <x:v>Closed Lost</x:v>
      </x:c>
      <x:c r="J293" s="10" t="n">
        <x:v>45919</x:v>
      </x:c>
      <x:c r="K293" s="10" t="n">
        <x:v>45919</x:v>
      </x:c>
      <x:c r="L293" s="22" t="n">
        <x:v>4700</x:v>
      </x:c>
      <x:c r="M293" s="24" t="n">
        <x:v>0</x:v>
      </x:c>
      <x:c r="N293" s="24" t="n">
        <x:v>0</x:v>
      </x:c>
      <x:c r="O293" t="str">
        <x:v>Budget</x:v>
      </x:c>
      <x:c r="P293" t="n">
        <x:v>5</x:v>
      </x:c>
      <x:c r="Q293" t="str">
        <x:f>IFERROR(XLOOKUP(E293,Lookups!$A$5:$A$24,Lookups!$B$5:$B$24),"Other")</x:f>
        <x:v>Outbound</x:v>
      </x:c>
      <x:c r="R293" t="str">
        <x:f>IFERROR(XLOOKUP(F293,Lookups!$D$5:$D$10,Lookups!$E$5:$E$10),"Unknown Product")</x:f>
        <x:v>NexaCRM Core</x:v>
      </x:c>
      <x:c r="S293" t="str">
        <x:f>IFERROR(XLOOKUP(F293,Lookups!$D$5:$D$10,Lookups!$F$5:$F$10),"Unknown")</x:f>
        <x:v>CRM</x:v>
      </x:c>
      <x:c r="T293" t="str">
        <x:f>IF(L293&gt;=50000,"Enterprise",IF(L293&gt;=20000,"Mid-Market","SMB"))</x:f>
        <x:v>SMB</x:v>
      </x:c>
      <x:c r="U293" t="str">
        <x:f>IF(I293="Closed Won","Won",IF(I293="Closed Lost","Lost","Open"))</x:f>
        <x:v>Lost</x:v>
      </x:c>
      <x:c r="V293" s="22" t="n">
        <x:f>IF(U293="Won",L293*(1-M293),0)</x:f>
        <x:v>0</x:v>
      </x:c>
      <x:c r="W293" s="22" t="n">
        <x:f>IF(U293="Open",L293*N293,0)</x:f>
        <x:v>0</x:v>
      </x:c>
      <x:c r="X293" s="26" t="n">
        <x:f>IF(U293="Open","",IFERROR(K293-B293,""))</x:f>
        <x:v>37</x:v>
      </x:c>
      <x:c r="Y293" s="26" t="n">
        <x:f>IF(U293="Open",Lookups!$B$2-B293,X293)</x:f>
        <x:v>37</x:v>
      </x:c>
      <x:c r="Z293" t="str">
        <x:f>IF(AND(U293="Open",Y293&gt;30),"STALE","OK")</x:f>
        <x:v>OK</x:v>
      </x:c>
      <x:c r="AA293" t="str">
        <x:f>TEXT(B293,"yyyy-mm")</x:f>
        <x:v>2025-08</x:v>
      </x:c>
      <x:c r="AB293" t="str">
        <x:f>IF(K293="","",TEXT(K293,"yyyy-mm"))</x:f>
        <x:v>2025-09</x:v>
      </x:c>
      <x:c r="AC293" t="str">
        <x:f>"Q"&amp;ROUNDUP(MONTH(B293)/3,0)&amp;"-"&amp;YEAR(B293)</x:f>
        <x:v>Q3-2025</x:v>
      </x:c>
      <x:c r="AD293" s="26" t="n">
        <x:f>MIN(100,IF(H293="Enterprise",30,IF(H293="Mid-Market",22,14))+IF(T293="Enterprise",25,IF(T293="Mid-Market",18,10))+IF(Q293="Referral",25,IF(Q293="Organic Search",20,IF(Q293="Email",18,14)))+IF(G293="Technology",10,5))</x:f>
        <x:v>43</x:v>
      </x:c>
      <x:c r="AE293" t="str">
        <x:f>IF(U293&lt;&gt;"Open",U293,IF(N293&gt;=0.8,"Commit",IF(N293&gt;=0.5,"Best Case","Pipeline")))</x:f>
        <x:v>Lost</x:v>
      </x:c>
    </x:row>
    <x:row r="294">
      <x:c r="A294" t="str">
        <x:v>L00293</x:v>
      </x:c>
      <x:c r="B294" s="10" t="n">
        <x:v>46168</x:v>
      </x:c>
      <x:c r="C294" t="str">
        <x:v>Chi Le</x:v>
      </x:c>
      <x:c r="D294" t="str">
        <x:v>South</x:v>
      </x:c>
      <x:c r="E294" t="str">
        <x:v>Outbound</x:v>
      </x:c>
      <x:c r="F294" t="str">
        <x:v>BI-PLUS</x:v>
      </x:c>
      <x:c r="G294" t="str">
        <x:v>Technology</x:v>
      </x:c>
      <x:c r="H294" t="str">
        <x:v>Mid-Market</x:v>
      </x:c>
      <x:c r="I294" t="str">
        <x:v>Closed Won</x:v>
      </x:c>
      <x:c r="J294" s="10" t="n">
        <x:v>46254</x:v>
      </x:c>
      <x:c r="K294" s="10" t="n">
        <x:v>46254</x:v>
      </x:c>
      <x:c r="L294" s="22" t="n">
        <x:v>51000</x:v>
      </x:c>
      <x:c r="M294" s="24" t="n">
        <x:v>0.1</x:v>
      </x:c>
      <x:c r="N294" s="24" t="n">
        <x:v>1</x:v>
      </x:c>
      <x:c r="O294" t="str"/>
      <x:c r="P294" t="n">
        <x:v>6</x:v>
      </x:c>
      <x:c r="Q294" t="str">
        <x:f>IFERROR(XLOOKUP(E294,Lookups!$A$5:$A$24,Lookups!$B$5:$B$24),"Other")</x:f>
        <x:v>Outbound</x:v>
      </x:c>
      <x:c r="R294" t="str">
        <x:f>IFERROR(XLOOKUP(F294,Lookups!$D$5:$D$10,Lookups!$E$5:$E$10),"Unknown Product")</x:f>
        <x:v>Analytics Plus</x:v>
      </x:c>
      <x:c r="S294" t="str">
        <x:f>IFERROR(XLOOKUP(F294,Lookups!$D$5:$D$10,Lookups!$F$5:$F$10),"Unknown")</x:f>
        <x:v>Analytics</x:v>
      </x:c>
      <x:c r="T294" t="str">
        <x:f>IF(L294&gt;=50000,"Enterprise",IF(L294&gt;=20000,"Mid-Market","SMB"))</x:f>
        <x:v>Enterprise</x:v>
      </x:c>
      <x:c r="U294" t="str">
        <x:f>IF(I294="Closed Won","Won",IF(I294="Closed Lost","Lost","Open"))</x:f>
        <x:v>Won</x:v>
      </x:c>
      <x:c r="V294" s="22" t="n">
        <x:f>IF(U294="Won",L294*(1-M294),0)</x:f>
        <x:v>45900</x:v>
      </x:c>
      <x:c r="W294" s="22" t="n">
        <x:f>IF(U294="Open",L294*N294,0)</x:f>
        <x:v>0</x:v>
      </x:c>
      <x:c r="X294" s="26" t="n">
        <x:f>IF(U294="Open","",IFERROR(K294-B294,""))</x:f>
        <x:v>86</x:v>
      </x:c>
      <x:c r="Y294" s="26" t="n">
        <x:f>IF(U294="Open",Lookups!$B$2-B294,X294)</x:f>
        <x:v>86</x:v>
      </x:c>
      <x:c r="Z294" t="str">
        <x:f>IF(AND(U294="Open",Y294&gt;30),"STALE","OK")</x:f>
        <x:v>OK</x:v>
      </x:c>
      <x:c r="AA294" t="str">
        <x:f>TEXT(B294,"yyyy-mm")</x:f>
        <x:v>2026-05</x:v>
      </x:c>
      <x:c r="AB294" t="str">
        <x:f>IF(K294="","",TEXT(K294,"yyyy-mm"))</x:f>
        <x:v>2026-08</x:v>
      </x:c>
      <x:c r="AC294" t="str">
        <x:f>"Q"&amp;ROUNDUP(MONTH(B294)/3,0)&amp;"-"&amp;YEAR(B294)</x:f>
        <x:v>Q2-2026</x:v>
      </x:c>
      <x:c r="AD294" s="26" t="n">
        <x:f>MIN(100,IF(H294="Enterprise",30,IF(H294="Mid-Market",22,14))+IF(T294="Enterprise",25,IF(T294="Mid-Market",18,10))+IF(Q294="Referral",25,IF(Q294="Organic Search",20,IF(Q294="Email",18,14)))+IF(G294="Technology",10,5))</x:f>
        <x:v>71</x:v>
      </x:c>
      <x:c r="AE294" t="str">
        <x:f>IF(U294&lt;&gt;"Open",U294,IF(N294&gt;=0.8,"Commit",IF(N294&gt;=0.5,"Best Case","Pipeline")))</x:f>
        <x:v>Won</x:v>
      </x:c>
    </x:row>
    <x:row r="295">
      <x:c r="A295" t="str">
        <x:v>L00294</x:v>
      </x:c>
      <x:c r="B295" s="10" t="n">
        <x:v>46163</x:v>
      </x:c>
      <x:c r="C295" t="str">
        <x:v>An Nguyen</x:v>
      </x:c>
      <x:c r="D295" t="str">
        <x:v>South</x:v>
      </x:c>
      <x:c r="E295" t="str">
        <x:v>Google Ads</x:v>
      </x:c>
      <x:c r="F295" t="str">
        <x:v>CS-CLOUD</x:v>
      </x:c>
      <x:c r="G295" t="str">
        <x:v>Technology</x:v>
      </x:c>
      <x:c r="H295" t="str">
        <x:v>SMB</x:v>
      </x:c>
      <x:c r="I295" t="str">
        <x:v>Closed Lost</x:v>
      </x:c>
      <x:c r="J295" s="10" t="n">
        <x:v>46212</x:v>
      </x:c>
      <x:c r="K295" s="10" t="n">
        <x:v>46212</x:v>
      </x:c>
      <x:c r="L295" s="22" t="n">
        <x:v>20500</x:v>
      </x:c>
      <x:c r="M295" s="24" t="n">
        <x:v>0</x:v>
      </x:c>
      <x:c r="N295" s="24" t="n">
        <x:v>0</x:v>
      </x:c>
      <x:c r="O295" t="str">
        <x:v>Competitor</x:v>
      </x:c>
      <x:c r="P295" t="n">
        <x:v>3</x:v>
      </x:c>
      <x:c r="Q295" t="str">
        <x:f>IFERROR(XLOOKUP(E295,Lookups!$A$5:$A$24,Lookups!$B$5:$B$24),"Other")</x:f>
        <x:v>Paid Search</x:v>
      </x:c>
      <x:c r="R295" t="str">
        <x:f>IFERROR(XLOOKUP(F295,Lookups!$D$5:$D$10,Lookups!$E$5:$E$10),"Unknown Product")</x:f>
        <x:v>Service Cloud</x:v>
      </x:c>
      <x:c r="S295" t="str">
        <x:f>IFERROR(XLOOKUP(F295,Lookups!$D$5:$D$10,Lookups!$F$5:$F$10),"Unknown")</x:f>
        <x:v>Customer Service</x:v>
      </x:c>
      <x:c r="T295" t="str">
        <x:f>IF(L295&gt;=50000,"Enterprise",IF(L295&gt;=20000,"Mid-Market","SMB"))</x:f>
        <x:v>Mid-Market</x:v>
      </x:c>
      <x:c r="U295" t="str">
        <x:f>IF(I295="Closed Won","Won",IF(I295="Closed Lost","Lost","Open"))</x:f>
        <x:v>Lost</x:v>
      </x:c>
      <x:c r="V295" s="22" t="n">
        <x:f>IF(U295="Won",L295*(1-M295),0)</x:f>
        <x:v>0</x:v>
      </x:c>
      <x:c r="W295" s="22" t="n">
        <x:f>IF(U295="Open",L295*N295,0)</x:f>
        <x:v>0</x:v>
      </x:c>
      <x:c r="X295" s="26" t="n">
        <x:f>IF(U295="Open","",IFERROR(K295-B295,""))</x:f>
        <x:v>49</x:v>
      </x:c>
      <x:c r="Y295" s="26" t="n">
        <x:f>IF(U295="Open",Lookups!$B$2-B295,X295)</x:f>
        <x:v>49</x:v>
      </x:c>
      <x:c r="Z295" t="str">
        <x:f>IF(AND(U295="Open",Y295&gt;30),"STALE","OK")</x:f>
        <x:v>OK</x:v>
      </x:c>
      <x:c r="AA295" t="str">
        <x:f>TEXT(B295,"yyyy-mm")</x:f>
        <x:v>2026-05</x:v>
      </x:c>
      <x:c r="AB295" t="str">
        <x:f>IF(K295="","",TEXT(K295,"yyyy-mm"))</x:f>
        <x:v>2026-07</x:v>
      </x:c>
      <x:c r="AC295" t="str">
        <x:f>"Q"&amp;ROUNDUP(MONTH(B295)/3,0)&amp;"-"&amp;YEAR(B295)</x:f>
        <x:v>Q2-2026</x:v>
      </x:c>
      <x:c r="AD295" s="26" t="n">
        <x:f>MIN(100,IF(H295="Enterprise",30,IF(H295="Mid-Market",22,14))+IF(T295="Enterprise",25,IF(T295="Mid-Market",18,10))+IF(Q295="Referral",25,IF(Q295="Organic Search",20,IF(Q295="Email",18,14)))+IF(G295="Technology",10,5))</x:f>
        <x:v>56</x:v>
      </x:c>
      <x:c r="AE295" t="str">
        <x:f>IF(U295&lt;&gt;"Open",U295,IF(N295&gt;=0.8,"Commit",IF(N295&gt;=0.5,"Best Case","Pipeline")))</x:f>
        <x:v>Lost</x:v>
      </x:c>
    </x:row>
    <x:row r="296">
      <x:c r="A296" t="str">
        <x:v>L00295</x:v>
      </x:c>
      <x:c r="B296" s="10" t="n">
        <x:v>46149</x:v>
      </x:c>
      <x:c r="C296" t="str">
        <x:v>Quynh Vu</x:v>
      </x:c>
      <x:c r="D296" t="str">
        <x:v>North</x:v>
      </x:c>
      <x:c r="E296" t="str">
        <x:v>newsletter</x:v>
      </x:c>
      <x:c r="F296" t="str">
        <x:v>CRM-CORE</x:v>
      </x:c>
      <x:c r="G296" t="str">
        <x:v>Healthcare</x:v>
      </x:c>
      <x:c r="H296" t="str">
        <x:v>Mid-Market</x:v>
      </x:c>
      <x:c r="I296" t="str">
        <x:v>Closed Lost</x:v>
      </x:c>
      <x:c r="J296" s="10" t="n">
        <x:v>46202</x:v>
      </x:c>
      <x:c r="K296" s="10" t="n">
        <x:v>46202</x:v>
      </x:c>
      <x:c r="L296" s="22" t="n">
        <x:v>8900</x:v>
      </x:c>
      <x:c r="M296" s="24" t="n">
        <x:v>0</x:v>
      </x:c>
      <x:c r="N296" s="24" t="n">
        <x:v>0</x:v>
      </x:c>
      <x:c r="O296" t="str">
        <x:v>Budget</x:v>
      </x:c>
      <x:c r="P296" t="n">
        <x:v>2</x:v>
      </x:c>
      <x:c r="Q296" t="str">
        <x:f>IFERROR(XLOOKUP(E296,Lookups!$A$5:$A$24,Lookups!$B$5:$B$24),"Other")</x:f>
        <x:v>Email</x:v>
      </x:c>
      <x:c r="R296" t="str">
        <x:f>IFERROR(XLOOKUP(F296,Lookups!$D$5:$D$10,Lookups!$E$5:$E$10),"Unknown Product")</x:f>
        <x:v>NexaCRM Core</x:v>
      </x:c>
      <x:c r="S296" t="str">
        <x:f>IFERROR(XLOOKUP(F296,Lookups!$D$5:$D$10,Lookups!$F$5:$F$10),"Unknown")</x:f>
        <x:v>CRM</x:v>
      </x:c>
      <x:c r="T296" t="str">
        <x:f>IF(L296&gt;=50000,"Enterprise",IF(L296&gt;=20000,"Mid-Market","SMB"))</x:f>
        <x:v>SMB</x:v>
      </x:c>
      <x:c r="U296" t="str">
        <x:f>IF(I296="Closed Won","Won",IF(I296="Closed Lost","Lost","Open"))</x:f>
        <x:v>Lost</x:v>
      </x:c>
      <x:c r="V296" s="22" t="n">
        <x:f>IF(U296="Won",L296*(1-M296),0)</x:f>
        <x:v>0</x:v>
      </x:c>
      <x:c r="W296" s="22" t="n">
        <x:f>IF(U296="Open",L296*N296,0)</x:f>
        <x:v>0</x:v>
      </x:c>
      <x:c r="X296" s="26" t="n">
        <x:f>IF(U296="Open","",IFERROR(K296-B296,""))</x:f>
        <x:v>53</x:v>
      </x:c>
      <x:c r="Y296" s="26" t="n">
        <x:f>IF(U296="Open",Lookups!$B$2-B296,X296)</x:f>
        <x:v>53</x:v>
      </x:c>
      <x:c r="Z296" t="str">
        <x:f>IF(AND(U296="Open",Y296&gt;30),"STALE","OK")</x:f>
        <x:v>OK</x:v>
      </x:c>
      <x:c r="AA296" t="str">
        <x:f>TEXT(B296,"yyyy-mm")</x:f>
        <x:v>2026-05</x:v>
      </x:c>
      <x:c r="AB296" t="str">
        <x:f>IF(K296="","",TEXT(K296,"yyyy-mm"))</x:f>
        <x:v>2026-06</x:v>
      </x:c>
      <x:c r="AC296" t="str">
        <x:f>"Q"&amp;ROUNDUP(MONTH(B296)/3,0)&amp;"-"&amp;YEAR(B296)</x:f>
        <x:v>Q2-2026</x:v>
      </x:c>
      <x:c r="AD296" s="26" t="n">
        <x:f>MIN(100,IF(H296="Enterprise",30,IF(H296="Mid-Market",22,14))+IF(T296="Enterprise",25,IF(T296="Mid-Market",18,10))+IF(Q296="Referral",25,IF(Q296="Organic Search",20,IF(Q296="Email",18,14)))+IF(G296="Technology",10,5))</x:f>
        <x:v>55</x:v>
      </x:c>
      <x:c r="AE296" t="str">
        <x:f>IF(U296&lt;&gt;"Open",U296,IF(N296&gt;=0.8,"Commit",IF(N296&gt;=0.5,"Best Case","Pipeline")))</x:f>
        <x:v>Lost</x:v>
      </x:c>
    </x:row>
    <x:row r="297">
      <x:c r="A297" t="str">
        <x:v>L00296</x:v>
      </x:c>
      <x:c r="B297" s="10" t="n">
        <x:v>46138</x:v>
      </x:c>
      <x:c r="C297" t="str">
        <x:v>Minh Do</x:v>
      </x:c>
      <x:c r="D297" t="str">
        <x:v>North</x:v>
      </x:c>
      <x:c r="E297" t="str">
        <x:v>SEM - Google</x:v>
      </x:c>
      <x:c r="F297" t="str">
        <x:v>REV-OPS</x:v>
      </x:c>
      <x:c r="G297" t="str">
        <x:v>Education</x:v>
      </x:c>
      <x:c r="H297" t="str">
        <x:v>SMB</x:v>
      </x:c>
      <x:c r="I297" t="str">
        <x:v>Proposal</x:v>
      </x:c>
      <x:c r="J297" s="10" t="n">
        <x:v>46196</x:v>
      </x:c>
      <x:c r="K297" s="10"/>
      <x:c r="L297" s="22" t="n">
        <x:v>44700</x:v>
      </x:c>
      <x:c r="M297" s="24" t="n">
        <x:v>0.05</x:v>
      </x:c>
      <x:c r="N297" s="24" t="n">
        <x:v>0.65</x:v>
      </x:c>
      <x:c r="O297" t="str"/>
      <x:c r="P297" t="n">
        <x:v>4</x:v>
      </x:c>
      <x:c r="Q297" t="str">
        <x:f>IFERROR(XLOOKUP(E297,Lookups!$A$5:$A$24,Lookups!$B$5:$B$24),"Other")</x:f>
        <x:v>Paid Search</x:v>
      </x:c>
      <x:c r="R297" t="str">
        <x:f>IFERROR(XLOOKUP(F297,Lookups!$D$5:$D$10,Lookups!$E$5:$E$10),"Unknown Product")</x:f>
        <x:v>Revenue Operations Suite</x:v>
      </x:c>
      <x:c r="S297" t="str">
        <x:f>IFERROR(XLOOKUP(F297,Lookups!$D$5:$D$10,Lookups!$F$5:$F$10),"Unknown")</x:f>
        <x:v>Revenue Ops</x:v>
      </x:c>
      <x:c r="T297" t="str">
        <x:f>IF(L297&gt;=50000,"Enterprise",IF(L297&gt;=20000,"Mid-Market","SMB"))</x:f>
        <x:v>Mid-Market</x:v>
      </x:c>
      <x:c r="U297" t="str">
        <x:f>IF(I297="Closed Won","Won",IF(I297="Closed Lost","Lost","Open"))</x:f>
        <x:v>Open</x:v>
      </x:c>
      <x:c r="V297" s="22" t="n">
        <x:f>IF(U297="Won",L297*(1-M297),0)</x:f>
        <x:v>0</x:v>
      </x:c>
      <x:c r="W297" s="22" t="n">
        <x:f>IF(U297="Open",L297*N297,0)</x:f>
        <x:v>29055</x:v>
      </x:c>
      <x:c r="X297" s="26" t="str">
        <x:f>IF(U297="Open","",IFERROR(K297-B297,""))</x:f>
      </x:c>
      <x:c r="Y297" s="26" t="n">
        <x:f>IF(U297="Open",Lookups!$B$2-B297,X297)</x:f>
        <x:v>128</x:v>
      </x:c>
      <x:c r="Z297" t="str">
        <x:f>IF(AND(U297="Open",Y297&gt;30),"STALE","OK")</x:f>
        <x:v>STALE</x:v>
      </x:c>
      <x:c r="AA297" t="str">
        <x:f>TEXT(B297,"yyyy-mm")</x:f>
        <x:v>2026-04</x:v>
      </x:c>
      <x:c r="AB297" t="str">
        <x:f>IF(K297="","",TEXT(K297,"yyyy-mm"))</x:f>
      </x:c>
      <x:c r="AC297" t="str">
        <x:f>"Q"&amp;ROUNDUP(MONTH(B297)/3,0)&amp;"-"&amp;YEAR(B297)</x:f>
        <x:v>Q2-2026</x:v>
      </x:c>
      <x:c r="AD297" s="26" t="n">
        <x:f>MIN(100,IF(H297="Enterprise",30,IF(H297="Mid-Market",22,14))+IF(T297="Enterprise",25,IF(T297="Mid-Market",18,10))+IF(Q297="Referral",25,IF(Q297="Organic Search",20,IF(Q297="Email",18,14)))+IF(G297="Technology",10,5))</x:f>
        <x:v>51</x:v>
      </x:c>
      <x:c r="AE297" t="str">
        <x:f>IF(U297&lt;&gt;"Open",U297,IF(N297&gt;=0.8,"Commit",IF(N297&gt;=0.5,"Best Case","Pipeline")))</x:f>
        <x:v>Best Case</x:v>
      </x:c>
    </x:row>
    <x:row r="298">
      <x:c r="A298" t="str">
        <x:v>L00297</x:v>
      </x:c>
      <x:c r="B298" s="10" t="n">
        <x:v>46030</x:v>
      </x:c>
      <x:c r="C298" t="str">
        <x:v>An Nguyen</x:v>
      </x:c>
      <x:c r="D298" t="str">
        <x:v>South</x:v>
      </x:c>
      <x:c r="E298" t="str">
        <x:v>LI Ads</x:v>
      </x:c>
      <x:c r="F298" t="str">
        <x:v>CRM-CORE</x:v>
      </x:c>
      <x:c r="G298" t="str">
        <x:v>Education</x:v>
      </x:c>
      <x:c r="H298" t="str">
        <x:v>Mid-Market</x:v>
      </x:c>
      <x:c r="I298" t="str">
        <x:v>Closed Lost</x:v>
      </x:c>
      <x:c r="J298" s="10" t="n">
        <x:v>46062</x:v>
      </x:c>
      <x:c r="K298" s="10" t="n">
        <x:v>46062</x:v>
      </x:c>
      <x:c r="L298" s="22" t="n">
        <x:v>11100</x:v>
      </x:c>
      <x:c r="M298" s="24" t="n">
        <x:v>0</x:v>
      </x:c>
      <x:c r="N298" s="24" t="n">
        <x:v>0</x:v>
      </x:c>
      <x:c r="O298" t="str">
        <x:v>Budget</x:v>
      </x:c>
      <x:c r="P298" t="n">
        <x:v>4</x:v>
      </x:c>
      <x:c r="Q298" t="str">
        <x:f>IFERROR(XLOOKUP(E298,Lookups!$A$5:$A$24,Lookups!$B$5:$B$24),"Other")</x:f>
        <x:v>LinkedIn</x:v>
      </x:c>
      <x:c r="R298" t="str">
        <x:f>IFERROR(XLOOKUP(F298,Lookups!$D$5:$D$10,Lookups!$E$5:$E$10),"Unknown Product")</x:f>
        <x:v>NexaCRM Core</x:v>
      </x:c>
      <x:c r="S298" t="str">
        <x:f>IFERROR(XLOOKUP(F298,Lookups!$D$5:$D$10,Lookups!$F$5:$F$10),"Unknown")</x:f>
        <x:v>CRM</x:v>
      </x:c>
      <x:c r="T298" t="str">
        <x:f>IF(L298&gt;=50000,"Enterprise",IF(L298&gt;=20000,"Mid-Market","SMB"))</x:f>
        <x:v>SMB</x:v>
      </x:c>
      <x:c r="U298" t="str">
        <x:f>IF(I298="Closed Won","Won",IF(I298="Closed Lost","Lost","Open"))</x:f>
        <x:v>Lost</x:v>
      </x:c>
      <x:c r="V298" s="22" t="n">
        <x:f>IF(U298="Won",L298*(1-M298),0)</x:f>
        <x:v>0</x:v>
      </x:c>
      <x:c r="W298" s="22" t="n">
        <x:f>IF(U298="Open",L298*N298,0)</x:f>
        <x:v>0</x:v>
      </x:c>
      <x:c r="X298" s="26" t="n">
        <x:f>IF(U298="Open","",IFERROR(K298-B298,""))</x:f>
        <x:v>32</x:v>
      </x:c>
      <x:c r="Y298" s="26" t="n">
        <x:f>IF(U298="Open",Lookups!$B$2-B298,X298)</x:f>
        <x:v>32</x:v>
      </x:c>
      <x:c r="Z298" t="str">
        <x:f>IF(AND(U298="Open",Y298&gt;30),"STALE","OK")</x:f>
        <x:v>OK</x:v>
      </x:c>
      <x:c r="AA298" t="str">
        <x:f>TEXT(B298,"yyyy-mm")</x:f>
        <x:v>2026-01</x:v>
      </x:c>
      <x:c r="AB298" t="str">
        <x:f>IF(K298="","",TEXT(K298,"yyyy-mm"))</x:f>
        <x:v>2026-02</x:v>
      </x:c>
      <x:c r="AC298" t="str">
        <x:f>"Q"&amp;ROUNDUP(MONTH(B298)/3,0)&amp;"-"&amp;YEAR(B298)</x:f>
        <x:v>Q1-2026</x:v>
      </x:c>
      <x:c r="AD298" s="26" t="n">
        <x:f>MIN(100,IF(H298="Enterprise",30,IF(H298="Mid-Market",22,14))+IF(T298="Enterprise",25,IF(T298="Mid-Market",18,10))+IF(Q298="Referral",25,IF(Q298="Organic Search",20,IF(Q298="Email",18,14)))+IF(G298="Technology",10,5))</x:f>
        <x:v>51</x:v>
      </x:c>
      <x:c r="AE298" t="str">
        <x:f>IF(U298&lt;&gt;"Open",U298,IF(N298&gt;=0.8,"Commit",IF(N298&gt;=0.5,"Best Case","Pipeline")))</x:f>
        <x:v>Lost</x:v>
      </x:c>
    </x:row>
    <x:row r="299">
      <x:c r="A299" t="str">
        <x:v>L00298</x:v>
      </x:c>
      <x:c r="B299" s="10" t="n">
        <x:v>45879</x:v>
      </x:c>
      <x:c r="C299" t="str">
        <x:v>Chi Le</x:v>
      </x:c>
      <x:c r="D299" t="str">
        <x:v>South</x:v>
      </x:c>
      <x:c r="E299" t="str">
        <x:v>Google Organic</x:v>
      </x:c>
      <x:c r="F299" t="str">
        <x:v>CRM-CORE</x:v>
      </x:c>
      <x:c r="G299" t="str">
        <x:v>Education</x:v>
      </x:c>
      <x:c r="H299" t="str">
        <x:v>SMB</x:v>
      </x:c>
      <x:c r="I299" t="str">
        <x:v>Closed Won</x:v>
      </x:c>
      <x:c r="J299" s="10" t="n">
        <x:v>45922</x:v>
      </x:c>
      <x:c r="K299" s="10" t="n">
        <x:v>45922</x:v>
      </x:c>
      <x:c r="L299" s="22" t="n">
        <x:v>8100</x:v>
      </x:c>
      <x:c r="M299" s="24" t="n">
        <x:v>0.1</x:v>
      </x:c>
      <x:c r="N299" s="24" t="n">
        <x:v>1</x:v>
      </x:c>
      <x:c r="O299" t="str"/>
      <x:c r="P299" t="n">
        <x:v>6</x:v>
      </x:c>
      <x:c r="Q299" t="str">
        <x:f>IFERROR(XLOOKUP(E299,Lookups!$A$5:$A$24,Lookups!$B$5:$B$24),"Other")</x:f>
        <x:v>Organic Search</x:v>
      </x:c>
      <x:c r="R299" t="str">
        <x:f>IFERROR(XLOOKUP(F299,Lookups!$D$5:$D$10,Lookups!$E$5:$E$10),"Unknown Product")</x:f>
        <x:v>NexaCRM Core</x:v>
      </x:c>
      <x:c r="S299" t="str">
        <x:f>IFERROR(XLOOKUP(F299,Lookups!$D$5:$D$10,Lookups!$F$5:$F$10),"Unknown")</x:f>
        <x:v>CRM</x:v>
      </x:c>
      <x:c r="T299" t="str">
        <x:f>IF(L299&gt;=50000,"Enterprise",IF(L299&gt;=20000,"Mid-Market","SMB"))</x:f>
        <x:v>SMB</x:v>
      </x:c>
      <x:c r="U299" t="str">
        <x:f>IF(I299="Closed Won","Won",IF(I299="Closed Lost","Lost","Open"))</x:f>
        <x:v>Won</x:v>
      </x:c>
      <x:c r="V299" s="22" t="n">
        <x:f>IF(U299="Won",L299*(1-M299),0)</x:f>
        <x:v>7290</x:v>
      </x:c>
      <x:c r="W299" s="22" t="n">
        <x:f>IF(U299="Open",L299*N299,0)</x:f>
        <x:v>0</x:v>
      </x:c>
      <x:c r="X299" s="26" t="n">
        <x:f>IF(U299="Open","",IFERROR(K299-B299,""))</x:f>
        <x:v>43</x:v>
      </x:c>
      <x:c r="Y299" s="26" t="n">
        <x:f>IF(U299="Open",Lookups!$B$2-B299,X299)</x:f>
        <x:v>43</x:v>
      </x:c>
      <x:c r="Z299" t="str">
        <x:f>IF(AND(U299="Open",Y299&gt;30),"STALE","OK")</x:f>
        <x:v>OK</x:v>
      </x:c>
      <x:c r="AA299" t="str">
        <x:f>TEXT(B299,"yyyy-mm")</x:f>
        <x:v>2025-08</x:v>
      </x:c>
      <x:c r="AB299" t="str">
        <x:f>IF(K299="","",TEXT(K299,"yyyy-mm"))</x:f>
        <x:v>2025-09</x:v>
      </x:c>
      <x:c r="AC299" t="str">
        <x:f>"Q"&amp;ROUNDUP(MONTH(B299)/3,0)&amp;"-"&amp;YEAR(B299)</x:f>
        <x:v>Q3-2025</x:v>
      </x:c>
      <x:c r="AD299" s="26" t="n">
        <x:f>MIN(100,IF(H299="Enterprise",30,IF(H299="Mid-Market",22,14))+IF(T299="Enterprise",25,IF(T299="Mid-Market",18,10))+IF(Q299="Referral",25,IF(Q299="Organic Search",20,IF(Q299="Email",18,14)))+IF(G299="Technology",10,5))</x:f>
        <x:v>49</x:v>
      </x:c>
      <x:c r="AE299" t="str">
        <x:f>IF(U299&lt;&gt;"Open",U299,IF(N299&gt;=0.8,"Commit",IF(N299&gt;=0.5,"Best Case","Pipeline")))</x:f>
        <x:v>Won</x:v>
      </x:c>
    </x:row>
    <x:row r="300">
      <x:c r="A300" t="str">
        <x:v>L00299</x:v>
      </x:c>
      <x:c r="B300" s="10" t="n">
        <x:v>45840</x:v>
      </x:c>
      <x:c r="C300" t="str">
        <x:v>An Nguyen</x:v>
      </x:c>
      <x:c r="D300" t="str">
        <x:v>South</x:v>
      </x:c>
      <x:c r="E300" t="str">
        <x:v>LI Ads</x:v>
      </x:c>
      <x:c r="F300" t="str">
        <x:v>MKT-AUTO</x:v>
      </x:c>
      <x:c r="G300" t="str">
        <x:v>Technology</x:v>
      </x:c>
      <x:c r="H300" t="str">
        <x:v>SMB</x:v>
      </x:c>
      <x:c r="I300" t="str">
        <x:v>Negotiation</x:v>
      </x:c>
      <x:c r="J300" s="10" t="n">
        <x:v>46188</x:v>
      </x:c>
      <x:c r="K300" s="10"/>
      <x:c r="L300" s="22" t="n">
        <x:v>9700</x:v>
      </x:c>
      <x:c r="M300" s="24" t="n">
        <x:v>0.05</x:v>
      </x:c>
      <x:c r="N300" s="24" t="n">
        <x:v>0.85</x:v>
      </x:c>
      <x:c r="O300" t="str"/>
      <x:c r="P300" t="n">
        <x:v>5</x:v>
      </x:c>
      <x:c r="Q300" t="str">
        <x:f>IFERROR(XLOOKUP(E300,Lookups!$A$5:$A$24,Lookups!$B$5:$B$24),"Other")</x:f>
        <x:v>LinkedIn</x:v>
      </x:c>
      <x:c r="R300" t="str">
        <x:f>IFERROR(XLOOKUP(F300,Lookups!$D$5:$D$10,Lookups!$E$5:$E$10),"Unknown Product")</x:f>
        <x:v>Marketing Automation</x:v>
      </x:c>
      <x:c r="S300" t="str">
        <x:f>IFERROR(XLOOKUP(F300,Lookups!$D$5:$D$10,Lookups!$F$5:$F$10),"Unknown")</x:f>
        <x:v>Marketing</x:v>
      </x:c>
      <x:c r="T300" t="str">
        <x:f>IF(L300&gt;=50000,"Enterprise",IF(L300&gt;=20000,"Mid-Market","SMB"))</x:f>
        <x:v>SMB</x:v>
      </x:c>
      <x:c r="U300" t="str">
        <x:f>IF(I300="Closed Won","Won",IF(I300="Closed Lost","Lost","Open"))</x:f>
        <x:v>Open</x:v>
      </x:c>
      <x:c r="V300" s="22" t="n">
        <x:f>IF(U300="Won",L300*(1-M300),0)</x:f>
        <x:v>0</x:v>
      </x:c>
      <x:c r="W300" s="22" t="n">
        <x:f>IF(U300="Open",L300*N300,0)</x:f>
        <x:v>8245</x:v>
      </x:c>
      <x:c r="X300" s="26" t="str">
        <x:f>IF(U300="Open","",IFERROR(K300-B300,""))</x:f>
      </x:c>
      <x:c r="Y300" s="26" t="n">
        <x:f>IF(U300="Open",Lookups!$B$2-B300,X300)</x:f>
        <x:v>426</x:v>
      </x:c>
      <x:c r="Z300" t="str">
        <x:f>IF(AND(U300="Open",Y300&gt;30),"STALE","OK")</x:f>
        <x:v>STALE</x:v>
      </x:c>
      <x:c r="AA300" t="str">
        <x:f>TEXT(B300,"yyyy-mm")</x:f>
        <x:v>2025-07</x:v>
      </x:c>
      <x:c r="AB300" t="str">
        <x:f>IF(K300="","",TEXT(K300,"yyyy-mm"))</x:f>
      </x:c>
      <x:c r="AC300" t="str">
        <x:f>"Q"&amp;ROUNDUP(MONTH(B300)/3,0)&amp;"-"&amp;YEAR(B300)</x:f>
        <x:v>Q3-2025</x:v>
      </x:c>
      <x:c r="AD300" s="26" t="n">
        <x:f>MIN(100,IF(H300="Enterprise",30,IF(H300="Mid-Market",22,14))+IF(T300="Enterprise",25,IF(T300="Mid-Market",18,10))+IF(Q300="Referral",25,IF(Q300="Organic Search",20,IF(Q300="Email",18,14)))+IF(G300="Technology",10,5))</x:f>
        <x:v>48</x:v>
      </x:c>
      <x:c r="AE300" t="str">
        <x:f>IF(U300&lt;&gt;"Open",U300,IF(N300&gt;=0.8,"Commit",IF(N300&gt;=0.5,"Best Case","Pipeline")))</x:f>
        <x:v>Commit</x:v>
      </x:c>
    </x:row>
    <x:row r="301">
      <x:c r="A301" t="str">
        <x:v>L00300</x:v>
      </x:c>
      <x:c r="B301" s="10" t="n">
        <x:v>45864</x:v>
      </x:c>
      <x:c r="C301" t="str">
        <x:v>Chi Le</x:v>
      </x:c>
      <x:c r="D301" t="str">
        <x:v>South</x:v>
      </x:c>
      <x:c r="E301" t="str">
        <x:v>organic search</x:v>
      </x:c>
      <x:c r="F301" t="str">
        <x:v>CRM-PRO</x:v>
      </x:c>
      <x:c r="G301" t="str">
        <x:v>Retail</x:v>
      </x:c>
      <x:c r="H301" t="str">
        <x:v>Enterprise</x:v>
      </x:c>
      <x:c r="I301" t="str">
        <x:v>Closed Lost</x:v>
      </x:c>
      <x:c r="J301" s="10" t="n">
        <x:v>45916</x:v>
      </x:c>
      <x:c r="K301" s="10" t="n">
        <x:v>45916</x:v>
      </x:c>
      <x:c r="L301" s="22" t="n">
        <x:v>90300</x:v>
      </x:c>
      <x:c r="M301" s="24" t="n">
        <x:v>0</x:v>
      </x:c>
      <x:c r="N301" s="24" t="n">
        <x:v>0</x:v>
      </x:c>
      <x:c r="O301" t="str">
        <x:v>Timing</x:v>
      </x:c>
      <x:c r="P301" t="n">
        <x:v>4</x:v>
      </x:c>
      <x:c r="Q301" t="str">
        <x:f>IFERROR(XLOOKUP(E301,Lookups!$A$5:$A$24,Lookups!$B$5:$B$24),"Other")</x:f>
        <x:v>Organic Search</x:v>
      </x:c>
      <x:c r="R301" t="str">
        <x:f>IFERROR(XLOOKUP(F301,Lookups!$D$5:$D$10,Lookups!$E$5:$E$10),"Unknown Product")</x:f>
        <x:v>NexaCRM Pro</x:v>
      </x:c>
      <x:c r="S301" t="str">
        <x:f>IFERROR(XLOOKUP(F301,Lookups!$D$5:$D$10,Lookups!$F$5:$F$10),"Unknown")</x:f>
        <x:v>CRM</x:v>
      </x:c>
      <x:c r="T301" t="str">
        <x:f>IF(L301&gt;=50000,"Enterprise",IF(L301&gt;=20000,"Mid-Market","SMB"))</x:f>
        <x:v>Enterprise</x:v>
      </x:c>
      <x:c r="U301" t="str">
        <x:f>IF(I301="Closed Won","Won",IF(I301="Closed Lost","Lost","Open"))</x:f>
        <x:v>Lost</x:v>
      </x:c>
      <x:c r="V301" s="22" t="n">
        <x:f>IF(U301="Won",L301*(1-M301),0)</x:f>
        <x:v>0</x:v>
      </x:c>
      <x:c r="W301" s="22" t="n">
        <x:f>IF(U301="Open",L301*N301,0)</x:f>
        <x:v>0</x:v>
      </x:c>
      <x:c r="X301" s="26" t="n">
        <x:f>IF(U301="Open","",IFERROR(K301-B301,""))</x:f>
        <x:v>52</x:v>
      </x:c>
      <x:c r="Y301" s="26" t="n">
        <x:f>IF(U301="Open",Lookups!$B$2-B301,X301)</x:f>
        <x:v>52</x:v>
      </x:c>
      <x:c r="Z301" t="str">
        <x:f>IF(AND(U301="Open",Y301&gt;30),"STALE","OK")</x:f>
        <x:v>OK</x:v>
      </x:c>
      <x:c r="AA301" t="str">
        <x:f>TEXT(B301,"yyyy-mm")</x:f>
        <x:v>2025-07</x:v>
      </x:c>
      <x:c r="AB301" t="str">
        <x:f>IF(K301="","",TEXT(K301,"yyyy-mm"))</x:f>
        <x:v>2025-09</x:v>
      </x:c>
      <x:c r="AC301" t="str">
        <x:f>"Q"&amp;ROUNDUP(MONTH(B301)/3,0)&amp;"-"&amp;YEAR(B301)</x:f>
        <x:v>Q3-2025</x:v>
      </x:c>
      <x:c r="AD301" s="26" t="n">
        <x:f>MIN(100,IF(H301="Enterprise",30,IF(H301="Mid-Market",22,14))+IF(T301="Enterprise",25,IF(T301="Mid-Market",18,10))+IF(Q301="Referral",25,IF(Q301="Organic Search",20,IF(Q301="Email",18,14)))+IF(G301="Technology",10,5))</x:f>
        <x:v>80</x:v>
      </x:c>
      <x:c r="AE301" t="str">
        <x:f>IF(U301&lt;&gt;"Open",U301,IF(N301&gt;=0.8,"Commit",IF(N301&gt;=0.5,"Best Case","Pipeline")))</x:f>
        <x:v>Lost</x:v>
      </x:c>
    </x:row>
    <x:row r="302">
      <x:c r="A302" t="str">
        <x:v>L00301</x:v>
      </x:c>
      <x:c r="B302" s="10" t="n">
        <x:v>46256</x:v>
      </x:c>
      <x:c r="C302" t="str">
        <x:v>Chi Le</x:v>
      </x:c>
      <x:c r="D302" t="str">
        <x:v>South</x:v>
      </x:c>
      <x:c r="E302" t="str">
        <x:v>Email Campaign</x:v>
      </x:c>
      <x:c r="F302" t="str">
        <x:v>CS-CLOUD</x:v>
      </x:c>
      <x:c r="G302" t="str">
        <x:v>Manufacturing</x:v>
      </x:c>
      <x:c r="H302" t="str">
        <x:v>SMB</x:v>
      </x:c>
      <x:c r="I302" t="str">
        <x:v>New</x:v>
      </x:c>
      <x:c r="J302" s="10" t="n">
        <x:v>46262</x:v>
      </x:c>
      <x:c r="K302" s="10"/>
      <x:c r="L302" s="22" t="n">
        <x:v>15900</x:v>
      </x:c>
      <x:c r="M302" s="24" t="n">
        <x:v>0</x:v>
      </x:c>
      <x:c r="N302" s="24" t="n">
        <x:v>0.05</x:v>
      </x:c>
      <x:c r="O302" t="str"/>
      <x:c r="P302" t="n">
        <x:v>1</x:v>
      </x:c>
      <x:c r="Q302" t="str">
        <x:f>IFERROR(XLOOKUP(E302,Lookups!$A$5:$A$24,Lookups!$B$5:$B$24),"Other")</x:f>
        <x:v>Email</x:v>
      </x:c>
      <x:c r="R302" t="str">
        <x:f>IFERROR(XLOOKUP(F302,Lookups!$D$5:$D$10,Lookups!$E$5:$E$10),"Unknown Product")</x:f>
        <x:v>Service Cloud</x:v>
      </x:c>
      <x:c r="S302" t="str">
        <x:f>IFERROR(XLOOKUP(F302,Lookups!$D$5:$D$10,Lookups!$F$5:$F$10),"Unknown")</x:f>
        <x:v>Customer Service</x:v>
      </x:c>
      <x:c r="T302" t="str">
        <x:f>IF(L302&gt;=50000,"Enterprise",IF(L302&gt;=20000,"Mid-Market","SMB"))</x:f>
        <x:v>SMB</x:v>
      </x:c>
      <x:c r="U302" t="str">
        <x:f>IF(I302="Closed Won","Won",IF(I302="Closed Lost","Lost","Open"))</x:f>
        <x:v>Open</x:v>
      </x:c>
      <x:c r="V302" s="22" t="n">
        <x:f>IF(U302="Won",L302*(1-M302),0)</x:f>
        <x:v>0</x:v>
      </x:c>
      <x:c r="W302" s="22" t="n">
        <x:f>IF(U302="Open",L302*N302,0)</x:f>
        <x:v>795</x:v>
      </x:c>
      <x:c r="X302" s="26" t="str">
        <x:f>IF(U302="Open","",IFERROR(K302-B302,""))</x:f>
      </x:c>
      <x:c r="Y302" s="26" t="n">
        <x:f>IF(U302="Open",Lookups!$B$2-B302,X302)</x:f>
        <x:v>10</x:v>
      </x:c>
      <x:c r="Z302" t="str">
        <x:f>IF(AND(U302="Open",Y302&gt;30),"STALE","OK")</x:f>
        <x:v>OK</x:v>
      </x:c>
      <x:c r="AA302" t="str">
        <x:f>TEXT(B302,"yyyy-mm")</x:f>
        <x:v>2026-08</x:v>
      </x:c>
      <x:c r="AB302" t="str">
        <x:f>IF(K302="","",TEXT(K302,"yyyy-mm"))</x:f>
      </x:c>
      <x:c r="AC302" t="str">
        <x:f>"Q"&amp;ROUNDUP(MONTH(B302)/3,0)&amp;"-"&amp;YEAR(B302)</x:f>
        <x:v>Q3-2026</x:v>
      </x:c>
      <x:c r="AD302" s="26" t="n">
        <x:f>MIN(100,IF(H302="Enterprise",30,IF(H302="Mid-Market",22,14))+IF(T302="Enterprise",25,IF(T302="Mid-Market",18,10))+IF(Q302="Referral",25,IF(Q302="Organic Search",20,IF(Q302="Email",18,14)))+IF(G302="Technology",10,5))</x:f>
        <x:v>47</x:v>
      </x:c>
      <x:c r="AE302" t="str">
        <x:f>IF(U302&lt;&gt;"Open",U302,IF(N302&gt;=0.8,"Commit",IF(N302&gt;=0.5,"Best Case","Pipeline")))</x:f>
        <x:v>Pipeline</x:v>
      </x:c>
    </x:row>
    <x:row r="303">
      <x:c r="A303" t="str">
        <x:v>L00302</x:v>
      </x:c>
      <x:c r="B303" s="10" t="n">
        <x:v>45807</x:v>
      </x:c>
      <x:c r="C303" t="str">
        <x:v>Minh Do</x:v>
      </x:c>
      <x:c r="D303" t="str">
        <x:v>North</x:v>
      </x:c>
      <x:c r="E303" t="str">
        <x:v>LI Ads</x:v>
      </x:c>
      <x:c r="F303" t="str">
        <x:v>CRM-CORE</x:v>
      </x:c>
      <x:c r="G303" t="str">
        <x:v>Healthcare</x:v>
      </x:c>
      <x:c r="H303" t="str">
        <x:v>SMB</x:v>
      </x:c>
      <x:c r="I303" t="str">
        <x:v>Negotiation</x:v>
      </x:c>
      <x:c r="J303" s="10" t="n">
        <x:v>46200</x:v>
      </x:c>
      <x:c r="K303" s="10"/>
      <x:c r="L303" s="22" t="n">
        <x:v>10000</x:v>
      </x:c>
      <x:c r="M303" s="24" t="n">
        <x:v>0.03</x:v>
      </x:c>
      <x:c r="N303" s="24" t="n">
        <x:v>0.85</x:v>
      </x:c>
      <x:c r="O303" t="str"/>
      <x:c r="P303" t="n">
        <x:v>5</x:v>
      </x:c>
      <x:c r="Q303" t="str">
        <x:f>IFERROR(XLOOKUP(E303,Lookups!$A$5:$A$24,Lookups!$B$5:$B$24),"Other")</x:f>
        <x:v>LinkedIn</x:v>
      </x:c>
      <x:c r="R303" t="str">
        <x:f>IFERROR(XLOOKUP(F303,Lookups!$D$5:$D$10,Lookups!$E$5:$E$10),"Unknown Product")</x:f>
        <x:v>NexaCRM Core</x:v>
      </x:c>
      <x:c r="S303" t="str">
        <x:f>IFERROR(XLOOKUP(F303,Lookups!$D$5:$D$10,Lookups!$F$5:$F$10),"Unknown")</x:f>
        <x:v>CRM</x:v>
      </x:c>
      <x:c r="T303" t="str">
        <x:f>IF(L303&gt;=50000,"Enterprise",IF(L303&gt;=20000,"Mid-Market","SMB"))</x:f>
        <x:v>SMB</x:v>
      </x:c>
      <x:c r="U303" t="str">
        <x:f>IF(I303="Closed Won","Won",IF(I303="Closed Lost","Lost","Open"))</x:f>
        <x:v>Open</x:v>
      </x:c>
      <x:c r="V303" s="22" t="n">
        <x:f>IF(U303="Won",L303*(1-M303),0)</x:f>
        <x:v>0</x:v>
      </x:c>
      <x:c r="W303" s="22" t="n">
        <x:f>IF(U303="Open",L303*N303,0)</x:f>
        <x:v>8500</x:v>
      </x:c>
      <x:c r="X303" s="26" t="str">
        <x:f>IF(U303="Open","",IFERROR(K303-B303,""))</x:f>
      </x:c>
      <x:c r="Y303" s="26" t="n">
        <x:f>IF(U303="Open",Lookups!$B$2-B303,X303)</x:f>
        <x:v>459</x:v>
      </x:c>
      <x:c r="Z303" t="str">
        <x:f>IF(AND(U303="Open",Y303&gt;30),"STALE","OK")</x:f>
        <x:v>STALE</x:v>
      </x:c>
      <x:c r="AA303" t="str">
        <x:f>TEXT(B303,"yyyy-mm")</x:f>
        <x:v>2025-05</x:v>
      </x:c>
      <x:c r="AB303" t="str">
        <x:f>IF(K303="","",TEXT(K303,"yyyy-mm"))</x:f>
      </x:c>
      <x:c r="AC303" t="str">
        <x:f>"Q"&amp;ROUNDUP(MONTH(B303)/3,0)&amp;"-"&amp;YEAR(B303)</x:f>
        <x:v>Q2-2025</x:v>
      </x:c>
      <x:c r="AD303" s="26" t="n">
        <x:f>MIN(100,IF(H303="Enterprise",30,IF(H303="Mid-Market",22,14))+IF(T303="Enterprise",25,IF(T303="Mid-Market",18,10))+IF(Q303="Referral",25,IF(Q303="Organic Search",20,IF(Q303="Email",18,14)))+IF(G303="Technology",10,5))</x:f>
        <x:v>43</x:v>
      </x:c>
      <x:c r="AE303" t="str">
        <x:f>IF(U303&lt;&gt;"Open",U303,IF(N303&gt;=0.8,"Commit",IF(N303&gt;=0.5,"Best Case","Pipeline")))</x:f>
        <x:v>Commit</x:v>
      </x:c>
    </x:row>
    <x:row r="304">
      <x:c r="A304" t="str">
        <x:v>L00303</x:v>
      </x:c>
      <x:c r="B304" s="10" t="n">
        <x:v>45987</x:v>
      </x:c>
      <x:c r="C304" t="str">
        <x:v>Minh Do</x:v>
      </x:c>
      <x:c r="D304" t="str">
        <x:v>North</x:v>
      </x:c>
      <x:c r="E304" t="str">
        <x:v>Partner Referral</x:v>
      </x:c>
      <x:c r="F304" t="str">
        <x:v>CRM-PRO</x:v>
      </x:c>
      <x:c r="G304" t="str">
        <x:v>Technology</x:v>
      </x:c>
      <x:c r="H304" t="str">
        <x:v>SMB</x:v>
      </x:c>
      <x:c r="I304" t="str">
        <x:v>Negotiation</x:v>
      </x:c>
      <x:c r="J304" s="10" t="n">
        <x:v>46106</x:v>
      </x:c>
      <x:c r="K304" s="10"/>
      <x:c r="L304" s="22" t="n">
        <x:v>16000</x:v>
      </x:c>
      <x:c r="M304" s="24" t="n">
        <x:v>0</x:v>
      </x:c>
      <x:c r="N304" s="24" t="n">
        <x:v>0.85</x:v>
      </x:c>
      <x:c r="O304" t="str"/>
      <x:c r="P304" t="n">
        <x:v>5</x:v>
      </x:c>
      <x:c r="Q304" t="str">
        <x:f>IFERROR(XLOOKUP(E304,Lookups!$A$5:$A$24,Lookups!$B$5:$B$24),"Other")</x:f>
        <x:v>Referral</x:v>
      </x:c>
      <x:c r="R304" t="str">
        <x:f>IFERROR(XLOOKUP(F304,Lookups!$D$5:$D$10,Lookups!$E$5:$E$10),"Unknown Product")</x:f>
        <x:v>NexaCRM Pro</x:v>
      </x:c>
      <x:c r="S304" t="str">
        <x:f>IFERROR(XLOOKUP(F304,Lookups!$D$5:$D$10,Lookups!$F$5:$F$10),"Unknown")</x:f>
        <x:v>CRM</x:v>
      </x:c>
      <x:c r="T304" t="str">
        <x:f>IF(L304&gt;=50000,"Enterprise",IF(L304&gt;=20000,"Mid-Market","SMB"))</x:f>
        <x:v>SMB</x:v>
      </x:c>
      <x:c r="U304" t="str">
        <x:f>IF(I304="Closed Won","Won",IF(I304="Closed Lost","Lost","Open"))</x:f>
        <x:v>Open</x:v>
      </x:c>
      <x:c r="V304" s="22" t="n">
        <x:f>IF(U304="Won",L304*(1-M304),0)</x:f>
        <x:v>0</x:v>
      </x:c>
      <x:c r="W304" s="22" t="n">
        <x:f>IF(U304="Open",L304*N304,0)</x:f>
        <x:v>13600</x:v>
      </x:c>
      <x:c r="X304" s="26" t="str">
        <x:f>IF(U304="Open","",IFERROR(K304-B304,""))</x:f>
      </x:c>
      <x:c r="Y304" s="26" t="n">
        <x:f>IF(U304="Open",Lookups!$B$2-B304,X304)</x:f>
        <x:v>279</x:v>
      </x:c>
      <x:c r="Z304" t="str">
        <x:f>IF(AND(U304="Open",Y304&gt;30),"STALE","OK")</x:f>
        <x:v>STALE</x:v>
      </x:c>
      <x:c r="AA304" t="str">
        <x:f>TEXT(B304,"yyyy-mm")</x:f>
        <x:v>2025-11</x:v>
      </x:c>
      <x:c r="AB304" t="str">
        <x:f>IF(K304="","",TEXT(K304,"yyyy-mm"))</x:f>
      </x:c>
      <x:c r="AC304" t="str">
        <x:f>"Q"&amp;ROUNDUP(MONTH(B304)/3,0)&amp;"-"&amp;YEAR(B304)</x:f>
        <x:v>Q4-2025</x:v>
      </x:c>
      <x:c r="AD304" s="26" t="n">
        <x:f>MIN(100,IF(H304="Enterprise",30,IF(H304="Mid-Market",22,14))+IF(T304="Enterprise",25,IF(T304="Mid-Market",18,10))+IF(Q304="Referral",25,IF(Q304="Organic Search",20,IF(Q304="Email",18,14)))+IF(G304="Technology",10,5))</x:f>
        <x:v>59</x:v>
      </x:c>
      <x:c r="AE304" t="str">
        <x:f>IF(U304&lt;&gt;"Open",U304,IF(N304&gt;=0.8,"Commit",IF(N304&gt;=0.5,"Best Case","Pipeline")))</x:f>
        <x:v>Commit</x:v>
      </x:c>
    </x:row>
    <x:row r="305">
      <x:c r="A305" t="str">
        <x:v>L00304</x:v>
      </x:c>
      <x:c r="B305" s="10" t="n">
        <x:v>45691</x:v>
      </x:c>
      <x:c r="C305" t="str">
        <x:v>Duy Pham</x:v>
      </x:c>
      <x:c r="D305" t="str">
        <x:v>South</x:v>
      </x:c>
      <x:c r="E305" t="str">
        <x:v>Google Ads</x:v>
      </x:c>
      <x:c r="F305" t="str">
        <x:v>CRM-CORE</x:v>
      </x:c>
      <x:c r="G305" t="str">
        <x:v>Manufacturing</x:v>
      </x:c>
      <x:c r="H305" t="str">
        <x:v>Mid-Market</x:v>
      </x:c>
      <x:c r="I305" t="str">
        <x:v>Closed Lost</x:v>
      </x:c>
      <x:c r="J305" s="10" t="n">
        <x:v>45719</x:v>
      </x:c>
      <x:c r="K305" s="10" t="n">
        <x:v>45719</x:v>
      </x:c>
      <x:c r="L305" s="22" t="n">
        <x:v>9100</x:v>
      </x:c>
      <x:c r="M305" s="24" t="n">
        <x:v>0</x:v>
      </x:c>
      <x:c r="N305" s="24" t="n">
        <x:v>0</x:v>
      </x:c>
      <x:c r="O305" t="str">
        <x:v>No Decision</x:v>
      </x:c>
      <x:c r="P305" t="n">
        <x:v>4</x:v>
      </x:c>
      <x:c r="Q305" t="str">
        <x:f>IFERROR(XLOOKUP(E305,Lookups!$A$5:$A$24,Lookups!$B$5:$B$24),"Other")</x:f>
        <x:v>Paid Search</x:v>
      </x:c>
      <x:c r="R305" t="str">
        <x:f>IFERROR(XLOOKUP(F305,Lookups!$D$5:$D$10,Lookups!$E$5:$E$10),"Unknown Product")</x:f>
        <x:v>NexaCRM Core</x:v>
      </x:c>
      <x:c r="S305" t="str">
        <x:f>IFERROR(XLOOKUP(F305,Lookups!$D$5:$D$10,Lookups!$F$5:$F$10),"Unknown")</x:f>
        <x:v>CRM</x:v>
      </x:c>
      <x:c r="T305" t="str">
        <x:f>IF(L305&gt;=50000,"Enterprise",IF(L305&gt;=20000,"Mid-Market","SMB"))</x:f>
        <x:v>SMB</x:v>
      </x:c>
      <x:c r="U305" t="str">
        <x:f>IF(I305="Closed Won","Won",IF(I305="Closed Lost","Lost","Open"))</x:f>
        <x:v>Lost</x:v>
      </x:c>
      <x:c r="V305" s="22" t="n">
        <x:f>IF(U305="Won",L305*(1-M305),0)</x:f>
        <x:v>0</x:v>
      </x:c>
      <x:c r="W305" s="22" t="n">
        <x:f>IF(U305="Open",L305*N305,0)</x:f>
        <x:v>0</x:v>
      </x:c>
      <x:c r="X305" s="26" t="n">
        <x:f>IF(U305="Open","",IFERROR(K305-B305,""))</x:f>
        <x:v>28</x:v>
      </x:c>
      <x:c r="Y305" s="26" t="n">
        <x:f>IF(U305="Open",Lookups!$B$2-B305,X305)</x:f>
        <x:v>28</x:v>
      </x:c>
      <x:c r="Z305" t="str">
        <x:f>IF(AND(U305="Open",Y305&gt;30),"STALE","OK")</x:f>
        <x:v>OK</x:v>
      </x:c>
      <x:c r="AA305" t="str">
        <x:f>TEXT(B305,"yyyy-mm")</x:f>
        <x:v>2025-02</x:v>
      </x:c>
      <x:c r="AB305" t="str">
        <x:f>IF(K305="","",TEXT(K305,"yyyy-mm"))</x:f>
        <x:v>2025-03</x:v>
      </x:c>
      <x:c r="AC305" t="str">
        <x:f>"Q"&amp;ROUNDUP(MONTH(B305)/3,0)&amp;"-"&amp;YEAR(B305)</x:f>
        <x:v>Q1-2025</x:v>
      </x:c>
      <x:c r="AD305" s="26" t="n">
        <x:f>MIN(100,IF(H305="Enterprise",30,IF(H305="Mid-Market",22,14))+IF(T305="Enterprise",25,IF(T305="Mid-Market",18,10))+IF(Q305="Referral",25,IF(Q305="Organic Search",20,IF(Q305="Email",18,14)))+IF(G305="Technology",10,5))</x:f>
        <x:v>51</x:v>
      </x:c>
      <x:c r="AE305" t="str">
        <x:f>IF(U305&lt;&gt;"Open",U305,IF(N305&gt;=0.8,"Commit",IF(N305&gt;=0.5,"Best Case","Pipeline")))</x:f>
        <x:v>Lost</x:v>
      </x:c>
    </x:row>
    <x:row r="306">
      <x:c r="A306" t="str">
        <x:v>L00305</x:v>
      </x:c>
      <x:c r="B306" s="10" t="n">
        <x:v>46143</x:v>
      </x:c>
      <x:c r="C306" t="str">
        <x:v>Quynh Vu</x:v>
      </x:c>
      <x:c r="D306" t="str">
        <x:v>North</x:v>
      </x:c>
      <x:c r="E306" t="str">
        <x:v>LinkedIn Ads</x:v>
      </x:c>
      <x:c r="F306" t="str">
        <x:v>BI-PLUS</x:v>
      </x:c>
      <x:c r="G306" t="str">
        <x:v>Retail</x:v>
      </x:c>
      <x:c r="H306" t="str">
        <x:v>SMB</x:v>
      </x:c>
      <x:c r="I306" t="str">
        <x:v>Closed Lost</x:v>
      </x:c>
      <x:c r="J306" s="10" t="n">
        <x:v>46185</x:v>
      </x:c>
      <x:c r="K306" s="10" t="n">
        <x:v>46185</x:v>
      </x:c>
      <x:c r="L306" s="22" t="n">
        <x:v>28800</x:v>
      </x:c>
      <x:c r="M306" s="24" t="n">
        <x:v>0</x:v>
      </x:c>
      <x:c r="N306" s="24" t="n">
        <x:v>0</x:v>
      </x:c>
      <x:c r="O306" t="str">
        <x:v>No Decision</x:v>
      </x:c>
      <x:c r="P306" t="n">
        <x:v>5</x:v>
      </x:c>
      <x:c r="Q306" t="str">
        <x:f>IFERROR(XLOOKUP(E306,Lookups!$A$5:$A$24,Lookups!$B$5:$B$24),"Other")</x:f>
        <x:v>LinkedIn</x:v>
      </x:c>
      <x:c r="R306" t="str">
        <x:f>IFERROR(XLOOKUP(F306,Lookups!$D$5:$D$10,Lookups!$E$5:$E$10),"Unknown Product")</x:f>
        <x:v>Analytics Plus</x:v>
      </x:c>
      <x:c r="S306" t="str">
        <x:f>IFERROR(XLOOKUP(F306,Lookups!$D$5:$D$10,Lookups!$F$5:$F$10),"Unknown")</x:f>
        <x:v>Analytics</x:v>
      </x:c>
      <x:c r="T306" t="str">
        <x:f>IF(L306&gt;=50000,"Enterprise",IF(L306&gt;=20000,"Mid-Market","SMB"))</x:f>
        <x:v>Mid-Market</x:v>
      </x:c>
      <x:c r="U306" t="str">
        <x:f>IF(I306="Closed Won","Won",IF(I306="Closed Lost","Lost","Open"))</x:f>
        <x:v>Lost</x:v>
      </x:c>
      <x:c r="V306" s="22" t="n">
        <x:f>IF(U306="Won",L306*(1-M306),0)</x:f>
        <x:v>0</x:v>
      </x:c>
      <x:c r="W306" s="22" t="n">
        <x:f>IF(U306="Open",L306*N306,0)</x:f>
        <x:v>0</x:v>
      </x:c>
      <x:c r="X306" s="26" t="n">
        <x:f>IF(U306="Open","",IFERROR(K306-B306,""))</x:f>
        <x:v>42</x:v>
      </x:c>
      <x:c r="Y306" s="26" t="n">
        <x:f>IF(U306="Open",Lookups!$B$2-B306,X306)</x:f>
        <x:v>42</x:v>
      </x:c>
      <x:c r="Z306" t="str">
        <x:f>IF(AND(U306="Open",Y306&gt;30),"STALE","OK")</x:f>
        <x:v>OK</x:v>
      </x:c>
      <x:c r="AA306" t="str">
        <x:f>TEXT(B306,"yyyy-mm")</x:f>
        <x:v>2026-05</x:v>
      </x:c>
      <x:c r="AB306" t="str">
        <x:f>IF(K306="","",TEXT(K306,"yyyy-mm"))</x:f>
        <x:v>2026-06</x:v>
      </x:c>
      <x:c r="AC306" t="str">
        <x:f>"Q"&amp;ROUNDUP(MONTH(B306)/3,0)&amp;"-"&amp;YEAR(B306)</x:f>
        <x:v>Q2-2026</x:v>
      </x:c>
      <x:c r="AD306" s="26" t="n">
        <x:f>MIN(100,IF(H306="Enterprise",30,IF(H306="Mid-Market",22,14))+IF(T306="Enterprise",25,IF(T306="Mid-Market",18,10))+IF(Q306="Referral",25,IF(Q306="Organic Search",20,IF(Q306="Email",18,14)))+IF(G306="Technology",10,5))</x:f>
        <x:v>51</x:v>
      </x:c>
      <x:c r="AE306" t="str">
        <x:f>IF(U306&lt;&gt;"Open",U306,IF(N306&gt;=0.8,"Commit",IF(N306&gt;=0.5,"Best Case","Pipeline")))</x:f>
        <x:v>Lost</x:v>
      </x:c>
    </x:row>
    <x:row r="307">
      <x:c r="A307" t="str">
        <x:v>L00306</x:v>
      </x:c>
      <x:c r="B307" s="10" t="n">
        <x:v>46140</x:v>
      </x:c>
      <x:c r="C307" t="str">
        <x:v>Tuan Bui</x:v>
      </x:c>
      <x:c r="D307" t="str">
        <x:v>Central</x:v>
      </x:c>
      <x:c r="E307" t="str">
        <x:v>SEO</x:v>
      </x:c>
      <x:c r="F307" t="str">
        <x:v>CRM-CORE</x:v>
      </x:c>
      <x:c r="G307" t="str">
        <x:v>Technology</x:v>
      </x:c>
      <x:c r="H307" t="str">
        <x:v>Mid-Market</x:v>
      </x:c>
      <x:c r="I307" t="str">
        <x:v>Closed Lost</x:v>
      </x:c>
      <x:c r="J307" s="10" t="n">
        <x:v>46222</x:v>
      </x:c>
      <x:c r="K307" s="10" t="n">
        <x:v>46222</x:v>
      </x:c>
      <x:c r="L307" s="22" t="n">
        <x:v>14500</x:v>
      </x:c>
      <x:c r="M307" s="24" t="n">
        <x:v>0</x:v>
      </x:c>
      <x:c r="N307" s="24" t="n">
        <x:v>0</x:v>
      </x:c>
      <x:c r="O307" t="str">
        <x:v>No Decision</x:v>
      </x:c>
      <x:c r="P307" t="n">
        <x:v>3</x:v>
      </x:c>
      <x:c r="Q307" t="str">
        <x:f>IFERROR(XLOOKUP(E307,Lookups!$A$5:$A$24,Lookups!$B$5:$B$24),"Other")</x:f>
        <x:v>Organic Search</x:v>
      </x:c>
      <x:c r="R307" t="str">
        <x:f>IFERROR(XLOOKUP(F307,Lookups!$D$5:$D$10,Lookups!$E$5:$E$10),"Unknown Product")</x:f>
        <x:v>NexaCRM Core</x:v>
      </x:c>
      <x:c r="S307" t="str">
        <x:f>IFERROR(XLOOKUP(F307,Lookups!$D$5:$D$10,Lookups!$F$5:$F$10),"Unknown")</x:f>
        <x:v>CRM</x:v>
      </x:c>
      <x:c r="T307" t="str">
        <x:f>IF(L307&gt;=50000,"Enterprise",IF(L307&gt;=20000,"Mid-Market","SMB"))</x:f>
        <x:v>SMB</x:v>
      </x:c>
      <x:c r="U307" t="str">
        <x:f>IF(I307="Closed Won","Won",IF(I307="Closed Lost","Lost","Open"))</x:f>
        <x:v>Lost</x:v>
      </x:c>
      <x:c r="V307" s="22" t="n">
        <x:f>IF(U307="Won",L307*(1-M307),0)</x:f>
        <x:v>0</x:v>
      </x:c>
      <x:c r="W307" s="22" t="n">
        <x:f>IF(U307="Open",L307*N307,0)</x:f>
        <x:v>0</x:v>
      </x:c>
      <x:c r="X307" s="26" t="n">
        <x:f>IF(U307="Open","",IFERROR(K307-B307,""))</x:f>
        <x:v>82</x:v>
      </x:c>
      <x:c r="Y307" s="26" t="n">
        <x:f>IF(U307="Open",Lookups!$B$2-B307,X307)</x:f>
        <x:v>82</x:v>
      </x:c>
      <x:c r="Z307" t="str">
        <x:f>IF(AND(U307="Open",Y307&gt;30),"STALE","OK")</x:f>
        <x:v>OK</x:v>
      </x:c>
      <x:c r="AA307" t="str">
        <x:f>TEXT(B307,"yyyy-mm")</x:f>
        <x:v>2026-04</x:v>
      </x:c>
      <x:c r="AB307" t="str">
        <x:f>IF(K307="","",TEXT(K307,"yyyy-mm"))</x:f>
        <x:v>2026-07</x:v>
      </x:c>
      <x:c r="AC307" t="str">
        <x:f>"Q"&amp;ROUNDUP(MONTH(B307)/3,0)&amp;"-"&amp;YEAR(B307)</x:f>
        <x:v>Q2-2026</x:v>
      </x:c>
      <x:c r="AD307" s="26" t="n">
        <x:f>MIN(100,IF(H307="Enterprise",30,IF(H307="Mid-Market",22,14))+IF(T307="Enterprise",25,IF(T307="Mid-Market",18,10))+IF(Q307="Referral",25,IF(Q307="Organic Search",20,IF(Q307="Email",18,14)))+IF(G307="Technology",10,5))</x:f>
        <x:v>62</x:v>
      </x:c>
      <x:c r="AE307" t="str">
        <x:f>IF(U307&lt;&gt;"Open",U307,IF(N307&gt;=0.8,"Commit",IF(N307&gt;=0.5,"Best Case","Pipeline")))</x:f>
        <x:v>Lost</x:v>
      </x:c>
    </x:row>
    <x:row r="308">
      <x:c r="A308" t="str">
        <x:v>L00307</x:v>
      </x:c>
      <x:c r="B308" s="10" t="n">
        <x:v>46046</x:v>
      </x:c>
      <x:c r="C308" t="str">
        <x:v>An Nguyen</x:v>
      </x:c>
      <x:c r="D308" t="str">
        <x:v>South</x:v>
      </x:c>
      <x:c r="E308" t="str">
        <x:v>Unknown Event</x:v>
      </x:c>
      <x:c r="F308" t="str">
        <x:v>REV-OPS</x:v>
      </x:c>
      <x:c r="G308" t="str">
        <x:v>Professional Services</x:v>
      </x:c>
      <x:c r="H308" t="str">
        <x:v>Enterprise</x:v>
      </x:c>
      <x:c r="I308" t="str">
        <x:v>Negotiation</x:v>
      </x:c>
      <x:c r="J308" s="10" t="n">
        <x:v>46126</x:v>
      </x:c>
      <x:c r="K308" s="10"/>
      <x:c r="L308" s="22" t="n">
        <x:v>160000</x:v>
      </x:c>
      <x:c r="M308" s="24" t="n">
        <x:v>0.03</x:v>
      </x:c>
      <x:c r="N308" s="24" t="n">
        <x:v>0.85</x:v>
      </x:c>
      <x:c r="O308" t="str"/>
      <x:c r="P308" t="n">
        <x:v>5</x:v>
      </x:c>
      <x:c r="Q308" t="str">
        <x:f>IFERROR(XLOOKUP(E308,Lookups!$A$5:$A$24,Lookups!$B$5:$B$24),"Other")</x:f>
        <x:v>Other</x:v>
      </x:c>
      <x:c r="R308" t="str">
        <x:f>IFERROR(XLOOKUP(F308,Lookups!$D$5:$D$10,Lookups!$E$5:$E$10),"Unknown Product")</x:f>
        <x:v>Revenue Operations Suite</x:v>
      </x:c>
      <x:c r="S308" t="str">
        <x:f>IFERROR(XLOOKUP(F308,Lookups!$D$5:$D$10,Lookups!$F$5:$F$10),"Unknown")</x:f>
        <x:v>Revenue Ops</x:v>
      </x:c>
      <x:c r="T308" t="str">
        <x:f>IF(L308&gt;=50000,"Enterprise",IF(L308&gt;=20000,"Mid-Market","SMB"))</x:f>
        <x:v>Enterprise</x:v>
      </x:c>
      <x:c r="U308" t="str">
        <x:f>IF(I308="Closed Won","Won",IF(I308="Closed Lost","Lost","Open"))</x:f>
        <x:v>Open</x:v>
      </x:c>
      <x:c r="V308" s="22" t="n">
        <x:f>IF(U308="Won",L308*(1-M308),0)</x:f>
        <x:v>0</x:v>
      </x:c>
      <x:c r="W308" s="22" t="n">
        <x:f>IF(U308="Open",L308*N308,0)</x:f>
        <x:v>136000</x:v>
      </x:c>
      <x:c r="X308" s="26" t="str">
        <x:f>IF(U308="Open","",IFERROR(K308-B308,""))</x:f>
      </x:c>
      <x:c r="Y308" s="26" t="n">
        <x:f>IF(U308="Open",Lookups!$B$2-B308,X308)</x:f>
        <x:v>220</x:v>
      </x:c>
      <x:c r="Z308" t="str">
        <x:f>IF(AND(U308="Open",Y308&gt;30),"STALE","OK")</x:f>
        <x:v>STALE</x:v>
      </x:c>
      <x:c r="AA308" t="str">
        <x:f>TEXT(B308,"yyyy-mm")</x:f>
        <x:v>2026-01</x:v>
      </x:c>
      <x:c r="AB308" t="str">
        <x:f>IF(K308="","",TEXT(K308,"yyyy-mm"))</x:f>
      </x:c>
      <x:c r="AC308" t="str">
        <x:f>"Q"&amp;ROUNDUP(MONTH(B308)/3,0)&amp;"-"&amp;YEAR(B308)</x:f>
        <x:v>Q1-2026</x:v>
      </x:c>
      <x:c r="AD308" s="26" t="n">
        <x:f>MIN(100,IF(H308="Enterprise",30,IF(H308="Mid-Market",22,14))+IF(T308="Enterprise",25,IF(T308="Mid-Market",18,10))+IF(Q308="Referral",25,IF(Q308="Organic Search",20,IF(Q308="Email",18,14)))+IF(G308="Technology",10,5))</x:f>
        <x:v>74</x:v>
      </x:c>
      <x:c r="AE308" t="str">
        <x:f>IF(U308&lt;&gt;"Open",U308,IF(N308&gt;=0.8,"Commit",IF(N308&gt;=0.5,"Best Case","Pipeline")))</x:f>
        <x:v>Commit</x:v>
      </x:c>
    </x:row>
    <x:row r="309">
      <x:c r="A309" t="str">
        <x:v>L00308</x:v>
      </x:c>
      <x:c r="B309" s="10" t="n">
        <x:v>46064</x:v>
      </x:c>
      <x:c r="C309" t="str">
        <x:v>Minh Do</x:v>
      </x:c>
      <x:c r="D309" t="str">
        <x:v>North</x:v>
      </x:c>
      <x:c r="E309" t="str">
        <x:v>organic search</x:v>
      </x:c>
      <x:c r="F309" t="str">
        <x:v>MKT-AUTO</x:v>
      </x:c>
      <x:c r="G309" t="str">
        <x:v>Education</x:v>
      </x:c>
      <x:c r="H309" t="str">
        <x:v>Mid-Market</x:v>
      </x:c>
      <x:c r="I309" t="str">
        <x:v>Closed Lost</x:v>
      </x:c>
      <x:c r="J309" s="10" t="n">
        <x:v>46100</x:v>
      </x:c>
      <x:c r="K309" s="10" t="n">
        <x:v>46100</x:v>
      </x:c>
      <x:c r="L309" s="22" t="n">
        <x:v>27500</x:v>
      </x:c>
      <x:c r="M309" s="24" t="n">
        <x:v>0</x:v>
      </x:c>
      <x:c r="N309" s="24" t="n">
        <x:v>0</x:v>
      </x:c>
      <x:c r="O309" t="str">
        <x:v>No Decision</x:v>
      </x:c>
      <x:c r="P309" t="n">
        <x:v>2</x:v>
      </x:c>
      <x:c r="Q309" t="str">
        <x:f>IFERROR(XLOOKUP(E309,Lookups!$A$5:$A$24,Lookups!$B$5:$B$24),"Other")</x:f>
        <x:v>Organic Search</x:v>
      </x:c>
      <x:c r="R309" t="str">
        <x:f>IFERROR(XLOOKUP(F309,Lookups!$D$5:$D$10,Lookups!$E$5:$E$10),"Unknown Product")</x:f>
        <x:v>Marketing Automation</x:v>
      </x:c>
      <x:c r="S309" t="str">
        <x:f>IFERROR(XLOOKUP(F309,Lookups!$D$5:$D$10,Lookups!$F$5:$F$10),"Unknown")</x:f>
        <x:v>Marketing</x:v>
      </x:c>
      <x:c r="T309" t="str">
        <x:f>IF(L309&gt;=50000,"Enterprise",IF(L309&gt;=20000,"Mid-Market","SMB"))</x:f>
        <x:v>Mid-Market</x:v>
      </x:c>
      <x:c r="U309" t="str">
        <x:f>IF(I309="Closed Won","Won",IF(I309="Closed Lost","Lost","Open"))</x:f>
        <x:v>Lost</x:v>
      </x:c>
      <x:c r="V309" s="22" t="n">
        <x:f>IF(U309="Won",L309*(1-M309),0)</x:f>
        <x:v>0</x:v>
      </x:c>
      <x:c r="W309" s="22" t="n">
        <x:f>IF(U309="Open",L309*N309,0)</x:f>
        <x:v>0</x:v>
      </x:c>
      <x:c r="X309" s="26" t="n">
        <x:f>IF(U309="Open","",IFERROR(K309-B309,""))</x:f>
        <x:v>36</x:v>
      </x:c>
      <x:c r="Y309" s="26" t="n">
        <x:f>IF(U309="Open",Lookups!$B$2-B309,X309)</x:f>
        <x:v>36</x:v>
      </x:c>
      <x:c r="Z309" t="str">
        <x:f>IF(AND(U309="Open",Y309&gt;30),"STALE","OK")</x:f>
        <x:v>OK</x:v>
      </x:c>
      <x:c r="AA309" t="str">
        <x:f>TEXT(B309,"yyyy-mm")</x:f>
        <x:v>2026-02</x:v>
      </x:c>
      <x:c r="AB309" t="str">
        <x:f>IF(K309="","",TEXT(K309,"yyyy-mm"))</x:f>
        <x:v>2026-03</x:v>
      </x:c>
      <x:c r="AC309" t="str">
        <x:f>"Q"&amp;ROUNDUP(MONTH(B309)/3,0)&amp;"-"&amp;YEAR(B309)</x:f>
        <x:v>Q1-2026</x:v>
      </x:c>
      <x:c r="AD309" s="26" t="n">
        <x:f>MIN(100,IF(H309="Enterprise",30,IF(H309="Mid-Market",22,14))+IF(T309="Enterprise",25,IF(T309="Mid-Market",18,10))+IF(Q309="Referral",25,IF(Q309="Organic Search",20,IF(Q309="Email",18,14)))+IF(G309="Technology",10,5))</x:f>
        <x:v>65</x:v>
      </x:c>
      <x:c r="AE309" t="str">
        <x:f>IF(U309&lt;&gt;"Open",U309,IF(N309&gt;=0.8,"Commit",IF(N309&gt;=0.5,"Best Case","Pipeline")))</x:f>
        <x:v>Lost</x:v>
      </x:c>
    </x:row>
    <x:row r="310">
      <x:c r="A310" t="str">
        <x:v>L00309</x:v>
      </x:c>
      <x:c r="B310" s="10" t="n">
        <x:v>46160</x:v>
      </x:c>
      <x:c r="C310" t="str">
        <x:v>Chi Le</x:v>
      </x:c>
      <x:c r="D310" t="str">
        <x:v>South</x:v>
      </x:c>
      <x:c r="E310" t="str">
        <x:v>SDR Outreach</x:v>
      </x:c>
      <x:c r="F310" t="str">
        <x:v>CS-CLOUD</x:v>
      </x:c>
      <x:c r="G310" t="str">
        <x:v>Manufacturing</x:v>
      </x:c>
      <x:c r="H310" t="str">
        <x:v>Enterprise</x:v>
      </x:c>
      <x:c r="I310" t="str">
        <x:v>Proposal</x:v>
      </x:c>
      <x:c r="J310" s="10" t="n">
        <x:v>46239</x:v>
      </x:c>
      <x:c r="K310" s="10"/>
      <x:c r="L310" s="22" t="n">
        <x:v>90000</x:v>
      </x:c>
      <x:c r="M310" s="24" t="n">
        <x:v>0.05</x:v>
      </x:c>
      <x:c r="N310" s="24" t="n">
        <x:v>0.65</x:v>
      </x:c>
      <x:c r="O310" t="str"/>
      <x:c r="P310" t="n">
        <x:v>4</x:v>
      </x:c>
      <x:c r="Q310" t="str">
        <x:f>IFERROR(XLOOKUP(E310,Lookups!$A$5:$A$24,Lookups!$B$5:$B$24),"Other")</x:f>
        <x:v>Outbound</x:v>
      </x:c>
      <x:c r="R310" t="str">
        <x:f>IFERROR(XLOOKUP(F310,Lookups!$D$5:$D$10,Lookups!$E$5:$E$10),"Unknown Product")</x:f>
        <x:v>Service Cloud</x:v>
      </x:c>
      <x:c r="S310" t="str">
        <x:f>IFERROR(XLOOKUP(F310,Lookups!$D$5:$D$10,Lookups!$F$5:$F$10),"Unknown")</x:f>
        <x:v>Customer Service</x:v>
      </x:c>
      <x:c r="T310" t="str">
        <x:f>IF(L310&gt;=50000,"Enterprise",IF(L310&gt;=20000,"Mid-Market","SMB"))</x:f>
        <x:v>Enterprise</x:v>
      </x:c>
      <x:c r="U310" t="str">
        <x:f>IF(I310="Closed Won","Won",IF(I310="Closed Lost","Lost","Open"))</x:f>
        <x:v>Open</x:v>
      </x:c>
      <x:c r="V310" s="22" t="n">
        <x:f>IF(U310="Won",L310*(1-M310),0)</x:f>
        <x:v>0</x:v>
      </x:c>
      <x:c r="W310" s="22" t="n">
        <x:f>IF(U310="Open",L310*N310,0)</x:f>
        <x:v>58500</x:v>
      </x:c>
      <x:c r="X310" s="26" t="str">
        <x:f>IF(U310="Open","",IFERROR(K310-B310,""))</x:f>
      </x:c>
      <x:c r="Y310" s="26" t="n">
        <x:f>IF(U310="Open",Lookups!$B$2-B310,X310)</x:f>
        <x:v>106</x:v>
      </x:c>
      <x:c r="Z310" t="str">
        <x:f>IF(AND(U310="Open",Y310&gt;30),"STALE","OK")</x:f>
        <x:v>STALE</x:v>
      </x:c>
      <x:c r="AA310" t="str">
        <x:f>TEXT(B310,"yyyy-mm")</x:f>
        <x:v>2026-05</x:v>
      </x:c>
      <x:c r="AB310" t="str">
        <x:f>IF(K310="","",TEXT(K310,"yyyy-mm"))</x:f>
      </x:c>
      <x:c r="AC310" t="str">
        <x:f>"Q"&amp;ROUNDUP(MONTH(B310)/3,0)&amp;"-"&amp;YEAR(B310)</x:f>
        <x:v>Q2-2026</x:v>
      </x:c>
      <x:c r="AD310" s="26" t="n">
        <x:f>MIN(100,IF(H310="Enterprise",30,IF(H310="Mid-Market",22,14))+IF(T310="Enterprise",25,IF(T310="Mid-Market",18,10))+IF(Q310="Referral",25,IF(Q310="Organic Search",20,IF(Q310="Email",18,14)))+IF(G310="Technology",10,5))</x:f>
        <x:v>74</x:v>
      </x:c>
      <x:c r="AE310" t="str">
        <x:f>IF(U310&lt;&gt;"Open",U310,IF(N310&gt;=0.8,"Commit",IF(N310&gt;=0.5,"Best Case","Pipeline")))</x:f>
        <x:v>Best Case</x:v>
      </x:c>
    </x:row>
    <x:row r="311">
      <x:c r="A311" t="str">
        <x:v>L00310</x:v>
      </x:c>
      <x:c r="B311" s="10" t="n">
        <x:v>45899</x:v>
      </x:c>
      <x:c r="C311" t="str">
        <x:v>Quynh Vu</x:v>
      </x:c>
      <x:c r="D311" t="str">
        <x:v>North</x:v>
      </x:c>
      <x:c r="E311" t="str">
        <x:v>Google Organic</x:v>
      </x:c>
      <x:c r="F311" t="str">
        <x:v>CRM-PRO</x:v>
      </x:c>
      <x:c r="G311" t="str">
        <x:v>Professional Services</x:v>
      </x:c>
      <x:c r="H311" t="str">
        <x:v>SMB</x:v>
      </x:c>
      <x:c r="I311" t="str">
        <x:v>Negotiation</x:v>
      </x:c>
      <x:c r="J311" s="10" t="n">
        <x:v>46038</x:v>
      </x:c>
      <x:c r="K311" s="10"/>
      <x:c r="L311" s="22" t="n">
        <x:v>24200</x:v>
      </x:c>
      <x:c r="M311" s="24" t="n">
        <x:v>0</x:v>
      </x:c>
      <x:c r="N311" s="24" t="n">
        <x:v>0.85</x:v>
      </x:c>
      <x:c r="O311" t="str"/>
      <x:c r="P311" t="n">
        <x:v>5</x:v>
      </x:c>
      <x:c r="Q311" t="str">
        <x:f>IFERROR(XLOOKUP(E311,Lookups!$A$5:$A$24,Lookups!$B$5:$B$24),"Other")</x:f>
        <x:v>Organic Search</x:v>
      </x:c>
      <x:c r="R311" t="str">
        <x:f>IFERROR(XLOOKUP(F311,Lookups!$D$5:$D$10,Lookups!$E$5:$E$10),"Unknown Product")</x:f>
        <x:v>NexaCRM Pro</x:v>
      </x:c>
      <x:c r="S311" t="str">
        <x:f>IFERROR(XLOOKUP(F311,Lookups!$D$5:$D$10,Lookups!$F$5:$F$10),"Unknown")</x:f>
        <x:v>CRM</x:v>
      </x:c>
      <x:c r="T311" t="str">
        <x:f>IF(L311&gt;=50000,"Enterprise",IF(L311&gt;=20000,"Mid-Market","SMB"))</x:f>
        <x:v>Mid-Market</x:v>
      </x:c>
      <x:c r="U311" t="str">
        <x:f>IF(I311="Closed Won","Won",IF(I311="Closed Lost","Lost","Open"))</x:f>
        <x:v>Open</x:v>
      </x:c>
      <x:c r="V311" s="22" t="n">
        <x:f>IF(U311="Won",L311*(1-M311),0)</x:f>
        <x:v>0</x:v>
      </x:c>
      <x:c r="W311" s="22" t="n">
        <x:f>IF(U311="Open",L311*N311,0)</x:f>
        <x:v>20570</x:v>
      </x:c>
      <x:c r="X311" s="26" t="str">
        <x:f>IF(U311="Open","",IFERROR(K311-B311,""))</x:f>
      </x:c>
      <x:c r="Y311" s="26" t="n">
        <x:f>IF(U311="Open",Lookups!$B$2-B311,X311)</x:f>
        <x:v>367</x:v>
      </x:c>
      <x:c r="Z311" t="str">
        <x:f>IF(AND(U311="Open",Y311&gt;30),"STALE","OK")</x:f>
        <x:v>STALE</x:v>
      </x:c>
      <x:c r="AA311" t="str">
        <x:f>TEXT(B311,"yyyy-mm")</x:f>
        <x:v>2025-08</x:v>
      </x:c>
      <x:c r="AB311" t="str">
        <x:f>IF(K311="","",TEXT(K311,"yyyy-mm"))</x:f>
      </x:c>
      <x:c r="AC311" t="str">
        <x:f>"Q"&amp;ROUNDUP(MONTH(B311)/3,0)&amp;"-"&amp;YEAR(B311)</x:f>
        <x:v>Q3-2025</x:v>
      </x:c>
      <x:c r="AD311" s="26" t="n">
        <x:f>MIN(100,IF(H311="Enterprise",30,IF(H311="Mid-Market",22,14))+IF(T311="Enterprise",25,IF(T311="Mid-Market",18,10))+IF(Q311="Referral",25,IF(Q311="Organic Search",20,IF(Q311="Email",18,14)))+IF(G311="Technology",10,5))</x:f>
        <x:v>57</x:v>
      </x:c>
      <x:c r="AE311" t="str">
        <x:f>IF(U311&lt;&gt;"Open",U311,IF(N311&gt;=0.8,"Commit",IF(N311&gt;=0.5,"Best Case","Pipeline")))</x:f>
        <x:v>Commit</x:v>
      </x:c>
    </x:row>
    <x:row r="312">
      <x:c r="A312" t="str">
        <x:v>L00311</x:v>
      </x:c>
      <x:c r="B312" s="10" t="n">
        <x:v>46109</x:v>
      </x:c>
      <x:c r="C312" t="str">
        <x:v>Bao Tran</x:v>
      </x:c>
      <x:c r="D312" t="str">
        <x:v>South</x:v>
      </x:c>
      <x:c r="E312" t="str">
        <x:v>organic search</x:v>
      </x:c>
      <x:c r="F312" t="str">
        <x:v>CRM-CORE</x:v>
      </x:c>
      <x:c r="G312" t="str">
        <x:v>Healthcare</x:v>
      </x:c>
      <x:c r="H312" t="str">
        <x:v>Mid-Market</x:v>
      </x:c>
      <x:c r="I312" t="str">
        <x:v>Closed Lost</x:v>
      </x:c>
      <x:c r="J312" s="10" t="n">
        <x:v>46154</x:v>
      </x:c>
      <x:c r="K312" s="10" t="n">
        <x:v>46154</x:v>
      </x:c>
      <x:c r="L312" s="22" t="n">
        <x:v>15900</x:v>
      </x:c>
      <x:c r="M312" s="24" t="n">
        <x:v>0</x:v>
      </x:c>
      <x:c r="N312" s="24" t="n">
        <x:v>0</x:v>
      </x:c>
      <x:c r="O312" t="str">
        <x:v>Competitor</x:v>
      </x:c>
      <x:c r="P312" t="n">
        <x:v>2</x:v>
      </x:c>
      <x:c r="Q312" t="str">
        <x:f>IFERROR(XLOOKUP(E312,Lookups!$A$5:$A$24,Lookups!$B$5:$B$24),"Other")</x:f>
        <x:v>Organic Search</x:v>
      </x:c>
      <x:c r="R312" t="str">
        <x:f>IFERROR(XLOOKUP(F312,Lookups!$D$5:$D$10,Lookups!$E$5:$E$10),"Unknown Product")</x:f>
        <x:v>NexaCRM Core</x:v>
      </x:c>
      <x:c r="S312" t="str">
        <x:f>IFERROR(XLOOKUP(F312,Lookups!$D$5:$D$10,Lookups!$F$5:$F$10),"Unknown")</x:f>
        <x:v>CRM</x:v>
      </x:c>
      <x:c r="T312" t="str">
        <x:f>IF(L312&gt;=50000,"Enterprise",IF(L312&gt;=20000,"Mid-Market","SMB"))</x:f>
        <x:v>SMB</x:v>
      </x:c>
      <x:c r="U312" t="str">
        <x:f>IF(I312="Closed Won","Won",IF(I312="Closed Lost","Lost","Open"))</x:f>
        <x:v>Lost</x:v>
      </x:c>
      <x:c r="V312" s="22" t="n">
        <x:f>IF(U312="Won",L312*(1-M312),0)</x:f>
        <x:v>0</x:v>
      </x:c>
      <x:c r="W312" s="22" t="n">
        <x:f>IF(U312="Open",L312*N312,0)</x:f>
        <x:v>0</x:v>
      </x:c>
      <x:c r="X312" s="26" t="n">
        <x:f>IF(U312="Open","",IFERROR(K312-B312,""))</x:f>
        <x:v>45</x:v>
      </x:c>
      <x:c r="Y312" s="26" t="n">
        <x:f>IF(U312="Open",Lookups!$B$2-B312,X312)</x:f>
        <x:v>45</x:v>
      </x:c>
      <x:c r="Z312" t="str">
        <x:f>IF(AND(U312="Open",Y312&gt;30),"STALE","OK")</x:f>
        <x:v>OK</x:v>
      </x:c>
      <x:c r="AA312" t="str">
        <x:f>TEXT(B312,"yyyy-mm")</x:f>
        <x:v>2026-03</x:v>
      </x:c>
      <x:c r="AB312" t="str">
        <x:f>IF(K312="","",TEXT(K312,"yyyy-mm"))</x:f>
        <x:v>2026-05</x:v>
      </x:c>
      <x:c r="AC312" t="str">
        <x:f>"Q"&amp;ROUNDUP(MONTH(B312)/3,0)&amp;"-"&amp;YEAR(B312)</x:f>
        <x:v>Q1-2026</x:v>
      </x:c>
      <x:c r="AD312" s="26" t="n">
        <x:f>MIN(100,IF(H312="Enterprise",30,IF(H312="Mid-Market",22,14))+IF(T312="Enterprise",25,IF(T312="Mid-Market",18,10))+IF(Q312="Referral",25,IF(Q312="Organic Search",20,IF(Q312="Email",18,14)))+IF(G312="Technology",10,5))</x:f>
        <x:v>57</x:v>
      </x:c>
      <x:c r="AE312" t="str">
        <x:f>IF(U312&lt;&gt;"Open",U312,IF(N312&gt;=0.8,"Commit",IF(N312&gt;=0.5,"Best Case","Pipeline")))</x:f>
        <x:v>Lost</x:v>
      </x:c>
    </x:row>
    <x:row r="313">
      <x:c r="A313" t="str">
        <x:v>L00312</x:v>
      </x:c>
      <x:c r="B313" s="10" t="n">
        <x:v>45661</x:v>
      </x:c>
      <x:c r="C313" t="str">
        <x:v>Minh Do</x:v>
      </x:c>
      <x:c r="D313" t="str">
        <x:v>North</x:v>
      </x:c>
      <x:c r="E313" t="str">
        <x:v>Webinar</x:v>
      </x:c>
      <x:c r="F313" t="str">
        <x:v>CRM-CORE</x:v>
      </x:c>
      <x:c r="G313" t="str">
        <x:v>Financial Services</x:v>
      </x:c>
      <x:c r="H313" t="str">
        <x:v>Mid-Market</x:v>
      </x:c>
      <x:c r="I313" t="str">
        <x:v>Closed Lost</x:v>
      </x:c>
      <x:c r="J313" s="10" t="n">
        <x:v>45692</x:v>
      </x:c>
      <x:c r="K313" s="10" t="n">
        <x:v>45692</x:v>
      </x:c>
      <x:c r="L313" s="22" t="n">
        <x:v>17400</x:v>
      </x:c>
      <x:c r="M313" s="24" t="n">
        <x:v>0</x:v>
      </x:c>
      <x:c r="N313" s="24" t="n">
        <x:v>0</x:v>
      </x:c>
      <x:c r="O313" t="str">
        <x:v>Feature Gap</x:v>
      </x:c>
      <x:c r="P313" t="n">
        <x:v>3</x:v>
      </x:c>
      <x:c r="Q313" t="str">
        <x:f>IFERROR(XLOOKUP(E313,Lookups!$A$5:$A$24,Lookups!$B$5:$B$24),"Other")</x:f>
        <x:v>Webinar</x:v>
      </x:c>
      <x:c r="R313" t="str">
        <x:f>IFERROR(XLOOKUP(F313,Lookups!$D$5:$D$10,Lookups!$E$5:$E$10),"Unknown Product")</x:f>
        <x:v>NexaCRM Core</x:v>
      </x:c>
      <x:c r="S313" t="str">
        <x:f>IFERROR(XLOOKUP(F313,Lookups!$D$5:$D$10,Lookups!$F$5:$F$10),"Unknown")</x:f>
        <x:v>CRM</x:v>
      </x:c>
      <x:c r="T313" t="str">
        <x:f>IF(L313&gt;=50000,"Enterprise",IF(L313&gt;=20000,"Mid-Market","SMB"))</x:f>
        <x:v>SMB</x:v>
      </x:c>
      <x:c r="U313" t="str">
        <x:f>IF(I313="Closed Won","Won",IF(I313="Closed Lost","Lost","Open"))</x:f>
        <x:v>Lost</x:v>
      </x:c>
      <x:c r="V313" s="22" t="n">
        <x:f>IF(U313="Won",L313*(1-M313),0)</x:f>
        <x:v>0</x:v>
      </x:c>
      <x:c r="W313" s="22" t="n">
        <x:f>IF(U313="Open",L313*N313,0)</x:f>
        <x:v>0</x:v>
      </x:c>
      <x:c r="X313" s="26" t="n">
        <x:f>IF(U313="Open","",IFERROR(K313-B313,""))</x:f>
        <x:v>31</x:v>
      </x:c>
      <x:c r="Y313" s="26" t="n">
        <x:f>IF(U313="Open",Lookups!$B$2-B313,X313)</x:f>
        <x:v>31</x:v>
      </x:c>
      <x:c r="Z313" t="str">
        <x:f>IF(AND(U313="Open",Y313&gt;30),"STALE","OK")</x:f>
        <x:v>OK</x:v>
      </x:c>
      <x:c r="AA313" t="str">
        <x:f>TEXT(B313,"yyyy-mm")</x:f>
        <x:v>2025-01</x:v>
      </x:c>
      <x:c r="AB313" t="str">
        <x:f>IF(K313="","",TEXT(K313,"yyyy-mm"))</x:f>
        <x:v>2025-02</x:v>
      </x:c>
      <x:c r="AC313" t="str">
        <x:f>"Q"&amp;ROUNDUP(MONTH(B313)/3,0)&amp;"-"&amp;YEAR(B313)</x:f>
        <x:v>Q1-2025</x:v>
      </x:c>
      <x:c r="AD313" s="26" t="n">
        <x:f>MIN(100,IF(H313="Enterprise",30,IF(H313="Mid-Market",22,14))+IF(T313="Enterprise",25,IF(T313="Mid-Market",18,10))+IF(Q313="Referral",25,IF(Q313="Organic Search",20,IF(Q313="Email",18,14)))+IF(G313="Technology",10,5))</x:f>
        <x:v>51</x:v>
      </x:c>
      <x:c r="AE313" t="str">
        <x:f>IF(U313&lt;&gt;"Open",U313,IF(N313&gt;=0.8,"Commit",IF(N313&gt;=0.5,"Best Case","Pipeline")))</x:f>
        <x:v>Lost</x:v>
      </x:c>
    </x:row>
    <x:row r="314">
      <x:c r="A314" t="str">
        <x:v>L00313</x:v>
      </x:c>
      <x:c r="B314" s="10" t="n">
        <x:v>45755</x:v>
      </x:c>
      <x:c r="C314" t="str">
        <x:v>Minh Do</x:v>
      </x:c>
      <x:c r="D314" t="str">
        <x:v>North</x:v>
      </x:c>
      <x:c r="E314" t="str">
        <x:v>google cpc</x:v>
      </x:c>
      <x:c r="F314" t="str">
        <x:v>CS-CLOUD</x:v>
      </x:c>
      <x:c r="G314" t="str">
        <x:v>Technology</x:v>
      </x:c>
      <x:c r="H314" t="str">
        <x:v>SMB</x:v>
      </x:c>
      <x:c r="I314" t="str">
        <x:v>Closed Lost</x:v>
      </x:c>
      <x:c r="J314" s="10" t="n">
        <x:v>45787</x:v>
      </x:c>
      <x:c r="K314" s="10" t="n">
        <x:v>45787</x:v>
      </x:c>
      <x:c r="L314" s="22" t="n">
        <x:v>14700</x:v>
      </x:c>
      <x:c r="M314" s="24" t="n">
        <x:v>0</x:v>
      </x:c>
      <x:c r="N314" s="24" t="n">
        <x:v>0</x:v>
      </x:c>
      <x:c r="O314" t="str">
        <x:v>No Decision</x:v>
      </x:c>
      <x:c r="P314" t="n">
        <x:v>3</x:v>
      </x:c>
      <x:c r="Q314" t="str">
        <x:f>IFERROR(XLOOKUP(E314,Lookups!$A$5:$A$24,Lookups!$B$5:$B$24),"Other")</x:f>
        <x:v>Paid Search</x:v>
      </x:c>
      <x:c r="R314" t="str">
        <x:f>IFERROR(XLOOKUP(F314,Lookups!$D$5:$D$10,Lookups!$E$5:$E$10),"Unknown Product")</x:f>
        <x:v>Service Cloud</x:v>
      </x:c>
      <x:c r="S314" t="str">
        <x:f>IFERROR(XLOOKUP(F314,Lookups!$D$5:$D$10,Lookups!$F$5:$F$10),"Unknown")</x:f>
        <x:v>Customer Service</x:v>
      </x:c>
      <x:c r="T314" t="str">
        <x:f>IF(L314&gt;=50000,"Enterprise",IF(L314&gt;=20000,"Mid-Market","SMB"))</x:f>
        <x:v>SMB</x:v>
      </x:c>
      <x:c r="U314" t="str">
        <x:f>IF(I314="Closed Won","Won",IF(I314="Closed Lost","Lost","Open"))</x:f>
        <x:v>Lost</x:v>
      </x:c>
      <x:c r="V314" s="22" t="n">
        <x:f>IF(U314="Won",L314*(1-M314),0)</x:f>
        <x:v>0</x:v>
      </x:c>
      <x:c r="W314" s="22" t="n">
        <x:f>IF(U314="Open",L314*N314,0)</x:f>
        <x:v>0</x:v>
      </x:c>
      <x:c r="X314" s="26" t="n">
        <x:f>IF(U314="Open","",IFERROR(K314-B314,""))</x:f>
        <x:v>32</x:v>
      </x:c>
      <x:c r="Y314" s="26" t="n">
        <x:f>IF(U314="Open",Lookups!$B$2-B314,X314)</x:f>
        <x:v>32</x:v>
      </x:c>
      <x:c r="Z314" t="str">
        <x:f>IF(AND(U314="Open",Y314&gt;30),"STALE","OK")</x:f>
        <x:v>OK</x:v>
      </x:c>
      <x:c r="AA314" t="str">
        <x:f>TEXT(B314,"yyyy-mm")</x:f>
        <x:v>2025-04</x:v>
      </x:c>
      <x:c r="AB314" t="str">
        <x:f>IF(K314="","",TEXT(K314,"yyyy-mm"))</x:f>
        <x:v>2025-05</x:v>
      </x:c>
      <x:c r="AC314" t="str">
        <x:f>"Q"&amp;ROUNDUP(MONTH(B314)/3,0)&amp;"-"&amp;YEAR(B314)</x:f>
        <x:v>Q2-2025</x:v>
      </x:c>
      <x:c r="AD314" s="26" t="n">
        <x:f>MIN(100,IF(H314="Enterprise",30,IF(H314="Mid-Market",22,14))+IF(T314="Enterprise",25,IF(T314="Mid-Market",18,10))+IF(Q314="Referral",25,IF(Q314="Organic Search",20,IF(Q314="Email",18,14)))+IF(G314="Technology",10,5))</x:f>
        <x:v>48</x:v>
      </x:c>
      <x:c r="AE314" t="str">
        <x:f>IF(U314&lt;&gt;"Open",U314,IF(N314&gt;=0.8,"Commit",IF(N314&gt;=0.5,"Best Case","Pipeline")))</x:f>
        <x:v>Lost</x:v>
      </x:c>
    </x:row>
    <x:row r="315">
      <x:c r="A315" t="str">
        <x:v>L00314</x:v>
      </x:c>
      <x:c r="B315" s="10" t="n">
        <x:v>45886</x:v>
      </x:c>
      <x:c r="C315" t="str">
        <x:v>Bao Tran</x:v>
      </x:c>
      <x:c r="D315" t="str">
        <x:v>South</x:v>
      </x:c>
      <x:c r="E315" t="str">
        <x:v>email nurture</x:v>
      </x:c>
      <x:c r="F315" t="str">
        <x:v>BI-PLUS</x:v>
      </x:c>
      <x:c r="G315" t="str">
        <x:v>Professional Services</x:v>
      </x:c>
      <x:c r="H315" t="str">
        <x:v>SMB</x:v>
      </x:c>
      <x:c r="I315" t="str">
        <x:v>Closed Lost</x:v>
      </x:c>
      <x:c r="J315" s="10" t="n">
        <x:v>45922</x:v>
      </x:c>
      <x:c r="K315" s="10" t="n">
        <x:v>45922</x:v>
      </x:c>
      <x:c r="L315" s="22" t="n">
        <x:v>19000</x:v>
      </x:c>
      <x:c r="M315" s="24" t="n">
        <x:v>0</x:v>
      </x:c>
      <x:c r="N315" s="24" t="n">
        <x:v>0</x:v>
      </x:c>
      <x:c r="O315" t="str">
        <x:v>Timing</x:v>
      </x:c>
      <x:c r="P315" t="n">
        <x:v>3</x:v>
      </x:c>
      <x:c r="Q315" t="str">
        <x:f>IFERROR(XLOOKUP(E315,Lookups!$A$5:$A$24,Lookups!$B$5:$B$24),"Other")</x:f>
        <x:v>Email</x:v>
      </x:c>
      <x:c r="R315" t="str">
        <x:f>IFERROR(XLOOKUP(F315,Lookups!$D$5:$D$10,Lookups!$E$5:$E$10),"Unknown Product")</x:f>
        <x:v>Analytics Plus</x:v>
      </x:c>
      <x:c r="S315" t="str">
        <x:f>IFERROR(XLOOKUP(F315,Lookups!$D$5:$D$10,Lookups!$F$5:$F$10),"Unknown")</x:f>
        <x:v>Analytics</x:v>
      </x:c>
      <x:c r="T315" t="str">
        <x:f>IF(L315&gt;=50000,"Enterprise",IF(L315&gt;=20000,"Mid-Market","SMB"))</x:f>
        <x:v>SMB</x:v>
      </x:c>
      <x:c r="U315" t="str">
        <x:f>IF(I315="Closed Won","Won",IF(I315="Closed Lost","Lost","Open"))</x:f>
        <x:v>Lost</x:v>
      </x:c>
      <x:c r="V315" s="22" t="n">
        <x:f>IF(U315="Won",L315*(1-M315),0)</x:f>
        <x:v>0</x:v>
      </x:c>
      <x:c r="W315" s="22" t="n">
        <x:f>IF(U315="Open",L315*N315,0)</x:f>
        <x:v>0</x:v>
      </x:c>
      <x:c r="X315" s="26" t="n">
        <x:f>IF(U315="Open","",IFERROR(K315-B315,""))</x:f>
        <x:v>36</x:v>
      </x:c>
      <x:c r="Y315" s="26" t="n">
        <x:f>IF(U315="Open",Lookups!$B$2-B315,X315)</x:f>
        <x:v>36</x:v>
      </x:c>
      <x:c r="Z315" t="str">
        <x:f>IF(AND(U315="Open",Y315&gt;30),"STALE","OK")</x:f>
        <x:v>OK</x:v>
      </x:c>
      <x:c r="AA315" t="str">
        <x:f>TEXT(B315,"yyyy-mm")</x:f>
        <x:v>2025-08</x:v>
      </x:c>
      <x:c r="AB315" t="str">
        <x:f>IF(K315="","",TEXT(K315,"yyyy-mm"))</x:f>
        <x:v>2025-09</x:v>
      </x:c>
      <x:c r="AC315" t="str">
        <x:f>"Q"&amp;ROUNDUP(MONTH(B315)/3,0)&amp;"-"&amp;YEAR(B315)</x:f>
        <x:v>Q3-2025</x:v>
      </x:c>
      <x:c r="AD315" s="26" t="n">
        <x:f>MIN(100,IF(H315="Enterprise",30,IF(H315="Mid-Market",22,14))+IF(T315="Enterprise",25,IF(T315="Mid-Market",18,10))+IF(Q315="Referral",25,IF(Q315="Organic Search",20,IF(Q315="Email",18,14)))+IF(G315="Technology",10,5))</x:f>
        <x:v>47</x:v>
      </x:c>
      <x:c r="AE315" t="str">
        <x:f>IF(U315&lt;&gt;"Open",U315,IF(N315&gt;=0.8,"Commit",IF(N315&gt;=0.5,"Best Case","Pipeline")))</x:f>
        <x:v>Lost</x:v>
      </x:c>
    </x:row>
    <x:row r="316">
      <x:c r="A316" t="str">
        <x:v>L00315</x:v>
      </x:c>
      <x:c r="B316" s="10" t="n">
        <x:v>45847</x:v>
      </x:c>
      <x:c r="C316" t="str">
        <x:v>An Nguyen</x:v>
      </x:c>
      <x:c r="D316" t="str">
        <x:v>South</x:v>
      </x:c>
      <x:c r="E316" t="str">
        <x:v>Email Campaign</x:v>
      </x:c>
      <x:c r="F316" t="str">
        <x:v>MKT-AUTO</x:v>
      </x:c>
      <x:c r="G316" t="str">
        <x:v>Professional Services</x:v>
      </x:c>
      <x:c r="H316" t="str">
        <x:v>SMB</x:v>
      </x:c>
      <x:c r="I316" t="str">
        <x:v>Closed Won</x:v>
      </x:c>
      <x:c r="J316" s="10" t="n">
        <x:v>45900</x:v>
      </x:c>
      <x:c r="K316" s="10" t="n">
        <x:v>45900</x:v>
      </x:c>
      <x:c r="L316" s="22" t="n">
        <x:v>9700</x:v>
      </x:c>
      <x:c r="M316" s="24" t="n">
        <x:v>0.12</x:v>
      </x:c>
      <x:c r="N316" s="24" t="n">
        <x:v>1</x:v>
      </x:c>
      <x:c r="O316" t="str"/>
      <x:c r="P316" t="n">
        <x:v>6</x:v>
      </x:c>
      <x:c r="Q316" t="str">
        <x:f>IFERROR(XLOOKUP(E316,Lookups!$A$5:$A$24,Lookups!$B$5:$B$24),"Other")</x:f>
        <x:v>Email</x:v>
      </x:c>
      <x:c r="R316" t="str">
        <x:f>IFERROR(XLOOKUP(F316,Lookups!$D$5:$D$10,Lookups!$E$5:$E$10),"Unknown Product")</x:f>
        <x:v>Marketing Automation</x:v>
      </x:c>
      <x:c r="S316" t="str">
        <x:f>IFERROR(XLOOKUP(F316,Lookups!$D$5:$D$10,Lookups!$F$5:$F$10),"Unknown")</x:f>
        <x:v>Marketing</x:v>
      </x:c>
      <x:c r="T316" t="str">
        <x:f>IF(L316&gt;=50000,"Enterprise",IF(L316&gt;=20000,"Mid-Market","SMB"))</x:f>
        <x:v>SMB</x:v>
      </x:c>
      <x:c r="U316" t="str">
        <x:f>IF(I316="Closed Won","Won",IF(I316="Closed Lost","Lost","Open"))</x:f>
        <x:v>Won</x:v>
      </x:c>
      <x:c r="V316" s="22" t="n">
        <x:f>IF(U316="Won",L316*(1-M316),0)</x:f>
        <x:v>8536</x:v>
      </x:c>
      <x:c r="W316" s="22" t="n">
        <x:f>IF(U316="Open",L316*N316,0)</x:f>
        <x:v>0</x:v>
      </x:c>
      <x:c r="X316" s="26" t="n">
        <x:f>IF(U316="Open","",IFERROR(K316-B316,""))</x:f>
        <x:v>53</x:v>
      </x:c>
      <x:c r="Y316" s="26" t="n">
        <x:f>IF(U316="Open",Lookups!$B$2-B316,X316)</x:f>
        <x:v>53</x:v>
      </x:c>
      <x:c r="Z316" t="str">
        <x:f>IF(AND(U316="Open",Y316&gt;30),"STALE","OK")</x:f>
        <x:v>OK</x:v>
      </x:c>
      <x:c r="AA316" t="str">
        <x:f>TEXT(B316,"yyyy-mm")</x:f>
        <x:v>2025-07</x:v>
      </x:c>
      <x:c r="AB316" t="str">
        <x:f>IF(K316="","",TEXT(K316,"yyyy-mm"))</x:f>
        <x:v>2025-08</x:v>
      </x:c>
      <x:c r="AC316" t="str">
        <x:f>"Q"&amp;ROUNDUP(MONTH(B316)/3,0)&amp;"-"&amp;YEAR(B316)</x:f>
        <x:v>Q3-2025</x:v>
      </x:c>
      <x:c r="AD316" s="26" t="n">
        <x:f>MIN(100,IF(H316="Enterprise",30,IF(H316="Mid-Market",22,14))+IF(T316="Enterprise",25,IF(T316="Mid-Market",18,10))+IF(Q316="Referral",25,IF(Q316="Organic Search",20,IF(Q316="Email",18,14)))+IF(G316="Technology",10,5))</x:f>
        <x:v>47</x:v>
      </x:c>
      <x:c r="AE316" t="str">
        <x:f>IF(U316&lt;&gt;"Open",U316,IF(N316&gt;=0.8,"Commit",IF(N316&gt;=0.5,"Best Case","Pipeline")))</x:f>
        <x:v>Won</x:v>
      </x:c>
    </x:row>
    <x:row r="317">
      <x:c r="A317" t="str">
        <x:v>L00316</x:v>
      </x:c>
      <x:c r="B317" s="10" t="n">
        <x:v>45944</x:v>
      </x:c>
      <x:c r="C317" t="str">
        <x:v>Tuan Bui</x:v>
      </x:c>
      <x:c r="D317" t="str">
        <x:v>Central</x:v>
      </x:c>
      <x:c r="E317" t="str">
        <x:v>customer referral</x:v>
      </x:c>
      <x:c r="F317" t="str">
        <x:v>CRM-PRO</x:v>
      </x:c>
      <x:c r="G317" t="str">
        <x:v>Education</x:v>
      </x:c>
      <x:c r="H317" t="str">
        <x:v>SMB</x:v>
      </x:c>
      <x:c r="I317" t="str">
        <x:v>Closed Won</x:v>
      </x:c>
      <x:c r="J317" s="10" t="n">
        <x:v>45962</x:v>
      </x:c>
      <x:c r="K317" s="10" t="n">
        <x:v>45962</x:v>
      </x:c>
      <x:c r="L317" s="22" t="n">
        <x:v>21100</x:v>
      </x:c>
      <x:c r="M317" s="24" t="n">
        <x:v>0.08</x:v>
      </x:c>
      <x:c r="N317" s="24" t="n">
        <x:v>1</x:v>
      </x:c>
      <x:c r="O317" t="str"/>
      <x:c r="P317" t="n">
        <x:v>6</x:v>
      </x:c>
      <x:c r="Q317" t="str">
        <x:f>IFERROR(XLOOKUP(E317,Lookups!$A$5:$A$24,Lookups!$B$5:$B$24),"Other")</x:f>
        <x:v>Referral</x:v>
      </x:c>
      <x:c r="R317" t="str">
        <x:f>IFERROR(XLOOKUP(F317,Lookups!$D$5:$D$10,Lookups!$E$5:$E$10),"Unknown Product")</x:f>
        <x:v>NexaCRM Pro</x:v>
      </x:c>
      <x:c r="S317" t="str">
        <x:f>IFERROR(XLOOKUP(F317,Lookups!$D$5:$D$10,Lookups!$F$5:$F$10),"Unknown")</x:f>
        <x:v>CRM</x:v>
      </x:c>
      <x:c r="T317" t="str">
        <x:f>IF(L317&gt;=50000,"Enterprise",IF(L317&gt;=20000,"Mid-Market","SMB"))</x:f>
        <x:v>Mid-Market</x:v>
      </x:c>
      <x:c r="U317" t="str">
        <x:f>IF(I317="Closed Won","Won",IF(I317="Closed Lost","Lost","Open"))</x:f>
        <x:v>Won</x:v>
      </x:c>
      <x:c r="V317" s="22" t="n">
        <x:f>IF(U317="Won",L317*(1-M317),0)</x:f>
        <x:v>19412</x:v>
      </x:c>
      <x:c r="W317" s="22" t="n">
        <x:f>IF(U317="Open",L317*N317,0)</x:f>
        <x:v>0</x:v>
      </x:c>
      <x:c r="X317" s="26" t="n">
        <x:f>IF(U317="Open","",IFERROR(K317-B317,""))</x:f>
        <x:v>18</x:v>
      </x:c>
      <x:c r="Y317" s="26" t="n">
        <x:f>IF(U317="Open",Lookups!$B$2-B317,X317)</x:f>
        <x:v>18</x:v>
      </x:c>
      <x:c r="Z317" t="str">
        <x:f>IF(AND(U317="Open",Y317&gt;30),"STALE","OK")</x:f>
        <x:v>OK</x:v>
      </x:c>
      <x:c r="AA317" t="str">
        <x:f>TEXT(B317,"yyyy-mm")</x:f>
        <x:v>2025-10</x:v>
      </x:c>
      <x:c r="AB317" t="str">
        <x:f>IF(K317="","",TEXT(K317,"yyyy-mm"))</x:f>
        <x:v>2025-11</x:v>
      </x:c>
      <x:c r="AC317" t="str">
        <x:f>"Q"&amp;ROUNDUP(MONTH(B317)/3,0)&amp;"-"&amp;YEAR(B317)</x:f>
        <x:v>Q4-2025</x:v>
      </x:c>
      <x:c r="AD317" s="26" t="n">
        <x:f>MIN(100,IF(H317="Enterprise",30,IF(H317="Mid-Market",22,14))+IF(T317="Enterprise",25,IF(T317="Mid-Market",18,10))+IF(Q317="Referral",25,IF(Q317="Organic Search",20,IF(Q317="Email",18,14)))+IF(G317="Technology",10,5))</x:f>
        <x:v>62</x:v>
      </x:c>
      <x:c r="AE317" t="str">
        <x:f>IF(U317&lt;&gt;"Open",U317,IF(N317&gt;=0.8,"Commit",IF(N317&gt;=0.5,"Best Case","Pipeline")))</x:f>
        <x:v>Won</x:v>
      </x:c>
    </x:row>
    <x:row r="318">
      <x:c r="A318" t="str">
        <x:v>L00317</x:v>
      </x:c>
      <x:c r="B318" s="10" t="n">
        <x:v>45853</x:v>
      </x:c>
      <x:c r="C318" t="str">
        <x:v>An Nguyen</x:v>
      </x:c>
      <x:c r="D318" t="str">
        <x:v>South</x:v>
      </x:c>
      <x:c r="E318" t="str">
        <x:v>organic search</x:v>
      </x:c>
      <x:c r="F318" t="str">
        <x:v>BI-PLUS</x:v>
      </x:c>
      <x:c r="G318" t="str">
        <x:v>Education</x:v>
      </x:c>
      <x:c r="H318" t="str">
        <x:v>SMB</x:v>
      </x:c>
      <x:c r="I318" t="str">
        <x:v>Closed Lost</x:v>
      </x:c>
      <x:c r="J318" s="10" t="n">
        <x:v>45866</x:v>
      </x:c>
      <x:c r="K318" s="10" t="n">
        <x:v>45866</x:v>
      </x:c>
      <x:c r="L318" s="22" t="n">
        <x:v>19900</x:v>
      </x:c>
      <x:c r="M318" s="24" t="n">
        <x:v>0</x:v>
      </x:c>
      <x:c r="N318" s="24" t="n">
        <x:v>0</x:v>
      </x:c>
      <x:c r="O318" t="str">
        <x:v>Timing</x:v>
      </x:c>
      <x:c r="P318" t="n">
        <x:v>5</x:v>
      </x:c>
      <x:c r="Q318" t="str">
        <x:f>IFERROR(XLOOKUP(E318,Lookups!$A$5:$A$24,Lookups!$B$5:$B$24),"Other")</x:f>
        <x:v>Organic Search</x:v>
      </x:c>
      <x:c r="R318" t="str">
        <x:f>IFERROR(XLOOKUP(F318,Lookups!$D$5:$D$10,Lookups!$E$5:$E$10),"Unknown Product")</x:f>
        <x:v>Analytics Plus</x:v>
      </x:c>
      <x:c r="S318" t="str">
        <x:f>IFERROR(XLOOKUP(F318,Lookups!$D$5:$D$10,Lookups!$F$5:$F$10),"Unknown")</x:f>
        <x:v>Analytics</x:v>
      </x:c>
      <x:c r="T318" t="str">
        <x:f>IF(L318&gt;=50000,"Enterprise",IF(L318&gt;=20000,"Mid-Market","SMB"))</x:f>
        <x:v>SMB</x:v>
      </x:c>
      <x:c r="U318" t="str">
        <x:f>IF(I318="Closed Won","Won",IF(I318="Closed Lost","Lost","Open"))</x:f>
        <x:v>Lost</x:v>
      </x:c>
      <x:c r="V318" s="22" t="n">
        <x:f>IF(U318="Won",L318*(1-M318),0)</x:f>
        <x:v>0</x:v>
      </x:c>
      <x:c r="W318" s="22" t="n">
        <x:f>IF(U318="Open",L318*N318,0)</x:f>
        <x:v>0</x:v>
      </x:c>
      <x:c r="X318" s="26" t="n">
        <x:f>IF(U318="Open","",IFERROR(K318-B318,""))</x:f>
        <x:v>13</x:v>
      </x:c>
      <x:c r="Y318" s="26" t="n">
        <x:f>IF(U318="Open",Lookups!$B$2-B318,X318)</x:f>
        <x:v>13</x:v>
      </x:c>
      <x:c r="Z318" t="str">
        <x:f>IF(AND(U318="Open",Y318&gt;30),"STALE","OK")</x:f>
        <x:v>OK</x:v>
      </x:c>
      <x:c r="AA318" t="str">
        <x:f>TEXT(B318,"yyyy-mm")</x:f>
        <x:v>2025-07</x:v>
      </x:c>
      <x:c r="AB318" t="str">
        <x:f>IF(K318="","",TEXT(K318,"yyyy-mm"))</x:f>
        <x:v>2025-07</x:v>
      </x:c>
      <x:c r="AC318" t="str">
        <x:f>"Q"&amp;ROUNDUP(MONTH(B318)/3,0)&amp;"-"&amp;YEAR(B318)</x:f>
        <x:v>Q3-2025</x:v>
      </x:c>
      <x:c r="AD318" s="26" t="n">
        <x:f>MIN(100,IF(H318="Enterprise",30,IF(H318="Mid-Market",22,14))+IF(T318="Enterprise",25,IF(T318="Mid-Market",18,10))+IF(Q318="Referral",25,IF(Q318="Organic Search",20,IF(Q318="Email",18,14)))+IF(G318="Technology",10,5))</x:f>
        <x:v>49</x:v>
      </x:c>
      <x:c r="AE318" t="str">
        <x:f>IF(U318&lt;&gt;"Open",U318,IF(N318&gt;=0.8,"Commit",IF(N318&gt;=0.5,"Best Case","Pipeline")))</x:f>
        <x:v>Lost</x:v>
      </x:c>
    </x:row>
    <x:row r="319">
      <x:c r="A319" t="str">
        <x:v>L00318</x:v>
      </x:c>
      <x:c r="B319" s="10" t="n">
        <x:v>45915</x:v>
      </x:c>
      <x:c r="C319" t="str">
        <x:v>Minh Do</x:v>
      </x:c>
      <x:c r="D319" t="str">
        <x:v>North</x:v>
      </x:c>
      <x:c r="E319" t="str">
        <x:v>organic search</x:v>
      </x:c>
      <x:c r="F319" t="str">
        <x:v>CRM-CORE</x:v>
      </x:c>
      <x:c r="G319" t="str">
        <x:v>Technology</x:v>
      </x:c>
      <x:c r="H319" t="str">
        <x:v>SMB</x:v>
      </x:c>
      <x:c r="I319" t="str">
        <x:v>Closed Lost</x:v>
      </x:c>
      <x:c r="J319" s="10" t="n">
        <x:v>45951</x:v>
      </x:c>
      <x:c r="K319" s="10" t="n">
        <x:v>45951</x:v>
      </x:c>
      <x:c r="L319" s="22" t="n">
        <x:v>10200</x:v>
      </x:c>
      <x:c r="M319" s="24" t="n">
        <x:v>0</x:v>
      </x:c>
      <x:c r="N319" s="24" t="n">
        <x:v>0</x:v>
      </x:c>
      <x:c r="O319" t="str">
        <x:v>No Decision</x:v>
      </x:c>
      <x:c r="P319" t="n">
        <x:v>3</x:v>
      </x:c>
      <x:c r="Q319" t="str">
        <x:f>IFERROR(XLOOKUP(E319,Lookups!$A$5:$A$24,Lookups!$B$5:$B$24),"Other")</x:f>
        <x:v>Organic Search</x:v>
      </x:c>
      <x:c r="R319" t="str">
        <x:f>IFERROR(XLOOKUP(F319,Lookups!$D$5:$D$10,Lookups!$E$5:$E$10),"Unknown Product")</x:f>
        <x:v>NexaCRM Core</x:v>
      </x:c>
      <x:c r="S319" t="str">
        <x:f>IFERROR(XLOOKUP(F319,Lookups!$D$5:$D$10,Lookups!$F$5:$F$10),"Unknown")</x:f>
        <x:v>CRM</x:v>
      </x:c>
      <x:c r="T319" t="str">
        <x:f>IF(L319&gt;=50000,"Enterprise",IF(L319&gt;=20000,"Mid-Market","SMB"))</x:f>
        <x:v>SMB</x:v>
      </x:c>
      <x:c r="U319" t="str">
        <x:f>IF(I319="Closed Won","Won",IF(I319="Closed Lost","Lost","Open"))</x:f>
        <x:v>Lost</x:v>
      </x:c>
      <x:c r="V319" s="22" t="n">
        <x:f>IF(U319="Won",L319*(1-M319),0)</x:f>
        <x:v>0</x:v>
      </x:c>
      <x:c r="W319" s="22" t="n">
        <x:f>IF(U319="Open",L319*N319,0)</x:f>
        <x:v>0</x:v>
      </x:c>
      <x:c r="X319" s="26" t="n">
        <x:f>IF(U319="Open","",IFERROR(K319-B319,""))</x:f>
        <x:v>36</x:v>
      </x:c>
      <x:c r="Y319" s="26" t="n">
        <x:f>IF(U319="Open",Lookups!$B$2-B319,X319)</x:f>
        <x:v>36</x:v>
      </x:c>
      <x:c r="Z319" t="str">
        <x:f>IF(AND(U319="Open",Y319&gt;30),"STALE","OK")</x:f>
        <x:v>OK</x:v>
      </x:c>
      <x:c r="AA319" t="str">
        <x:f>TEXT(B319,"yyyy-mm")</x:f>
        <x:v>2025-09</x:v>
      </x:c>
      <x:c r="AB319" t="str">
        <x:f>IF(K319="","",TEXT(K319,"yyyy-mm"))</x:f>
        <x:v>2025-10</x:v>
      </x:c>
      <x:c r="AC319" t="str">
        <x:f>"Q"&amp;ROUNDUP(MONTH(B319)/3,0)&amp;"-"&amp;YEAR(B319)</x:f>
        <x:v>Q3-2025</x:v>
      </x:c>
      <x:c r="AD319" s="26" t="n">
        <x:f>MIN(100,IF(H319="Enterprise",30,IF(H319="Mid-Market",22,14))+IF(T319="Enterprise",25,IF(T319="Mid-Market",18,10))+IF(Q319="Referral",25,IF(Q319="Organic Search",20,IF(Q319="Email",18,14)))+IF(G319="Technology",10,5))</x:f>
        <x:v>54</x:v>
      </x:c>
      <x:c r="AE319" t="str">
        <x:f>IF(U319&lt;&gt;"Open",U319,IF(N319&gt;=0.8,"Commit",IF(N319&gt;=0.5,"Best Case","Pipeline")))</x:f>
        <x:v>Lost</x:v>
      </x:c>
    </x:row>
    <x:row r="320">
      <x:c r="A320" t="str">
        <x:v>L00319</x:v>
      </x:c>
      <x:c r="B320" s="10" t="n">
        <x:v>45904</x:v>
      </x:c>
      <x:c r="C320" t="str">
        <x:v>Quynh Vu</x:v>
      </x:c>
      <x:c r="D320" t="str">
        <x:v>North</x:v>
      </x:c>
      <x:c r="E320" t="str">
        <x:v>SEO</x:v>
      </x:c>
      <x:c r="F320" t="str">
        <x:v>MKT-AUTO</x:v>
      </x:c>
      <x:c r="G320" t="str">
        <x:v>Technology</x:v>
      </x:c>
      <x:c r="H320" t="str">
        <x:v>Enterprise</x:v>
      </x:c>
      <x:c r="I320" t="str">
        <x:v>Closed Lost</x:v>
      </x:c>
      <x:c r="J320" s="10" t="n">
        <x:v>45961</x:v>
      </x:c>
      <x:c r="K320" s="10" t="n">
        <x:v>45961</x:v>
      </x:c>
      <x:c r="L320" s="22" t="n">
        <x:v>66100</x:v>
      </x:c>
      <x:c r="M320" s="24" t="n">
        <x:v>0</x:v>
      </x:c>
      <x:c r="N320" s="24" t="n">
        <x:v>0</x:v>
      </x:c>
      <x:c r="O320" t="str">
        <x:v>No Decision</x:v>
      </x:c>
      <x:c r="P320" t="n">
        <x:v>5</x:v>
      </x:c>
      <x:c r="Q320" t="str">
        <x:f>IFERROR(XLOOKUP(E320,Lookups!$A$5:$A$24,Lookups!$B$5:$B$24),"Other")</x:f>
        <x:v>Organic Search</x:v>
      </x:c>
      <x:c r="R320" t="str">
        <x:f>IFERROR(XLOOKUP(F320,Lookups!$D$5:$D$10,Lookups!$E$5:$E$10),"Unknown Product")</x:f>
        <x:v>Marketing Automation</x:v>
      </x:c>
      <x:c r="S320" t="str">
        <x:f>IFERROR(XLOOKUP(F320,Lookups!$D$5:$D$10,Lookups!$F$5:$F$10),"Unknown")</x:f>
        <x:v>Marketing</x:v>
      </x:c>
      <x:c r="T320" t="str">
        <x:f>IF(L320&gt;=50000,"Enterprise",IF(L320&gt;=20000,"Mid-Market","SMB"))</x:f>
        <x:v>Enterprise</x:v>
      </x:c>
      <x:c r="U320" t="str">
        <x:f>IF(I320="Closed Won","Won",IF(I320="Closed Lost","Lost","Open"))</x:f>
        <x:v>Lost</x:v>
      </x:c>
      <x:c r="V320" s="22" t="n">
        <x:f>IF(U320="Won",L320*(1-M320),0)</x:f>
        <x:v>0</x:v>
      </x:c>
      <x:c r="W320" s="22" t="n">
        <x:f>IF(U320="Open",L320*N320,0)</x:f>
        <x:v>0</x:v>
      </x:c>
      <x:c r="X320" s="26" t="n">
        <x:f>IF(U320="Open","",IFERROR(K320-B320,""))</x:f>
        <x:v>57</x:v>
      </x:c>
      <x:c r="Y320" s="26" t="n">
        <x:f>IF(U320="Open",Lookups!$B$2-B320,X320)</x:f>
        <x:v>57</x:v>
      </x:c>
      <x:c r="Z320" t="str">
        <x:f>IF(AND(U320="Open",Y320&gt;30),"STALE","OK")</x:f>
        <x:v>OK</x:v>
      </x:c>
      <x:c r="AA320" t="str">
        <x:f>TEXT(B320,"yyyy-mm")</x:f>
        <x:v>2025-09</x:v>
      </x:c>
      <x:c r="AB320" t="str">
        <x:f>IF(K320="","",TEXT(K320,"yyyy-mm"))</x:f>
        <x:v>2025-10</x:v>
      </x:c>
      <x:c r="AC320" t="str">
        <x:f>"Q"&amp;ROUNDUP(MONTH(B320)/3,0)&amp;"-"&amp;YEAR(B320)</x:f>
        <x:v>Q3-2025</x:v>
      </x:c>
      <x:c r="AD320" s="26" t="n">
        <x:f>MIN(100,IF(H320="Enterprise",30,IF(H320="Mid-Market",22,14))+IF(T320="Enterprise",25,IF(T320="Mid-Market",18,10))+IF(Q320="Referral",25,IF(Q320="Organic Search",20,IF(Q320="Email",18,14)))+IF(G320="Technology",10,5))</x:f>
        <x:v>85</x:v>
      </x:c>
      <x:c r="AE320" t="str">
        <x:f>IF(U320&lt;&gt;"Open",U320,IF(N320&gt;=0.8,"Commit",IF(N320&gt;=0.5,"Best Case","Pipeline")))</x:f>
        <x:v>Lost</x:v>
      </x:c>
    </x:row>
    <x:row r="321">
      <x:c r="A321" t="str">
        <x:v>L00320</x:v>
      </x:c>
      <x:c r="B321" s="10" t="n">
        <x:v>46228</x:v>
      </x:c>
      <x:c r="C321" t="str">
        <x:v>Chi Le</x:v>
      </x:c>
      <x:c r="D321" t="str">
        <x:v>South</x:v>
      </x:c>
      <x:c r="E321" t="str">
        <x:v>google cpc</x:v>
      </x:c>
      <x:c r="F321" t="str">
        <x:v>BI-PLUS</x:v>
      </x:c>
      <x:c r="G321" t="str">
        <x:v>Education</x:v>
      </x:c>
      <x:c r="H321" t="str">
        <x:v>SMB</x:v>
      </x:c>
      <x:c r="I321" t="str">
        <x:v>New</x:v>
      </x:c>
      <x:c r="J321" s="10" t="n">
        <x:v>46251</x:v>
      </x:c>
      <x:c r="K321" s="10"/>
      <x:c r="L321" s="22" t="n">
        <x:v>28700</x:v>
      </x:c>
      <x:c r="M321" s="24" t="n">
        <x:v>0.03</x:v>
      </x:c>
      <x:c r="N321" s="24" t="n">
        <x:v>0.05</x:v>
      </x:c>
      <x:c r="O321" t="str"/>
      <x:c r="P321" t="n">
        <x:v>1</x:v>
      </x:c>
      <x:c r="Q321" t="str">
        <x:f>IFERROR(XLOOKUP(E321,Lookups!$A$5:$A$24,Lookups!$B$5:$B$24),"Other")</x:f>
        <x:v>Paid Search</x:v>
      </x:c>
      <x:c r="R321" t="str">
        <x:f>IFERROR(XLOOKUP(F321,Lookups!$D$5:$D$10,Lookups!$E$5:$E$10),"Unknown Product")</x:f>
        <x:v>Analytics Plus</x:v>
      </x:c>
      <x:c r="S321" t="str">
        <x:f>IFERROR(XLOOKUP(F321,Lookups!$D$5:$D$10,Lookups!$F$5:$F$10),"Unknown")</x:f>
        <x:v>Analytics</x:v>
      </x:c>
      <x:c r="T321" t="str">
        <x:f>IF(L321&gt;=50000,"Enterprise",IF(L321&gt;=20000,"Mid-Market","SMB"))</x:f>
        <x:v>Mid-Market</x:v>
      </x:c>
      <x:c r="U321" t="str">
        <x:f>IF(I321="Closed Won","Won",IF(I321="Closed Lost","Lost","Open"))</x:f>
        <x:v>Open</x:v>
      </x:c>
      <x:c r="V321" s="22" t="n">
        <x:f>IF(U321="Won",L321*(1-M321),0)</x:f>
        <x:v>0</x:v>
      </x:c>
      <x:c r="W321" s="22" t="n">
        <x:f>IF(U321="Open",L321*N321,0)</x:f>
        <x:v>1435</x:v>
      </x:c>
      <x:c r="X321" s="26" t="str">
        <x:f>IF(U321="Open","",IFERROR(K321-B321,""))</x:f>
      </x:c>
      <x:c r="Y321" s="26" t="n">
        <x:f>IF(U321="Open",Lookups!$B$2-B321,X321)</x:f>
        <x:v>38</x:v>
      </x:c>
      <x:c r="Z321" t="str">
        <x:f>IF(AND(U321="Open",Y321&gt;30),"STALE","OK")</x:f>
        <x:v>STALE</x:v>
      </x:c>
      <x:c r="AA321" t="str">
        <x:f>TEXT(B321,"yyyy-mm")</x:f>
        <x:v>2026-07</x:v>
      </x:c>
      <x:c r="AB321" t="str">
        <x:f>IF(K321="","",TEXT(K321,"yyyy-mm"))</x:f>
      </x:c>
      <x:c r="AC321" t="str">
        <x:f>"Q"&amp;ROUNDUP(MONTH(B321)/3,0)&amp;"-"&amp;YEAR(B321)</x:f>
        <x:v>Q3-2026</x:v>
      </x:c>
      <x:c r="AD321" s="26" t="n">
        <x:f>MIN(100,IF(H321="Enterprise",30,IF(H321="Mid-Market",22,14))+IF(T321="Enterprise",25,IF(T321="Mid-Market",18,10))+IF(Q321="Referral",25,IF(Q321="Organic Search",20,IF(Q321="Email",18,14)))+IF(G321="Technology",10,5))</x:f>
        <x:v>51</x:v>
      </x:c>
      <x:c r="AE321" t="str">
        <x:f>IF(U321&lt;&gt;"Open",U321,IF(N321&gt;=0.8,"Commit",IF(N321&gt;=0.5,"Best Case","Pipeline")))</x:f>
        <x:v>Pipeline</x:v>
      </x:c>
    </x:row>
    <x:row r="322">
      <x:c r="A322" t="str">
        <x:v>L00321</x:v>
      </x:c>
      <x:c r="B322" s="10" t="n">
        <x:v>46080</x:v>
      </x:c>
      <x:c r="C322" t="str">
        <x:v>Chi Le</x:v>
      </x:c>
      <x:c r="D322" t="str">
        <x:v>South</x:v>
      </x:c>
      <x:c r="E322" t="str">
        <x:v>Unknown Event</x:v>
      </x:c>
      <x:c r="F322" t="str">
        <x:v>CRM-CORE</x:v>
      </x:c>
      <x:c r="G322" t="str">
        <x:v>Healthcare</x:v>
      </x:c>
      <x:c r="H322" t="str">
        <x:v>Enterprise</x:v>
      </x:c>
      <x:c r="I322" t="str">
        <x:v>Closed Won</x:v>
      </x:c>
      <x:c r="J322" s="10" t="n">
        <x:v>46144</x:v>
      </x:c>
      <x:c r="K322" s="10" t="n">
        <x:v>46144</x:v>
      </x:c>
      <x:c r="L322" s="22" t="n">
        <x:v>30500</x:v>
      </x:c>
      <x:c r="M322" s="24" t="n">
        <x:v>0.05</x:v>
      </x:c>
      <x:c r="N322" s="24" t="n">
        <x:v>1</x:v>
      </x:c>
      <x:c r="O322" t="str"/>
      <x:c r="P322" t="n">
        <x:v>6</x:v>
      </x:c>
      <x:c r="Q322" t="str">
        <x:f>IFERROR(XLOOKUP(E322,Lookups!$A$5:$A$24,Lookups!$B$5:$B$24),"Other")</x:f>
        <x:v>Other</x:v>
      </x:c>
      <x:c r="R322" t="str">
        <x:f>IFERROR(XLOOKUP(F322,Lookups!$D$5:$D$10,Lookups!$E$5:$E$10),"Unknown Product")</x:f>
        <x:v>NexaCRM Core</x:v>
      </x:c>
      <x:c r="S322" t="str">
        <x:f>IFERROR(XLOOKUP(F322,Lookups!$D$5:$D$10,Lookups!$F$5:$F$10),"Unknown")</x:f>
        <x:v>CRM</x:v>
      </x:c>
      <x:c r="T322" t="str">
        <x:f>IF(L322&gt;=50000,"Enterprise",IF(L322&gt;=20000,"Mid-Market","SMB"))</x:f>
        <x:v>Mid-Market</x:v>
      </x:c>
      <x:c r="U322" t="str">
        <x:f>IF(I322="Closed Won","Won",IF(I322="Closed Lost","Lost","Open"))</x:f>
        <x:v>Won</x:v>
      </x:c>
      <x:c r="V322" s="22" t="n">
        <x:f>IF(U322="Won",L322*(1-M322),0)</x:f>
        <x:v>28975</x:v>
      </x:c>
      <x:c r="W322" s="22" t="n">
        <x:f>IF(U322="Open",L322*N322,0)</x:f>
        <x:v>0</x:v>
      </x:c>
      <x:c r="X322" s="26" t="n">
        <x:f>IF(U322="Open","",IFERROR(K322-B322,""))</x:f>
        <x:v>64</x:v>
      </x:c>
      <x:c r="Y322" s="26" t="n">
        <x:f>IF(U322="Open",Lookups!$B$2-B322,X322)</x:f>
        <x:v>64</x:v>
      </x:c>
      <x:c r="Z322" t="str">
        <x:f>IF(AND(U322="Open",Y322&gt;30),"STALE","OK")</x:f>
        <x:v>OK</x:v>
      </x:c>
      <x:c r="AA322" t="str">
        <x:f>TEXT(B322,"yyyy-mm")</x:f>
        <x:v>2026-02</x:v>
      </x:c>
      <x:c r="AB322" t="str">
        <x:f>IF(K322="","",TEXT(K322,"yyyy-mm"))</x:f>
        <x:v>2026-05</x:v>
      </x:c>
      <x:c r="AC322" t="str">
        <x:f>"Q"&amp;ROUNDUP(MONTH(B322)/3,0)&amp;"-"&amp;YEAR(B322)</x:f>
        <x:v>Q1-2026</x:v>
      </x:c>
      <x:c r="AD322" s="26" t="n">
        <x:f>MIN(100,IF(H322="Enterprise",30,IF(H322="Mid-Market",22,14))+IF(T322="Enterprise",25,IF(T322="Mid-Market",18,10))+IF(Q322="Referral",25,IF(Q322="Organic Search",20,IF(Q322="Email",18,14)))+IF(G322="Technology",10,5))</x:f>
        <x:v>67</x:v>
      </x:c>
      <x:c r="AE322" t="str">
        <x:f>IF(U322&lt;&gt;"Open",U322,IF(N322&gt;=0.8,"Commit",IF(N322&gt;=0.5,"Best Case","Pipeline")))</x:f>
        <x:v>Won</x:v>
      </x:c>
    </x:row>
    <x:row r="323">
      <x:c r="A323" t="str">
        <x:v>L00322</x:v>
      </x:c>
      <x:c r="B323" s="10" t="n">
        <x:v>46064</x:v>
      </x:c>
      <x:c r="C323" t="str">
        <x:v>Ha Vo</x:v>
      </x:c>
      <x:c r="D323" t="str">
        <x:v>North</x:v>
      </x:c>
      <x:c r="E323" t="str">
        <x:v>SEO</x:v>
      </x:c>
      <x:c r="F323" t="str">
        <x:v>CS-CLOUD</x:v>
      </x:c>
      <x:c r="G323" t="str">
        <x:v>Technology</x:v>
      </x:c>
      <x:c r="H323" t="str">
        <x:v>SMB</x:v>
      </x:c>
      <x:c r="I323" t="str">
        <x:v>Closed Won</x:v>
      </x:c>
      <x:c r="J323" s="10" t="n">
        <x:v>46151</x:v>
      </x:c>
      <x:c r="K323" s="10" t="n">
        <x:v>46151</x:v>
      </x:c>
      <x:c r="L323" s="22" t="n">
        <x:v>24700</x:v>
      </x:c>
      <x:c r="M323" s="24" t="n">
        <x:v>0.08</x:v>
      </x:c>
      <x:c r="N323" s="24" t="n">
        <x:v>1</x:v>
      </x:c>
      <x:c r="O323" t="str"/>
      <x:c r="P323" t="n">
        <x:v>6</x:v>
      </x:c>
      <x:c r="Q323" t="str">
        <x:f>IFERROR(XLOOKUP(E323,Lookups!$A$5:$A$24,Lookups!$B$5:$B$24),"Other")</x:f>
        <x:v>Organic Search</x:v>
      </x:c>
      <x:c r="R323" t="str">
        <x:f>IFERROR(XLOOKUP(F323,Lookups!$D$5:$D$10,Lookups!$E$5:$E$10),"Unknown Product")</x:f>
        <x:v>Service Cloud</x:v>
      </x:c>
      <x:c r="S323" t="str">
        <x:f>IFERROR(XLOOKUP(F323,Lookups!$D$5:$D$10,Lookups!$F$5:$F$10),"Unknown")</x:f>
        <x:v>Customer Service</x:v>
      </x:c>
      <x:c r="T323" t="str">
        <x:f>IF(L323&gt;=50000,"Enterprise",IF(L323&gt;=20000,"Mid-Market","SMB"))</x:f>
        <x:v>Mid-Market</x:v>
      </x:c>
      <x:c r="U323" t="str">
        <x:f>IF(I323="Closed Won","Won",IF(I323="Closed Lost","Lost","Open"))</x:f>
        <x:v>Won</x:v>
      </x:c>
      <x:c r="V323" s="22" t="n">
        <x:f>IF(U323="Won",L323*(1-M323),0)</x:f>
        <x:v>22724</x:v>
      </x:c>
      <x:c r="W323" s="22" t="n">
        <x:f>IF(U323="Open",L323*N323,0)</x:f>
        <x:v>0</x:v>
      </x:c>
      <x:c r="X323" s="26" t="n">
        <x:f>IF(U323="Open","",IFERROR(K323-B323,""))</x:f>
        <x:v>87</x:v>
      </x:c>
      <x:c r="Y323" s="26" t="n">
        <x:f>IF(U323="Open",Lookups!$B$2-B323,X323)</x:f>
        <x:v>87</x:v>
      </x:c>
      <x:c r="Z323" t="str">
        <x:f>IF(AND(U323="Open",Y323&gt;30),"STALE","OK")</x:f>
        <x:v>OK</x:v>
      </x:c>
      <x:c r="AA323" t="str">
        <x:f>TEXT(B323,"yyyy-mm")</x:f>
        <x:v>2026-02</x:v>
      </x:c>
      <x:c r="AB323" t="str">
        <x:f>IF(K323="","",TEXT(K323,"yyyy-mm"))</x:f>
        <x:v>2026-05</x:v>
      </x:c>
      <x:c r="AC323" t="str">
        <x:f>"Q"&amp;ROUNDUP(MONTH(B323)/3,0)&amp;"-"&amp;YEAR(B323)</x:f>
        <x:v>Q1-2026</x:v>
      </x:c>
      <x:c r="AD323" s="26" t="n">
        <x:f>MIN(100,IF(H323="Enterprise",30,IF(H323="Mid-Market",22,14))+IF(T323="Enterprise",25,IF(T323="Mid-Market",18,10))+IF(Q323="Referral",25,IF(Q323="Organic Search",20,IF(Q323="Email",18,14)))+IF(G323="Technology",10,5))</x:f>
        <x:v>62</x:v>
      </x:c>
      <x:c r="AE323" t="str">
        <x:f>IF(U323&lt;&gt;"Open",U323,IF(N323&gt;=0.8,"Commit",IF(N323&gt;=0.5,"Best Case","Pipeline")))</x:f>
        <x:v>Won</x:v>
      </x:c>
    </x:row>
    <x:row r="324">
      <x:c r="A324" t="str">
        <x:v>L00323</x:v>
      </x:c>
      <x:c r="B324" s="10" t="n">
        <x:v>46150</x:v>
      </x:c>
      <x:c r="C324" t="str">
        <x:v>Chi Le</x:v>
      </x:c>
      <x:c r="D324" t="str">
        <x:v>South</x:v>
      </x:c>
      <x:c r="E324" t="str">
        <x:v>Partner Referral</x:v>
      </x:c>
      <x:c r="F324" t="str">
        <x:v>CS-CLOUD</x:v>
      </x:c>
      <x:c r="G324" t="str">
        <x:v>Education</x:v>
      </x:c>
      <x:c r="H324" t="str">
        <x:v>Enterprise</x:v>
      </x:c>
      <x:c r="I324" t="str">
        <x:v>Closed Lost</x:v>
      </x:c>
      <x:c r="J324" s="10" t="n">
        <x:v>46175</x:v>
      </x:c>
      <x:c r="K324" s="10" t="n">
        <x:v>46175</x:v>
      </x:c>
      <x:c r="L324" s="22" t="n">
        <x:v>44500</x:v>
      </x:c>
      <x:c r="M324" s="24" t="n">
        <x:v>0</x:v>
      </x:c>
      <x:c r="N324" s="24" t="n">
        <x:v>0</x:v>
      </x:c>
      <x:c r="O324" t="str">
        <x:v>Price</x:v>
      </x:c>
      <x:c r="P324" t="n">
        <x:v>4</x:v>
      </x:c>
      <x:c r="Q324" t="str">
        <x:f>IFERROR(XLOOKUP(E324,Lookups!$A$5:$A$24,Lookups!$B$5:$B$24),"Other")</x:f>
        <x:v>Referral</x:v>
      </x:c>
      <x:c r="R324" t="str">
        <x:f>IFERROR(XLOOKUP(F324,Lookups!$D$5:$D$10,Lookups!$E$5:$E$10),"Unknown Product")</x:f>
        <x:v>Service Cloud</x:v>
      </x:c>
      <x:c r="S324" t="str">
        <x:f>IFERROR(XLOOKUP(F324,Lookups!$D$5:$D$10,Lookups!$F$5:$F$10),"Unknown")</x:f>
        <x:v>Customer Service</x:v>
      </x:c>
      <x:c r="T324" t="str">
        <x:f>IF(L324&gt;=50000,"Enterprise",IF(L324&gt;=20000,"Mid-Market","SMB"))</x:f>
        <x:v>Mid-Market</x:v>
      </x:c>
      <x:c r="U324" t="str">
        <x:f>IF(I324="Closed Won","Won",IF(I324="Closed Lost","Lost","Open"))</x:f>
        <x:v>Lost</x:v>
      </x:c>
      <x:c r="V324" s="22" t="n">
        <x:f>IF(U324="Won",L324*(1-M324),0)</x:f>
        <x:v>0</x:v>
      </x:c>
      <x:c r="W324" s="22" t="n">
        <x:f>IF(U324="Open",L324*N324,0)</x:f>
        <x:v>0</x:v>
      </x:c>
      <x:c r="X324" s="26" t="n">
        <x:f>IF(U324="Open","",IFERROR(K324-B324,""))</x:f>
        <x:v>25</x:v>
      </x:c>
      <x:c r="Y324" s="26" t="n">
        <x:f>IF(U324="Open",Lookups!$B$2-B324,X324)</x:f>
        <x:v>25</x:v>
      </x:c>
      <x:c r="Z324" t="str">
        <x:f>IF(AND(U324="Open",Y324&gt;30),"STALE","OK")</x:f>
        <x:v>OK</x:v>
      </x:c>
      <x:c r="AA324" t="str">
        <x:f>TEXT(B324,"yyyy-mm")</x:f>
        <x:v>2026-05</x:v>
      </x:c>
      <x:c r="AB324" t="str">
        <x:f>IF(K324="","",TEXT(K324,"yyyy-mm"))</x:f>
        <x:v>2026-06</x:v>
      </x:c>
      <x:c r="AC324" t="str">
        <x:f>"Q"&amp;ROUNDUP(MONTH(B324)/3,0)&amp;"-"&amp;YEAR(B324)</x:f>
        <x:v>Q2-2026</x:v>
      </x:c>
      <x:c r="AD324" s="26" t="n">
        <x:f>MIN(100,IF(H324="Enterprise",30,IF(H324="Mid-Market",22,14))+IF(T324="Enterprise",25,IF(T324="Mid-Market",18,10))+IF(Q324="Referral",25,IF(Q324="Organic Search",20,IF(Q324="Email",18,14)))+IF(G324="Technology",10,5))</x:f>
        <x:v>78</x:v>
      </x:c>
      <x:c r="AE324" t="str">
        <x:f>IF(U324&lt;&gt;"Open",U324,IF(N324&gt;=0.8,"Commit",IF(N324&gt;=0.5,"Best Case","Pipeline")))</x:f>
        <x:v>Lost</x:v>
      </x:c>
    </x:row>
    <x:row r="325">
      <x:c r="A325" t="str">
        <x:v>L00324</x:v>
      </x:c>
      <x:c r="B325" s="10" t="n">
        <x:v>45805</x:v>
      </x:c>
      <x:c r="C325" t="str">
        <x:v>An Nguyen</x:v>
      </x:c>
      <x:c r="D325" t="str">
        <x:v>South</x:v>
      </x:c>
      <x:c r="E325" t="str">
        <x:v>Webinar</x:v>
      </x:c>
      <x:c r="F325" t="str">
        <x:v>REV-OPS</x:v>
      </x:c>
      <x:c r="G325" t="str">
        <x:v>Professional Services</x:v>
      </x:c>
      <x:c r="H325" t="str">
        <x:v>SMB</x:v>
      </x:c>
      <x:c r="I325" t="str">
        <x:v>Closed Lost</x:v>
      </x:c>
      <x:c r="J325" s="10" t="n">
        <x:v>45845</x:v>
      </x:c>
      <x:c r="K325" s="10" t="n">
        <x:v>45845</x:v>
      </x:c>
      <x:c r="L325" s="22" t="n">
        <x:v>47400</x:v>
      </x:c>
      <x:c r="M325" s="24" t="n">
        <x:v>0</x:v>
      </x:c>
      <x:c r="N325" s="24" t="n">
        <x:v>0</x:v>
      </x:c>
      <x:c r="O325" t="str">
        <x:v>No Decision</x:v>
      </x:c>
      <x:c r="P325" t="n">
        <x:v>4</x:v>
      </x:c>
      <x:c r="Q325" t="str">
        <x:f>IFERROR(XLOOKUP(E325,Lookups!$A$5:$A$24,Lookups!$B$5:$B$24),"Other")</x:f>
        <x:v>Webinar</x:v>
      </x:c>
      <x:c r="R325" t="str">
        <x:f>IFERROR(XLOOKUP(F325,Lookups!$D$5:$D$10,Lookups!$E$5:$E$10),"Unknown Product")</x:f>
        <x:v>Revenue Operations Suite</x:v>
      </x:c>
      <x:c r="S325" t="str">
        <x:f>IFERROR(XLOOKUP(F325,Lookups!$D$5:$D$10,Lookups!$F$5:$F$10),"Unknown")</x:f>
        <x:v>Revenue Ops</x:v>
      </x:c>
      <x:c r="T325" t="str">
        <x:f>IF(L325&gt;=50000,"Enterprise",IF(L325&gt;=20000,"Mid-Market","SMB"))</x:f>
        <x:v>Mid-Market</x:v>
      </x:c>
      <x:c r="U325" t="str">
        <x:f>IF(I325="Closed Won","Won",IF(I325="Closed Lost","Lost","Open"))</x:f>
        <x:v>Lost</x:v>
      </x:c>
      <x:c r="V325" s="22" t="n">
        <x:f>IF(U325="Won",L325*(1-M325),0)</x:f>
        <x:v>0</x:v>
      </x:c>
      <x:c r="W325" s="22" t="n">
        <x:f>IF(U325="Open",L325*N325,0)</x:f>
        <x:v>0</x:v>
      </x:c>
      <x:c r="X325" s="26" t="n">
        <x:f>IF(U325="Open","",IFERROR(K325-B325,""))</x:f>
        <x:v>40</x:v>
      </x:c>
      <x:c r="Y325" s="26" t="n">
        <x:f>IF(U325="Open",Lookups!$B$2-B325,X325)</x:f>
        <x:v>40</x:v>
      </x:c>
      <x:c r="Z325" t="str">
        <x:f>IF(AND(U325="Open",Y325&gt;30),"STALE","OK")</x:f>
        <x:v>OK</x:v>
      </x:c>
      <x:c r="AA325" t="str">
        <x:f>TEXT(B325,"yyyy-mm")</x:f>
        <x:v>2025-05</x:v>
      </x:c>
      <x:c r="AB325" t="str">
        <x:f>IF(K325="","",TEXT(K325,"yyyy-mm"))</x:f>
        <x:v>2025-07</x:v>
      </x:c>
      <x:c r="AC325" t="str">
        <x:f>"Q"&amp;ROUNDUP(MONTH(B325)/3,0)&amp;"-"&amp;YEAR(B325)</x:f>
        <x:v>Q2-2025</x:v>
      </x:c>
      <x:c r="AD325" s="26" t="n">
        <x:f>MIN(100,IF(H325="Enterprise",30,IF(H325="Mid-Market",22,14))+IF(T325="Enterprise",25,IF(T325="Mid-Market",18,10))+IF(Q325="Referral",25,IF(Q325="Organic Search",20,IF(Q325="Email",18,14)))+IF(G325="Technology",10,5))</x:f>
        <x:v>51</x:v>
      </x:c>
      <x:c r="AE325" t="str">
        <x:f>IF(U325&lt;&gt;"Open",U325,IF(N325&gt;=0.8,"Commit",IF(N325&gt;=0.5,"Best Case","Pipeline")))</x:f>
        <x:v>Lost</x:v>
      </x:c>
    </x:row>
    <x:row r="326">
      <x:c r="A326" t="str">
        <x:v>L00325</x:v>
      </x:c>
      <x:c r="B326" s="10" t="n">
        <x:v>46134</x:v>
      </x:c>
      <x:c r="C326" t="str">
        <x:v>Bao Tran</x:v>
      </x:c>
      <x:c r="D326" t="str">
        <x:v>South</x:v>
      </x:c>
      <x:c r="E326" t="str">
        <x:v>SEO</x:v>
      </x:c>
      <x:c r="F326" t="str">
        <x:v>CRM-CORE</x:v>
      </x:c>
      <x:c r="G326" t="str">
        <x:v>Professional Services</x:v>
      </x:c>
      <x:c r="H326" t="str">
        <x:v>SMB</x:v>
      </x:c>
      <x:c r="I326" t="str">
        <x:v>Closed Lost</x:v>
      </x:c>
      <x:c r="J326" s="10" t="n">
        <x:v>46180</x:v>
      </x:c>
      <x:c r="K326" s="10" t="n">
        <x:v>46180</x:v>
      </x:c>
      <x:c r="L326" s="22" t="n">
        <x:v>9100</x:v>
      </x:c>
      <x:c r="M326" s="24" t="n">
        <x:v>0</x:v>
      </x:c>
      <x:c r="N326" s="24" t="n">
        <x:v>0</x:v>
      </x:c>
      <x:c r="O326" t="str">
        <x:v>Competitor</x:v>
      </x:c>
      <x:c r="P326" t="n">
        <x:v>5</x:v>
      </x:c>
      <x:c r="Q326" t="str">
        <x:f>IFERROR(XLOOKUP(E326,Lookups!$A$5:$A$24,Lookups!$B$5:$B$24),"Other")</x:f>
        <x:v>Organic Search</x:v>
      </x:c>
      <x:c r="R326" t="str">
        <x:f>IFERROR(XLOOKUP(F326,Lookups!$D$5:$D$10,Lookups!$E$5:$E$10),"Unknown Product")</x:f>
        <x:v>NexaCRM Core</x:v>
      </x:c>
      <x:c r="S326" t="str">
        <x:f>IFERROR(XLOOKUP(F326,Lookups!$D$5:$D$10,Lookups!$F$5:$F$10),"Unknown")</x:f>
        <x:v>CRM</x:v>
      </x:c>
      <x:c r="T326" t="str">
        <x:f>IF(L326&gt;=50000,"Enterprise",IF(L326&gt;=20000,"Mid-Market","SMB"))</x:f>
        <x:v>SMB</x:v>
      </x:c>
      <x:c r="U326" t="str">
        <x:f>IF(I326="Closed Won","Won",IF(I326="Closed Lost","Lost","Open"))</x:f>
        <x:v>Lost</x:v>
      </x:c>
      <x:c r="V326" s="22" t="n">
        <x:f>IF(U326="Won",L326*(1-M326),0)</x:f>
        <x:v>0</x:v>
      </x:c>
      <x:c r="W326" s="22" t="n">
        <x:f>IF(U326="Open",L326*N326,0)</x:f>
        <x:v>0</x:v>
      </x:c>
      <x:c r="X326" s="26" t="n">
        <x:f>IF(U326="Open","",IFERROR(K326-B326,""))</x:f>
        <x:v>46</x:v>
      </x:c>
      <x:c r="Y326" s="26" t="n">
        <x:f>IF(U326="Open",Lookups!$B$2-B326,X326)</x:f>
        <x:v>46</x:v>
      </x:c>
      <x:c r="Z326" t="str">
        <x:f>IF(AND(U326="Open",Y326&gt;30),"STALE","OK")</x:f>
        <x:v>OK</x:v>
      </x:c>
      <x:c r="AA326" t="str">
        <x:f>TEXT(B326,"yyyy-mm")</x:f>
        <x:v>2026-04</x:v>
      </x:c>
      <x:c r="AB326" t="str">
        <x:f>IF(K326="","",TEXT(K326,"yyyy-mm"))</x:f>
        <x:v>2026-06</x:v>
      </x:c>
      <x:c r="AC326" t="str">
        <x:f>"Q"&amp;ROUNDUP(MONTH(B326)/3,0)&amp;"-"&amp;YEAR(B326)</x:f>
        <x:v>Q2-2026</x:v>
      </x:c>
      <x:c r="AD326" s="26" t="n">
        <x:f>MIN(100,IF(H326="Enterprise",30,IF(H326="Mid-Market",22,14))+IF(T326="Enterprise",25,IF(T326="Mid-Market",18,10))+IF(Q326="Referral",25,IF(Q326="Organic Search",20,IF(Q326="Email",18,14)))+IF(G326="Technology",10,5))</x:f>
        <x:v>49</x:v>
      </x:c>
      <x:c r="AE326" t="str">
        <x:f>IF(U326&lt;&gt;"Open",U326,IF(N326&gt;=0.8,"Commit",IF(N326&gt;=0.5,"Best Case","Pipeline")))</x:f>
        <x:v>Lost</x:v>
      </x:c>
    </x:row>
    <x:row r="327">
      <x:c r="A327" t="str">
        <x:v>L00326</x:v>
      </x:c>
      <x:c r="B327" s="10" t="n">
        <x:v>45781</x:v>
      </x:c>
      <x:c r="C327" t="str">
        <x:v>Bao Tran</x:v>
      </x:c>
      <x:c r="D327" t="str">
        <x:v>South</x:v>
      </x:c>
      <x:c r="E327" t="str">
        <x:v>Email Campaign</x:v>
      </x:c>
      <x:c r="F327" t="str">
        <x:v>BI-PLUS</x:v>
      </x:c>
      <x:c r="G327" t="str">
        <x:v>Professional Services</x:v>
      </x:c>
      <x:c r="H327" t="str">
        <x:v>Enterprise</x:v>
      </x:c>
      <x:c r="I327" t="str">
        <x:v>Negotiation</x:v>
      </x:c>
      <x:c r="J327" s="10" t="n">
        <x:v>46131</x:v>
      </x:c>
      <x:c r="K327" s="10"/>
      <x:c r="L327" s="22" t="n">
        <x:v>90500</x:v>
      </x:c>
      <x:c r="M327" s="24" t="n">
        <x:v>0</x:v>
      </x:c>
      <x:c r="N327" s="24" t="n">
        <x:v>0.85</x:v>
      </x:c>
      <x:c r="O327" t="str"/>
      <x:c r="P327" t="n">
        <x:v>5</x:v>
      </x:c>
      <x:c r="Q327" t="str">
        <x:f>IFERROR(XLOOKUP(E327,Lookups!$A$5:$A$24,Lookups!$B$5:$B$24),"Other")</x:f>
        <x:v>Email</x:v>
      </x:c>
      <x:c r="R327" t="str">
        <x:f>IFERROR(XLOOKUP(F327,Lookups!$D$5:$D$10,Lookups!$E$5:$E$10),"Unknown Product")</x:f>
        <x:v>Analytics Plus</x:v>
      </x:c>
      <x:c r="S327" t="str">
        <x:f>IFERROR(XLOOKUP(F327,Lookups!$D$5:$D$10,Lookups!$F$5:$F$10),"Unknown")</x:f>
        <x:v>Analytics</x:v>
      </x:c>
      <x:c r="T327" t="str">
        <x:f>IF(L327&gt;=50000,"Enterprise",IF(L327&gt;=20000,"Mid-Market","SMB"))</x:f>
        <x:v>Enterprise</x:v>
      </x:c>
      <x:c r="U327" t="str">
        <x:f>IF(I327="Closed Won","Won",IF(I327="Closed Lost","Lost","Open"))</x:f>
        <x:v>Open</x:v>
      </x:c>
      <x:c r="V327" s="22" t="n">
        <x:f>IF(U327="Won",L327*(1-M327),0)</x:f>
        <x:v>0</x:v>
      </x:c>
      <x:c r="W327" s="22" t="n">
        <x:f>IF(U327="Open",L327*N327,0)</x:f>
        <x:v>76925</x:v>
      </x:c>
      <x:c r="X327" s="26" t="str">
        <x:f>IF(U327="Open","",IFERROR(K327-B327,""))</x:f>
      </x:c>
      <x:c r="Y327" s="26" t="n">
        <x:f>IF(U327="Open",Lookups!$B$2-B327,X327)</x:f>
        <x:v>485</x:v>
      </x:c>
      <x:c r="Z327" t="str">
        <x:f>IF(AND(U327="Open",Y327&gt;30),"STALE","OK")</x:f>
        <x:v>STALE</x:v>
      </x:c>
      <x:c r="AA327" t="str">
        <x:f>TEXT(B327,"yyyy-mm")</x:f>
        <x:v>2025-05</x:v>
      </x:c>
      <x:c r="AB327" t="str">
        <x:f>IF(K327="","",TEXT(K327,"yyyy-mm"))</x:f>
      </x:c>
      <x:c r="AC327" t="str">
        <x:f>"Q"&amp;ROUNDUP(MONTH(B327)/3,0)&amp;"-"&amp;YEAR(B327)</x:f>
        <x:v>Q2-2025</x:v>
      </x:c>
      <x:c r="AD327" s="26" t="n">
        <x:f>MIN(100,IF(H327="Enterprise",30,IF(H327="Mid-Market",22,14))+IF(T327="Enterprise",25,IF(T327="Mid-Market",18,10))+IF(Q327="Referral",25,IF(Q327="Organic Search",20,IF(Q327="Email",18,14)))+IF(G327="Technology",10,5))</x:f>
        <x:v>78</x:v>
      </x:c>
      <x:c r="AE327" t="str">
        <x:f>IF(U327&lt;&gt;"Open",U327,IF(N327&gt;=0.8,"Commit",IF(N327&gt;=0.5,"Best Case","Pipeline")))</x:f>
        <x:v>Commit</x:v>
      </x:c>
    </x:row>
    <x:row r="328">
      <x:c r="A328" t="str">
        <x:v>L00327</x:v>
      </x:c>
      <x:c r="B328" s="10" t="n">
        <x:v>46077</x:v>
      </x:c>
      <x:c r="C328" t="str">
        <x:v>Bao Tran</x:v>
      </x:c>
      <x:c r="D328" t="str">
        <x:v>South</x:v>
      </x:c>
      <x:c r="E328" t="str">
        <x:v>virtual event</x:v>
      </x:c>
      <x:c r="F328" t="str">
        <x:v>MKT-AUTO</x:v>
      </x:c>
      <x:c r="G328" t="str">
        <x:v>Professional Services</x:v>
      </x:c>
      <x:c r="H328" t="str">
        <x:v>SMB</x:v>
      </x:c>
      <x:c r="I328" t="str">
        <x:v>Negotiation</x:v>
      </x:c>
      <x:c r="J328" s="10" t="n">
        <x:v>46170</x:v>
      </x:c>
      <x:c r="K328" s="10"/>
      <x:c r="L328" s="22" t="n">
        <x:v>14000</x:v>
      </x:c>
      <x:c r="M328" s="24" t="n">
        <x:v>0.03</x:v>
      </x:c>
      <x:c r="N328" s="24" t="n">
        <x:v>0.85</x:v>
      </x:c>
      <x:c r="O328" t="str"/>
      <x:c r="P328" t="n">
        <x:v>5</x:v>
      </x:c>
      <x:c r="Q328" t="str">
        <x:f>IFERROR(XLOOKUP(E328,Lookups!$A$5:$A$24,Lookups!$B$5:$B$24),"Other")</x:f>
        <x:v>Webinar</x:v>
      </x:c>
      <x:c r="R328" t="str">
        <x:f>IFERROR(XLOOKUP(F328,Lookups!$D$5:$D$10,Lookups!$E$5:$E$10),"Unknown Product")</x:f>
        <x:v>Marketing Automation</x:v>
      </x:c>
      <x:c r="S328" t="str">
        <x:f>IFERROR(XLOOKUP(F328,Lookups!$D$5:$D$10,Lookups!$F$5:$F$10),"Unknown")</x:f>
        <x:v>Marketing</x:v>
      </x:c>
      <x:c r="T328" t="str">
        <x:f>IF(L328&gt;=50000,"Enterprise",IF(L328&gt;=20000,"Mid-Market","SMB"))</x:f>
        <x:v>SMB</x:v>
      </x:c>
      <x:c r="U328" t="str">
        <x:f>IF(I328="Closed Won","Won",IF(I328="Closed Lost","Lost","Open"))</x:f>
        <x:v>Open</x:v>
      </x:c>
      <x:c r="V328" s="22" t="n">
        <x:f>IF(U328="Won",L328*(1-M328),0)</x:f>
        <x:v>0</x:v>
      </x:c>
      <x:c r="W328" s="22" t="n">
        <x:f>IF(U328="Open",L328*N328,0)</x:f>
        <x:v>11900</x:v>
      </x:c>
      <x:c r="X328" s="26" t="str">
        <x:f>IF(U328="Open","",IFERROR(K328-B328,""))</x:f>
      </x:c>
      <x:c r="Y328" s="26" t="n">
        <x:f>IF(U328="Open",Lookups!$B$2-B328,X328)</x:f>
        <x:v>189</x:v>
      </x:c>
      <x:c r="Z328" t="str">
        <x:f>IF(AND(U328="Open",Y328&gt;30),"STALE","OK")</x:f>
        <x:v>STALE</x:v>
      </x:c>
      <x:c r="AA328" t="str">
        <x:f>TEXT(B328,"yyyy-mm")</x:f>
        <x:v>2026-02</x:v>
      </x:c>
      <x:c r="AB328" t="str">
        <x:f>IF(K328="","",TEXT(K328,"yyyy-mm"))</x:f>
      </x:c>
      <x:c r="AC328" t="str">
        <x:f>"Q"&amp;ROUNDUP(MONTH(B328)/3,0)&amp;"-"&amp;YEAR(B328)</x:f>
        <x:v>Q1-2026</x:v>
      </x:c>
      <x:c r="AD328" s="26" t="n">
        <x:f>MIN(100,IF(H328="Enterprise",30,IF(H328="Mid-Market",22,14))+IF(T328="Enterprise",25,IF(T328="Mid-Market",18,10))+IF(Q328="Referral",25,IF(Q328="Organic Search",20,IF(Q328="Email",18,14)))+IF(G328="Technology",10,5))</x:f>
        <x:v>43</x:v>
      </x:c>
      <x:c r="AE328" t="str">
        <x:f>IF(U328&lt;&gt;"Open",U328,IF(N328&gt;=0.8,"Commit",IF(N328&gt;=0.5,"Best Case","Pipeline")))</x:f>
        <x:v>Commit</x:v>
      </x:c>
    </x:row>
    <x:row r="329">
      <x:c r="A329" t="str">
        <x:v>L00328</x:v>
      </x:c>
      <x:c r="B329" s="10" t="n">
        <x:v>45673</x:v>
      </x:c>
      <x:c r="C329" t="str">
        <x:v>Chi Le</x:v>
      </x:c>
      <x:c r="D329" t="str">
        <x:v>South</x:v>
      </x:c>
      <x:c r="E329" t="str">
        <x:v>Google Organic</x:v>
      </x:c>
      <x:c r="F329" t="str">
        <x:v>BI-PLUS</x:v>
      </x:c>
      <x:c r="G329" t="str">
        <x:v>Education</x:v>
      </x:c>
      <x:c r="H329" t="str">
        <x:v>Mid-Market</x:v>
      </x:c>
      <x:c r="I329" t="str">
        <x:v>Closed Lost</x:v>
      </x:c>
      <x:c r="J329" s="10" t="n">
        <x:v>45725</x:v>
      </x:c>
      <x:c r="K329" s="10" t="n">
        <x:v>45725</x:v>
      </x:c>
      <x:c r="L329" s="22" t="n">
        <x:v>52300</x:v>
      </x:c>
      <x:c r="M329" s="24" t="n">
        <x:v>0</x:v>
      </x:c>
      <x:c r="N329" s="24" t="n">
        <x:v>0</x:v>
      </x:c>
      <x:c r="O329" t="str">
        <x:v>Budget</x:v>
      </x:c>
      <x:c r="P329" t="n">
        <x:v>4</x:v>
      </x:c>
      <x:c r="Q329" t="str">
        <x:f>IFERROR(XLOOKUP(E329,Lookups!$A$5:$A$24,Lookups!$B$5:$B$24),"Other")</x:f>
        <x:v>Organic Search</x:v>
      </x:c>
      <x:c r="R329" t="str">
        <x:f>IFERROR(XLOOKUP(F329,Lookups!$D$5:$D$10,Lookups!$E$5:$E$10),"Unknown Product")</x:f>
        <x:v>Analytics Plus</x:v>
      </x:c>
      <x:c r="S329" t="str">
        <x:f>IFERROR(XLOOKUP(F329,Lookups!$D$5:$D$10,Lookups!$F$5:$F$10),"Unknown")</x:f>
        <x:v>Analytics</x:v>
      </x:c>
      <x:c r="T329" t="str">
        <x:f>IF(L329&gt;=50000,"Enterprise",IF(L329&gt;=20000,"Mid-Market","SMB"))</x:f>
        <x:v>Enterprise</x:v>
      </x:c>
      <x:c r="U329" t="str">
        <x:f>IF(I329="Closed Won","Won",IF(I329="Closed Lost","Lost","Open"))</x:f>
        <x:v>Lost</x:v>
      </x:c>
      <x:c r="V329" s="22" t="n">
        <x:f>IF(U329="Won",L329*(1-M329),0)</x:f>
        <x:v>0</x:v>
      </x:c>
      <x:c r="W329" s="22" t="n">
        <x:f>IF(U329="Open",L329*N329,0)</x:f>
        <x:v>0</x:v>
      </x:c>
      <x:c r="X329" s="26" t="n">
        <x:f>IF(U329="Open","",IFERROR(K329-B329,""))</x:f>
        <x:v>52</x:v>
      </x:c>
      <x:c r="Y329" s="26" t="n">
        <x:f>IF(U329="Open",Lookups!$B$2-B329,X329)</x:f>
        <x:v>52</x:v>
      </x:c>
      <x:c r="Z329" t="str">
        <x:f>IF(AND(U329="Open",Y329&gt;30),"STALE","OK")</x:f>
        <x:v>OK</x:v>
      </x:c>
      <x:c r="AA329" t="str">
        <x:f>TEXT(B329,"yyyy-mm")</x:f>
        <x:v>2025-01</x:v>
      </x:c>
      <x:c r="AB329" t="str">
        <x:f>IF(K329="","",TEXT(K329,"yyyy-mm"))</x:f>
        <x:v>2025-03</x:v>
      </x:c>
      <x:c r="AC329" t="str">
        <x:f>"Q"&amp;ROUNDUP(MONTH(B329)/3,0)&amp;"-"&amp;YEAR(B329)</x:f>
        <x:v>Q1-2025</x:v>
      </x:c>
      <x:c r="AD329" s="26" t="n">
        <x:f>MIN(100,IF(H329="Enterprise",30,IF(H329="Mid-Market",22,14))+IF(T329="Enterprise",25,IF(T329="Mid-Market",18,10))+IF(Q329="Referral",25,IF(Q329="Organic Search",20,IF(Q329="Email",18,14)))+IF(G329="Technology",10,5))</x:f>
        <x:v>72</x:v>
      </x:c>
      <x:c r="AE329" t="str">
        <x:f>IF(U329&lt;&gt;"Open",U329,IF(N329&gt;=0.8,"Commit",IF(N329&gt;=0.5,"Best Case","Pipeline")))</x:f>
        <x:v>Lost</x:v>
      </x:c>
    </x:row>
    <x:row r="330">
      <x:c r="A330" t="str">
        <x:v>L00329</x:v>
      </x:c>
      <x:c r="B330" s="10" t="n">
        <x:v>46061</x:v>
      </x:c>
      <x:c r="C330" t="str">
        <x:v>Tuan Bui</x:v>
      </x:c>
      <x:c r="D330" t="str">
        <x:v>Central</x:v>
      </x:c>
      <x:c r="E330" t="str">
        <x:v>SDR Outreach</x:v>
      </x:c>
      <x:c r="F330" t="str">
        <x:v>MKT-AUTO</x:v>
      </x:c>
      <x:c r="G330" t="str">
        <x:v>Healthcare</x:v>
      </x:c>
      <x:c r="H330" t="str">
        <x:v>Enterprise</x:v>
      </x:c>
      <x:c r="I330" t="str">
        <x:v>Closed Lost</x:v>
      </x:c>
      <x:c r="J330" s="10" t="n">
        <x:v>46108</x:v>
      </x:c>
      <x:c r="K330" s="10" t="n">
        <x:v>46108</x:v>
      </x:c>
      <x:c r="L330" s="22" t="n">
        <x:v>67100</x:v>
      </x:c>
      <x:c r="M330" s="24" t="n">
        <x:v>0</x:v>
      </x:c>
      <x:c r="N330" s="24" t="n">
        <x:v>0</x:v>
      </x:c>
      <x:c r="O330" t="str">
        <x:v>No Decision</x:v>
      </x:c>
      <x:c r="P330" t="n">
        <x:v>4</x:v>
      </x:c>
      <x:c r="Q330" t="str">
        <x:f>IFERROR(XLOOKUP(E330,Lookups!$A$5:$A$24,Lookups!$B$5:$B$24),"Other")</x:f>
        <x:v>Outbound</x:v>
      </x:c>
      <x:c r="R330" t="str">
        <x:f>IFERROR(XLOOKUP(F330,Lookups!$D$5:$D$10,Lookups!$E$5:$E$10),"Unknown Product")</x:f>
        <x:v>Marketing Automation</x:v>
      </x:c>
      <x:c r="S330" t="str">
        <x:f>IFERROR(XLOOKUP(F330,Lookups!$D$5:$D$10,Lookups!$F$5:$F$10),"Unknown")</x:f>
        <x:v>Marketing</x:v>
      </x:c>
      <x:c r="T330" t="str">
        <x:f>IF(L330&gt;=50000,"Enterprise",IF(L330&gt;=20000,"Mid-Market","SMB"))</x:f>
        <x:v>Enterprise</x:v>
      </x:c>
      <x:c r="U330" t="str">
        <x:f>IF(I330="Closed Won","Won",IF(I330="Closed Lost","Lost","Open"))</x:f>
        <x:v>Lost</x:v>
      </x:c>
      <x:c r="V330" s="22" t="n">
        <x:f>IF(U330="Won",L330*(1-M330),0)</x:f>
        <x:v>0</x:v>
      </x:c>
      <x:c r="W330" s="22" t="n">
        <x:f>IF(U330="Open",L330*N330,0)</x:f>
        <x:v>0</x:v>
      </x:c>
      <x:c r="X330" s="26" t="n">
        <x:f>IF(U330="Open","",IFERROR(K330-B330,""))</x:f>
        <x:v>47</x:v>
      </x:c>
      <x:c r="Y330" s="26" t="n">
        <x:f>IF(U330="Open",Lookups!$B$2-B330,X330)</x:f>
        <x:v>47</x:v>
      </x:c>
      <x:c r="Z330" t="str">
        <x:f>IF(AND(U330="Open",Y330&gt;30),"STALE","OK")</x:f>
        <x:v>OK</x:v>
      </x:c>
      <x:c r="AA330" t="str">
        <x:f>TEXT(B330,"yyyy-mm")</x:f>
        <x:v>2026-02</x:v>
      </x:c>
      <x:c r="AB330" t="str">
        <x:f>IF(K330="","",TEXT(K330,"yyyy-mm"))</x:f>
        <x:v>2026-03</x:v>
      </x:c>
      <x:c r="AC330" t="str">
        <x:f>"Q"&amp;ROUNDUP(MONTH(B330)/3,0)&amp;"-"&amp;YEAR(B330)</x:f>
        <x:v>Q1-2026</x:v>
      </x:c>
      <x:c r="AD330" s="26" t="n">
        <x:f>MIN(100,IF(H330="Enterprise",30,IF(H330="Mid-Market",22,14))+IF(T330="Enterprise",25,IF(T330="Mid-Market",18,10))+IF(Q330="Referral",25,IF(Q330="Organic Search",20,IF(Q330="Email",18,14)))+IF(G330="Technology",10,5))</x:f>
        <x:v>74</x:v>
      </x:c>
      <x:c r="AE330" t="str">
        <x:f>IF(U330&lt;&gt;"Open",U330,IF(N330&gt;=0.8,"Commit",IF(N330&gt;=0.5,"Best Case","Pipeline")))</x:f>
        <x:v>Lost</x:v>
      </x:c>
    </x:row>
    <x:row r="331">
      <x:c r="A331" t="str">
        <x:v>L00330</x:v>
      </x:c>
      <x:c r="B331" s="10" t="n">
        <x:v>45959</x:v>
      </x:c>
      <x:c r="C331" t="str">
        <x:v>Bao Tran</x:v>
      </x:c>
      <x:c r="D331" t="str">
        <x:v>South</x:v>
      </x:c>
      <x:c r="E331" t="str">
        <x:v>Google Ads</x:v>
      </x:c>
      <x:c r="F331" t="str">
        <x:v>CS-CLOUD</x:v>
      </x:c>
      <x:c r="G331" t="str">
        <x:v>Education</x:v>
      </x:c>
      <x:c r="H331" t="str">
        <x:v>SMB</x:v>
      </x:c>
      <x:c r="I331" t="str">
        <x:v>Closed Won</x:v>
      </x:c>
      <x:c r="J331" s="10" t="n">
        <x:v>46049</x:v>
      </x:c>
      <x:c r="K331" s="10" t="n">
        <x:v>46049</x:v>
      </x:c>
      <x:c r="L331" s="22" t="n">
        <x:v>18800</x:v>
      </x:c>
      <x:c r="M331" s="24" t="n">
        <x:v>0.03</x:v>
      </x:c>
      <x:c r="N331" s="24" t="n">
        <x:v>1</x:v>
      </x:c>
      <x:c r="O331" t="str"/>
      <x:c r="P331" t="n">
        <x:v>6</x:v>
      </x:c>
      <x:c r="Q331" t="str">
        <x:f>IFERROR(XLOOKUP(E331,Lookups!$A$5:$A$24,Lookups!$B$5:$B$24),"Other")</x:f>
        <x:v>Paid Search</x:v>
      </x:c>
      <x:c r="R331" t="str">
        <x:f>IFERROR(XLOOKUP(F331,Lookups!$D$5:$D$10,Lookups!$E$5:$E$10),"Unknown Product")</x:f>
        <x:v>Service Cloud</x:v>
      </x:c>
      <x:c r="S331" t="str">
        <x:f>IFERROR(XLOOKUP(F331,Lookups!$D$5:$D$10,Lookups!$F$5:$F$10),"Unknown")</x:f>
        <x:v>Customer Service</x:v>
      </x:c>
      <x:c r="T331" t="str">
        <x:f>IF(L331&gt;=50000,"Enterprise",IF(L331&gt;=20000,"Mid-Market","SMB"))</x:f>
        <x:v>SMB</x:v>
      </x:c>
      <x:c r="U331" t="str">
        <x:f>IF(I331="Closed Won","Won",IF(I331="Closed Lost","Lost","Open"))</x:f>
        <x:v>Won</x:v>
      </x:c>
      <x:c r="V331" s="22" t="n">
        <x:f>IF(U331="Won",L331*(1-M331),0)</x:f>
        <x:v>18236</x:v>
      </x:c>
      <x:c r="W331" s="22" t="n">
        <x:f>IF(U331="Open",L331*N331,0)</x:f>
        <x:v>0</x:v>
      </x:c>
      <x:c r="X331" s="26" t="n">
        <x:f>IF(U331="Open","",IFERROR(K331-B331,""))</x:f>
        <x:v>90</x:v>
      </x:c>
      <x:c r="Y331" s="26" t="n">
        <x:f>IF(U331="Open",Lookups!$B$2-B331,X331)</x:f>
        <x:v>90</x:v>
      </x:c>
      <x:c r="Z331" t="str">
        <x:f>IF(AND(U331="Open",Y331&gt;30),"STALE","OK")</x:f>
        <x:v>OK</x:v>
      </x:c>
      <x:c r="AA331" t="str">
        <x:f>TEXT(B331,"yyyy-mm")</x:f>
        <x:v>2025-10</x:v>
      </x:c>
      <x:c r="AB331" t="str">
        <x:f>IF(K331="","",TEXT(K331,"yyyy-mm"))</x:f>
        <x:v>2026-01</x:v>
      </x:c>
      <x:c r="AC331" t="str">
        <x:f>"Q"&amp;ROUNDUP(MONTH(B331)/3,0)&amp;"-"&amp;YEAR(B331)</x:f>
        <x:v>Q4-2025</x:v>
      </x:c>
      <x:c r="AD331" s="26" t="n">
        <x:f>MIN(100,IF(H331="Enterprise",30,IF(H331="Mid-Market",22,14))+IF(T331="Enterprise",25,IF(T331="Mid-Market",18,10))+IF(Q331="Referral",25,IF(Q331="Organic Search",20,IF(Q331="Email",18,14)))+IF(G331="Technology",10,5))</x:f>
        <x:v>43</x:v>
      </x:c>
      <x:c r="AE331" t="str">
        <x:f>IF(U331&lt;&gt;"Open",U331,IF(N331&gt;=0.8,"Commit",IF(N331&gt;=0.5,"Best Case","Pipeline")))</x:f>
        <x:v>Won</x:v>
      </x:c>
    </x:row>
    <x:row r="332">
      <x:c r="A332" t="str">
        <x:v>L00331</x:v>
      </x:c>
      <x:c r="B332" s="10" t="n">
        <x:v>45973</x:v>
      </x:c>
      <x:c r="C332" t="str">
        <x:v>Ha Vo</x:v>
      </x:c>
      <x:c r="D332" t="str">
        <x:v>North</x:v>
      </x:c>
      <x:c r="E332" t="str">
        <x:v>newsletter</x:v>
      </x:c>
      <x:c r="F332" t="str">
        <x:v>BI-PLUS</x:v>
      </x:c>
      <x:c r="G332" t="str">
        <x:v>Technology</x:v>
      </x:c>
      <x:c r="H332" t="str">
        <x:v>Mid-Market</x:v>
      </x:c>
      <x:c r="I332" t="str">
        <x:v>Closed Lost</x:v>
      </x:c>
      <x:c r="J332" s="10" t="n">
        <x:v>46011</x:v>
      </x:c>
      <x:c r="K332" s="10" t="n">
        <x:v>46011</x:v>
      </x:c>
      <x:c r="L332" s="22" t="n">
        <x:v>32800</x:v>
      </x:c>
      <x:c r="M332" s="24" t="n">
        <x:v>0</x:v>
      </x:c>
      <x:c r="N332" s="24" t="n">
        <x:v>0</x:v>
      </x:c>
      <x:c r="O332" t="str">
        <x:v>Competitor</x:v>
      </x:c>
      <x:c r="P332" t="n">
        <x:v>4</x:v>
      </x:c>
      <x:c r="Q332" t="str">
        <x:f>IFERROR(XLOOKUP(E332,Lookups!$A$5:$A$24,Lookups!$B$5:$B$24),"Other")</x:f>
        <x:v>Email</x:v>
      </x:c>
      <x:c r="R332" t="str">
        <x:f>IFERROR(XLOOKUP(F332,Lookups!$D$5:$D$10,Lookups!$E$5:$E$10),"Unknown Product")</x:f>
        <x:v>Analytics Plus</x:v>
      </x:c>
      <x:c r="S332" t="str">
        <x:f>IFERROR(XLOOKUP(F332,Lookups!$D$5:$D$10,Lookups!$F$5:$F$10),"Unknown")</x:f>
        <x:v>Analytics</x:v>
      </x:c>
      <x:c r="T332" t="str">
        <x:f>IF(L332&gt;=50000,"Enterprise",IF(L332&gt;=20000,"Mid-Market","SMB"))</x:f>
        <x:v>Mid-Market</x:v>
      </x:c>
      <x:c r="U332" t="str">
        <x:f>IF(I332="Closed Won","Won",IF(I332="Closed Lost","Lost","Open"))</x:f>
        <x:v>Lost</x:v>
      </x:c>
      <x:c r="V332" s="22" t="n">
        <x:f>IF(U332="Won",L332*(1-M332),0)</x:f>
        <x:v>0</x:v>
      </x:c>
      <x:c r="W332" s="22" t="n">
        <x:f>IF(U332="Open",L332*N332,0)</x:f>
        <x:v>0</x:v>
      </x:c>
      <x:c r="X332" s="26" t="n">
        <x:f>IF(U332="Open","",IFERROR(K332-B332,""))</x:f>
        <x:v>38</x:v>
      </x:c>
      <x:c r="Y332" s="26" t="n">
        <x:f>IF(U332="Open",Lookups!$B$2-B332,X332)</x:f>
        <x:v>38</x:v>
      </x:c>
      <x:c r="Z332" t="str">
        <x:f>IF(AND(U332="Open",Y332&gt;30),"STALE","OK")</x:f>
        <x:v>OK</x:v>
      </x:c>
      <x:c r="AA332" t="str">
        <x:f>TEXT(B332,"yyyy-mm")</x:f>
        <x:v>2025-11</x:v>
      </x:c>
      <x:c r="AB332" t="str">
        <x:f>IF(K332="","",TEXT(K332,"yyyy-mm"))</x:f>
        <x:v>2025-12</x:v>
      </x:c>
      <x:c r="AC332" t="str">
        <x:f>"Q"&amp;ROUNDUP(MONTH(B332)/3,0)&amp;"-"&amp;YEAR(B332)</x:f>
        <x:v>Q4-2025</x:v>
      </x:c>
      <x:c r="AD332" s="26" t="n">
        <x:f>MIN(100,IF(H332="Enterprise",30,IF(H332="Mid-Market",22,14))+IF(T332="Enterprise",25,IF(T332="Mid-Market",18,10))+IF(Q332="Referral",25,IF(Q332="Organic Search",20,IF(Q332="Email",18,14)))+IF(G332="Technology",10,5))</x:f>
        <x:v>68</x:v>
      </x:c>
      <x:c r="AE332" t="str">
        <x:f>IF(U332&lt;&gt;"Open",U332,IF(N332&gt;=0.8,"Commit",IF(N332&gt;=0.5,"Best Case","Pipeline")))</x:f>
        <x:v>Lost</x:v>
      </x:c>
    </x:row>
    <x:row r="333">
      <x:c r="A333" t="str">
        <x:v>L00332</x:v>
      </x:c>
      <x:c r="B333" s="10" t="n">
        <x:v>45680</x:v>
      </x:c>
      <x:c r="C333" t="str">
        <x:v>Quynh Vu</x:v>
      </x:c>
      <x:c r="D333" t="str">
        <x:v>North</x:v>
      </x:c>
      <x:c r="E333" t="str">
        <x:v>newsletter</x:v>
      </x:c>
      <x:c r="F333" t="str">
        <x:v>BI-PLUS</x:v>
      </x:c>
      <x:c r="G333" t="str">
        <x:v>Retail</x:v>
      </x:c>
      <x:c r="H333" t="str">
        <x:v>Mid-Market</x:v>
      </x:c>
      <x:c r="I333" t="str">
        <x:v>Closed Won</x:v>
      </x:c>
      <x:c r="J333" s="10" t="n">
        <x:v>45759</x:v>
      </x:c>
      <x:c r="K333" s="10" t="n">
        <x:v>45759</x:v>
      </x:c>
      <x:c r="L333" s="22" t="n">
        <x:v>23600</x:v>
      </x:c>
      <x:c r="M333" s="24" t="n">
        <x:v>0.12</x:v>
      </x:c>
      <x:c r="N333" s="24" t="n">
        <x:v>1</x:v>
      </x:c>
      <x:c r="O333" t="str"/>
      <x:c r="P333" t="n">
        <x:v>6</x:v>
      </x:c>
      <x:c r="Q333" t="str">
        <x:f>IFERROR(XLOOKUP(E333,Lookups!$A$5:$A$24,Lookups!$B$5:$B$24),"Other")</x:f>
        <x:v>Email</x:v>
      </x:c>
      <x:c r="R333" t="str">
        <x:f>IFERROR(XLOOKUP(F333,Lookups!$D$5:$D$10,Lookups!$E$5:$E$10),"Unknown Product")</x:f>
        <x:v>Analytics Plus</x:v>
      </x:c>
      <x:c r="S333" t="str">
        <x:f>IFERROR(XLOOKUP(F333,Lookups!$D$5:$D$10,Lookups!$F$5:$F$10),"Unknown")</x:f>
        <x:v>Analytics</x:v>
      </x:c>
      <x:c r="T333" t="str">
        <x:f>IF(L333&gt;=50000,"Enterprise",IF(L333&gt;=20000,"Mid-Market","SMB"))</x:f>
        <x:v>Mid-Market</x:v>
      </x:c>
      <x:c r="U333" t="str">
        <x:f>IF(I333="Closed Won","Won",IF(I333="Closed Lost","Lost","Open"))</x:f>
        <x:v>Won</x:v>
      </x:c>
      <x:c r="V333" s="22" t="n">
        <x:f>IF(U333="Won",L333*(1-M333),0)</x:f>
        <x:v>20768</x:v>
      </x:c>
      <x:c r="W333" s="22" t="n">
        <x:f>IF(U333="Open",L333*N333,0)</x:f>
        <x:v>0</x:v>
      </x:c>
      <x:c r="X333" s="26" t="n">
        <x:f>IF(U333="Open","",IFERROR(K333-B333,""))</x:f>
        <x:v>79</x:v>
      </x:c>
      <x:c r="Y333" s="26" t="n">
        <x:f>IF(U333="Open",Lookups!$B$2-B333,X333)</x:f>
        <x:v>79</x:v>
      </x:c>
      <x:c r="Z333" t="str">
        <x:f>IF(AND(U333="Open",Y333&gt;30),"STALE","OK")</x:f>
        <x:v>OK</x:v>
      </x:c>
      <x:c r="AA333" t="str">
        <x:f>TEXT(B333,"yyyy-mm")</x:f>
        <x:v>2025-01</x:v>
      </x:c>
      <x:c r="AB333" t="str">
        <x:f>IF(K333="","",TEXT(K333,"yyyy-mm"))</x:f>
        <x:v>2025-04</x:v>
      </x:c>
      <x:c r="AC333" t="str">
        <x:f>"Q"&amp;ROUNDUP(MONTH(B333)/3,0)&amp;"-"&amp;YEAR(B333)</x:f>
        <x:v>Q1-2025</x:v>
      </x:c>
      <x:c r="AD333" s="26" t="n">
        <x:f>MIN(100,IF(H333="Enterprise",30,IF(H333="Mid-Market",22,14))+IF(T333="Enterprise",25,IF(T333="Mid-Market",18,10))+IF(Q333="Referral",25,IF(Q333="Organic Search",20,IF(Q333="Email",18,14)))+IF(G333="Technology",10,5))</x:f>
        <x:v>63</x:v>
      </x:c>
      <x:c r="AE333" t="str">
        <x:f>IF(U333&lt;&gt;"Open",U333,IF(N333&gt;=0.8,"Commit",IF(N333&gt;=0.5,"Best Case","Pipeline")))</x:f>
        <x:v>Won</x:v>
      </x:c>
    </x:row>
    <x:row r="334">
      <x:c r="A334" t="str">
        <x:v>L00333</x:v>
      </x:c>
      <x:c r="B334" s="10" t="n">
        <x:v>45753</x:v>
      </x:c>
      <x:c r="C334" t="str">
        <x:v>Quynh Vu</x:v>
      </x:c>
      <x:c r="D334" t="str">
        <x:v>North</x:v>
      </x:c>
      <x:c r="E334" t="str">
        <x:v>LinkedIn Ads</x:v>
      </x:c>
      <x:c r="F334" t="str">
        <x:v>CRM-CORE</x:v>
      </x:c>
      <x:c r="G334" t="str">
        <x:v>Technology</x:v>
      </x:c>
      <x:c r="H334" t="str">
        <x:v>Mid-Market</x:v>
      </x:c>
      <x:c r="I334" t="str">
        <x:v>Closed Lost</x:v>
      </x:c>
      <x:c r="J334" s="10" t="n">
        <x:v>45791</x:v>
      </x:c>
      <x:c r="K334" s="10" t="n">
        <x:v>45791</x:v>
      </x:c>
      <x:c r="L334" s="22" t="n">
        <x:v>18200</x:v>
      </x:c>
      <x:c r="M334" s="24" t="n">
        <x:v>0</x:v>
      </x:c>
      <x:c r="N334" s="24" t="n">
        <x:v>0</x:v>
      </x:c>
      <x:c r="O334" t="str">
        <x:v>Competitor</x:v>
      </x:c>
      <x:c r="P334" t="n">
        <x:v>5</x:v>
      </x:c>
      <x:c r="Q334" t="str">
        <x:f>IFERROR(XLOOKUP(E334,Lookups!$A$5:$A$24,Lookups!$B$5:$B$24),"Other")</x:f>
        <x:v>LinkedIn</x:v>
      </x:c>
      <x:c r="R334" t="str">
        <x:f>IFERROR(XLOOKUP(F334,Lookups!$D$5:$D$10,Lookups!$E$5:$E$10),"Unknown Product")</x:f>
        <x:v>NexaCRM Core</x:v>
      </x:c>
      <x:c r="S334" t="str">
        <x:f>IFERROR(XLOOKUP(F334,Lookups!$D$5:$D$10,Lookups!$F$5:$F$10),"Unknown")</x:f>
        <x:v>CRM</x:v>
      </x:c>
      <x:c r="T334" t="str">
        <x:f>IF(L334&gt;=50000,"Enterprise",IF(L334&gt;=20000,"Mid-Market","SMB"))</x:f>
        <x:v>SMB</x:v>
      </x:c>
      <x:c r="U334" t="str">
        <x:f>IF(I334="Closed Won","Won",IF(I334="Closed Lost","Lost","Open"))</x:f>
        <x:v>Lost</x:v>
      </x:c>
      <x:c r="V334" s="22" t="n">
        <x:f>IF(U334="Won",L334*(1-M334),0)</x:f>
        <x:v>0</x:v>
      </x:c>
      <x:c r="W334" s="22" t="n">
        <x:f>IF(U334="Open",L334*N334,0)</x:f>
        <x:v>0</x:v>
      </x:c>
      <x:c r="X334" s="26" t="n">
        <x:f>IF(U334="Open","",IFERROR(K334-B334,""))</x:f>
        <x:v>38</x:v>
      </x:c>
      <x:c r="Y334" s="26" t="n">
        <x:f>IF(U334="Open",Lookups!$B$2-B334,X334)</x:f>
        <x:v>38</x:v>
      </x:c>
      <x:c r="Z334" t="str">
        <x:f>IF(AND(U334="Open",Y334&gt;30),"STALE","OK")</x:f>
        <x:v>OK</x:v>
      </x:c>
      <x:c r="AA334" t="str">
        <x:f>TEXT(B334,"yyyy-mm")</x:f>
        <x:v>2025-04</x:v>
      </x:c>
      <x:c r="AB334" t="str">
        <x:f>IF(K334="","",TEXT(K334,"yyyy-mm"))</x:f>
        <x:v>2025-05</x:v>
      </x:c>
      <x:c r="AC334" t="str">
        <x:f>"Q"&amp;ROUNDUP(MONTH(B334)/3,0)&amp;"-"&amp;YEAR(B334)</x:f>
        <x:v>Q2-2025</x:v>
      </x:c>
      <x:c r="AD334" s="26" t="n">
        <x:f>MIN(100,IF(H334="Enterprise",30,IF(H334="Mid-Market",22,14))+IF(T334="Enterprise",25,IF(T334="Mid-Market",18,10))+IF(Q334="Referral",25,IF(Q334="Organic Search",20,IF(Q334="Email",18,14)))+IF(G334="Technology",10,5))</x:f>
        <x:v>56</x:v>
      </x:c>
      <x:c r="AE334" t="str">
        <x:f>IF(U334&lt;&gt;"Open",U334,IF(N334&gt;=0.8,"Commit",IF(N334&gt;=0.5,"Best Case","Pipeline")))</x:f>
        <x:v>Lost</x:v>
      </x:c>
    </x:row>
    <x:row r="335">
      <x:c r="A335" t="str">
        <x:v>L00334</x:v>
      </x:c>
      <x:c r="B335" s="10" t="n">
        <x:v>45889</x:v>
      </x:c>
      <x:c r="C335" t="str">
        <x:v>Quynh Vu</x:v>
      </x:c>
      <x:c r="D335" t="str">
        <x:v>North</x:v>
      </x:c>
      <x:c r="E335" t="str">
        <x:v>Referral</x:v>
      </x:c>
      <x:c r="F335" t="str">
        <x:v>MKT-AUTO</x:v>
      </x:c>
      <x:c r="G335" t="str">
        <x:v>Manufacturing</x:v>
      </x:c>
      <x:c r="H335" t="str">
        <x:v>SMB</x:v>
      </x:c>
      <x:c r="I335" t="str">
        <x:v>Negotiation</x:v>
      </x:c>
      <x:c r="J335" s="10" t="n">
        <x:v>46156</x:v>
      </x:c>
      <x:c r="K335" s="10"/>
      <x:c r="L335" s="22" t="n">
        <x:v>15100</x:v>
      </x:c>
      <x:c r="M335" s="24" t="n">
        <x:v>0.05</x:v>
      </x:c>
      <x:c r="N335" s="24" t="n">
        <x:v>0.85</x:v>
      </x:c>
      <x:c r="O335" t="str"/>
      <x:c r="P335" t="n">
        <x:v>5</x:v>
      </x:c>
      <x:c r="Q335" t="str">
        <x:f>IFERROR(XLOOKUP(E335,Lookups!$A$5:$A$24,Lookups!$B$5:$B$24),"Other")</x:f>
        <x:v>Referral</x:v>
      </x:c>
      <x:c r="R335" t="str">
        <x:f>IFERROR(XLOOKUP(F335,Lookups!$D$5:$D$10,Lookups!$E$5:$E$10),"Unknown Product")</x:f>
        <x:v>Marketing Automation</x:v>
      </x:c>
      <x:c r="S335" t="str">
        <x:f>IFERROR(XLOOKUP(F335,Lookups!$D$5:$D$10,Lookups!$F$5:$F$10),"Unknown")</x:f>
        <x:v>Marketing</x:v>
      </x:c>
      <x:c r="T335" t="str">
        <x:f>IF(L335&gt;=50000,"Enterprise",IF(L335&gt;=20000,"Mid-Market","SMB"))</x:f>
        <x:v>SMB</x:v>
      </x:c>
      <x:c r="U335" t="str">
        <x:f>IF(I335="Closed Won","Won",IF(I335="Closed Lost","Lost","Open"))</x:f>
        <x:v>Open</x:v>
      </x:c>
      <x:c r="V335" s="22" t="n">
        <x:f>IF(U335="Won",L335*(1-M335),0)</x:f>
        <x:v>0</x:v>
      </x:c>
      <x:c r="W335" s="22" t="n">
        <x:f>IF(U335="Open",L335*N335,0)</x:f>
        <x:v>12835</x:v>
      </x:c>
      <x:c r="X335" s="26" t="str">
        <x:f>IF(U335="Open","",IFERROR(K335-B335,""))</x:f>
      </x:c>
      <x:c r="Y335" s="26" t="n">
        <x:f>IF(U335="Open",Lookups!$B$2-B335,X335)</x:f>
        <x:v>377</x:v>
      </x:c>
      <x:c r="Z335" t="str">
        <x:f>IF(AND(U335="Open",Y335&gt;30),"STALE","OK")</x:f>
        <x:v>STALE</x:v>
      </x:c>
      <x:c r="AA335" t="str">
        <x:f>TEXT(B335,"yyyy-mm")</x:f>
        <x:v>2025-08</x:v>
      </x:c>
      <x:c r="AB335" t="str">
        <x:f>IF(K335="","",TEXT(K335,"yyyy-mm"))</x:f>
      </x:c>
      <x:c r="AC335" t="str">
        <x:f>"Q"&amp;ROUNDUP(MONTH(B335)/3,0)&amp;"-"&amp;YEAR(B335)</x:f>
        <x:v>Q3-2025</x:v>
      </x:c>
      <x:c r="AD335" s="26" t="n">
        <x:f>MIN(100,IF(H335="Enterprise",30,IF(H335="Mid-Market",22,14))+IF(T335="Enterprise",25,IF(T335="Mid-Market",18,10))+IF(Q335="Referral",25,IF(Q335="Organic Search",20,IF(Q335="Email",18,14)))+IF(G335="Technology",10,5))</x:f>
        <x:v>54</x:v>
      </x:c>
      <x:c r="AE335" t="str">
        <x:f>IF(U335&lt;&gt;"Open",U335,IF(N335&gt;=0.8,"Commit",IF(N335&gt;=0.5,"Best Case","Pipeline")))</x:f>
        <x:v>Commit</x:v>
      </x:c>
    </x:row>
    <x:row r="336">
      <x:c r="A336" t="str">
        <x:v>L00335</x:v>
      </x:c>
      <x:c r="B336" s="10" t="n">
        <x:v>45879</x:v>
      </x:c>
      <x:c r="C336" t="str">
        <x:v>Minh Do</x:v>
      </x:c>
      <x:c r="D336" t="str">
        <x:v>North</x:v>
      </x:c>
      <x:c r="E336" t="str">
        <x:v>newsletter</x:v>
      </x:c>
      <x:c r="F336" t="str">
        <x:v>MKT-AUTO</x:v>
      </x:c>
      <x:c r="G336" t="str">
        <x:v>Financial Services</x:v>
      </x:c>
      <x:c r="H336" t="str">
        <x:v>Mid-Market</x:v>
      </x:c>
      <x:c r="I336" t="str">
        <x:v>Negotiation</x:v>
      </x:c>
      <x:c r="J336" s="10" t="n">
        <x:v>46119</x:v>
      </x:c>
      <x:c r="K336" s="10"/>
      <x:c r="L336" s="22" t="n">
        <x:v>20600</x:v>
      </x:c>
      <x:c r="M336" s="24" t="n">
        <x:v>0.05</x:v>
      </x:c>
      <x:c r="N336" s="24" t="n">
        <x:v>0.85</x:v>
      </x:c>
      <x:c r="O336" t="str"/>
      <x:c r="P336" t="n">
        <x:v>5</x:v>
      </x:c>
      <x:c r="Q336" t="str">
        <x:f>IFERROR(XLOOKUP(E336,Lookups!$A$5:$A$24,Lookups!$B$5:$B$24),"Other")</x:f>
        <x:v>Email</x:v>
      </x:c>
      <x:c r="R336" t="str">
        <x:f>IFERROR(XLOOKUP(F336,Lookups!$D$5:$D$10,Lookups!$E$5:$E$10),"Unknown Product")</x:f>
        <x:v>Marketing Automation</x:v>
      </x:c>
      <x:c r="S336" t="str">
        <x:f>IFERROR(XLOOKUP(F336,Lookups!$D$5:$D$10,Lookups!$F$5:$F$10),"Unknown")</x:f>
        <x:v>Marketing</x:v>
      </x:c>
      <x:c r="T336" t="str">
        <x:f>IF(L336&gt;=50000,"Enterprise",IF(L336&gt;=20000,"Mid-Market","SMB"))</x:f>
        <x:v>Mid-Market</x:v>
      </x:c>
      <x:c r="U336" t="str">
        <x:f>IF(I336="Closed Won","Won",IF(I336="Closed Lost","Lost","Open"))</x:f>
        <x:v>Open</x:v>
      </x:c>
      <x:c r="V336" s="22" t="n">
        <x:f>IF(U336="Won",L336*(1-M336),0)</x:f>
        <x:v>0</x:v>
      </x:c>
      <x:c r="W336" s="22" t="n">
        <x:f>IF(U336="Open",L336*N336,0)</x:f>
        <x:v>17510</x:v>
      </x:c>
      <x:c r="X336" s="26" t="str">
        <x:f>IF(U336="Open","",IFERROR(K336-B336,""))</x:f>
      </x:c>
      <x:c r="Y336" s="26" t="n">
        <x:f>IF(U336="Open",Lookups!$B$2-B336,X336)</x:f>
        <x:v>387</x:v>
      </x:c>
      <x:c r="Z336" t="str">
        <x:f>IF(AND(U336="Open",Y336&gt;30),"STALE","OK")</x:f>
        <x:v>STALE</x:v>
      </x:c>
      <x:c r="AA336" t="str">
        <x:f>TEXT(B336,"yyyy-mm")</x:f>
        <x:v>2025-08</x:v>
      </x:c>
      <x:c r="AB336" t="str">
        <x:f>IF(K336="","",TEXT(K336,"yyyy-mm"))</x:f>
      </x:c>
      <x:c r="AC336" t="str">
        <x:f>"Q"&amp;ROUNDUP(MONTH(B336)/3,0)&amp;"-"&amp;YEAR(B336)</x:f>
        <x:v>Q3-2025</x:v>
      </x:c>
      <x:c r="AD336" s="26" t="n">
        <x:f>MIN(100,IF(H336="Enterprise",30,IF(H336="Mid-Market",22,14))+IF(T336="Enterprise",25,IF(T336="Mid-Market",18,10))+IF(Q336="Referral",25,IF(Q336="Organic Search",20,IF(Q336="Email",18,14)))+IF(G336="Technology",10,5))</x:f>
        <x:v>63</x:v>
      </x:c>
      <x:c r="AE336" t="str">
        <x:f>IF(U336&lt;&gt;"Open",U336,IF(N336&gt;=0.8,"Commit",IF(N336&gt;=0.5,"Best Case","Pipeline")))</x:f>
        <x:v>Commit</x:v>
      </x:c>
    </x:row>
    <x:row r="337">
      <x:c r="A337" t="str">
        <x:v>L00336</x:v>
      </x:c>
      <x:c r="B337" s="10" t="n">
        <x:v>45696</x:v>
      </x:c>
      <x:c r="C337" t="str">
        <x:v>Bao Tran</x:v>
      </x:c>
      <x:c r="D337" t="str">
        <x:v>South</x:v>
      </x:c>
      <x:c r="E337" t="str">
        <x:v>SEM - Google</x:v>
      </x:c>
      <x:c r="F337" t="str">
        <x:v>REV-OPS</x:v>
      </x:c>
      <x:c r="G337" t="str">
        <x:v>Education</x:v>
      </x:c>
      <x:c r="H337" t="str">
        <x:v>SMB</x:v>
      </x:c>
      <x:c r="I337" t="str">
        <x:v>Closed Lost</x:v>
      </x:c>
      <x:c r="J337" s="10" t="n">
        <x:v>45733</x:v>
      </x:c>
      <x:c r="K337" s="10" t="n">
        <x:v>45733</x:v>
      </x:c>
      <x:c r="L337" s="22" t="n">
        <x:v>23600</x:v>
      </x:c>
      <x:c r="M337" s="24" t="n">
        <x:v>0</x:v>
      </x:c>
      <x:c r="N337" s="24" t="n">
        <x:v>0</x:v>
      </x:c>
      <x:c r="O337" t="str">
        <x:v>Competitor</x:v>
      </x:c>
      <x:c r="P337" t="n">
        <x:v>5</x:v>
      </x:c>
      <x:c r="Q337" t="str">
        <x:f>IFERROR(XLOOKUP(E337,Lookups!$A$5:$A$24,Lookups!$B$5:$B$24),"Other")</x:f>
        <x:v>Paid Search</x:v>
      </x:c>
      <x:c r="R337" t="str">
        <x:f>IFERROR(XLOOKUP(F337,Lookups!$D$5:$D$10,Lookups!$E$5:$E$10),"Unknown Product")</x:f>
        <x:v>Revenue Operations Suite</x:v>
      </x:c>
      <x:c r="S337" t="str">
        <x:f>IFERROR(XLOOKUP(F337,Lookups!$D$5:$D$10,Lookups!$F$5:$F$10),"Unknown")</x:f>
        <x:v>Revenue Ops</x:v>
      </x:c>
      <x:c r="T337" t="str">
        <x:f>IF(L337&gt;=50000,"Enterprise",IF(L337&gt;=20000,"Mid-Market","SMB"))</x:f>
        <x:v>Mid-Market</x:v>
      </x:c>
      <x:c r="U337" t="str">
        <x:f>IF(I337="Closed Won","Won",IF(I337="Closed Lost","Lost","Open"))</x:f>
        <x:v>Lost</x:v>
      </x:c>
      <x:c r="V337" s="22" t="n">
        <x:f>IF(U337="Won",L337*(1-M337),0)</x:f>
        <x:v>0</x:v>
      </x:c>
      <x:c r="W337" s="22" t="n">
        <x:f>IF(U337="Open",L337*N337,0)</x:f>
        <x:v>0</x:v>
      </x:c>
      <x:c r="X337" s="26" t="n">
        <x:f>IF(U337="Open","",IFERROR(K337-B337,""))</x:f>
        <x:v>37</x:v>
      </x:c>
      <x:c r="Y337" s="26" t="n">
        <x:f>IF(U337="Open",Lookups!$B$2-B337,X337)</x:f>
        <x:v>37</x:v>
      </x:c>
      <x:c r="Z337" t="str">
        <x:f>IF(AND(U337="Open",Y337&gt;30),"STALE","OK")</x:f>
        <x:v>OK</x:v>
      </x:c>
      <x:c r="AA337" t="str">
        <x:f>TEXT(B337,"yyyy-mm")</x:f>
        <x:v>2025-02</x:v>
      </x:c>
      <x:c r="AB337" t="str">
        <x:f>IF(K337="","",TEXT(K337,"yyyy-mm"))</x:f>
        <x:v>2025-03</x:v>
      </x:c>
      <x:c r="AC337" t="str">
        <x:f>"Q"&amp;ROUNDUP(MONTH(B337)/3,0)&amp;"-"&amp;YEAR(B337)</x:f>
        <x:v>Q1-2025</x:v>
      </x:c>
      <x:c r="AD337" s="26" t="n">
        <x:f>MIN(100,IF(H337="Enterprise",30,IF(H337="Mid-Market",22,14))+IF(T337="Enterprise",25,IF(T337="Mid-Market",18,10))+IF(Q337="Referral",25,IF(Q337="Organic Search",20,IF(Q337="Email",18,14)))+IF(G337="Technology",10,5))</x:f>
        <x:v>51</x:v>
      </x:c>
      <x:c r="AE337" t="str">
        <x:f>IF(U337&lt;&gt;"Open",U337,IF(N337&gt;=0.8,"Commit",IF(N337&gt;=0.5,"Best Case","Pipeline")))</x:f>
        <x:v>Lost</x:v>
      </x:c>
    </x:row>
    <x:row r="338">
      <x:c r="A338" t="str">
        <x:v>L00337</x:v>
      </x:c>
      <x:c r="B338" s="10" t="n">
        <x:v>46247</x:v>
      </x:c>
      <x:c r="C338" t="str">
        <x:v>An Nguyen</x:v>
      </x:c>
      <x:c r="D338" t="str">
        <x:v>South</x:v>
      </x:c>
      <x:c r="E338" t="str">
        <x:v>organic search</x:v>
      </x:c>
      <x:c r="F338" t="str">
        <x:v>MKT-AUTO</x:v>
      </x:c>
      <x:c r="G338" t="str">
        <x:v>Technology</x:v>
      </x:c>
      <x:c r="H338" t="str">
        <x:v>SMB</x:v>
      </x:c>
      <x:c r="I338" t="str">
        <x:v>Qualified</x:v>
      </x:c>
      <x:c r="J338" s="10" t="n">
        <x:v>46255</x:v>
      </x:c>
      <x:c r="K338" s="10"/>
      <x:c r="L338" s="22" t="n">
        <x:v>14700</x:v>
      </x:c>
      <x:c r="M338" s="24" t="n">
        <x:v>0</x:v>
      </x:c>
      <x:c r="N338" s="24" t="n">
        <x:v>0.2</x:v>
      </x:c>
      <x:c r="O338" t="str"/>
      <x:c r="P338" t="n">
        <x:v>2</x:v>
      </x:c>
      <x:c r="Q338" t="str">
        <x:f>IFERROR(XLOOKUP(E338,Lookups!$A$5:$A$24,Lookups!$B$5:$B$24),"Other")</x:f>
        <x:v>Organic Search</x:v>
      </x:c>
      <x:c r="R338" t="str">
        <x:f>IFERROR(XLOOKUP(F338,Lookups!$D$5:$D$10,Lookups!$E$5:$E$10),"Unknown Product")</x:f>
        <x:v>Marketing Automation</x:v>
      </x:c>
      <x:c r="S338" t="str">
        <x:f>IFERROR(XLOOKUP(F338,Lookups!$D$5:$D$10,Lookups!$F$5:$F$10),"Unknown")</x:f>
        <x:v>Marketing</x:v>
      </x:c>
      <x:c r="T338" t="str">
        <x:f>IF(L338&gt;=50000,"Enterprise",IF(L338&gt;=20000,"Mid-Market","SMB"))</x:f>
        <x:v>SMB</x:v>
      </x:c>
      <x:c r="U338" t="str">
        <x:f>IF(I338="Closed Won","Won",IF(I338="Closed Lost","Lost","Open"))</x:f>
        <x:v>Open</x:v>
      </x:c>
      <x:c r="V338" s="22" t="n">
        <x:f>IF(U338="Won",L338*(1-M338),0)</x:f>
        <x:v>0</x:v>
      </x:c>
      <x:c r="W338" s="22" t="n">
        <x:f>IF(U338="Open",L338*N338,0)</x:f>
        <x:v>2940</x:v>
      </x:c>
      <x:c r="X338" s="26" t="str">
        <x:f>IF(U338="Open","",IFERROR(K338-B338,""))</x:f>
      </x:c>
      <x:c r="Y338" s="26" t="n">
        <x:f>IF(U338="Open",Lookups!$B$2-B338,X338)</x:f>
        <x:v>19</x:v>
      </x:c>
      <x:c r="Z338" t="str">
        <x:f>IF(AND(U338="Open",Y338&gt;30),"STALE","OK")</x:f>
        <x:v>OK</x:v>
      </x:c>
      <x:c r="AA338" t="str">
        <x:f>TEXT(B338,"yyyy-mm")</x:f>
        <x:v>2026-08</x:v>
      </x:c>
      <x:c r="AB338" t="str">
        <x:f>IF(K338="","",TEXT(K338,"yyyy-mm"))</x:f>
      </x:c>
      <x:c r="AC338" t="str">
        <x:f>"Q"&amp;ROUNDUP(MONTH(B338)/3,0)&amp;"-"&amp;YEAR(B338)</x:f>
        <x:v>Q3-2026</x:v>
      </x:c>
      <x:c r="AD338" s="26" t="n">
        <x:f>MIN(100,IF(H338="Enterprise",30,IF(H338="Mid-Market",22,14))+IF(T338="Enterprise",25,IF(T338="Mid-Market",18,10))+IF(Q338="Referral",25,IF(Q338="Organic Search",20,IF(Q338="Email",18,14)))+IF(G338="Technology",10,5))</x:f>
        <x:v>54</x:v>
      </x:c>
      <x:c r="AE338" t="str">
        <x:f>IF(U338&lt;&gt;"Open",U338,IF(N338&gt;=0.8,"Commit",IF(N338&gt;=0.5,"Best Case","Pipeline")))</x:f>
        <x:v>Pipeline</x:v>
      </x:c>
    </x:row>
    <x:row r="339">
      <x:c r="A339" t="str">
        <x:v>L00338</x:v>
      </x:c>
      <x:c r="B339" s="10" t="n">
        <x:v>46211</x:v>
      </x:c>
      <x:c r="C339" t="str">
        <x:v>Ha Vo</x:v>
      </x:c>
      <x:c r="D339" t="str">
        <x:v>North</x:v>
      </x:c>
      <x:c r="E339" t="str">
        <x:v>SEM - Google</x:v>
      </x:c>
      <x:c r="F339" t="str">
        <x:v>MKT-AUTO</x:v>
      </x:c>
      <x:c r="G339" t="str">
        <x:v>Technology</x:v>
      </x:c>
      <x:c r="H339" t="str">
        <x:v>SMB</x:v>
      </x:c>
      <x:c r="I339" t="str">
        <x:v>Closed Lost</x:v>
      </x:c>
      <x:c r="J339" s="10" t="n">
        <x:v>46250</x:v>
      </x:c>
      <x:c r="K339" s="10" t="n">
        <x:v>46250</x:v>
      </x:c>
      <x:c r="L339" s="22" t="n">
        <x:v>20200</x:v>
      </x:c>
      <x:c r="M339" s="24" t="n">
        <x:v>0</x:v>
      </x:c>
      <x:c r="N339" s="24" t="n">
        <x:v>0</x:v>
      </x:c>
      <x:c r="O339" t="str">
        <x:v>Timing</x:v>
      </x:c>
      <x:c r="P339" t="n">
        <x:v>5</x:v>
      </x:c>
      <x:c r="Q339" t="str">
        <x:f>IFERROR(XLOOKUP(E339,Lookups!$A$5:$A$24,Lookups!$B$5:$B$24),"Other")</x:f>
        <x:v>Paid Search</x:v>
      </x:c>
      <x:c r="R339" t="str">
        <x:f>IFERROR(XLOOKUP(F339,Lookups!$D$5:$D$10,Lookups!$E$5:$E$10),"Unknown Product")</x:f>
        <x:v>Marketing Automation</x:v>
      </x:c>
      <x:c r="S339" t="str">
        <x:f>IFERROR(XLOOKUP(F339,Lookups!$D$5:$D$10,Lookups!$F$5:$F$10),"Unknown")</x:f>
        <x:v>Marketing</x:v>
      </x:c>
      <x:c r="T339" t="str">
        <x:f>IF(L339&gt;=50000,"Enterprise",IF(L339&gt;=20000,"Mid-Market","SMB"))</x:f>
        <x:v>Mid-Market</x:v>
      </x:c>
      <x:c r="U339" t="str">
        <x:f>IF(I339="Closed Won","Won",IF(I339="Closed Lost","Lost","Open"))</x:f>
        <x:v>Lost</x:v>
      </x:c>
      <x:c r="V339" s="22" t="n">
        <x:f>IF(U339="Won",L339*(1-M339),0)</x:f>
        <x:v>0</x:v>
      </x:c>
      <x:c r="W339" s="22" t="n">
        <x:f>IF(U339="Open",L339*N339,0)</x:f>
        <x:v>0</x:v>
      </x:c>
      <x:c r="X339" s="26" t="n">
        <x:f>IF(U339="Open","",IFERROR(K339-B339,""))</x:f>
        <x:v>39</x:v>
      </x:c>
      <x:c r="Y339" s="26" t="n">
        <x:f>IF(U339="Open",Lookups!$B$2-B339,X339)</x:f>
        <x:v>39</x:v>
      </x:c>
      <x:c r="Z339" t="str">
        <x:f>IF(AND(U339="Open",Y339&gt;30),"STALE","OK")</x:f>
        <x:v>OK</x:v>
      </x:c>
      <x:c r="AA339" t="str">
        <x:f>TEXT(B339,"yyyy-mm")</x:f>
        <x:v>2026-07</x:v>
      </x:c>
      <x:c r="AB339" t="str">
        <x:f>IF(K339="","",TEXT(K339,"yyyy-mm"))</x:f>
        <x:v>2026-08</x:v>
      </x:c>
      <x:c r="AC339" t="str">
        <x:f>"Q"&amp;ROUNDUP(MONTH(B339)/3,0)&amp;"-"&amp;YEAR(B339)</x:f>
        <x:v>Q3-2026</x:v>
      </x:c>
      <x:c r="AD339" s="26" t="n">
        <x:f>MIN(100,IF(H339="Enterprise",30,IF(H339="Mid-Market",22,14))+IF(T339="Enterprise",25,IF(T339="Mid-Market",18,10))+IF(Q339="Referral",25,IF(Q339="Organic Search",20,IF(Q339="Email",18,14)))+IF(G339="Technology",10,5))</x:f>
        <x:v>56</x:v>
      </x:c>
      <x:c r="AE339" t="str">
        <x:f>IF(U339&lt;&gt;"Open",U339,IF(N339&gt;=0.8,"Commit",IF(N339&gt;=0.5,"Best Case","Pipeline")))</x:f>
        <x:v>Lost</x:v>
      </x:c>
    </x:row>
    <x:row r="340">
      <x:c r="A340" t="str">
        <x:v>L00339</x:v>
      </x:c>
      <x:c r="B340" s="10" t="n">
        <x:v>45970</x:v>
      </x:c>
      <x:c r="C340" t="str">
        <x:v>Chi Le</x:v>
      </x:c>
      <x:c r="D340" t="str">
        <x:v>South</x:v>
      </x:c>
      <x:c r="E340" t="str">
        <x:v>SDR Outreach</x:v>
      </x:c>
      <x:c r="F340" t="str">
        <x:v>REV-OPS</x:v>
      </x:c>
      <x:c r="G340" t="str">
        <x:v>Technology</x:v>
      </x:c>
      <x:c r="H340" t="str">
        <x:v>SMB</x:v>
      </x:c>
      <x:c r="I340" t="str">
        <x:v>Closed Won</x:v>
      </x:c>
      <x:c r="J340" s="10" t="n">
        <x:v>46046</x:v>
      </x:c>
      <x:c r="K340" s="10" t="n">
        <x:v>46046</x:v>
      </x:c>
      <x:c r="L340" s="22" t="n">
        <x:v>22600</x:v>
      </x:c>
      <x:c r="M340" s="24" t="n">
        <x:v>0.03</x:v>
      </x:c>
      <x:c r="N340" s="24" t="n">
        <x:v>1</x:v>
      </x:c>
      <x:c r="O340" t="str"/>
      <x:c r="P340" t="n">
        <x:v>6</x:v>
      </x:c>
      <x:c r="Q340" t="str">
        <x:f>IFERROR(XLOOKUP(E340,Lookups!$A$5:$A$24,Lookups!$B$5:$B$24),"Other")</x:f>
        <x:v>Outbound</x:v>
      </x:c>
      <x:c r="R340" t="str">
        <x:f>IFERROR(XLOOKUP(F340,Lookups!$D$5:$D$10,Lookups!$E$5:$E$10),"Unknown Product")</x:f>
        <x:v>Revenue Operations Suite</x:v>
      </x:c>
      <x:c r="S340" t="str">
        <x:f>IFERROR(XLOOKUP(F340,Lookups!$D$5:$D$10,Lookups!$F$5:$F$10),"Unknown")</x:f>
        <x:v>Revenue Ops</x:v>
      </x:c>
      <x:c r="T340" t="str">
        <x:f>IF(L340&gt;=50000,"Enterprise",IF(L340&gt;=20000,"Mid-Market","SMB"))</x:f>
        <x:v>Mid-Market</x:v>
      </x:c>
      <x:c r="U340" t="str">
        <x:f>IF(I340="Closed Won","Won",IF(I340="Closed Lost","Lost","Open"))</x:f>
        <x:v>Won</x:v>
      </x:c>
      <x:c r="V340" s="22" t="n">
        <x:f>IF(U340="Won",L340*(1-M340),0)</x:f>
        <x:v>21922</x:v>
      </x:c>
      <x:c r="W340" s="22" t="n">
        <x:f>IF(U340="Open",L340*N340,0)</x:f>
        <x:v>0</x:v>
      </x:c>
      <x:c r="X340" s="26" t="n">
        <x:f>IF(U340="Open","",IFERROR(K340-B340,""))</x:f>
        <x:v>76</x:v>
      </x:c>
      <x:c r="Y340" s="26" t="n">
        <x:f>IF(U340="Open",Lookups!$B$2-B340,X340)</x:f>
        <x:v>76</x:v>
      </x:c>
      <x:c r="Z340" t="str">
        <x:f>IF(AND(U340="Open",Y340&gt;30),"STALE","OK")</x:f>
        <x:v>OK</x:v>
      </x:c>
      <x:c r="AA340" t="str">
        <x:f>TEXT(B340,"yyyy-mm")</x:f>
        <x:v>2025-11</x:v>
      </x:c>
      <x:c r="AB340" t="str">
        <x:f>IF(K340="","",TEXT(K340,"yyyy-mm"))</x:f>
        <x:v>2026-01</x:v>
      </x:c>
      <x:c r="AC340" t="str">
        <x:f>"Q"&amp;ROUNDUP(MONTH(B340)/3,0)&amp;"-"&amp;YEAR(B340)</x:f>
        <x:v>Q4-2025</x:v>
      </x:c>
      <x:c r="AD340" s="26" t="n">
        <x:f>MIN(100,IF(H340="Enterprise",30,IF(H340="Mid-Market",22,14))+IF(T340="Enterprise",25,IF(T340="Mid-Market",18,10))+IF(Q340="Referral",25,IF(Q340="Organic Search",20,IF(Q340="Email",18,14)))+IF(G340="Technology",10,5))</x:f>
        <x:v>56</x:v>
      </x:c>
      <x:c r="AE340" t="str">
        <x:f>IF(U340&lt;&gt;"Open",U340,IF(N340&gt;=0.8,"Commit",IF(N340&gt;=0.5,"Best Case","Pipeline")))</x:f>
        <x:v>Won</x:v>
      </x:c>
    </x:row>
    <x:row r="341">
      <x:c r="A341" t="str">
        <x:v>L00340</x:v>
      </x:c>
      <x:c r="B341" s="10" t="n">
        <x:v>45725</x:v>
      </x:c>
      <x:c r="C341" t="str">
        <x:v>Bao Tran</x:v>
      </x:c>
      <x:c r="D341" t="str">
        <x:v>South</x:v>
      </x:c>
      <x:c r="E341" t="str">
        <x:v>LinkedIn Ads</x:v>
      </x:c>
      <x:c r="F341" t="str">
        <x:v>CRM-CORE</x:v>
      </x:c>
      <x:c r="G341" t="str">
        <x:v>Manufacturing</x:v>
      </x:c>
      <x:c r="H341" t="str">
        <x:v>Mid-Market</x:v>
      </x:c>
      <x:c r="I341" t="str">
        <x:v>Closed Lost</x:v>
      </x:c>
      <x:c r="J341" s="10" t="n">
        <x:v>45786</x:v>
      </x:c>
      <x:c r="K341" s="10" t="n">
        <x:v>45786</x:v>
      </x:c>
      <x:c r="L341" s="22" t="n">
        <x:v>8100</x:v>
      </x:c>
      <x:c r="M341" s="24" t="n">
        <x:v>0</x:v>
      </x:c>
      <x:c r="N341" s="24" t="n">
        <x:v>0</x:v>
      </x:c>
      <x:c r="O341" t="str">
        <x:v>No Decision</x:v>
      </x:c>
      <x:c r="P341" t="n">
        <x:v>3</x:v>
      </x:c>
      <x:c r="Q341" t="str">
        <x:f>IFERROR(XLOOKUP(E341,Lookups!$A$5:$A$24,Lookups!$B$5:$B$24),"Other")</x:f>
        <x:v>LinkedIn</x:v>
      </x:c>
      <x:c r="R341" t="str">
        <x:f>IFERROR(XLOOKUP(F341,Lookups!$D$5:$D$10,Lookups!$E$5:$E$10),"Unknown Product")</x:f>
        <x:v>NexaCRM Core</x:v>
      </x:c>
      <x:c r="S341" t="str">
        <x:f>IFERROR(XLOOKUP(F341,Lookups!$D$5:$D$10,Lookups!$F$5:$F$10),"Unknown")</x:f>
        <x:v>CRM</x:v>
      </x:c>
      <x:c r="T341" t="str">
        <x:f>IF(L341&gt;=50000,"Enterprise",IF(L341&gt;=20000,"Mid-Market","SMB"))</x:f>
        <x:v>SMB</x:v>
      </x:c>
      <x:c r="U341" t="str">
        <x:f>IF(I341="Closed Won","Won",IF(I341="Closed Lost","Lost","Open"))</x:f>
        <x:v>Lost</x:v>
      </x:c>
      <x:c r="V341" s="22" t="n">
        <x:f>IF(U341="Won",L341*(1-M341),0)</x:f>
        <x:v>0</x:v>
      </x:c>
      <x:c r="W341" s="22" t="n">
        <x:f>IF(U341="Open",L341*N341,0)</x:f>
        <x:v>0</x:v>
      </x:c>
      <x:c r="X341" s="26" t="n">
        <x:f>IF(U341="Open","",IFERROR(K341-B341,""))</x:f>
        <x:v>61</x:v>
      </x:c>
      <x:c r="Y341" s="26" t="n">
        <x:f>IF(U341="Open",Lookups!$B$2-B341,X341)</x:f>
        <x:v>61</x:v>
      </x:c>
      <x:c r="Z341" t="str">
        <x:f>IF(AND(U341="Open",Y341&gt;30),"STALE","OK")</x:f>
        <x:v>OK</x:v>
      </x:c>
      <x:c r="AA341" t="str">
        <x:f>TEXT(B341,"yyyy-mm")</x:f>
        <x:v>2025-03</x:v>
      </x:c>
      <x:c r="AB341" t="str">
        <x:f>IF(K341="","",TEXT(K341,"yyyy-mm"))</x:f>
        <x:v>2025-05</x:v>
      </x:c>
      <x:c r="AC341" t="str">
        <x:f>"Q"&amp;ROUNDUP(MONTH(B341)/3,0)&amp;"-"&amp;YEAR(B341)</x:f>
        <x:v>Q1-2025</x:v>
      </x:c>
      <x:c r="AD341" s="26" t="n">
        <x:f>MIN(100,IF(H341="Enterprise",30,IF(H341="Mid-Market",22,14))+IF(T341="Enterprise",25,IF(T341="Mid-Market",18,10))+IF(Q341="Referral",25,IF(Q341="Organic Search",20,IF(Q341="Email",18,14)))+IF(G341="Technology",10,5))</x:f>
        <x:v>51</x:v>
      </x:c>
      <x:c r="AE341" t="str">
        <x:f>IF(U341&lt;&gt;"Open",U341,IF(N341&gt;=0.8,"Commit",IF(N341&gt;=0.5,"Best Case","Pipeline")))</x:f>
        <x:v>Lost</x:v>
      </x:c>
    </x:row>
    <x:row r="342">
      <x:c r="A342" t="str">
        <x:v>L00341</x:v>
      </x:c>
      <x:c r="B342" s="10" t="n">
        <x:v>45990</x:v>
      </x:c>
      <x:c r="C342" t="str">
        <x:v>Ha Vo</x:v>
      </x:c>
      <x:c r="D342" t="str">
        <x:v>North</x:v>
      </x:c>
      <x:c r="E342" t="str">
        <x:v>Webinar</x:v>
      </x:c>
      <x:c r="F342" t="str">
        <x:v>CRM-CORE</x:v>
      </x:c>
      <x:c r="G342" t="str">
        <x:v>Healthcare</x:v>
      </x:c>
      <x:c r="H342" t="str">
        <x:v>SMB</x:v>
      </x:c>
      <x:c r="I342" t="str">
        <x:v>Closed Lost</x:v>
      </x:c>
      <x:c r="J342" s="10" t="n">
        <x:v>46067</x:v>
      </x:c>
      <x:c r="K342" s="10" t="n">
        <x:v>46067</x:v>
      </x:c>
      <x:c r="L342" s="22" t="n">
        <x:v>7500</x:v>
      </x:c>
      <x:c r="M342" s="24" t="n">
        <x:v>0</x:v>
      </x:c>
      <x:c r="N342" s="24" t="n">
        <x:v>0</x:v>
      </x:c>
      <x:c r="O342" t="str">
        <x:v>Price</x:v>
      </x:c>
      <x:c r="P342" t="n">
        <x:v>2</x:v>
      </x:c>
      <x:c r="Q342" t="str">
        <x:f>IFERROR(XLOOKUP(E342,Lookups!$A$5:$A$24,Lookups!$B$5:$B$24),"Other")</x:f>
        <x:v>Webinar</x:v>
      </x:c>
      <x:c r="R342" t="str">
        <x:f>IFERROR(XLOOKUP(F342,Lookups!$D$5:$D$10,Lookups!$E$5:$E$10),"Unknown Product")</x:f>
        <x:v>NexaCRM Core</x:v>
      </x:c>
      <x:c r="S342" t="str">
        <x:f>IFERROR(XLOOKUP(F342,Lookups!$D$5:$D$10,Lookups!$F$5:$F$10),"Unknown")</x:f>
        <x:v>CRM</x:v>
      </x:c>
      <x:c r="T342" t="str">
        <x:f>IF(L342&gt;=50000,"Enterprise",IF(L342&gt;=20000,"Mid-Market","SMB"))</x:f>
        <x:v>SMB</x:v>
      </x:c>
      <x:c r="U342" t="str">
        <x:f>IF(I342="Closed Won","Won",IF(I342="Closed Lost","Lost","Open"))</x:f>
        <x:v>Lost</x:v>
      </x:c>
      <x:c r="V342" s="22" t="n">
        <x:f>IF(U342="Won",L342*(1-M342),0)</x:f>
        <x:v>0</x:v>
      </x:c>
      <x:c r="W342" s="22" t="n">
        <x:f>IF(U342="Open",L342*N342,0)</x:f>
        <x:v>0</x:v>
      </x:c>
      <x:c r="X342" s="26" t="n">
        <x:f>IF(U342="Open","",IFERROR(K342-B342,""))</x:f>
        <x:v>77</x:v>
      </x:c>
      <x:c r="Y342" s="26" t="n">
        <x:f>IF(U342="Open",Lookups!$B$2-B342,X342)</x:f>
        <x:v>77</x:v>
      </x:c>
      <x:c r="Z342" t="str">
        <x:f>IF(AND(U342="Open",Y342&gt;30),"STALE","OK")</x:f>
        <x:v>OK</x:v>
      </x:c>
      <x:c r="AA342" t="str">
        <x:f>TEXT(B342,"yyyy-mm")</x:f>
        <x:v>2025-11</x:v>
      </x:c>
      <x:c r="AB342" t="str">
        <x:f>IF(K342="","",TEXT(K342,"yyyy-mm"))</x:f>
        <x:v>2026-02</x:v>
      </x:c>
      <x:c r="AC342" t="str">
        <x:f>"Q"&amp;ROUNDUP(MONTH(B342)/3,0)&amp;"-"&amp;YEAR(B342)</x:f>
        <x:v>Q4-2025</x:v>
      </x:c>
      <x:c r="AD342" s="26" t="n">
        <x:f>MIN(100,IF(H342="Enterprise",30,IF(H342="Mid-Market",22,14))+IF(T342="Enterprise",25,IF(T342="Mid-Market",18,10))+IF(Q342="Referral",25,IF(Q342="Organic Search",20,IF(Q342="Email",18,14)))+IF(G342="Technology",10,5))</x:f>
        <x:v>43</x:v>
      </x:c>
      <x:c r="AE342" t="str">
        <x:f>IF(U342&lt;&gt;"Open",U342,IF(N342&gt;=0.8,"Commit",IF(N342&gt;=0.5,"Best Case","Pipeline")))</x:f>
        <x:v>Lost</x:v>
      </x:c>
    </x:row>
    <x:row r="343">
      <x:c r="A343" t="str">
        <x:v>L00342</x:v>
      </x:c>
      <x:c r="B343" s="10" t="n">
        <x:v>46107</x:v>
      </x:c>
      <x:c r="C343" t="str">
        <x:v>Minh Do</x:v>
      </x:c>
      <x:c r="D343" t="str">
        <x:v>North</x:v>
      </x:c>
      <x:c r="E343" t="str">
        <x:v>Referral</x:v>
      </x:c>
      <x:c r="F343" t="str">
        <x:v>CRM-PRO</x:v>
      </x:c>
      <x:c r="G343" t="str">
        <x:v>Education</x:v>
      </x:c>
      <x:c r="H343" t="str">
        <x:v>SMB</x:v>
      </x:c>
      <x:c r="I343" t="str">
        <x:v>Closed Lost</x:v>
      </x:c>
      <x:c r="J343" s="10" t="n">
        <x:v>46116</x:v>
      </x:c>
      <x:c r="K343" s="10" t="n">
        <x:v>46116</x:v>
      </x:c>
      <x:c r="L343" s="22" t="n">
        <x:v>24500</x:v>
      </x:c>
      <x:c r="M343" s="24" t="n">
        <x:v>0</x:v>
      </x:c>
      <x:c r="N343" s="24" t="n">
        <x:v>0</x:v>
      </x:c>
      <x:c r="O343" t="str">
        <x:v>Price</x:v>
      </x:c>
      <x:c r="P343" t="n">
        <x:v>2</x:v>
      </x:c>
      <x:c r="Q343" t="str">
        <x:f>IFERROR(XLOOKUP(E343,Lookups!$A$5:$A$24,Lookups!$B$5:$B$24),"Other")</x:f>
        <x:v>Referral</x:v>
      </x:c>
      <x:c r="R343" t="str">
        <x:f>IFERROR(XLOOKUP(F343,Lookups!$D$5:$D$10,Lookups!$E$5:$E$10),"Unknown Product")</x:f>
        <x:v>NexaCRM Pro</x:v>
      </x:c>
      <x:c r="S343" t="str">
        <x:f>IFERROR(XLOOKUP(F343,Lookups!$D$5:$D$10,Lookups!$F$5:$F$10),"Unknown")</x:f>
        <x:v>CRM</x:v>
      </x:c>
      <x:c r="T343" t="str">
        <x:f>IF(L343&gt;=50000,"Enterprise",IF(L343&gt;=20000,"Mid-Market","SMB"))</x:f>
        <x:v>Mid-Market</x:v>
      </x:c>
      <x:c r="U343" t="str">
        <x:f>IF(I343="Closed Won","Won",IF(I343="Closed Lost","Lost","Open"))</x:f>
        <x:v>Lost</x:v>
      </x:c>
      <x:c r="V343" s="22" t="n">
        <x:f>IF(U343="Won",L343*(1-M343),0)</x:f>
        <x:v>0</x:v>
      </x:c>
      <x:c r="W343" s="22" t="n">
        <x:f>IF(U343="Open",L343*N343,0)</x:f>
        <x:v>0</x:v>
      </x:c>
      <x:c r="X343" s="26" t="n">
        <x:f>IF(U343="Open","",IFERROR(K343-B343,""))</x:f>
        <x:v>9</x:v>
      </x:c>
      <x:c r="Y343" s="26" t="n">
        <x:f>IF(U343="Open",Lookups!$B$2-B343,X343)</x:f>
        <x:v>9</x:v>
      </x:c>
      <x:c r="Z343" t="str">
        <x:f>IF(AND(U343="Open",Y343&gt;30),"STALE","OK")</x:f>
        <x:v>OK</x:v>
      </x:c>
      <x:c r="AA343" t="str">
        <x:f>TEXT(B343,"yyyy-mm")</x:f>
        <x:v>2026-03</x:v>
      </x:c>
      <x:c r="AB343" t="str">
        <x:f>IF(K343="","",TEXT(K343,"yyyy-mm"))</x:f>
        <x:v>2026-04</x:v>
      </x:c>
      <x:c r="AC343" t="str">
        <x:f>"Q"&amp;ROUNDUP(MONTH(B343)/3,0)&amp;"-"&amp;YEAR(B343)</x:f>
        <x:v>Q1-2026</x:v>
      </x:c>
      <x:c r="AD343" s="26" t="n">
        <x:f>MIN(100,IF(H343="Enterprise",30,IF(H343="Mid-Market",22,14))+IF(T343="Enterprise",25,IF(T343="Mid-Market",18,10))+IF(Q343="Referral",25,IF(Q343="Organic Search",20,IF(Q343="Email",18,14)))+IF(G343="Technology",10,5))</x:f>
        <x:v>62</x:v>
      </x:c>
      <x:c r="AE343" t="str">
        <x:f>IF(U343&lt;&gt;"Open",U343,IF(N343&gt;=0.8,"Commit",IF(N343&gt;=0.5,"Best Case","Pipeline")))</x:f>
        <x:v>Lost</x:v>
      </x:c>
    </x:row>
    <x:row r="344">
      <x:c r="A344" t="str">
        <x:v>L00343</x:v>
      </x:c>
      <x:c r="B344" s="10" t="n">
        <x:v>45716</x:v>
      </x:c>
      <x:c r="C344" t="str">
        <x:v>Bao Tran</x:v>
      </x:c>
      <x:c r="D344" t="str">
        <x:v>South</x:v>
      </x:c>
      <x:c r="E344" t="str">
        <x:v>linkedin</x:v>
      </x:c>
      <x:c r="F344" t="str">
        <x:v>CRM-CORE</x:v>
      </x:c>
      <x:c r="G344" t="str">
        <x:v>Healthcare</x:v>
      </x:c>
      <x:c r="H344" t="str">
        <x:v>Enterprise</x:v>
      </x:c>
      <x:c r="I344" t="str">
        <x:v>Closed Lost</x:v>
      </x:c>
      <x:c r="J344" s="10" t="n">
        <x:v>45739</x:v>
      </x:c>
      <x:c r="K344" s="10" t="n">
        <x:v>45739</x:v>
      </x:c>
      <x:c r="L344" s="22" t="n">
        <x:v>23400</x:v>
      </x:c>
      <x:c r="M344" s="24" t="n">
        <x:v>0</x:v>
      </x:c>
      <x:c r="N344" s="24" t="n">
        <x:v>0</x:v>
      </x:c>
      <x:c r="O344" t="str">
        <x:v>Price</x:v>
      </x:c>
      <x:c r="P344" t="n">
        <x:v>5</x:v>
      </x:c>
      <x:c r="Q344" t="str">
        <x:f>IFERROR(XLOOKUP(E344,Lookups!$A$5:$A$24,Lookups!$B$5:$B$24),"Other")</x:f>
        <x:v>LinkedIn</x:v>
      </x:c>
      <x:c r="R344" t="str">
        <x:f>IFERROR(XLOOKUP(F344,Lookups!$D$5:$D$10,Lookups!$E$5:$E$10),"Unknown Product")</x:f>
        <x:v>NexaCRM Core</x:v>
      </x:c>
      <x:c r="S344" t="str">
        <x:f>IFERROR(XLOOKUP(F344,Lookups!$D$5:$D$10,Lookups!$F$5:$F$10),"Unknown")</x:f>
        <x:v>CRM</x:v>
      </x:c>
      <x:c r="T344" t="str">
        <x:f>IF(L344&gt;=50000,"Enterprise",IF(L344&gt;=20000,"Mid-Market","SMB"))</x:f>
        <x:v>Mid-Market</x:v>
      </x:c>
      <x:c r="U344" t="str">
        <x:f>IF(I344="Closed Won","Won",IF(I344="Closed Lost","Lost","Open"))</x:f>
        <x:v>Lost</x:v>
      </x:c>
      <x:c r="V344" s="22" t="n">
        <x:f>IF(U344="Won",L344*(1-M344),0)</x:f>
        <x:v>0</x:v>
      </x:c>
      <x:c r="W344" s="22" t="n">
        <x:f>IF(U344="Open",L344*N344,0)</x:f>
        <x:v>0</x:v>
      </x:c>
      <x:c r="X344" s="26" t="n">
        <x:f>IF(U344="Open","",IFERROR(K344-B344,""))</x:f>
        <x:v>23</x:v>
      </x:c>
      <x:c r="Y344" s="26" t="n">
        <x:f>IF(U344="Open",Lookups!$B$2-B344,X344)</x:f>
        <x:v>23</x:v>
      </x:c>
      <x:c r="Z344" t="str">
        <x:f>IF(AND(U344="Open",Y344&gt;30),"STALE","OK")</x:f>
        <x:v>OK</x:v>
      </x:c>
      <x:c r="AA344" t="str">
        <x:f>TEXT(B344,"yyyy-mm")</x:f>
        <x:v>2025-02</x:v>
      </x:c>
      <x:c r="AB344" t="str">
        <x:f>IF(K344="","",TEXT(K344,"yyyy-mm"))</x:f>
        <x:v>2025-03</x:v>
      </x:c>
      <x:c r="AC344" t="str">
        <x:f>"Q"&amp;ROUNDUP(MONTH(B344)/3,0)&amp;"-"&amp;YEAR(B344)</x:f>
        <x:v>Q1-2025</x:v>
      </x:c>
      <x:c r="AD344" s="26" t="n">
        <x:f>MIN(100,IF(H344="Enterprise",30,IF(H344="Mid-Market",22,14))+IF(T344="Enterprise",25,IF(T344="Mid-Market",18,10))+IF(Q344="Referral",25,IF(Q344="Organic Search",20,IF(Q344="Email",18,14)))+IF(G344="Technology",10,5))</x:f>
        <x:v>67</x:v>
      </x:c>
      <x:c r="AE344" t="str">
        <x:f>IF(U344&lt;&gt;"Open",U344,IF(N344&gt;=0.8,"Commit",IF(N344&gt;=0.5,"Best Case","Pipeline")))</x:f>
        <x:v>Lost</x:v>
      </x:c>
    </x:row>
    <x:row r="345">
      <x:c r="A345" t="str">
        <x:v>L00344</x:v>
      </x:c>
      <x:c r="B345" s="10" t="n">
        <x:v>46203</x:v>
      </x:c>
      <x:c r="C345" t="str">
        <x:v>Tuan Bui</x:v>
      </x:c>
      <x:c r="D345" t="str">
        <x:v>Central</x:v>
      </x:c>
      <x:c r="E345" t="str">
        <x:v>virtual event</x:v>
      </x:c>
      <x:c r="F345" t="str">
        <x:v>CRM-CORE</x:v>
      </x:c>
      <x:c r="G345" t="str">
        <x:v>Technology</x:v>
      </x:c>
      <x:c r="H345" t="str">
        <x:v>Mid-Market</x:v>
      </x:c>
      <x:c r="I345" t="str">
        <x:v>Qualified</x:v>
      </x:c>
      <x:c r="J345" s="10" t="n">
        <x:v>46251</x:v>
      </x:c>
      <x:c r="K345" s="10"/>
      <x:c r="L345" s="22" t="n">
        <x:v>10600</x:v>
      </x:c>
      <x:c r="M345" s="24" t="n">
        <x:v>0.05</x:v>
      </x:c>
      <x:c r="N345" s="24" t="n">
        <x:v>0.2</x:v>
      </x:c>
      <x:c r="O345" t="str"/>
      <x:c r="P345" t="n">
        <x:v>2</x:v>
      </x:c>
      <x:c r="Q345" t="str">
        <x:f>IFERROR(XLOOKUP(E345,Lookups!$A$5:$A$24,Lookups!$B$5:$B$24),"Other")</x:f>
        <x:v>Webinar</x:v>
      </x:c>
      <x:c r="R345" t="str">
        <x:f>IFERROR(XLOOKUP(F345,Lookups!$D$5:$D$10,Lookups!$E$5:$E$10),"Unknown Product")</x:f>
        <x:v>NexaCRM Core</x:v>
      </x:c>
      <x:c r="S345" t="str">
        <x:f>IFERROR(XLOOKUP(F345,Lookups!$D$5:$D$10,Lookups!$F$5:$F$10),"Unknown")</x:f>
        <x:v>CRM</x:v>
      </x:c>
      <x:c r="T345" t="str">
        <x:f>IF(L345&gt;=50000,"Enterprise",IF(L345&gt;=20000,"Mid-Market","SMB"))</x:f>
        <x:v>SMB</x:v>
      </x:c>
      <x:c r="U345" t="str">
        <x:f>IF(I345="Closed Won","Won",IF(I345="Closed Lost","Lost","Open"))</x:f>
        <x:v>Open</x:v>
      </x:c>
      <x:c r="V345" s="22" t="n">
        <x:f>IF(U345="Won",L345*(1-M345),0)</x:f>
        <x:v>0</x:v>
      </x:c>
      <x:c r="W345" s="22" t="n">
        <x:f>IF(U345="Open",L345*N345,0)</x:f>
        <x:v>2120</x:v>
      </x:c>
      <x:c r="X345" s="26" t="str">
        <x:f>IF(U345="Open","",IFERROR(K345-B345,""))</x:f>
      </x:c>
      <x:c r="Y345" s="26" t="n">
        <x:f>IF(U345="Open",Lookups!$B$2-B345,X345)</x:f>
        <x:v>63</x:v>
      </x:c>
      <x:c r="Z345" t="str">
        <x:f>IF(AND(U345="Open",Y345&gt;30),"STALE","OK")</x:f>
        <x:v>STALE</x:v>
      </x:c>
      <x:c r="AA345" t="str">
        <x:f>TEXT(B345,"yyyy-mm")</x:f>
        <x:v>2026-06</x:v>
      </x:c>
      <x:c r="AB345" t="str">
        <x:f>IF(K345="","",TEXT(K345,"yyyy-mm"))</x:f>
      </x:c>
      <x:c r="AC345" t="str">
        <x:f>"Q"&amp;ROUNDUP(MONTH(B345)/3,0)&amp;"-"&amp;YEAR(B345)</x:f>
        <x:v>Q2-2026</x:v>
      </x:c>
      <x:c r="AD345" s="26" t="n">
        <x:f>MIN(100,IF(H345="Enterprise",30,IF(H345="Mid-Market",22,14))+IF(T345="Enterprise",25,IF(T345="Mid-Market",18,10))+IF(Q345="Referral",25,IF(Q345="Organic Search",20,IF(Q345="Email",18,14)))+IF(G345="Technology",10,5))</x:f>
        <x:v>56</x:v>
      </x:c>
      <x:c r="AE345" t="str">
        <x:f>IF(U345&lt;&gt;"Open",U345,IF(N345&gt;=0.8,"Commit",IF(N345&gt;=0.5,"Best Case","Pipeline")))</x:f>
        <x:v>Pipeline</x:v>
      </x:c>
    </x:row>
    <x:row r="346">
      <x:c r="A346" t="str">
        <x:v>L00345</x:v>
      </x:c>
      <x:c r="B346" s="10" t="n">
        <x:v>45776</x:v>
      </x:c>
      <x:c r="C346" t="str">
        <x:v>An Nguyen</x:v>
      </x:c>
      <x:c r="D346" t="str">
        <x:v>South</x:v>
      </x:c>
      <x:c r="E346" t="str">
        <x:v>Cold Email</x:v>
      </x:c>
      <x:c r="F346" t="str">
        <x:v>MKT-AUTO</x:v>
      </x:c>
      <x:c r="G346" t="str">
        <x:v>Education</x:v>
      </x:c>
      <x:c r="H346" t="str">
        <x:v>Mid-Market</x:v>
      </x:c>
      <x:c r="I346" t="str">
        <x:v>Closed Won</x:v>
      </x:c>
      <x:c r="J346" s="10" t="n">
        <x:v>45873</x:v>
      </x:c>
      <x:c r="K346" s="10" t="n">
        <x:v>45873</x:v>
      </x:c>
      <x:c r="L346" s="22" t="n">
        <x:v>26800</x:v>
      </x:c>
      <x:c r="M346" s="24" t="n">
        <x:v>0</x:v>
      </x:c>
      <x:c r="N346" s="24" t="n">
        <x:v>1</x:v>
      </x:c>
      <x:c r="O346" t="str"/>
      <x:c r="P346" t="n">
        <x:v>6</x:v>
      </x:c>
      <x:c r="Q346" t="str">
        <x:f>IFERROR(XLOOKUP(E346,Lookups!$A$5:$A$24,Lookups!$B$5:$B$24),"Other")</x:f>
        <x:v>Outbound</x:v>
      </x:c>
      <x:c r="R346" t="str">
        <x:f>IFERROR(XLOOKUP(F346,Lookups!$D$5:$D$10,Lookups!$E$5:$E$10),"Unknown Product")</x:f>
        <x:v>Marketing Automation</x:v>
      </x:c>
      <x:c r="S346" t="str">
        <x:f>IFERROR(XLOOKUP(F346,Lookups!$D$5:$D$10,Lookups!$F$5:$F$10),"Unknown")</x:f>
        <x:v>Marketing</x:v>
      </x:c>
      <x:c r="T346" t="str">
        <x:f>IF(L346&gt;=50000,"Enterprise",IF(L346&gt;=20000,"Mid-Market","SMB"))</x:f>
        <x:v>Mid-Market</x:v>
      </x:c>
      <x:c r="U346" t="str">
        <x:f>IF(I346="Closed Won","Won",IF(I346="Closed Lost","Lost","Open"))</x:f>
        <x:v>Won</x:v>
      </x:c>
      <x:c r="V346" s="22" t="n">
        <x:f>IF(U346="Won",L346*(1-M346),0)</x:f>
        <x:v>26800</x:v>
      </x:c>
      <x:c r="W346" s="22" t="n">
        <x:f>IF(U346="Open",L346*N346,0)</x:f>
        <x:v>0</x:v>
      </x:c>
      <x:c r="X346" s="26" t="n">
        <x:f>IF(U346="Open","",IFERROR(K346-B346,""))</x:f>
        <x:v>97</x:v>
      </x:c>
      <x:c r="Y346" s="26" t="n">
        <x:f>IF(U346="Open",Lookups!$B$2-B346,X346)</x:f>
        <x:v>97</x:v>
      </x:c>
      <x:c r="Z346" t="str">
        <x:f>IF(AND(U346="Open",Y346&gt;30),"STALE","OK")</x:f>
        <x:v>OK</x:v>
      </x:c>
      <x:c r="AA346" t="str">
        <x:f>TEXT(B346,"yyyy-mm")</x:f>
        <x:v>2025-04</x:v>
      </x:c>
      <x:c r="AB346" t="str">
        <x:f>IF(K346="","",TEXT(K346,"yyyy-mm"))</x:f>
        <x:v>2025-08</x:v>
      </x:c>
      <x:c r="AC346" t="str">
        <x:f>"Q"&amp;ROUNDUP(MONTH(B346)/3,0)&amp;"-"&amp;YEAR(B346)</x:f>
        <x:v>Q2-2025</x:v>
      </x:c>
      <x:c r="AD346" s="26" t="n">
        <x:f>MIN(100,IF(H346="Enterprise",30,IF(H346="Mid-Market",22,14))+IF(T346="Enterprise",25,IF(T346="Mid-Market",18,10))+IF(Q346="Referral",25,IF(Q346="Organic Search",20,IF(Q346="Email",18,14)))+IF(G346="Technology",10,5))</x:f>
        <x:v>59</x:v>
      </x:c>
      <x:c r="AE346" t="str">
        <x:f>IF(U346&lt;&gt;"Open",U346,IF(N346&gt;=0.8,"Commit",IF(N346&gt;=0.5,"Best Case","Pipeline")))</x:f>
        <x:v>Won</x:v>
      </x:c>
    </x:row>
    <x:row r="347">
      <x:c r="A347" t="str">
        <x:v>L00346</x:v>
      </x:c>
      <x:c r="B347" s="10" t="n">
        <x:v>45809</x:v>
      </x:c>
      <x:c r="C347" t="str">
        <x:v>Ha Vo</x:v>
      </x:c>
      <x:c r="D347" t="str">
        <x:v>North</x:v>
      </x:c>
      <x:c r="E347" t="str">
        <x:v>SEM - Google</x:v>
      </x:c>
      <x:c r="F347" t="str">
        <x:v>CS-CLOUD</x:v>
      </x:c>
      <x:c r="G347" t="str">
        <x:v>Education</x:v>
      </x:c>
      <x:c r="H347" t="str">
        <x:v>Enterprise</x:v>
      </x:c>
      <x:c r="I347" t="str">
        <x:v>Closed Lost</x:v>
      </x:c>
      <x:c r="J347" s="10" t="n">
        <x:v>45852</x:v>
      </x:c>
      <x:c r="K347" s="10" t="n">
        <x:v>45852</x:v>
      </x:c>
      <x:c r="L347" s="22" t="n">
        <x:v>47800</x:v>
      </x:c>
      <x:c r="M347" s="24" t="n">
        <x:v>0</x:v>
      </x:c>
      <x:c r="N347" s="24" t="n">
        <x:v>0</x:v>
      </x:c>
      <x:c r="O347" t="str">
        <x:v>Feature Gap</x:v>
      </x:c>
      <x:c r="P347" t="n">
        <x:v>5</x:v>
      </x:c>
      <x:c r="Q347" t="str">
        <x:f>IFERROR(XLOOKUP(E347,Lookups!$A$5:$A$24,Lookups!$B$5:$B$24),"Other")</x:f>
        <x:v>Paid Search</x:v>
      </x:c>
      <x:c r="R347" t="str">
        <x:f>IFERROR(XLOOKUP(F347,Lookups!$D$5:$D$10,Lookups!$E$5:$E$10),"Unknown Product")</x:f>
        <x:v>Service Cloud</x:v>
      </x:c>
      <x:c r="S347" t="str">
        <x:f>IFERROR(XLOOKUP(F347,Lookups!$D$5:$D$10,Lookups!$F$5:$F$10),"Unknown")</x:f>
        <x:v>Customer Service</x:v>
      </x:c>
      <x:c r="T347" t="str">
        <x:f>IF(L347&gt;=50000,"Enterprise",IF(L347&gt;=20000,"Mid-Market","SMB"))</x:f>
        <x:v>Mid-Market</x:v>
      </x:c>
      <x:c r="U347" t="str">
        <x:f>IF(I347="Closed Won","Won",IF(I347="Closed Lost","Lost","Open"))</x:f>
        <x:v>Lost</x:v>
      </x:c>
      <x:c r="V347" s="22" t="n">
        <x:f>IF(U347="Won",L347*(1-M347),0)</x:f>
        <x:v>0</x:v>
      </x:c>
      <x:c r="W347" s="22" t="n">
        <x:f>IF(U347="Open",L347*N347,0)</x:f>
        <x:v>0</x:v>
      </x:c>
      <x:c r="X347" s="26" t="n">
        <x:f>IF(U347="Open","",IFERROR(K347-B347,""))</x:f>
        <x:v>43</x:v>
      </x:c>
      <x:c r="Y347" s="26" t="n">
        <x:f>IF(U347="Open",Lookups!$B$2-B347,X347)</x:f>
        <x:v>43</x:v>
      </x:c>
      <x:c r="Z347" t="str">
        <x:f>IF(AND(U347="Open",Y347&gt;30),"STALE","OK")</x:f>
        <x:v>OK</x:v>
      </x:c>
      <x:c r="AA347" t="str">
        <x:f>TEXT(B347,"yyyy-mm")</x:f>
        <x:v>2025-06</x:v>
      </x:c>
      <x:c r="AB347" t="str">
        <x:f>IF(K347="","",TEXT(K347,"yyyy-mm"))</x:f>
        <x:v>2025-07</x:v>
      </x:c>
      <x:c r="AC347" t="str">
        <x:f>"Q"&amp;ROUNDUP(MONTH(B347)/3,0)&amp;"-"&amp;YEAR(B347)</x:f>
        <x:v>Q2-2025</x:v>
      </x:c>
      <x:c r="AD347" s="26" t="n">
        <x:f>MIN(100,IF(H347="Enterprise",30,IF(H347="Mid-Market",22,14))+IF(T347="Enterprise",25,IF(T347="Mid-Market",18,10))+IF(Q347="Referral",25,IF(Q347="Organic Search",20,IF(Q347="Email",18,14)))+IF(G347="Technology",10,5))</x:f>
        <x:v>67</x:v>
      </x:c>
      <x:c r="AE347" t="str">
        <x:f>IF(U347&lt;&gt;"Open",U347,IF(N347&gt;=0.8,"Commit",IF(N347&gt;=0.5,"Best Case","Pipeline")))</x:f>
        <x:v>Lost</x:v>
      </x:c>
    </x:row>
    <x:row r="348">
      <x:c r="A348" t="str">
        <x:v>L00347</x:v>
      </x:c>
      <x:c r="B348" s="10" t="n">
        <x:v>45715</x:v>
      </x:c>
      <x:c r="C348" t="str">
        <x:v>Ha Vo</x:v>
      </x:c>
      <x:c r="D348" t="str">
        <x:v>North</x:v>
      </x:c>
      <x:c r="E348" t="str">
        <x:v>LinkedIn Ads</x:v>
      </x:c>
      <x:c r="F348" t="str">
        <x:v>CS-CLOUD</x:v>
      </x:c>
      <x:c r="G348" t="str">
        <x:v>Education</x:v>
      </x:c>
      <x:c r="H348" t="str">
        <x:v>SMB</x:v>
      </x:c>
      <x:c r="I348" t="str">
        <x:v>Negotiation</x:v>
      </x:c>
      <x:c r="J348" s="10" t="n">
        <x:v>46190</x:v>
      </x:c>
      <x:c r="K348" s="10"/>
      <x:c r="L348" s="22" t="n">
        <x:v>18300</x:v>
      </x:c>
      <x:c r="M348" s="24" t="n">
        <x:v>0</x:v>
      </x:c>
      <x:c r="N348" s="24" t="n">
        <x:v>0.85</x:v>
      </x:c>
      <x:c r="O348" t="str"/>
      <x:c r="P348" t="n">
        <x:v>5</x:v>
      </x:c>
      <x:c r="Q348" t="str">
        <x:f>IFERROR(XLOOKUP(E348,Lookups!$A$5:$A$24,Lookups!$B$5:$B$24),"Other")</x:f>
        <x:v>LinkedIn</x:v>
      </x:c>
      <x:c r="R348" t="str">
        <x:f>IFERROR(XLOOKUP(F348,Lookups!$D$5:$D$10,Lookups!$E$5:$E$10),"Unknown Product")</x:f>
        <x:v>Service Cloud</x:v>
      </x:c>
      <x:c r="S348" t="str">
        <x:f>IFERROR(XLOOKUP(F348,Lookups!$D$5:$D$10,Lookups!$F$5:$F$10),"Unknown")</x:f>
        <x:v>Customer Service</x:v>
      </x:c>
      <x:c r="T348" t="str">
        <x:f>IF(L348&gt;=50000,"Enterprise",IF(L348&gt;=20000,"Mid-Market","SMB"))</x:f>
        <x:v>SMB</x:v>
      </x:c>
      <x:c r="U348" t="str">
        <x:f>IF(I348="Closed Won","Won",IF(I348="Closed Lost","Lost","Open"))</x:f>
        <x:v>Open</x:v>
      </x:c>
      <x:c r="V348" s="22" t="n">
        <x:f>IF(U348="Won",L348*(1-M348),0)</x:f>
        <x:v>0</x:v>
      </x:c>
      <x:c r="W348" s="22" t="n">
        <x:f>IF(U348="Open",L348*N348,0)</x:f>
        <x:v>15555</x:v>
      </x:c>
      <x:c r="X348" s="26" t="str">
        <x:f>IF(U348="Open","",IFERROR(K348-B348,""))</x:f>
      </x:c>
      <x:c r="Y348" s="26" t="n">
        <x:f>IF(U348="Open",Lookups!$B$2-B348,X348)</x:f>
        <x:v>551</x:v>
      </x:c>
      <x:c r="Z348" t="str">
        <x:f>IF(AND(U348="Open",Y348&gt;30),"STALE","OK")</x:f>
        <x:v>STALE</x:v>
      </x:c>
      <x:c r="AA348" t="str">
        <x:f>TEXT(B348,"yyyy-mm")</x:f>
        <x:v>2025-02</x:v>
      </x:c>
      <x:c r="AB348" t="str">
        <x:f>IF(K348="","",TEXT(K348,"yyyy-mm"))</x:f>
      </x:c>
      <x:c r="AC348" t="str">
        <x:f>"Q"&amp;ROUNDUP(MONTH(B348)/3,0)&amp;"-"&amp;YEAR(B348)</x:f>
        <x:v>Q1-2025</x:v>
      </x:c>
      <x:c r="AD348" s="26" t="n">
        <x:f>MIN(100,IF(H348="Enterprise",30,IF(H348="Mid-Market",22,14))+IF(T348="Enterprise",25,IF(T348="Mid-Market",18,10))+IF(Q348="Referral",25,IF(Q348="Organic Search",20,IF(Q348="Email",18,14)))+IF(G348="Technology",10,5))</x:f>
        <x:v>43</x:v>
      </x:c>
      <x:c r="AE348" t="str">
        <x:f>IF(U348&lt;&gt;"Open",U348,IF(N348&gt;=0.8,"Commit",IF(N348&gt;=0.5,"Best Case","Pipeline")))</x:f>
        <x:v>Commit</x:v>
      </x:c>
    </x:row>
    <x:row r="349">
      <x:c r="A349" t="str">
        <x:v>L00348</x:v>
      </x:c>
      <x:c r="B349" s="10" t="n">
        <x:v>45861</x:v>
      </x:c>
      <x:c r="C349" t="str">
        <x:v>Duy Pham</x:v>
      </x:c>
      <x:c r="D349" t="str">
        <x:v>South</x:v>
      </x:c>
      <x:c r="E349" t="str">
        <x:v>Webinar</x:v>
      </x:c>
      <x:c r="F349" t="str">
        <x:v>REV-OPS</x:v>
      </x:c>
      <x:c r="G349" t="str">
        <x:v>Healthcare</x:v>
      </x:c>
      <x:c r="H349" t="str">
        <x:v>Enterprise</x:v>
      </x:c>
      <x:c r="I349" t="str">
        <x:v>Negotiation</x:v>
      </x:c>
      <x:c r="J349" s="10" t="n">
        <x:v>46093</x:v>
      </x:c>
      <x:c r="K349" s="10"/>
      <x:c r="L349" s="22" t="n">
        <x:v>127000</x:v>
      </x:c>
      <x:c r="M349" s="24" t="n">
        <x:v>0.03</x:v>
      </x:c>
      <x:c r="N349" s="24" t="n">
        <x:v>0.85</x:v>
      </x:c>
      <x:c r="O349" t="str"/>
      <x:c r="P349" t="n">
        <x:v>5</x:v>
      </x:c>
      <x:c r="Q349" t="str">
        <x:f>IFERROR(XLOOKUP(E349,Lookups!$A$5:$A$24,Lookups!$B$5:$B$24),"Other")</x:f>
        <x:v>Webinar</x:v>
      </x:c>
      <x:c r="R349" t="str">
        <x:f>IFERROR(XLOOKUP(F349,Lookups!$D$5:$D$10,Lookups!$E$5:$E$10),"Unknown Product")</x:f>
        <x:v>Revenue Operations Suite</x:v>
      </x:c>
      <x:c r="S349" t="str">
        <x:f>IFERROR(XLOOKUP(F349,Lookups!$D$5:$D$10,Lookups!$F$5:$F$10),"Unknown")</x:f>
        <x:v>Revenue Ops</x:v>
      </x:c>
      <x:c r="T349" t="str">
        <x:f>IF(L349&gt;=50000,"Enterprise",IF(L349&gt;=20000,"Mid-Market","SMB"))</x:f>
        <x:v>Enterprise</x:v>
      </x:c>
      <x:c r="U349" t="str">
        <x:f>IF(I349="Closed Won","Won",IF(I349="Closed Lost","Lost","Open"))</x:f>
        <x:v>Open</x:v>
      </x:c>
      <x:c r="V349" s="22" t="n">
        <x:f>IF(U349="Won",L349*(1-M349),0)</x:f>
        <x:v>0</x:v>
      </x:c>
      <x:c r="W349" s="22" t="n">
        <x:f>IF(U349="Open",L349*N349,0)</x:f>
        <x:v>107950</x:v>
      </x:c>
      <x:c r="X349" s="26" t="str">
        <x:f>IF(U349="Open","",IFERROR(K349-B349,""))</x:f>
      </x:c>
      <x:c r="Y349" s="26" t="n">
        <x:f>IF(U349="Open",Lookups!$B$2-B349,X349)</x:f>
        <x:v>405</x:v>
      </x:c>
      <x:c r="Z349" t="str">
        <x:f>IF(AND(U349="Open",Y349&gt;30),"STALE","OK")</x:f>
        <x:v>STALE</x:v>
      </x:c>
      <x:c r="AA349" t="str">
        <x:f>TEXT(B349,"yyyy-mm")</x:f>
        <x:v>2025-07</x:v>
      </x:c>
      <x:c r="AB349" t="str">
        <x:f>IF(K349="","",TEXT(K349,"yyyy-mm"))</x:f>
      </x:c>
      <x:c r="AC349" t="str">
        <x:f>"Q"&amp;ROUNDUP(MONTH(B349)/3,0)&amp;"-"&amp;YEAR(B349)</x:f>
        <x:v>Q3-2025</x:v>
      </x:c>
      <x:c r="AD349" s="26" t="n">
        <x:f>MIN(100,IF(H349="Enterprise",30,IF(H349="Mid-Market",22,14))+IF(T349="Enterprise",25,IF(T349="Mid-Market",18,10))+IF(Q349="Referral",25,IF(Q349="Organic Search",20,IF(Q349="Email",18,14)))+IF(G349="Technology",10,5))</x:f>
        <x:v>74</x:v>
      </x:c>
      <x:c r="AE349" t="str">
        <x:f>IF(U349&lt;&gt;"Open",U349,IF(N349&gt;=0.8,"Commit",IF(N349&gt;=0.5,"Best Case","Pipeline")))</x:f>
        <x:v>Commit</x:v>
      </x:c>
    </x:row>
    <x:row r="350">
      <x:c r="A350" t="str">
        <x:v>L00349</x:v>
      </x:c>
      <x:c r="B350" s="10" t="n">
        <x:v>46221</x:v>
      </x:c>
      <x:c r="C350" t="str">
        <x:v>Ha Vo</x:v>
      </x:c>
      <x:c r="D350" t="str">
        <x:v>North</x:v>
      </x:c>
      <x:c r="E350" t="str">
        <x:v>Google Ads</x:v>
      </x:c>
      <x:c r="F350" t="str">
        <x:v>BI-PLUS</x:v>
      </x:c>
      <x:c r="G350" t="str">
        <x:v>Retail</x:v>
      </x:c>
      <x:c r="H350" t="str">
        <x:v>SMB</x:v>
      </x:c>
      <x:c r="I350" t="str">
        <x:v>Qualified</x:v>
      </x:c>
      <x:c r="J350" s="10" t="n">
        <x:v>46258</x:v>
      </x:c>
      <x:c r="K350" s="10"/>
      <x:c r="L350" s="22" t="n">
        <x:v>13400</x:v>
      </x:c>
      <x:c r="M350" s="24" t="n">
        <x:v>0</x:v>
      </x:c>
      <x:c r="N350" s="24" t="n">
        <x:v>0.2</x:v>
      </x:c>
      <x:c r="O350" t="str"/>
      <x:c r="P350" t="n">
        <x:v>2</x:v>
      </x:c>
      <x:c r="Q350" t="str">
        <x:f>IFERROR(XLOOKUP(E350,Lookups!$A$5:$A$24,Lookups!$B$5:$B$24),"Other")</x:f>
        <x:v>Paid Search</x:v>
      </x:c>
      <x:c r="R350" t="str">
        <x:f>IFERROR(XLOOKUP(F350,Lookups!$D$5:$D$10,Lookups!$E$5:$E$10),"Unknown Product")</x:f>
        <x:v>Analytics Plus</x:v>
      </x:c>
      <x:c r="S350" t="str">
        <x:f>IFERROR(XLOOKUP(F350,Lookups!$D$5:$D$10,Lookups!$F$5:$F$10),"Unknown")</x:f>
        <x:v>Analytics</x:v>
      </x:c>
      <x:c r="T350" t="str">
        <x:f>IF(L350&gt;=50000,"Enterprise",IF(L350&gt;=20000,"Mid-Market","SMB"))</x:f>
        <x:v>SMB</x:v>
      </x:c>
      <x:c r="U350" t="str">
        <x:f>IF(I350="Closed Won","Won",IF(I350="Closed Lost","Lost","Open"))</x:f>
        <x:v>Open</x:v>
      </x:c>
      <x:c r="V350" s="22" t="n">
        <x:f>IF(U350="Won",L350*(1-M350),0)</x:f>
        <x:v>0</x:v>
      </x:c>
      <x:c r="W350" s="22" t="n">
        <x:f>IF(U350="Open",L350*N350,0)</x:f>
        <x:v>2680</x:v>
      </x:c>
      <x:c r="X350" s="26" t="str">
        <x:f>IF(U350="Open","",IFERROR(K350-B350,""))</x:f>
      </x:c>
      <x:c r="Y350" s="26" t="n">
        <x:f>IF(U350="Open",Lookups!$B$2-B350,X350)</x:f>
        <x:v>45</x:v>
      </x:c>
      <x:c r="Z350" t="str">
        <x:f>IF(AND(U350="Open",Y350&gt;30),"STALE","OK")</x:f>
        <x:v>STALE</x:v>
      </x:c>
      <x:c r="AA350" t="str">
        <x:f>TEXT(B350,"yyyy-mm")</x:f>
        <x:v>2026-07</x:v>
      </x:c>
      <x:c r="AB350" t="str">
        <x:f>IF(K350="","",TEXT(K350,"yyyy-mm"))</x:f>
      </x:c>
      <x:c r="AC350" t="str">
        <x:f>"Q"&amp;ROUNDUP(MONTH(B350)/3,0)&amp;"-"&amp;YEAR(B350)</x:f>
        <x:v>Q3-2026</x:v>
      </x:c>
      <x:c r="AD350" s="26" t="n">
        <x:f>MIN(100,IF(H350="Enterprise",30,IF(H350="Mid-Market",22,14))+IF(T350="Enterprise",25,IF(T350="Mid-Market",18,10))+IF(Q350="Referral",25,IF(Q350="Organic Search",20,IF(Q350="Email",18,14)))+IF(G350="Technology",10,5))</x:f>
        <x:v>43</x:v>
      </x:c>
      <x:c r="AE350" t="str">
        <x:f>IF(U350&lt;&gt;"Open",U350,IF(N350&gt;=0.8,"Commit",IF(N350&gt;=0.5,"Best Case","Pipeline")))</x:f>
        <x:v>Pipeline</x:v>
      </x:c>
    </x:row>
    <x:row r="351">
      <x:c r="A351" t="str">
        <x:v>L00350</x:v>
      </x:c>
      <x:c r="B351" s="10" t="n">
        <x:v>45877</x:v>
      </x:c>
      <x:c r="C351" t="str">
        <x:v>Tuan Bui</x:v>
      </x:c>
      <x:c r="D351" t="str">
        <x:v>Central</x:v>
      </x:c>
      <x:c r="E351" t="str">
        <x:v>SEO</x:v>
      </x:c>
      <x:c r="F351" t="str">
        <x:v>CRM-CORE</x:v>
      </x:c>
      <x:c r="G351" t="str">
        <x:v>Education</x:v>
      </x:c>
      <x:c r="H351" t="str">
        <x:v>SMB</x:v>
      </x:c>
      <x:c r="I351" t="str">
        <x:v>Closed Lost</x:v>
      </x:c>
      <x:c r="J351" s="10" t="n">
        <x:v>45904</x:v>
      </x:c>
      <x:c r="K351" s="10" t="n">
        <x:v>45904</x:v>
      </x:c>
      <x:c r="L351" s="22" t="n">
        <x:v>6800</x:v>
      </x:c>
      <x:c r="M351" s="24" t="n">
        <x:v>0</x:v>
      </x:c>
      <x:c r="N351" s="24" t="n">
        <x:v>0</x:v>
      </x:c>
      <x:c r="O351" t="str">
        <x:v>Feature Gap</x:v>
      </x:c>
      <x:c r="P351" t="n">
        <x:v>5</x:v>
      </x:c>
      <x:c r="Q351" t="str">
        <x:f>IFERROR(XLOOKUP(E351,Lookups!$A$5:$A$24,Lookups!$B$5:$B$24),"Other")</x:f>
        <x:v>Organic Search</x:v>
      </x:c>
      <x:c r="R351" t="str">
        <x:f>IFERROR(XLOOKUP(F351,Lookups!$D$5:$D$10,Lookups!$E$5:$E$10),"Unknown Product")</x:f>
        <x:v>NexaCRM Core</x:v>
      </x:c>
      <x:c r="S351" t="str">
        <x:f>IFERROR(XLOOKUP(F351,Lookups!$D$5:$D$10,Lookups!$F$5:$F$10),"Unknown")</x:f>
        <x:v>CRM</x:v>
      </x:c>
      <x:c r="T351" t="str">
        <x:f>IF(L351&gt;=50000,"Enterprise",IF(L351&gt;=20000,"Mid-Market","SMB"))</x:f>
        <x:v>SMB</x:v>
      </x:c>
      <x:c r="U351" t="str">
        <x:f>IF(I351="Closed Won","Won",IF(I351="Closed Lost","Lost","Open"))</x:f>
        <x:v>Lost</x:v>
      </x:c>
      <x:c r="V351" s="22" t="n">
        <x:f>IF(U351="Won",L351*(1-M351),0)</x:f>
        <x:v>0</x:v>
      </x:c>
      <x:c r="W351" s="22" t="n">
        <x:f>IF(U351="Open",L351*N351,0)</x:f>
        <x:v>0</x:v>
      </x:c>
      <x:c r="X351" s="26" t="n">
        <x:f>IF(U351="Open","",IFERROR(K351-B351,""))</x:f>
        <x:v>27</x:v>
      </x:c>
      <x:c r="Y351" s="26" t="n">
        <x:f>IF(U351="Open",Lookups!$B$2-B351,X351)</x:f>
        <x:v>27</x:v>
      </x:c>
      <x:c r="Z351" t="str">
        <x:f>IF(AND(U351="Open",Y351&gt;30),"STALE","OK")</x:f>
        <x:v>OK</x:v>
      </x:c>
      <x:c r="AA351" t="str">
        <x:f>TEXT(B351,"yyyy-mm")</x:f>
        <x:v>2025-08</x:v>
      </x:c>
      <x:c r="AB351" t="str">
        <x:f>IF(K351="","",TEXT(K351,"yyyy-mm"))</x:f>
        <x:v>2025-09</x:v>
      </x:c>
      <x:c r="AC351" t="str">
        <x:f>"Q"&amp;ROUNDUP(MONTH(B351)/3,0)&amp;"-"&amp;YEAR(B351)</x:f>
        <x:v>Q3-2025</x:v>
      </x:c>
      <x:c r="AD351" s="26" t="n">
        <x:f>MIN(100,IF(H351="Enterprise",30,IF(H351="Mid-Market",22,14))+IF(T351="Enterprise",25,IF(T351="Mid-Market",18,10))+IF(Q351="Referral",25,IF(Q351="Organic Search",20,IF(Q351="Email",18,14)))+IF(G351="Technology",10,5))</x:f>
        <x:v>49</x:v>
      </x:c>
      <x:c r="AE351" t="str">
        <x:f>IF(U351&lt;&gt;"Open",U351,IF(N351&gt;=0.8,"Commit",IF(N351&gt;=0.5,"Best Case","Pipeline")))</x:f>
        <x:v>Lost</x:v>
      </x:c>
    </x:row>
    <x:row r="352">
      <x:c r="A352" t="str">
        <x:v>L00351</x:v>
      </x:c>
      <x:c r="B352" s="10" t="n">
        <x:v>46107</x:v>
      </x:c>
      <x:c r="C352" t="str">
        <x:v>Duy Pham</x:v>
      </x:c>
      <x:c r="D352" t="str">
        <x:v>South</x:v>
      </x:c>
      <x:c r="E352" t="str">
        <x:v>linkedin</x:v>
      </x:c>
      <x:c r="F352" t="str">
        <x:v>BI-PLUS</x:v>
      </x:c>
      <x:c r="G352" t="str">
        <x:v>Technology</x:v>
      </x:c>
      <x:c r="H352" t="str">
        <x:v>Mid-Market</x:v>
      </x:c>
      <x:c r="I352" t="str">
        <x:v>Closed Won</x:v>
      </x:c>
      <x:c r="J352" s="10" t="n">
        <x:v>46175</x:v>
      </x:c>
      <x:c r="K352" s="10" t="n">
        <x:v>46175</x:v>
      </x:c>
      <x:c r="L352" s="22" t="n">
        <x:v>42600</x:v>
      </x:c>
      <x:c r="M352" s="24" t="n">
        <x:v>0.1</x:v>
      </x:c>
      <x:c r="N352" s="24" t="n">
        <x:v>1</x:v>
      </x:c>
      <x:c r="O352" t="str"/>
      <x:c r="P352" t="n">
        <x:v>6</x:v>
      </x:c>
      <x:c r="Q352" t="str">
        <x:f>IFERROR(XLOOKUP(E352,Lookups!$A$5:$A$24,Lookups!$B$5:$B$24),"Other")</x:f>
        <x:v>LinkedIn</x:v>
      </x:c>
      <x:c r="R352" t="str">
        <x:f>IFERROR(XLOOKUP(F352,Lookups!$D$5:$D$10,Lookups!$E$5:$E$10),"Unknown Product")</x:f>
        <x:v>Analytics Plus</x:v>
      </x:c>
      <x:c r="S352" t="str">
        <x:f>IFERROR(XLOOKUP(F352,Lookups!$D$5:$D$10,Lookups!$F$5:$F$10),"Unknown")</x:f>
        <x:v>Analytics</x:v>
      </x:c>
      <x:c r="T352" t="str">
        <x:f>IF(L352&gt;=50000,"Enterprise",IF(L352&gt;=20000,"Mid-Market","SMB"))</x:f>
        <x:v>Mid-Market</x:v>
      </x:c>
      <x:c r="U352" t="str">
        <x:f>IF(I352="Closed Won","Won",IF(I352="Closed Lost","Lost","Open"))</x:f>
        <x:v>Won</x:v>
      </x:c>
      <x:c r="V352" s="22" t="n">
        <x:f>IF(U352="Won",L352*(1-M352),0)</x:f>
        <x:v>38340</x:v>
      </x:c>
      <x:c r="W352" s="22" t="n">
        <x:f>IF(U352="Open",L352*N352,0)</x:f>
        <x:v>0</x:v>
      </x:c>
      <x:c r="X352" s="26" t="n">
        <x:f>IF(U352="Open","",IFERROR(K352-B352,""))</x:f>
        <x:v>68</x:v>
      </x:c>
      <x:c r="Y352" s="26" t="n">
        <x:f>IF(U352="Open",Lookups!$B$2-B352,X352)</x:f>
        <x:v>68</x:v>
      </x:c>
      <x:c r="Z352" t="str">
        <x:f>IF(AND(U352="Open",Y352&gt;30),"STALE","OK")</x:f>
        <x:v>OK</x:v>
      </x:c>
      <x:c r="AA352" t="str">
        <x:f>TEXT(B352,"yyyy-mm")</x:f>
        <x:v>2026-03</x:v>
      </x:c>
      <x:c r="AB352" t="str">
        <x:f>IF(K352="","",TEXT(K352,"yyyy-mm"))</x:f>
        <x:v>2026-06</x:v>
      </x:c>
      <x:c r="AC352" t="str">
        <x:f>"Q"&amp;ROUNDUP(MONTH(B352)/3,0)&amp;"-"&amp;YEAR(B352)</x:f>
        <x:v>Q1-2026</x:v>
      </x:c>
      <x:c r="AD352" s="26" t="n">
        <x:f>MIN(100,IF(H352="Enterprise",30,IF(H352="Mid-Market",22,14))+IF(T352="Enterprise",25,IF(T352="Mid-Market",18,10))+IF(Q352="Referral",25,IF(Q352="Organic Search",20,IF(Q352="Email",18,14)))+IF(G352="Technology",10,5))</x:f>
        <x:v>64</x:v>
      </x:c>
      <x:c r="AE352" t="str">
        <x:f>IF(U352&lt;&gt;"Open",U352,IF(N352&gt;=0.8,"Commit",IF(N352&gt;=0.5,"Best Case","Pipeline")))</x:f>
        <x:v>Won</x:v>
      </x:c>
    </x:row>
    <x:row r="353">
      <x:c r="A353" t="str">
        <x:v>L00352</x:v>
      </x:c>
      <x:c r="B353" s="10" t="n">
        <x:v>45687</x:v>
      </x:c>
      <x:c r="C353" t="str">
        <x:v>Quynh Vu</x:v>
      </x:c>
      <x:c r="D353" t="str">
        <x:v>North</x:v>
      </x:c>
      <x:c r="E353" t="str">
        <x:v>SEO</x:v>
      </x:c>
      <x:c r="F353" t="str">
        <x:v>REV-OPS</x:v>
      </x:c>
      <x:c r="G353" t="str">
        <x:v>Manufacturing</x:v>
      </x:c>
      <x:c r="H353" t="str">
        <x:v>SMB</x:v>
      </x:c>
      <x:c r="I353" t="str">
        <x:v>Closed Lost</x:v>
      </x:c>
      <x:c r="J353" s="10" t="n">
        <x:v>45738</x:v>
      </x:c>
      <x:c r="K353" s="10" t="n">
        <x:v>45738</x:v>
      </x:c>
      <x:c r="L353" s="22" t="n">
        <x:v>25000</x:v>
      </x:c>
      <x:c r="M353" s="24" t="n">
        <x:v>0</x:v>
      </x:c>
      <x:c r="N353" s="24" t="n">
        <x:v>0</x:v>
      </x:c>
      <x:c r="O353" t="str">
        <x:v>Feature Gap</x:v>
      </x:c>
      <x:c r="P353" t="n">
        <x:v>4</x:v>
      </x:c>
      <x:c r="Q353" t="str">
        <x:f>IFERROR(XLOOKUP(E353,Lookups!$A$5:$A$24,Lookups!$B$5:$B$24),"Other")</x:f>
        <x:v>Organic Search</x:v>
      </x:c>
      <x:c r="R353" t="str">
        <x:f>IFERROR(XLOOKUP(F353,Lookups!$D$5:$D$10,Lookups!$E$5:$E$10),"Unknown Product")</x:f>
        <x:v>Revenue Operations Suite</x:v>
      </x:c>
      <x:c r="S353" t="str">
        <x:f>IFERROR(XLOOKUP(F353,Lookups!$D$5:$D$10,Lookups!$F$5:$F$10),"Unknown")</x:f>
        <x:v>Revenue Ops</x:v>
      </x:c>
      <x:c r="T353" t="str">
        <x:f>IF(L353&gt;=50000,"Enterprise",IF(L353&gt;=20000,"Mid-Market","SMB"))</x:f>
        <x:v>Mid-Market</x:v>
      </x:c>
      <x:c r="U353" t="str">
        <x:f>IF(I353="Closed Won","Won",IF(I353="Closed Lost","Lost","Open"))</x:f>
        <x:v>Lost</x:v>
      </x:c>
      <x:c r="V353" s="22" t="n">
        <x:f>IF(U353="Won",L353*(1-M353),0)</x:f>
        <x:v>0</x:v>
      </x:c>
      <x:c r="W353" s="22" t="n">
        <x:f>IF(U353="Open",L353*N353,0)</x:f>
        <x:v>0</x:v>
      </x:c>
      <x:c r="X353" s="26" t="n">
        <x:f>IF(U353="Open","",IFERROR(K353-B353,""))</x:f>
        <x:v>51</x:v>
      </x:c>
      <x:c r="Y353" s="26" t="n">
        <x:f>IF(U353="Open",Lookups!$B$2-B353,X353)</x:f>
        <x:v>51</x:v>
      </x:c>
      <x:c r="Z353" t="str">
        <x:f>IF(AND(U353="Open",Y353&gt;30),"STALE","OK")</x:f>
        <x:v>OK</x:v>
      </x:c>
      <x:c r="AA353" t="str">
        <x:f>TEXT(B353,"yyyy-mm")</x:f>
        <x:v>2025-01</x:v>
      </x:c>
      <x:c r="AB353" t="str">
        <x:f>IF(K353="","",TEXT(K353,"yyyy-mm"))</x:f>
        <x:v>2025-03</x:v>
      </x:c>
      <x:c r="AC353" t="str">
        <x:f>"Q"&amp;ROUNDUP(MONTH(B353)/3,0)&amp;"-"&amp;YEAR(B353)</x:f>
        <x:v>Q1-2025</x:v>
      </x:c>
      <x:c r="AD353" s="26" t="n">
        <x:f>MIN(100,IF(H353="Enterprise",30,IF(H353="Mid-Market",22,14))+IF(T353="Enterprise",25,IF(T353="Mid-Market",18,10))+IF(Q353="Referral",25,IF(Q353="Organic Search",20,IF(Q353="Email",18,14)))+IF(G353="Technology",10,5))</x:f>
        <x:v>57</x:v>
      </x:c>
      <x:c r="AE353" t="str">
        <x:f>IF(U353&lt;&gt;"Open",U353,IF(N353&gt;=0.8,"Commit",IF(N353&gt;=0.5,"Best Case","Pipeline")))</x:f>
        <x:v>Lost</x:v>
      </x:c>
    </x:row>
    <x:row r="354">
      <x:c r="A354" t="str">
        <x:v>L00353</x:v>
      </x:c>
      <x:c r="B354" s="10" t="n">
        <x:v>45781</x:v>
      </x:c>
      <x:c r="C354" t="str">
        <x:v>Chi Le</x:v>
      </x:c>
      <x:c r="D354" t="str">
        <x:v>South</x:v>
      </x:c>
      <x:c r="E354" t="str">
        <x:v>customer referral</x:v>
      </x:c>
      <x:c r="F354" t="str">
        <x:v>CRM-CORE</x:v>
      </x:c>
      <x:c r="G354" t="str">
        <x:v>Financial Services</x:v>
      </x:c>
      <x:c r="H354" t="str">
        <x:v>Mid-Market</x:v>
      </x:c>
      <x:c r="I354" t="str">
        <x:v>Closed Won</x:v>
      </x:c>
      <x:c r="J354" s="10" t="n">
        <x:v>45801</x:v>
      </x:c>
      <x:c r="K354" s="10" t="n">
        <x:v>45801</x:v>
      </x:c>
      <x:c r="L354" s="22" t="n">
        <x:v>18800</x:v>
      </x:c>
      <x:c r="M354" s="24" t="n">
        <x:v>0.08</x:v>
      </x:c>
      <x:c r="N354" s="24" t="n">
        <x:v>1</x:v>
      </x:c>
      <x:c r="O354" t="str"/>
      <x:c r="P354" t="n">
        <x:v>6</x:v>
      </x:c>
      <x:c r="Q354" t="str">
        <x:f>IFERROR(XLOOKUP(E354,Lookups!$A$5:$A$24,Lookups!$B$5:$B$24),"Other")</x:f>
        <x:v>Referral</x:v>
      </x:c>
      <x:c r="R354" t="str">
        <x:f>IFERROR(XLOOKUP(F354,Lookups!$D$5:$D$10,Lookups!$E$5:$E$10),"Unknown Product")</x:f>
        <x:v>NexaCRM Core</x:v>
      </x:c>
      <x:c r="S354" t="str">
        <x:f>IFERROR(XLOOKUP(F354,Lookups!$D$5:$D$10,Lookups!$F$5:$F$10),"Unknown")</x:f>
        <x:v>CRM</x:v>
      </x:c>
      <x:c r="T354" t="str">
        <x:f>IF(L354&gt;=50000,"Enterprise",IF(L354&gt;=20000,"Mid-Market","SMB"))</x:f>
        <x:v>SMB</x:v>
      </x:c>
      <x:c r="U354" t="str">
        <x:f>IF(I354="Closed Won","Won",IF(I354="Closed Lost","Lost","Open"))</x:f>
        <x:v>Won</x:v>
      </x:c>
      <x:c r="V354" s="22" t="n">
        <x:f>IF(U354="Won",L354*(1-M354),0)</x:f>
        <x:v>17296</x:v>
      </x:c>
      <x:c r="W354" s="22" t="n">
        <x:f>IF(U354="Open",L354*N354,0)</x:f>
        <x:v>0</x:v>
      </x:c>
      <x:c r="X354" s="26" t="n">
        <x:f>IF(U354="Open","",IFERROR(K354-B354,""))</x:f>
        <x:v>20</x:v>
      </x:c>
      <x:c r="Y354" s="26" t="n">
        <x:f>IF(U354="Open",Lookups!$B$2-B354,X354)</x:f>
        <x:v>20</x:v>
      </x:c>
      <x:c r="Z354" t="str">
        <x:f>IF(AND(U354="Open",Y354&gt;30),"STALE","OK")</x:f>
        <x:v>OK</x:v>
      </x:c>
      <x:c r="AA354" t="str">
        <x:f>TEXT(B354,"yyyy-mm")</x:f>
        <x:v>2025-05</x:v>
      </x:c>
      <x:c r="AB354" t="str">
        <x:f>IF(K354="","",TEXT(K354,"yyyy-mm"))</x:f>
        <x:v>2025-05</x:v>
      </x:c>
      <x:c r="AC354" t="str">
        <x:f>"Q"&amp;ROUNDUP(MONTH(B354)/3,0)&amp;"-"&amp;YEAR(B354)</x:f>
        <x:v>Q2-2025</x:v>
      </x:c>
      <x:c r="AD354" s="26" t="n">
        <x:f>MIN(100,IF(H354="Enterprise",30,IF(H354="Mid-Market",22,14))+IF(T354="Enterprise",25,IF(T354="Mid-Market",18,10))+IF(Q354="Referral",25,IF(Q354="Organic Search",20,IF(Q354="Email",18,14)))+IF(G354="Technology",10,5))</x:f>
        <x:v>62</x:v>
      </x:c>
      <x:c r="AE354" t="str">
        <x:f>IF(U354&lt;&gt;"Open",U354,IF(N354&gt;=0.8,"Commit",IF(N354&gt;=0.5,"Best Case","Pipeline")))</x:f>
        <x:v>Won</x:v>
      </x:c>
    </x:row>
    <x:row r="355">
      <x:c r="A355" t="str">
        <x:v>L00354</x:v>
      </x:c>
      <x:c r="B355" s="10" t="n">
        <x:v>45702</x:v>
      </x:c>
      <x:c r="C355" t="str">
        <x:v>Tuan Bui</x:v>
      </x:c>
      <x:c r="D355" t="str">
        <x:v>Central</x:v>
      </x:c>
      <x:c r="E355" t="str">
        <x:v>Webinar</x:v>
      </x:c>
      <x:c r="F355" t="str">
        <x:v>CRM-PRO</x:v>
      </x:c>
      <x:c r="G355" t="str">
        <x:v>Education</x:v>
      </x:c>
      <x:c r="H355" t="str">
        <x:v>Mid-Market</x:v>
      </x:c>
      <x:c r="I355" t="str">
        <x:v>Closed Lost</x:v>
      </x:c>
      <x:c r="J355" s="10" t="n">
        <x:v>45764</x:v>
      </x:c>
      <x:c r="K355" s="10" t="n">
        <x:v>45764</x:v>
      </x:c>
      <x:c r="L355" s="22" t="n">
        <x:v>23500</x:v>
      </x:c>
      <x:c r="M355" s="24" t="n">
        <x:v>0</x:v>
      </x:c>
      <x:c r="N355" s="24" t="n">
        <x:v>0</x:v>
      </x:c>
      <x:c r="O355" t="str">
        <x:v>Competitor</x:v>
      </x:c>
      <x:c r="P355" t="n">
        <x:v>5</x:v>
      </x:c>
      <x:c r="Q355" t="str">
        <x:f>IFERROR(XLOOKUP(E355,Lookups!$A$5:$A$24,Lookups!$B$5:$B$24),"Other")</x:f>
        <x:v>Webinar</x:v>
      </x:c>
      <x:c r="R355" t="str">
        <x:f>IFERROR(XLOOKUP(F355,Lookups!$D$5:$D$10,Lookups!$E$5:$E$10),"Unknown Product")</x:f>
        <x:v>NexaCRM Pro</x:v>
      </x:c>
      <x:c r="S355" t="str">
        <x:f>IFERROR(XLOOKUP(F355,Lookups!$D$5:$D$10,Lookups!$F$5:$F$10),"Unknown")</x:f>
        <x:v>CRM</x:v>
      </x:c>
      <x:c r="T355" t="str">
        <x:f>IF(L355&gt;=50000,"Enterprise",IF(L355&gt;=20000,"Mid-Market","SMB"))</x:f>
        <x:v>Mid-Market</x:v>
      </x:c>
      <x:c r="U355" t="str">
        <x:f>IF(I355="Closed Won","Won",IF(I355="Closed Lost","Lost","Open"))</x:f>
        <x:v>Lost</x:v>
      </x:c>
      <x:c r="V355" s="22" t="n">
        <x:f>IF(U355="Won",L355*(1-M355),0)</x:f>
        <x:v>0</x:v>
      </x:c>
      <x:c r="W355" s="22" t="n">
        <x:f>IF(U355="Open",L355*N355,0)</x:f>
        <x:v>0</x:v>
      </x:c>
      <x:c r="X355" s="26" t="n">
        <x:f>IF(U355="Open","",IFERROR(K355-B355,""))</x:f>
        <x:v>62</x:v>
      </x:c>
      <x:c r="Y355" s="26" t="n">
        <x:f>IF(U355="Open",Lookups!$B$2-B355,X355)</x:f>
        <x:v>62</x:v>
      </x:c>
      <x:c r="Z355" t="str">
        <x:f>IF(AND(U355="Open",Y355&gt;30),"STALE","OK")</x:f>
        <x:v>OK</x:v>
      </x:c>
      <x:c r="AA355" t="str">
        <x:f>TEXT(B355,"yyyy-mm")</x:f>
        <x:v>2025-02</x:v>
      </x:c>
      <x:c r="AB355" t="str">
        <x:f>IF(K355="","",TEXT(K355,"yyyy-mm"))</x:f>
        <x:v>2025-04</x:v>
      </x:c>
      <x:c r="AC355" t="str">
        <x:f>"Q"&amp;ROUNDUP(MONTH(B355)/3,0)&amp;"-"&amp;YEAR(B355)</x:f>
        <x:v>Q1-2025</x:v>
      </x:c>
      <x:c r="AD355" s="26" t="n">
        <x:f>MIN(100,IF(H355="Enterprise",30,IF(H355="Mid-Market",22,14))+IF(T355="Enterprise",25,IF(T355="Mid-Market",18,10))+IF(Q355="Referral",25,IF(Q355="Organic Search",20,IF(Q355="Email",18,14)))+IF(G355="Technology",10,5))</x:f>
        <x:v>59</x:v>
      </x:c>
      <x:c r="AE355" t="str">
        <x:f>IF(U355&lt;&gt;"Open",U355,IF(N355&gt;=0.8,"Commit",IF(N355&gt;=0.5,"Best Case","Pipeline")))</x:f>
        <x:v>Lost</x:v>
      </x:c>
    </x:row>
    <x:row r="356">
      <x:c r="A356" t="str">
        <x:v>L00355</x:v>
      </x:c>
      <x:c r="B356" s="10" t="n">
        <x:v>46227</x:v>
      </x:c>
      <x:c r="C356" t="str">
        <x:v>Minh Do</x:v>
      </x:c>
      <x:c r="D356" t="str">
        <x:v>North</x:v>
      </x:c>
      <x:c r="E356" t="str">
        <x:v>Webinar</x:v>
      </x:c>
      <x:c r="F356" t="str">
        <x:v>BI-PLUS</x:v>
      </x:c>
      <x:c r="G356" t="str">
        <x:v>Professional Services</x:v>
      </x:c>
      <x:c r="H356" t="str">
        <x:v>Enterprise</x:v>
      </x:c>
      <x:c r="I356" t="str">
        <x:v>Closed Lost</x:v>
      </x:c>
      <x:c r="J356" s="10" t="n">
        <x:v>46266</x:v>
      </x:c>
      <x:c r="K356" s="10" t="n">
        <x:v>46266</x:v>
      </x:c>
      <x:c r="L356" s="22" t="n">
        <x:v>62500</x:v>
      </x:c>
      <x:c r="M356" s="24" t="n">
        <x:v>0</x:v>
      </x:c>
      <x:c r="N356" s="24" t="n">
        <x:v>0</x:v>
      </x:c>
      <x:c r="O356" t="str">
        <x:v>Feature Gap</x:v>
      </x:c>
      <x:c r="P356" t="n">
        <x:v>3</x:v>
      </x:c>
      <x:c r="Q356" t="str">
        <x:f>IFERROR(XLOOKUP(E356,Lookups!$A$5:$A$24,Lookups!$B$5:$B$24),"Other")</x:f>
        <x:v>Webinar</x:v>
      </x:c>
      <x:c r="R356" t="str">
        <x:f>IFERROR(XLOOKUP(F356,Lookups!$D$5:$D$10,Lookups!$E$5:$E$10),"Unknown Product")</x:f>
        <x:v>Analytics Plus</x:v>
      </x:c>
      <x:c r="S356" t="str">
        <x:f>IFERROR(XLOOKUP(F356,Lookups!$D$5:$D$10,Lookups!$F$5:$F$10),"Unknown")</x:f>
        <x:v>Analytics</x:v>
      </x:c>
      <x:c r="T356" t="str">
        <x:f>IF(L356&gt;=50000,"Enterprise",IF(L356&gt;=20000,"Mid-Market","SMB"))</x:f>
        <x:v>Enterprise</x:v>
      </x:c>
      <x:c r="U356" t="str">
        <x:f>IF(I356="Closed Won","Won",IF(I356="Closed Lost","Lost","Open"))</x:f>
        <x:v>Lost</x:v>
      </x:c>
      <x:c r="V356" s="22" t="n">
        <x:f>IF(U356="Won",L356*(1-M356),0)</x:f>
        <x:v>0</x:v>
      </x:c>
      <x:c r="W356" s="22" t="n">
        <x:f>IF(U356="Open",L356*N356,0)</x:f>
        <x:v>0</x:v>
      </x:c>
      <x:c r="X356" s="26" t="n">
        <x:f>IF(U356="Open","",IFERROR(K356-B356,""))</x:f>
        <x:v>39</x:v>
      </x:c>
      <x:c r="Y356" s="26" t="n">
        <x:f>IF(U356="Open",Lookups!$B$2-B356,X356)</x:f>
        <x:v>39</x:v>
      </x:c>
      <x:c r="Z356" t="str">
        <x:f>IF(AND(U356="Open",Y356&gt;30),"STALE","OK")</x:f>
        <x:v>OK</x:v>
      </x:c>
      <x:c r="AA356" t="str">
        <x:f>TEXT(B356,"yyyy-mm")</x:f>
        <x:v>2026-07</x:v>
      </x:c>
      <x:c r="AB356" t="str">
        <x:f>IF(K356="","",TEXT(K356,"yyyy-mm"))</x:f>
        <x:v>2026-09</x:v>
      </x:c>
      <x:c r="AC356" t="str">
        <x:f>"Q"&amp;ROUNDUP(MONTH(B356)/3,0)&amp;"-"&amp;YEAR(B356)</x:f>
        <x:v>Q3-2026</x:v>
      </x:c>
      <x:c r="AD356" s="26" t="n">
        <x:f>MIN(100,IF(H356="Enterprise",30,IF(H356="Mid-Market",22,14))+IF(T356="Enterprise",25,IF(T356="Mid-Market",18,10))+IF(Q356="Referral",25,IF(Q356="Organic Search",20,IF(Q356="Email",18,14)))+IF(G356="Technology",10,5))</x:f>
        <x:v>74</x:v>
      </x:c>
      <x:c r="AE356" t="str">
        <x:f>IF(U356&lt;&gt;"Open",U356,IF(N356&gt;=0.8,"Commit",IF(N356&gt;=0.5,"Best Case","Pipeline")))</x:f>
        <x:v>Lost</x:v>
      </x:c>
    </x:row>
    <x:row r="357">
      <x:c r="A357" t="str">
        <x:v>L00356</x:v>
      </x:c>
      <x:c r="B357" s="10" t="n">
        <x:v>46085</x:v>
      </x:c>
      <x:c r="C357" t="str">
        <x:v>Chi Le</x:v>
      </x:c>
      <x:c r="D357" t="str">
        <x:v>South</x:v>
      </x:c>
      <x:c r="E357" t="str">
        <x:v>organic search</x:v>
      </x:c>
      <x:c r="F357" t="str">
        <x:v>CRM-PRO</x:v>
      </x:c>
      <x:c r="G357" t="str">
        <x:v>Financial Services</x:v>
      </x:c>
      <x:c r="H357" t="str">
        <x:v>Mid-Market</x:v>
      </x:c>
      <x:c r="I357" t="str">
        <x:v>Negotiation</x:v>
      </x:c>
      <x:c r="J357" s="10" t="n">
        <x:v>46177</x:v>
      </x:c>
      <x:c r="K357" s="10"/>
      <x:c r="L357" s="22" t="n">
        <x:v>45400</x:v>
      </x:c>
      <x:c r="M357" s="24" t="n">
        <x:v>0.03</x:v>
      </x:c>
      <x:c r="N357" s="24" t="n">
        <x:v>0.85</x:v>
      </x:c>
      <x:c r="O357" t="str"/>
      <x:c r="P357" t="n">
        <x:v>5</x:v>
      </x:c>
      <x:c r="Q357" t="str">
        <x:f>IFERROR(XLOOKUP(E357,Lookups!$A$5:$A$24,Lookups!$B$5:$B$24),"Other")</x:f>
        <x:v>Organic Search</x:v>
      </x:c>
      <x:c r="R357" t="str">
        <x:f>IFERROR(XLOOKUP(F357,Lookups!$D$5:$D$10,Lookups!$E$5:$E$10),"Unknown Product")</x:f>
        <x:v>NexaCRM Pro</x:v>
      </x:c>
      <x:c r="S357" t="str">
        <x:f>IFERROR(XLOOKUP(F357,Lookups!$D$5:$D$10,Lookups!$F$5:$F$10),"Unknown")</x:f>
        <x:v>CRM</x:v>
      </x:c>
      <x:c r="T357" t="str">
        <x:f>IF(L357&gt;=50000,"Enterprise",IF(L357&gt;=20000,"Mid-Market","SMB"))</x:f>
        <x:v>Mid-Market</x:v>
      </x:c>
      <x:c r="U357" t="str">
        <x:f>IF(I357="Closed Won","Won",IF(I357="Closed Lost","Lost","Open"))</x:f>
        <x:v>Open</x:v>
      </x:c>
      <x:c r="V357" s="22" t="n">
        <x:f>IF(U357="Won",L357*(1-M357),0)</x:f>
        <x:v>0</x:v>
      </x:c>
      <x:c r="W357" s="22" t="n">
        <x:f>IF(U357="Open",L357*N357,0)</x:f>
        <x:v>38590</x:v>
      </x:c>
      <x:c r="X357" s="26" t="str">
        <x:f>IF(U357="Open","",IFERROR(K357-B357,""))</x:f>
      </x:c>
      <x:c r="Y357" s="26" t="n">
        <x:f>IF(U357="Open",Lookups!$B$2-B357,X357)</x:f>
        <x:v>181</x:v>
      </x:c>
      <x:c r="Z357" t="str">
        <x:f>IF(AND(U357="Open",Y357&gt;30),"STALE","OK")</x:f>
        <x:v>STALE</x:v>
      </x:c>
      <x:c r="AA357" t="str">
        <x:f>TEXT(B357,"yyyy-mm")</x:f>
        <x:v>2026-03</x:v>
      </x:c>
      <x:c r="AB357" t="str">
        <x:f>IF(K357="","",TEXT(K357,"yyyy-mm"))</x:f>
      </x:c>
      <x:c r="AC357" t="str">
        <x:f>"Q"&amp;ROUNDUP(MONTH(B357)/3,0)&amp;"-"&amp;YEAR(B357)</x:f>
        <x:v>Q1-2026</x:v>
      </x:c>
      <x:c r="AD357" s="26" t="n">
        <x:f>MIN(100,IF(H357="Enterprise",30,IF(H357="Mid-Market",22,14))+IF(T357="Enterprise",25,IF(T357="Mid-Market",18,10))+IF(Q357="Referral",25,IF(Q357="Organic Search",20,IF(Q357="Email",18,14)))+IF(G357="Technology",10,5))</x:f>
        <x:v>65</x:v>
      </x:c>
      <x:c r="AE357" t="str">
        <x:f>IF(U357&lt;&gt;"Open",U357,IF(N357&gt;=0.8,"Commit",IF(N357&gt;=0.5,"Best Case","Pipeline")))</x:f>
        <x:v>Commit</x:v>
      </x:c>
    </x:row>
    <x:row r="358">
      <x:c r="A358" t="str">
        <x:v>L00357</x:v>
      </x:c>
      <x:c r="B358" s="10" t="n">
        <x:v>46176</x:v>
      </x:c>
      <x:c r="C358" t="str">
        <x:v>Ha Vo</x:v>
      </x:c>
      <x:c r="D358" t="str">
        <x:v>North</x:v>
      </x:c>
      <x:c r="E358" t="str">
        <x:v>LI Ads</x:v>
      </x:c>
      <x:c r="F358" t="str">
        <x:v>MKT-AUTO</x:v>
      </x:c>
      <x:c r="G358" t="str">
        <x:v>Healthcare</x:v>
      </x:c>
      <x:c r="H358" t="str">
        <x:v>SMB</x:v>
      </x:c>
      <x:c r="I358" t="str">
        <x:v>Closed Lost</x:v>
      </x:c>
      <x:c r="J358" s="10" t="n">
        <x:v>46226</x:v>
      </x:c>
      <x:c r="K358" s="10" t="n">
        <x:v>46226</x:v>
      </x:c>
      <x:c r="L358" s="22" t="n">
        <x:v>15600</x:v>
      </x:c>
      <x:c r="M358" s="24" t="n">
        <x:v>0</x:v>
      </x:c>
      <x:c r="N358" s="24" t="n">
        <x:v>0</x:v>
      </x:c>
      <x:c r="O358" t="str">
        <x:v>Feature Gap</x:v>
      </x:c>
      <x:c r="P358" t="n">
        <x:v>4</x:v>
      </x:c>
      <x:c r="Q358" t="str">
        <x:f>IFERROR(XLOOKUP(E358,Lookups!$A$5:$A$24,Lookups!$B$5:$B$24),"Other")</x:f>
        <x:v>LinkedIn</x:v>
      </x:c>
      <x:c r="R358" t="str">
        <x:f>IFERROR(XLOOKUP(F358,Lookups!$D$5:$D$10,Lookups!$E$5:$E$10),"Unknown Product")</x:f>
        <x:v>Marketing Automation</x:v>
      </x:c>
      <x:c r="S358" t="str">
        <x:f>IFERROR(XLOOKUP(F358,Lookups!$D$5:$D$10,Lookups!$F$5:$F$10),"Unknown")</x:f>
        <x:v>Marketing</x:v>
      </x:c>
      <x:c r="T358" t="str">
        <x:f>IF(L358&gt;=50000,"Enterprise",IF(L358&gt;=20000,"Mid-Market","SMB"))</x:f>
        <x:v>SMB</x:v>
      </x:c>
      <x:c r="U358" t="str">
        <x:f>IF(I358="Closed Won","Won",IF(I358="Closed Lost","Lost","Open"))</x:f>
        <x:v>Lost</x:v>
      </x:c>
      <x:c r="V358" s="22" t="n">
        <x:f>IF(U358="Won",L358*(1-M358),0)</x:f>
        <x:v>0</x:v>
      </x:c>
      <x:c r="W358" s="22" t="n">
        <x:f>IF(U358="Open",L358*N358,0)</x:f>
        <x:v>0</x:v>
      </x:c>
      <x:c r="X358" s="26" t="n">
        <x:f>IF(U358="Open","",IFERROR(K358-B358,""))</x:f>
        <x:v>50</x:v>
      </x:c>
      <x:c r="Y358" s="26" t="n">
        <x:f>IF(U358="Open",Lookups!$B$2-B358,X358)</x:f>
        <x:v>50</x:v>
      </x:c>
      <x:c r="Z358" t="str">
        <x:f>IF(AND(U358="Open",Y358&gt;30),"STALE","OK")</x:f>
        <x:v>OK</x:v>
      </x:c>
      <x:c r="AA358" t="str">
        <x:f>TEXT(B358,"yyyy-mm")</x:f>
        <x:v>2026-06</x:v>
      </x:c>
      <x:c r="AB358" t="str">
        <x:f>IF(K358="","",TEXT(K358,"yyyy-mm"))</x:f>
        <x:v>2026-07</x:v>
      </x:c>
      <x:c r="AC358" t="str">
        <x:f>"Q"&amp;ROUNDUP(MONTH(B358)/3,0)&amp;"-"&amp;YEAR(B358)</x:f>
        <x:v>Q2-2026</x:v>
      </x:c>
      <x:c r="AD358" s="26" t="n">
        <x:f>MIN(100,IF(H358="Enterprise",30,IF(H358="Mid-Market",22,14))+IF(T358="Enterprise",25,IF(T358="Mid-Market",18,10))+IF(Q358="Referral",25,IF(Q358="Organic Search",20,IF(Q358="Email",18,14)))+IF(G358="Technology",10,5))</x:f>
        <x:v>43</x:v>
      </x:c>
      <x:c r="AE358" t="str">
        <x:f>IF(U358&lt;&gt;"Open",U358,IF(N358&gt;=0.8,"Commit",IF(N358&gt;=0.5,"Best Case","Pipeline")))</x:f>
        <x:v>Lost</x:v>
      </x:c>
    </x:row>
    <x:row r="359">
      <x:c r="A359" t="str">
        <x:v>L00358</x:v>
      </x:c>
      <x:c r="B359" s="10" t="n">
        <x:v>45741</x:v>
      </x:c>
      <x:c r="C359" t="str">
        <x:v>Bao Tran</x:v>
      </x:c>
      <x:c r="D359" t="str">
        <x:v>South</x:v>
      </x:c>
      <x:c r="E359" t="str">
        <x:v>Cold Email</x:v>
      </x:c>
      <x:c r="F359" t="str">
        <x:v>MKT-AUTO</x:v>
      </x:c>
      <x:c r="G359" t="str">
        <x:v>Healthcare</x:v>
      </x:c>
      <x:c r="H359" t="str">
        <x:v>Enterprise</x:v>
      </x:c>
      <x:c r="I359" t="str">
        <x:v>Closed Lost</x:v>
      </x:c>
      <x:c r="J359" s="10" t="n">
        <x:v>45774</x:v>
      </x:c>
      <x:c r="K359" s="10" t="n">
        <x:v>45774</x:v>
      </x:c>
      <x:c r="L359" s="22" t="n">
        <x:v>31200</x:v>
      </x:c>
      <x:c r="M359" s="24" t="n">
        <x:v>0</x:v>
      </x:c>
      <x:c r="N359" s="24" t="n">
        <x:v>0</x:v>
      </x:c>
      <x:c r="O359" t="str">
        <x:v>Competitor</x:v>
      </x:c>
      <x:c r="P359" t="n">
        <x:v>5</x:v>
      </x:c>
      <x:c r="Q359" t="str">
        <x:f>IFERROR(XLOOKUP(E359,Lookups!$A$5:$A$24,Lookups!$B$5:$B$24),"Other")</x:f>
        <x:v>Outbound</x:v>
      </x:c>
      <x:c r="R359" t="str">
        <x:f>IFERROR(XLOOKUP(F359,Lookups!$D$5:$D$10,Lookups!$E$5:$E$10),"Unknown Product")</x:f>
        <x:v>Marketing Automation</x:v>
      </x:c>
      <x:c r="S359" t="str">
        <x:f>IFERROR(XLOOKUP(F359,Lookups!$D$5:$D$10,Lookups!$F$5:$F$10),"Unknown")</x:f>
        <x:v>Marketing</x:v>
      </x:c>
      <x:c r="T359" t="str">
        <x:f>IF(L359&gt;=50000,"Enterprise",IF(L359&gt;=20000,"Mid-Market","SMB"))</x:f>
        <x:v>Mid-Market</x:v>
      </x:c>
      <x:c r="U359" t="str">
        <x:f>IF(I359="Closed Won","Won",IF(I359="Closed Lost","Lost","Open"))</x:f>
        <x:v>Lost</x:v>
      </x:c>
      <x:c r="V359" s="22" t="n">
        <x:f>IF(U359="Won",L359*(1-M359),0)</x:f>
        <x:v>0</x:v>
      </x:c>
      <x:c r="W359" s="22" t="n">
        <x:f>IF(U359="Open",L359*N359,0)</x:f>
        <x:v>0</x:v>
      </x:c>
      <x:c r="X359" s="26" t="n">
        <x:f>IF(U359="Open","",IFERROR(K359-B359,""))</x:f>
        <x:v>33</x:v>
      </x:c>
      <x:c r="Y359" s="26" t="n">
        <x:f>IF(U359="Open",Lookups!$B$2-B359,X359)</x:f>
        <x:v>33</x:v>
      </x:c>
      <x:c r="Z359" t="str">
        <x:f>IF(AND(U359="Open",Y359&gt;30),"STALE","OK")</x:f>
        <x:v>OK</x:v>
      </x:c>
      <x:c r="AA359" t="str">
        <x:f>TEXT(B359,"yyyy-mm")</x:f>
        <x:v>2025-03</x:v>
      </x:c>
      <x:c r="AB359" t="str">
        <x:f>IF(K359="","",TEXT(K359,"yyyy-mm"))</x:f>
        <x:v>2025-04</x:v>
      </x:c>
      <x:c r="AC359" t="str">
        <x:f>"Q"&amp;ROUNDUP(MONTH(B359)/3,0)&amp;"-"&amp;YEAR(B359)</x:f>
        <x:v>Q1-2025</x:v>
      </x:c>
      <x:c r="AD359" s="26" t="n">
        <x:f>MIN(100,IF(H359="Enterprise",30,IF(H359="Mid-Market",22,14))+IF(T359="Enterprise",25,IF(T359="Mid-Market",18,10))+IF(Q359="Referral",25,IF(Q359="Organic Search",20,IF(Q359="Email",18,14)))+IF(G359="Technology",10,5))</x:f>
        <x:v>67</x:v>
      </x:c>
      <x:c r="AE359" t="str">
        <x:f>IF(U359&lt;&gt;"Open",U359,IF(N359&gt;=0.8,"Commit",IF(N359&gt;=0.5,"Best Case","Pipeline")))</x:f>
        <x:v>Lost</x:v>
      </x:c>
    </x:row>
    <x:row r="360">
      <x:c r="A360" t="str">
        <x:v>L00359</x:v>
      </x:c>
      <x:c r="B360" s="10" t="n">
        <x:v>46071</x:v>
      </x:c>
      <x:c r="C360" t="str">
        <x:v>An Nguyen</x:v>
      </x:c>
      <x:c r="D360" t="str">
        <x:v>South</x:v>
      </x:c>
      <x:c r="E360" t="str">
        <x:v>organic search</x:v>
      </x:c>
      <x:c r="F360" t="str">
        <x:v>CRM-CORE</x:v>
      </x:c>
      <x:c r="G360" t="str">
        <x:v>Financial Services</x:v>
      </x:c>
      <x:c r="H360" t="str">
        <x:v>Mid-Market</x:v>
      </x:c>
      <x:c r="I360" t="str">
        <x:v>Negotiation</x:v>
      </x:c>
      <x:c r="J360" s="10" t="n">
        <x:v>46241</x:v>
      </x:c>
      <x:c r="K360" s="10"/>
      <x:c r="L360" s="22" t="n">
        <x:v>16100</x:v>
      </x:c>
      <x:c r="M360" s="24" t="n">
        <x:v>0</x:v>
      </x:c>
      <x:c r="N360" s="24" t="n">
        <x:v>0.85</x:v>
      </x:c>
      <x:c r="O360" t="str"/>
      <x:c r="P360" t="n">
        <x:v>5</x:v>
      </x:c>
      <x:c r="Q360" t="str">
        <x:f>IFERROR(XLOOKUP(E360,Lookups!$A$5:$A$24,Lookups!$B$5:$B$24),"Other")</x:f>
        <x:v>Organic Search</x:v>
      </x:c>
      <x:c r="R360" t="str">
        <x:f>IFERROR(XLOOKUP(F360,Lookups!$D$5:$D$10,Lookups!$E$5:$E$10),"Unknown Product")</x:f>
        <x:v>NexaCRM Core</x:v>
      </x:c>
      <x:c r="S360" t="str">
        <x:f>IFERROR(XLOOKUP(F360,Lookups!$D$5:$D$10,Lookups!$F$5:$F$10),"Unknown")</x:f>
        <x:v>CRM</x:v>
      </x:c>
      <x:c r="T360" t="str">
        <x:f>IF(L360&gt;=50000,"Enterprise",IF(L360&gt;=20000,"Mid-Market","SMB"))</x:f>
        <x:v>SMB</x:v>
      </x:c>
      <x:c r="U360" t="str">
        <x:f>IF(I360="Closed Won","Won",IF(I360="Closed Lost","Lost","Open"))</x:f>
        <x:v>Open</x:v>
      </x:c>
      <x:c r="V360" s="22" t="n">
        <x:f>IF(U360="Won",L360*(1-M360),0)</x:f>
        <x:v>0</x:v>
      </x:c>
      <x:c r="W360" s="22" t="n">
        <x:f>IF(U360="Open",L360*N360,0)</x:f>
        <x:v>13685</x:v>
      </x:c>
      <x:c r="X360" s="26" t="str">
        <x:f>IF(U360="Open","",IFERROR(K360-B360,""))</x:f>
      </x:c>
      <x:c r="Y360" s="26" t="n">
        <x:f>IF(U360="Open",Lookups!$B$2-B360,X360)</x:f>
        <x:v>195</x:v>
      </x:c>
      <x:c r="Z360" t="str">
        <x:f>IF(AND(U360="Open",Y360&gt;30),"STALE","OK")</x:f>
        <x:v>STALE</x:v>
      </x:c>
      <x:c r="AA360" t="str">
        <x:f>TEXT(B360,"yyyy-mm")</x:f>
        <x:v>2026-02</x:v>
      </x:c>
      <x:c r="AB360" t="str">
        <x:f>IF(K360="","",TEXT(K360,"yyyy-mm"))</x:f>
      </x:c>
      <x:c r="AC360" t="str">
        <x:f>"Q"&amp;ROUNDUP(MONTH(B360)/3,0)&amp;"-"&amp;YEAR(B360)</x:f>
        <x:v>Q1-2026</x:v>
      </x:c>
      <x:c r="AD360" s="26" t="n">
        <x:f>MIN(100,IF(H360="Enterprise",30,IF(H360="Mid-Market",22,14))+IF(T360="Enterprise",25,IF(T360="Mid-Market",18,10))+IF(Q360="Referral",25,IF(Q360="Organic Search",20,IF(Q360="Email",18,14)))+IF(G360="Technology",10,5))</x:f>
        <x:v>57</x:v>
      </x:c>
      <x:c r="AE360" t="str">
        <x:f>IF(U360&lt;&gt;"Open",U360,IF(N360&gt;=0.8,"Commit",IF(N360&gt;=0.5,"Best Case","Pipeline")))</x:f>
        <x:v>Commit</x:v>
      </x:c>
    </x:row>
    <x:row r="361">
      <x:c r="A361" t="str">
        <x:v>L00360</x:v>
      </x:c>
      <x:c r="B361" s="10" t="n">
        <x:v>45827</x:v>
      </x:c>
      <x:c r="C361" t="str">
        <x:v>Minh Do</x:v>
      </x:c>
      <x:c r="D361" t="str">
        <x:v>North</x:v>
      </x:c>
      <x:c r="E361" t="str">
        <x:v>Partner Referral</x:v>
      </x:c>
      <x:c r="F361" t="str">
        <x:v>BI-PLUS</x:v>
      </x:c>
      <x:c r="G361" t="str">
        <x:v>Retail</x:v>
      </x:c>
      <x:c r="H361" t="str">
        <x:v>Mid-Market</x:v>
      </x:c>
      <x:c r="I361" t="str">
        <x:v>Closed Lost</x:v>
      </x:c>
      <x:c r="J361" s="10" t="n">
        <x:v>45876</x:v>
      </x:c>
      <x:c r="K361" s="10" t="n">
        <x:v>45876</x:v>
      </x:c>
      <x:c r="L361" s="22" t="n">
        <x:v>37000</x:v>
      </x:c>
      <x:c r="M361" s="24" t="n">
        <x:v>0</x:v>
      </x:c>
      <x:c r="N361" s="24" t="n">
        <x:v>0</x:v>
      </x:c>
      <x:c r="O361" t="str">
        <x:v>Timing</x:v>
      </x:c>
      <x:c r="P361" t="n">
        <x:v>4</x:v>
      </x:c>
      <x:c r="Q361" t="str">
        <x:f>IFERROR(XLOOKUP(E361,Lookups!$A$5:$A$24,Lookups!$B$5:$B$24),"Other")</x:f>
        <x:v>Referral</x:v>
      </x:c>
      <x:c r="R361" t="str">
        <x:f>IFERROR(XLOOKUP(F361,Lookups!$D$5:$D$10,Lookups!$E$5:$E$10),"Unknown Product")</x:f>
        <x:v>Analytics Plus</x:v>
      </x:c>
      <x:c r="S361" t="str">
        <x:f>IFERROR(XLOOKUP(F361,Lookups!$D$5:$D$10,Lookups!$F$5:$F$10),"Unknown")</x:f>
        <x:v>Analytics</x:v>
      </x:c>
      <x:c r="T361" t="str">
        <x:f>IF(L361&gt;=50000,"Enterprise",IF(L361&gt;=20000,"Mid-Market","SMB"))</x:f>
        <x:v>Mid-Market</x:v>
      </x:c>
      <x:c r="U361" t="str">
        <x:f>IF(I361="Closed Won","Won",IF(I361="Closed Lost","Lost","Open"))</x:f>
        <x:v>Lost</x:v>
      </x:c>
      <x:c r="V361" s="22" t="n">
        <x:f>IF(U361="Won",L361*(1-M361),0)</x:f>
        <x:v>0</x:v>
      </x:c>
      <x:c r="W361" s="22" t="n">
        <x:f>IF(U361="Open",L361*N361,0)</x:f>
        <x:v>0</x:v>
      </x:c>
      <x:c r="X361" s="26" t="n">
        <x:f>IF(U361="Open","",IFERROR(K361-B361,""))</x:f>
        <x:v>49</x:v>
      </x:c>
      <x:c r="Y361" s="26" t="n">
        <x:f>IF(U361="Open",Lookups!$B$2-B361,X361)</x:f>
        <x:v>49</x:v>
      </x:c>
      <x:c r="Z361" t="str">
        <x:f>IF(AND(U361="Open",Y361&gt;30),"STALE","OK")</x:f>
        <x:v>OK</x:v>
      </x:c>
      <x:c r="AA361" t="str">
        <x:f>TEXT(B361,"yyyy-mm")</x:f>
        <x:v>2025-06</x:v>
      </x:c>
      <x:c r="AB361" t="str">
        <x:f>IF(K361="","",TEXT(K361,"yyyy-mm"))</x:f>
        <x:v>2025-08</x:v>
      </x:c>
      <x:c r="AC361" t="str">
        <x:f>"Q"&amp;ROUNDUP(MONTH(B361)/3,0)&amp;"-"&amp;YEAR(B361)</x:f>
        <x:v>Q2-2025</x:v>
      </x:c>
      <x:c r="AD361" s="26" t="n">
        <x:f>MIN(100,IF(H361="Enterprise",30,IF(H361="Mid-Market",22,14))+IF(T361="Enterprise",25,IF(T361="Mid-Market",18,10))+IF(Q361="Referral",25,IF(Q361="Organic Search",20,IF(Q361="Email",18,14)))+IF(G361="Technology",10,5))</x:f>
        <x:v>70</x:v>
      </x:c>
      <x:c r="AE361" t="str">
        <x:f>IF(U361&lt;&gt;"Open",U361,IF(N361&gt;=0.8,"Commit",IF(N361&gt;=0.5,"Best Case","Pipeline")))</x:f>
        <x:v>Lost</x:v>
      </x:c>
    </x:row>
    <x:row r="362">
      <x:c r="A362" t="str">
        <x:v>L00361</x:v>
      </x:c>
      <x:c r="B362" s="10" t="n">
        <x:v>46191</x:v>
      </x:c>
      <x:c r="C362" t="str">
        <x:v>Duy Pham</x:v>
      </x:c>
      <x:c r="D362" t="str">
        <x:v>South</x:v>
      </x:c>
      <x:c r="E362" t="str">
        <x:v>SEO</x:v>
      </x:c>
      <x:c r="F362" t="str">
        <x:v>CRM-PRO</x:v>
      </x:c>
      <x:c r="G362" t="str">
        <x:v>Healthcare</x:v>
      </x:c>
      <x:c r="H362" t="str">
        <x:v>Mid-Market</x:v>
      </x:c>
      <x:c r="I362" t="str">
        <x:v>Closed Won</x:v>
      </x:c>
      <x:c r="J362" s="10" t="n">
        <x:v>46246</x:v>
      </x:c>
      <x:c r="K362" s="10" t="n">
        <x:v>46246</x:v>
      </x:c>
      <x:c r="L362" s="22" t="n">
        <x:v>35800</x:v>
      </x:c>
      <x:c r="M362" s="24" t="n">
        <x:v>0.1</x:v>
      </x:c>
      <x:c r="N362" s="24" t="n">
        <x:v>1</x:v>
      </x:c>
      <x:c r="O362" t="str"/>
      <x:c r="P362" t="n">
        <x:v>6</x:v>
      </x:c>
      <x:c r="Q362" t="str">
        <x:f>IFERROR(XLOOKUP(E362,Lookups!$A$5:$A$24,Lookups!$B$5:$B$24),"Other")</x:f>
        <x:v>Organic Search</x:v>
      </x:c>
      <x:c r="R362" t="str">
        <x:f>IFERROR(XLOOKUP(F362,Lookups!$D$5:$D$10,Lookups!$E$5:$E$10),"Unknown Product")</x:f>
        <x:v>NexaCRM Pro</x:v>
      </x:c>
      <x:c r="S362" t="str">
        <x:f>IFERROR(XLOOKUP(F362,Lookups!$D$5:$D$10,Lookups!$F$5:$F$10),"Unknown")</x:f>
        <x:v>CRM</x:v>
      </x:c>
      <x:c r="T362" t="str">
        <x:f>IF(L362&gt;=50000,"Enterprise",IF(L362&gt;=20000,"Mid-Market","SMB"))</x:f>
        <x:v>Mid-Market</x:v>
      </x:c>
      <x:c r="U362" t="str">
        <x:f>IF(I362="Closed Won","Won",IF(I362="Closed Lost","Lost","Open"))</x:f>
        <x:v>Won</x:v>
      </x:c>
      <x:c r="V362" s="22" t="n">
        <x:f>IF(U362="Won",L362*(1-M362),0)</x:f>
        <x:v>32220</x:v>
      </x:c>
      <x:c r="W362" s="22" t="n">
        <x:f>IF(U362="Open",L362*N362,0)</x:f>
        <x:v>0</x:v>
      </x:c>
      <x:c r="X362" s="26" t="n">
        <x:f>IF(U362="Open","",IFERROR(K362-B362,""))</x:f>
        <x:v>55</x:v>
      </x:c>
      <x:c r="Y362" s="26" t="n">
        <x:f>IF(U362="Open",Lookups!$B$2-B362,X362)</x:f>
        <x:v>55</x:v>
      </x:c>
      <x:c r="Z362" t="str">
        <x:f>IF(AND(U362="Open",Y362&gt;30),"STALE","OK")</x:f>
        <x:v>OK</x:v>
      </x:c>
      <x:c r="AA362" t="str">
        <x:f>TEXT(B362,"yyyy-mm")</x:f>
        <x:v>2026-06</x:v>
      </x:c>
      <x:c r="AB362" t="str">
        <x:f>IF(K362="","",TEXT(K362,"yyyy-mm"))</x:f>
        <x:v>2026-08</x:v>
      </x:c>
      <x:c r="AC362" t="str">
        <x:f>"Q"&amp;ROUNDUP(MONTH(B362)/3,0)&amp;"-"&amp;YEAR(B362)</x:f>
        <x:v>Q2-2026</x:v>
      </x:c>
      <x:c r="AD362" s="26" t="n">
        <x:f>MIN(100,IF(H362="Enterprise",30,IF(H362="Mid-Market",22,14))+IF(T362="Enterprise",25,IF(T362="Mid-Market",18,10))+IF(Q362="Referral",25,IF(Q362="Organic Search",20,IF(Q362="Email",18,14)))+IF(G362="Technology",10,5))</x:f>
        <x:v>65</x:v>
      </x:c>
      <x:c r="AE362" t="str">
        <x:f>IF(U362&lt;&gt;"Open",U362,IF(N362&gt;=0.8,"Commit",IF(N362&gt;=0.5,"Best Case","Pipeline")))</x:f>
        <x:v>Won</x:v>
      </x:c>
    </x:row>
    <x:row r="363">
      <x:c r="A363" t="str">
        <x:v>L00362</x:v>
      </x:c>
      <x:c r="B363" s="10" t="n">
        <x:v>45902</x:v>
      </x:c>
      <x:c r="C363" t="str">
        <x:v>Tuan Bui</x:v>
      </x:c>
      <x:c r="D363" t="str">
        <x:v>Central</x:v>
      </x:c>
      <x:c r="E363" t="str">
        <x:v>Outbound</x:v>
      </x:c>
      <x:c r="F363" t="str">
        <x:v>CRM-PRO</x:v>
      </x:c>
      <x:c r="G363" t="str">
        <x:v>Financial Services</x:v>
      </x:c>
      <x:c r="H363" t="str">
        <x:v>SMB</x:v>
      </x:c>
      <x:c r="I363" t="str">
        <x:v>Negotiation</x:v>
      </x:c>
      <x:c r="J363" s="10" t="n">
        <x:v>46165</x:v>
      </x:c>
      <x:c r="K363" s="10"/>
      <x:c r="L363" s="22" t="n">
        <x:v>16400</x:v>
      </x:c>
      <x:c r="M363" s="24" t="n">
        <x:v>0</x:v>
      </x:c>
      <x:c r="N363" s="24" t="n">
        <x:v>0.85</x:v>
      </x:c>
      <x:c r="O363" t="str"/>
      <x:c r="P363" t="n">
        <x:v>5</x:v>
      </x:c>
      <x:c r="Q363" t="str">
        <x:f>IFERROR(XLOOKUP(E363,Lookups!$A$5:$A$24,Lookups!$B$5:$B$24),"Other")</x:f>
        <x:v>Outbound</x:v>
      </x:c>
      <x:c r="R363" t="str">
        <x:f>IFERROR(XLOOKUP(F363,Lookups!$D$5:$D$10,Lookups!$E$5:$E$10),"Unknown Product")</x:f>
        <x:v>NexaCRM Pro</x:v>
      </x:c>
      <x:c r="S363" t="str">
        <x:f>IFERROR(XLOOKUP(F363,Lookups!$D$5:$D$10,Lookups!$F$5:$F$10),"Unknown")</x:f>
        <x:v>CRM</x:v>
      </x:c>
      <x:c r="T363" t="str">
        <x:f>IF(L363&gt;=50000,"Enterprise",IF(L363&gt;=20000,"Mid-Market","SMB"))</x:f>
        <x:v>SMB</x:v>
      </x:c>
      <x:c r="U363" t="str">
        <x:f>IF(I363="Closed Won","Won",IF(I363="Closed Lost","Lost","Open"))</x:f>
        <x:v>Open</x:v>
      </x:c>
      <x:c r="V363" s="22" t="n">
        <x:f>IF(U363="Won",L363*(1-M363),0)</x:f>
        <x:v>0</x:v>
      </x:c>
      <x:c r="W363" s="22" t="n">
        <x:f>IF(U363="Open",L363*N363,0)</x:f>
        <x:v>13940</x:v>
      </x:c>
      <x:c r="X363" s="26" t="str">
        <x:f>IF(U363="Open","",IFERROR(K363-B363,""))</x:f>
      </x:c>
      <x:c r="Y363" s="26" t="n">
        <x:f>IF(U363="Open",Lookups!$B$2-B363,X363)</x:f>
        <x:v>364</x:v>
      </x:c>
      <x:c r="Z363" t="str">
        <x:f>IF(AND(U363="Open",Y363&gt;30),"STALE","OK")</x:f>
        <x:v>STALE</x:v>
      </x:c>
      <x:c r="AA363" t="str">
        <x:f>TEXT(B363,"yyyy-mm")</x:f>
        <x:v>2025-09</x:v>
      </x:c>
      <x:c r="AB363" t="str">
        <x:f>IF(K363="","",TEXT(K363,"yyyy-mm"))</x:f>
      </x:c>
      <x:c r="AC363" t="str">
        <x:f>"Q"&amp;ROUNDUP(MONTH(B363)/3,0)&amp;"-"&amp;YEAR(B363)</x:f>
        <x:v>Q3-2025</x:v>
      </x:c>
      <x:c r="AD363" s="26" t="n">
        <x:f>MIN(100,IF(H363="Enterprise",30,IF(H363="Mid-Market",22,14))+IF(T363="Enterprise",25,IF(T363="Mid-Market",18,10))+IF(Q363="Referral",25,IF(Q363="Organic Search",20,IF(Q363="Email",18,14)))+IF(G363="Technology",10,5))</x:f>
        <x:v>43</x:v>
      </x:c>
      <x:c r="AE363" t="str">
        <x:f>IF(U363&lt;&gt;"Open",U363,IF(N363&gt;=0.8,"Commit",IF(N363&gt;=0.5,"Best Case","Pipeline")))</x:f>
        <x:v>Commit</x:v>
      </x:c>
    </x:row>
    <x:row r="364">
      <x:c r="A364" t="str">
        <x:v>L00363</x:v>
      </x:c>
      <x:c r="B364" s="10" t="n">
        <x:v>45759</x:v>
      </x:c>
      <x:c r="C364" t="str">
        <x:v>Bao Tran</x:v>
      </x:c>
      <x:c r="D364" t="str">
        <x:v>South</x:v>
      </x:c>
      <x:c r="E364" t="str">
        <x:v>Referral</x:v>
      </x:c>
      <x:c r="F364" t="str">
        <x:v>CRM-PRO</x:v>
      </x:c>
      <x:c r="G364" t="str">
        <x:v>Professional Services</x:v>
      </x:c>
      <x:c r="H364" t="str">
        <x:v>Enterprise</x:v>
      </x:c>
      <x:c r="I364" t="str">
        <x:v>Closed Won</x:v>
      </x:c>
      <x:c r="J364" s="10" t="n">
        <x:v>45838</x:v>
      </x:c>
      <x:c r="K364" s="10" t="n">
        <x:v>45838</x:v>
      </x:c>
      <x:c r="L364" s="22" t="n">
        <x:v>63700</x:v>
      </x:c>
      <x:c r="M364" s="24" t="n">
        <x:v>0.03</x:v>
      </x:c>
      <x:c r="N364" s="24" t="n">
        <x:v>1</x:v>
      </x:c>
      <x:c r="O364" t="str"/>
      <x:c r="P364" t="n">
        <x:v>6</x:v>
      </x:c>
      <x:c r="Q364" t="str">
        <x:f>IFERROR(XLOOKUP(E364,Lookups!$A$5:$A$24,Lookups!$B$5:$B$24),"Other")</x:f>
        <x:v>Referral</x:v>
      </x:c>
      <x:c r="R364" t="str">
        <x:f>IFERROR(XLOOKUP(F364,Lookups!$D$5:$D$10,Lookups!$E$5:$E$10),"Unknown Product")</x:f>
        <x:v>NexaCRM Pro</x:v>
      </x:c>
      <x:c r="S364" t="str">
        <x:f>IFERROR(XLOOKUP(F364,Lookups!$D$5:$D$10,Lookups!$F$5:$F$10),"Unknown")</x:f>
        <x:v>CRM</x:v>
      </x:c>
      <x:c r="T364" t="str">
        <x:f>IF(L364&gt;=50000,"Enterprise",IF(L364&gt;=20000,"Mid-Market","SMB"))</x:f>
        <x:v>Enterprise</x:v>
      </x:c>
      <x:c r="U364" t="str">
        <x:f>IF(I364="Closed Won","Won",IF(I364="Closed Lost","Lost","Open"))</x:f>
        <x:v>Won</x:v>
      </x:c>
      <x:c r="V364" s="22" t="n">
        <x:f>IF(U364="Won",L364*(1-M364),0)</x:f>
        <x:v>61789</x:v>
      </x:c>
      <x:c r="W364" s="22" t="n">
        <x:f>IF(U364="Open",L364*N364,0)</x:f>
        <x:v>0</x:v>
      </x:c>
      <x:c r="X364" s="26" t="n">
        <x:f>IF(U364="Open","",IFERROR(K364-B364,""))</x:f>
        <x:v>79</x:v>
      </x:c>
      <x:c r="Y364" s="26" t="n">
        <x:f>IF(U364="Open",Lookups!$B$2-B364,X364)</x:f>
        <x:v>79</x:v>
      </x:c>
      <x:c r="Z364" t="str">
        <x:f>IF(AND(U364="Open",Y364&gt;30),"STALE","OK")</x:f>
        <x:v>OK</x:v>
      </x:c>
      <x:c r="AA364" t="str">
        <x:f>TEXT(B364,"yyyy-mm")</x:f>
        <x:v>2025-04</x:v>
      </x:c>
      <x:c r="AB364" t="str">
        <x:f>IF(K364="","",TEXT(K364,"yyyy-mm"))</x:f>
        <x:v>2025-06</x:v>
      </x:c>
      <x:c r="AC364" t="str">
        <x:f>"Q"&amp;ROUNDUP(MONTH(B364)/3,0)&amp;"-"&amp;YEAR(B364)</x:f>
        <x:v>Q2-2025</x:v>
      </x:c>
      <x:c r="AD364" s="26" t="n">
        <x:f>MIN(100,IF(H364="Enterprise",30,IF(H364="Mid-Market",22,14))+IF(T364="Enterprise",25,IF(T364="Mid-Market",18,10))+IF(Q364="Referral",25,IF(Q364="Organic Search",20,IF(Q364="Email",18,14)))+IF(G364="Technology",10,5))</x:f>
        <x:v>85</x:v>
      </x:c>
      <x:c r="AE364" t="str">
        <x:f>IF(U364&lt;&gt;"Open",U364,IF(N364&gt;=0.8,"Commit",IF(N364&gt;=0.5,"Best Case","Pipeline")))</x:f>
        <x:v>Won</x:v>
      </x:c>
    </x:row>
    <x:row r="365">
      <x:c r="A365" t="str">
        <x:v>L00364</x:v>
      </x:c>
      <x:c r="B365" s="10" t="n">
        <x:v>46192</x:v>
      </x:c>
      <x:c r="C365" t="str">
        <x:v>Quynh Vu</x:v>
      </x:c>
      <x:c r="D365" t="str">
        <x:v>North</x:v>
      </x:c>
      <x:c r="E365" t="str">
        <x:v>SEO</x:v>
      </x:c>
      <x:c r="F365" t="str">
        <x:v>MKT-AUTO</x:v>
      </x:c>
      <x:c r="G365" t="str">
        <x:v>Education</x:v>
      </x:c>
      <x:c r="H365" t="str">
        <x:v>SMB</x:v>
      </x:c>
      <x:c r="I365" t="str">
        <x:v>Closed Won</x:v>
      </x:c>
      <x:c r="J365" s="10" t="n">
        <x:v>46236</x:v>
      </x:c>
      <x:c r="K365" s="10" t="n">
        <x:v>46236</x:v>
      </x:c>
      <x:c r="L365" s="22" t="n">
        <x:v>17300</x:v>
      </x:c>
      <x:c r="M365" s="24" t="n">
        <x:v>0.03</x:v>
      </x:c>
      <x:c r="N365" s="24" t="n">
        <x:v>1</x:v>
      </x:c>
      <x:c r="O365" t="str"/>
      <x:c r="P365" t="n">
        <x:v>6</x:v>
      </x:c>
      <x:c r="Q365" t="str">
        <x:f>IFERROR(XLOOKUP(E365,Lookups!$A$5:$A$24,Lookups!$B$5:$B$24),"Other")</x:f>
        <x:v>Organic Search</x:v>
      </x:c>
      <x:c r="R365" t="str">
        <x:f>IFERROR(XLOOKUP(F365,Lookups!$D$5:$D$10,Lookups!$E$5:$E$10),"Unknown Product")</x:f>
        <x:v>Marketing Automation</x:v>
      </x:c>
      <x:c r="S365" t="str">
        <x:f>IFERROR(XLOOKUP(F365,Lookups!$D$5:$D$10,Lookups!$F$5:$F$10),"Unknown")</x:f>
        <x:v>Marketing</x:v>
      </x:c>
      <x:c r="T365" t="str">
        <x:f>IF(L365&gt;=50000,"Enterprise",IF(L365&gt;=20000,"Mid-Market","SMB"))</x:f>
        <x:v>SMB</x:v>
      </x:c>
      <x:c r="U365" t="str">
        <x:f>IF(I365="Closed Won","Won",IF(I365="Closed Lost","Lost","Open"))</x:f>
        <x:v>Won</x:v>
      </x:c>
      <x:c r="V365" s="22" t="n">
        <x:f>IF(U365="Won",L365*(1-M365),0)</x:f>
        <x:v>16781</x:v>
      </x:c>
      <x:c r="W365" s="22" t="n">
        <x:f>IF(U365="Open",L365*N365,0)</x:f>
        <x:v>0</x:v>
      </x:c>
      <x:c r="X365" s="26" t="n">
        <x:f>IF(U365="Open","",IFERROR(K365-B365,""))</x:f>
        <x:v>44</x:v>
      </x:c>
      <x:c r="Y365" s="26" t="n">
        <x:f>IF(U365="Open",Lookups!$B$2-B365,X365)</x:f>
        <x:v>44</x:v>
      </x:c>
      <x:c r="Z365" t="str">
        <x:f>IF(AND(U365="Open",Y365&gt;30),"STALE","OK")</x:f>
        <x:v>OK</x:v>
      </x:c>
      <x:c r="AA365" t="str">
        <x:f>TEXT(B365,"yyyy-mm")</x:f>
        <x:v>2026-06</x:v>
      </x:c>
      <x:c r="AB365" t="str">
        <x:f>IF(K365="","",TEXT(K365,"yyyy-mm"))</x:f>
        <x:v>2026-08</x:v>
      </x:c>
      <x:c r="AC365" t="str">
        <x:f>"Q"&amp;ROUNDUP(MONTH(B365)/3,0)&amp;"-"&amp;YEAR(B365)</x:f>
        <x:v>Q2-2026</x:v>
      </x:c>
      <x:c r="AD365" s="26" t="n">
        <x:f>MIN(100,IF(H365="Enterprise",30,IF(H365="Mid-Market",22,14))+IF(T365="Enterprise",25,IF(T365="Mid-Market",18,10))+IF(Q365="Referral",25,IF(Q365="Organic Search",20,IF(Q365="Email",18,14)))+IF(G365="Technology",10,5))</x:f>
        <x:v>49</x:v>
      </x:c>
      <x:c r="AE365" t="str">
        <x:f>IF(U365&lt;&gt;"Open",U365,IF(N365&gt;=0.8,"Commit",IF(N365&gt;=0.5,"Best Case","Pipeline")))</x:f>
        <x:v>Won</x:v>
      </x:c>
    </x:row>
    <x:row r="366">
      <x:c r="A366" t="str">
        <x:v>L00365</x:v>
      </x:c>
      <x:c r="B366" s="10" t="n">
        <x:v>46058</x:v>
      </x:c>
      <x:c r="C366" t="str">
        <x:v>Ha Vo</x:v>
      </x:c>
      <x:c r="D366" t="str">
        <x:v>North</x:v>
      </x:c>
      <x:c r="E366" t="str">
        <x:v>linkedin</x:v>
      </x:c>
      <x:c r="F366" t="str">
        <x:v>CRM-CORE</x:v>
      </x:c>
      <x:c r="G366" t="str">
        <x:v>Technology</x:v>
      </x:c>
      <x:c r="H366" t="str">
        <x:v>SMB</x:v>
      </x:c>
      <x:c r="I366" t="str">
        <x:v>Closed Lost</x:v>
      </x:c>
      <x:c r="J366" s="10" t="n">
        <x:v>46108</x:v>
      </x:c>
      <x:c r="K366" s="10" t="n">
        <x:v>46108</x:v>
      </x:c>
      <x:c r="L366" s="22" t="n">
        <x:v>10000</x:v>
      </x:c>
      <x:c r="M366" s="24" t="n">
        <x:v>0</x:v>
      </x:c>
      <x:c r="N366" s="24" t="n">
        <x:v>0</x:v>
      </x:c>
      <x:c r="O366" t="str">
        <x:v>Feature Gap</x:v>
      </x:c>
      <x:c r="P366" t="n">
        <x:v>3</x:v>
      </x:c>
      <x:c r="Q366" t="str">
        <x:f>IFERROR(XLOOKUP(E366,Lookups!$A$5:$A$24,Lookups!$B$5:$B$24),"Other")</x:f>
        <x:v>LinkedIn</x:v>
      </x:c>
      <x:c r="R366" t="str">
        <x:f>IFERROR(XLOOKUP(F366,Lookups!$D$5:$D$10,Lookups!$E$5:$E$10),"Unknown Product")</x:f>
        <x:v>NexaCRM Core</x:v>
      </x:c>
      <x:c r="S366" t="str">
        <x:f>IFERROR(XLOOKUP(F366,Lookups!$D$5:$D$10,Lookups!$F$5:$F$10),"Unknown")</x:f>
        <x:v>CRM</x:v>
      </x:c>
      <x:c r="T366" t="str">
        <x:f>IF(L366&gt;=50000,"Enterprise",IF(L366&gt;=20000,"Mid-Market","SMB"))</x:f>
        <x:v>SMB</x:v>
      </x:c>
      <x:c r="U366" t="str">
        <x:f>IF(I366="Closed Won","Won",IF(I366="Closed Lost","Lost","Open"))</x:f>
        <x:v>Lost</x:v>
      </x:c>
      <x:c r="V366" s="22" t="n">
        <x:f>IF(U366="Won",L366*(1-M366),0)</x:f>
        <x:v>0</x:v>
      </x:c>
      <x:c r="W366" s="22" t="n">
        <x:f>IF(U366="Open",L366*N366,0)</x:f>
        <x:v>0</x:v>
      </x:c>
      <x:c r="X366" s="26" t="n">
        <x:f>IF(U366="Open","",IFERROR(K366-B366,""))</x:f>
        <x:v>50</x:v>
      </x:c>
      <x:c r="Y366" s="26" t="n">
        <x:f>IF(U366="Open",Lookups!$B$2-B366,X366)</x:f>
        <x:v>50</x:v>
      </x:c>
      <x:c r="Z366" t="str">
        <x:f>IF(AND(U366="Open",Y366&gt;30),"STALE","OK")</x:f>
        <x:v>OK</x:v>
      </x:c>
      <x:c r="AA366" t="str">
        <x:f>TEXT(B366,"yyyy-mm")</x:f>
        <x:v>2026-02</x:v>
      </x:c>
      <x:c r="AB366" t="str">
        <x:f>IF(K366="","",TEXT(K366,"yyyy-mm"))</x:f>
        <x:v>2026-03</x:v>
      </x:c>
      <x:c r="AC366" t="str">
        <x:f>"Q"&amp;ROUNDUP(MONTH(B366)/3,0)&amp;"-"&amp;YEAR(B366)</x:f>
        <x:v>Q1-2026</x:v>
      </x:c>
      <x:c r="AD366" s="26" t="n">
        <x:f>MIN(100,IF(H366="Enterprise",30,IF(H366="Mid-Market",22,14))+IF(T366="Enterprise",25,IF(T366="Mid-Market",18,10))+IF(Q366="Referral",25,IF(Q366="Organic Search",20,IF(Q366="Email",18,14)))+IF(G366="Technology",10,5))</x:f>
        <x:v>48</x:v>
      </x:c>
      <x:c r="AE366" t="str">
        <x:f>IF(U366&lt;&gt;"Open",U366,IF(N366&gt;=0.8,"Commit",IF(N366&gt;=0.5,"Best Case","Pipeline")))</x:f>
        <x:v>Lost</x:v>
      </x:c>
    </x:row>
    <x:row r="367">
      <x:c r="A367" t="str">
        <x:v>L00366</x:v>
      </x:c>
      <x:c r="B367" s="10" t="n">
        <x:v>46030</x:v>
      </x:c>
      <x:c r="C367" t="str">
        <x:v>Ha Vo</x:v>
      </x:c>
      <x:c r="D367" t="str">
        <x:v>North</x:v>
      </x:c>
      <x:c r="E367" t="str">
        <x:v>SEO</x:v>
      </x:c>
      <x:c r="F367" t="str">
        <x:v>MKT-AUTO</x:v>
      </x:c>
      <x:c r="G367" t="str">
        <x:v>Technology</x:v>
      </x:c>
      <x:c r="H367" t="str">
        <x:v>Mid-Market</x:v>
      </x:c>
      <x:c r="I367" t="str">
        <x:v>Closed Lost</x:v>
      </x:c>
      <x:c r="J367" s="10" t="n">
        <x:v>46097</x:v>
      </x:c>
      <x:c r="K367" s="10" t="n">
        <x:v>46097</x:v>
      </x:c>
      <x:c r="L367" s="22" t="n">
        <x:v>31900</x:v>
      </x:c>
      <x:c r="M367" s="24" t="n">
        <x:v>0</x:v>
      </x:c>
      <x:c r="N367" s="24" t="n">
        <x:v>0</x:v>
      </x:c>
      <x:c r="O367" t="str">
        <x:v>Timing</x:v>
      </x:c>
      <x:c r="P367" t="n">
        <x:v>5</x:v>
      </x:c>
      <x:c r="Q367" t="str">
        <x:f>IFERROR(XLOOKUP(E367,Lookups!$A$5:$A$24,Lookups!$B$5:$B$24),"Other")</x:f>
        <x:v>Organic Search</x:v>
      </x:c>
      <x:c r="R367" t="str">
        <x:f>IFERROR(XLOOKUP(F367,Lookups!$D$5:$D$10,Lookups!$E$5:$E$10),"Unknown Product")</x:f>
        <x:v>Marketing Automation</x:v>
      </x:c>
      <x:c r="S367" t="str">
        <x:f>IFERROR(XLOOKUP(F367,Lookups!$D$5:$D$10,Lookups!$F$5:$F$10),"Unknown")</x:f>
        <x:v>Marketing</x:v>
      </x:c>
      <x:c r="T367" t="str">
        <x:f>IF(L367&gt;=50000,"Enterprise",IF(L367&gt;=20000,"Mid-Market","SMB"))</x:f>
        <x:v>Mid-Market</x:v>
      </x:c>
      <x:c r="U367" t="str">
        <x:f>IF(I367="Closed Won","Won",IF(I367="Closed Lost","Lost","Open"))</x:f>
        <x:v>Lost</x:v>
      </x:c>
      <x:c r="V367" s="22" t="n">
        <x:f>IF(U367="Won",L367*(1-M367),0)</x:f>
        <x:v>0</x:v>
      </x:c>
      <x:c r="W367" s="22" t="n">
        <x:f>IF(U367="Open",L367*N367,0)</x:f>
        <x:v>0</x:v>
      </x:c>
      <x:c r="X367" s="26" t="n">
        <x:f>IF(U367="Open","",IFERROR(K367-B367,""))</x:f>
        <x:v>67</x:v>
      </x:c>
      <x:c r="Y367" s="26" t="n">
        <x:f>IF(U367="Open",Lookups!$B$2-B367,X367)</x:f>
        <x:v>67</x:v>
      </x:c>
      <x:c r="Z367" t="str">
        <x:f>IF(AND(U367="Open",Y367&gt;30),"STALE","OK")</x:f>
        <x:v>OK</x:v>
      </x:c>
      <x:c r="AA367" t="str">
        <x:f>TEXT(B367,"yyyy-mm")</x:f>
        <x:v>2026-01</x:v>
      </x:c>
      <x:c r="AB367" t="str">
        <x:f>IF(K367="","",TEXT(K367,"yyyy-mm"))</x:f>
        <x:v>2026-03</x:v>
      </x:c>
      <x:c r="AC367" t="str">
        <x:f>"Q"&amp;ROUNDUP(MONTH(B367)/3,0)&amp;"-"&amp;YEAR(B367)</x:f>
        <x:v>Q1-2026</x:v>
      </x:c>
      <x:c r="AD367" s="26" t="n">
        <x:f>MIN(100,IF(H367="Enterprise",30,IF(H367="Mid-Market",22,14))+IF(T367="Enterprise",25,IF(T367="Mid-Market",18,10))+IF(Q367="Referral",25,IF(Q367="Organic Search",20,IF(Q367="Email",18,14)))+IF(G367="Technology",10,5))</x:f>
        <x:v>70</x:v>
      </x:c>
      <x:c r="AE367" t="str">
        <x:f>IF(U367&lt;&gt;"Open",U367,IF(N367&gt;=0.8,"Commit",IF(N367&gt;=0.5,"Best Case","Pipeline")))</x:f>
        <x:v>Lost</x:v>
      </x:c>
    </x:row>
    <x:row r="368">
      <x:c r="A368" t="str">
        <x:v>L00367</x:v>
      </x:c>
      <x:c r="B368" s="10" t="n">
        <x:v>45772</x:v>
      </x:c>
      <x:c r="C368" t="str">
        <x:v>Tuan Bui</x:v>
      </x:c>
      <x:c r="D368" t="str">
        <x:v>Central</x:v>
      </x:c>
      <x:c r="E368" t="str">
        <x:v>Email Campaign</x:v>
      </x:c>
      <x:c r="F368" t="str">
        <x:v>CRM-PRO</x:v>
      </x:c>
      <x:c r="G368" t="str">
        <x:v>Technology</x:v>
      </x:c>
      <x:c r="H368" t="str">
        <x:v>SMB</x:v>
      </x:c>
      <x:c r="I368" t="str">
        <x:v>Closed Lost</x:v>
      </x:c>
      <x:c r="J368" s="10" t="n">
        <x:v>45833</x:v>
      </x:c>
      <x:c r="K368" s="10" t="n">
        <x:v>45833</x:v>
      </x:c>
      <x:c r="L368" s="22" t="n">
        <x:v>13700</x:v>
      </x:c>
      <x:c r="M368" s="24" t="n">
        <x:v>0</x:v>
      </x:c>
      <x:c r="N368" s="24" t="n">
        <x:v>0</x:v>
      </x:c>
      <x:c r="O368" t="str">
        <x:v>No Decision</x:v>
      </x:c>
      <x:c r="P368" t="n">
        <x:v>3</x:v>
      </x:c>
      <x:c r="Q368" t="str">
        <x:f>IFERROR(XLOOKUP(E368,Lookups!$A$5:$A$24,Lookups!$B$5:$B$24),"Other")</x:f>
        <x:v>Email</x:v>
      </x:c>
      <x:c r="R368" t="str">
        <x:f>IFERROR(XLOOKUP(F368,Lookups!$D$5:$D$10,Lookups!$E$5:$E$10),"Unknown Product")</x:f>
        <x:v>NexaCRM Pro</x:v>
      </x:c>
      <x:c r="S368" t="str">
        <x:f>IFERROR(XLOOKUP(F368,Lookups!$D$5:$D$10,Lookups!$F$5:$F$10),"Unknown")</x:f>
        <x:v>CRM</x:v>
      </x:c>
      <x:c r="T368" t="str">
        <x:f>IF(L368&gt;=50000,"Enterprise",IF(L368&gt;=20000,"Mid-Market","SMB"))</x:f>
        <x:v>SMB</x:v>
      </x:c>
      <x:c r="U368" t="str">
        <x:f>IF(I368="Closed Won","Won",IF(I368="Closed Lost","Lost","Open"))</x:f>
        <x:v>Lost</x:v>
      </x:c>
      <x:c r="V368" s="22" t="n">
        <x:f>IF(U368="Won",L368*(1-M368),0)</x:f>
        <x:v>0</x:v>
      </x:c>
      <x:c r="W368" s="22" t="n">
        <x:f>IF(U368="Open",L368*N368,0)</x:f>
        <x:v>0</x:v>
      </x:c>
      <x:c r="X368" s="26" t="n">
        <x:f>IF(U368="Open","",IFERROR(K368-B368,""))</x:f>
        <x:v>61</x:v>
      </x:c>
      <x:c r="Y368" s="26" t="n">
        <x:f>IF(U368="Open",Lookups!$B$2-B368,X368)</x:f>
        <x:v>61</x:v>
      </x:c>
      <x:c r="Z368" t="str">
        <x:f>IF(AND(U368="Open",Y368&gt;30),"STALE","OK")</x:f>
        <x:v>OK</x:v>
      </x:c>
      <x:c r="AA368" t="str">
        <x:f>TEXT(B368,"yyyy-mm")</x:f>
        <x:v>2025-04</x:v>
      </x:c>
      <x:c r="AB368" t="str">
        <x:f>IF(K368="","",TEXT(K368,"yyyy-mm"))</x:f>
        <x:v>2025-06</x:v>
      </x:c>
      <x:c r="AC368" t="str">
        <x:f>"Q"&amp;ROUNDUP(MONTH(B368)/3,0)&amp;"-"&amp;YEAR(B368)</x:f>
        <x:v>Q2-2025</x:v>
      </x:c>
      <x:c r="AD368" s="26" t="n">
        <x:f>MIN(100,IF(H368="Enterprise",30,IF(H368="Mid-Market",22,14))+IF(T368="Enterprise",25,IF(T368="Mid-Market",18,10))+IF(Q368="Referral",25,IF(Q368="Organic Search",20,IF(Q368="Email",18,14)))+IF(G368="Technology",10,5))</x:f>
        <x:v>52</x:v>
      </x:c>
      <x:c r="AE368" t="str">
        <x:f>IF(U368&lt;&gt;"Open",U368,IF(N368&gt;=0.8,"Commit",IF(N368&gt;=0.5,"Best Case","Pipeline")))</x:f>
        <x:v>Lost</x:v>
      </x:c>
    </x:row>
    <x:row r="369">
      <x:c r="A369" t="str">
        <x:v>L00368</x:v>
      </x:c>
      <x:c r="B369" s="10" t="n">
        <x:v>45925</x:v>
      </x:c>
      <x:c r="C369" t="str">
        <x:v>Ha Vo</x:v>
      </x:c>
      <x:c r="D369" t="str">
        <x:v>North</x:v>
      </x:c>
      <x:c r="E369" t="str">
        <x:v>linkedin</x:v>
      </x:c>
      <x:c r="F369" t="str">
        <x:v>BI-PLUS</x:v>
      </x:c>
      <x:c r="G369" t="str">
        <x:v>Retail</x:v>
      </x:c>
      <x:c r="H369" t="str">
        <x:v>SMB</x:v>
      </x:c>
      <x:c r="I369" t="str">
        <x:v>Closed Lost</x:v>
      </x:c>
      <x:c r="J369" s="10" t="n">
        <x:v>45933</x:v>
      </x:c>
      <x:c r="K369" s="10" t="n">
        <x:v>45933</x:v>
      </x:c>
      <x:c r="L369" s="22" t="n">
        <x:v>29600</x:v>
      </x:c>
      <x:c r="M369" s="24" t="n">
        <x:v>0</x:v>
      </x:c>
      <x:c r="N369" s="24" t="n">
        <x:v>0</x:v>
      </x:c>
      <x:c r="O369" t="str">
        <x:v>Competitor</x:v>
      </x:c>
      <x:c r="P369" t="n">
        <x:v>5</x:v>
      </x:c>
      <x:c r="Q369" t="str">
        <x:f>IFERROR(XLOOKUP(E369,Lookups!$A$5:$A$24,Lookups!$B$5:$B$24),"Other")</x:f>
        <x:v>LinkedIn</x:v>
      </x:c>
      <x:c r="R369" t="str">
        <x:f>IFERROR(XLOOKUP(F369,Lookups!$D$5:$D$10,Lookups!$E$5:$E$10),"Unknown Product")</x:f>
        <x:v>Analytics Plus</x:v>
      </x:c>
      <x:c r="S369" t="str">
        <x:f>IFERROR(XLOOKUP(F369,Lookups!$D$5:$D$10,Lookups!$F$5:$F$10),"Unknown")</x:f>
        <x:v>Analytics</x:v>
      </x:c>
      <x:c r="T369" t="str">
        <x:f>IF(L369&gt;=50000,"Enterprise",IF(L369&gt;=20000,"Mid-Market","SMB"))</x:f>
        <x:v>Mid-Market</x:v>
      </x:c>
      <x:c r="U369" t="str">
        <x:f>IF(I369="Closed Won","Won",IF(I369="Closed Lost","Lost","Open"))</x:f>
        <x:v>Lost</x:v>
      </x:c>
      <x:c r="V369" s="22" t="n">
        <x:f>IF(U369="Won",L369*(1-M369),0)</x:f>
        <x:v>0</x:v>
      </x:c>
      <x:c r="W369" s="22" t="n">
        <x:f>IF(U369="Open",L369*N369,0)</x:f>
        <x:v>0</x:v>
      </x:c>
      <x:c r="X369" s="26" t="n">
        <x:f>IF(U369="Open","",IFERROR(K369-B369,""))</x:f>
        <x:v>8</x:v>
      </x:c>
      <x:c r="Y369" s="26" t="n">
        <x:f>IF(U369="Open",Lookups!$B$2-B369,X369)</x:f>
        <x:v>8</x:v>
      </x:c>
      <x:c r="Z369" t="str">
        <x:f>IF(AND(U369="Open",Y369&gt;30),"STALE","OK")</x:f>
        <x:v>OK</x:v>
      </x:c>
      <x:c r="AA369" t="str">
        <x:f>TEXT(B369,"yyyy-mm")</x:f>
        <x:v>2025-09</x:v>
      </x:c>
      <x:c r="AB369" t="str">
        <x:f>IF(K369="","",TEXT(K369,"yyyy-mm"))</x:f>
        <x:v>2025-10</x:v>
      </x:c>
      <x:c r="AC369" t="str">
        <x:f>"Q"&amp;ROUNDUP(MONTH(B369)/3,0)&amp;"-"&amp;YEAR(B369)</x:f>
        <x:v>Q3-2025</x:v>
      </x:c>
      <x:c r="AD369" s="26" t="n">
        <x:f>MIN(100,IF(H369="Enterprise",30,IF(H369="Mid-Market",22,14))+IF(T369="Enterprise",25,IF(T369="Mid-Market",18,10))+IF(Q369="Referral",25,IF(Q369="Organic Search",20,IF(Q369="Email",18,14)))+IF(G369="Technology",10,5))</x:f>
        <x:v>51</x:v>
      </x:c>
      <x:c r="AE369" t="str">
        <x:f>IF(U369&lt;&gt;"Open",U369,IF(N369&gt;=0.8,"Commit",IF(N369&gt;=0.5,"Best Case","Pipeline")))</x:f>
        <x:v>Lost</x:v>
      </x:c>
    </x:row>
    <x:row r="370">
      <x:c r="A370" t="str">
        <x:v>L00369</x:v>
      </x:c>
      <x:c r="B370" s="10" t="n">
        <x:v>45967</x:v>
      </x:c>
      <x:c r="C370" t="str">
        <x:v>Quynh Vu</x:v>
      </x:c>
      <x:c r="D370" t="str">
        <x:v>North</x:v>
      </x:c>
      <x:c r="E370" t="str">
        <x:v>customer referral</x:v>
      </x:c>
      <x:c r="F370" t="str">
        <x:v>CRM-PRO</x:v>
      </x:c>
      <x:c r="G370" t="str">
        <x:v>Professional Services</x:v>
      </x:c>
      <x:c r="H370" t="str">
        <x:v>SMB</x:v>
      </x:c>
      <x:c r="I370" t="str">
        <x:v>Closed Won</x:v>
      </x:c>
      <x:c r="J370" s="10" t="n">
        <x:v>46009</x:v>
      </x:c>
      <x:c r="K370" s="10" t="n">
        <x:v>46009</x:v>
      </x:c>
      <x:c r="L370" s="22" t="n">
        <x:v>19200</x:v>
      </x:c>
      <x:c r="M370" s="24" t="n">
        <x:v>0.12</x:v>
      </x:c>
      <x:c r="N370" s="24" t="n">
        <x:v>1</x:v>
      </x:c>
      <x:c r="O370" t="str"/>
      <x:c r="P370" t="n">
        <x:v>6</x:v>
      </x:c>
      <x:c r="Q370" t="str">
        <x:f>IFERROR(XLOOKUP(E370,Lookups!$A$5:$A$24,Lookups!$B$5:$B$24),"Other")</x:f>
        <x:v>Referral</x:v>
      </x:c>
      <x:c r="R370" t="str">
        <x:f>IFERROR(XLOOKUP(F370,Lookups!$D$5:$D$10,Lookups!$E$5:$E$10),"Unknown Product")</x:f>
        <x:v>NexaCRM Pro</x:v>
      </x:c>
      <x:c r="S370" t="str">
        <x:f>IFERROR(XLOOKUP(F370,Lookups!$D$5:$D$10,Lookups!$F$5:$F$10),"Unknown")</x:f>
        <x:v>CRM</x:v>
      </x:c>
      <x:c r="T370" t="str">
        <x:f>IF(L370&gt;=50000,"Enterprise",IF(L370&gt;=20000,"Mid-Market","SMB"))</x:f>
        <x:v>SMB</x:v>
      </x:c>
      <x:c r="U370" t="str">
        <x:f>IF(I370="Closed Won","Won",IF(I370="Closed Lost","Lost","Open"))</x:f>
        <x:v>Won</x:v>
      </x:c>
      <x:c r="V370" s="22" t="n">
        <x:f>IF(U370="Won",L370*(1-M370),0)</x:f>
        <x:v>16896</x:v>
      </x:c>
      <x:c r="W370" s="22" t="n">
        <x:f>IF(U370="Open",L370*N370,0)</x:f>
        <x:v>0</x:v>
      </x:c>
      <x:c r="X370" s="26" t="n">
        <x:f>IF(U370="Open","",IFERROR(K370-B370,""))</x:f>
        <x:v>42</x:v>
      </x:c>
      <x:c r="Y370" s="26" t="n">
        <x:f>IF(U370="Open",Lookups!$B$2-B370,X370)</x:f>
        <x:v>42</x:v>
      </x:c>
      <x:c r="Z370" t="str">
        <x:f>IF(AND(U370="Open",Y370&gt;30),"STALE","OK")</x:f>
        <x:v>OK</x:v>
      </x:c>
      <x:c r="AA370" t="str">
        <x:f>TEXT(B370,"yyyy-mm")</x:f>
        <x:v>2025-11</x:v>
      </x:c>
      <x:c r="AB370" t="str">
        <x:f>IF(K370="","",TEXT(K370,"yyyy-mm"))</x:f>
        <x:v>2025-12</x:v>
      </x:c>
      <x:c r="AC370" t="str">
        <x:f>"Q"&amp;ROUNDUP(MONTH(B370)/3,0)&amp;"-"&amp;YEAR(B370)</x:f>
        <x:v>Q4-2025</x:v>
      </x:c>
      <x:c r="AD370" s="26" t="n">
        <x:f>MIN(100,IF(H370="Enterprise",30,IF(H370="Mid-Market",22,14))+IF(T370="Enterprise",25,IF(T370="Mid-Market",18,10))+IF(Q370="Referral",25,IF(Q370="Organic Search",20,IF(Q370="Email",18,14)))+IF(G370="Technology",10,5))</x:f>
        <x:v>54</x:v>
      </x:c>
      <x:c r="AE370" t="str">
        <x:f>IF(U370&lt;&gt;"Open",U370,IF(N370&gt;=0.8,"Commit",IF(N370&gt;=0.5,"Best Case","Pipeline")))</x:f>
        <x:v>Won</x:v>
      </x:c>
    </x:row>
    <x:row r="371">
      <x:c r="A371" t="str">
        <x:v>L00370</x:v>
      </x:c>
      <x:c r="B371" s="10" t="n">
        <x:v>45726</x:v>
      </x:c>
      <x:c r="C371" t="str">
        <x:v>Bao Tran</x:v>
      </x:c>
      <x:c r="D371" t="str">
        <x:v>South</x:v>
      </x:c>
      <x:c r="E371" t="str">
        <x:v>linkedin</x:v>
      </x:c>
      <x:c r="F371" t="str">
        <x:v>CS-CLOUD</x:v>
      </x:c>
      <x:c r="G371" t="str">
        <x:v>Retail</x:v>
      </x:c>
      <x:c r="H371" t="str">
        <x:v>SMB</x:v>
      </x:c>
      <x:c r="I371" t="str">
        <x:v>Closed Lost</x:v>
      </x:c>
      <x:c r="J371" s="10" t="n">
        <x:v>45765</x:v>
      </x:c>
      <x:c r="K371" s="10" t="n">
        <x:v>45765</x:v>
      </x:c>
      <x:c r="L371" s="22" t="n">
        <x:v>26000</x:v>
      </x:c>
      <x:c r="M371" s="24" t="n">
        <x:v>0</x:v>
      </x:c>
      <x:c r="N371" s="24" t="n">
        <x:v>0</x:v>
      </x:c>
      <x:c r="O371" t="str">
        <x:v>Price</x:v>
      </x:c>
      <x:c r="P371" t="n">
        <x:v>4</x:v>
      </x:c>
      <x:c r="Q371" t="str">
        <x:f>IFERROR(XLOOKUP(E371,Lookups!$A$5:$A$24,Lookups!$B$5:$B$24),"Other")</x:f>
        <x:v>LinkedIn</x:v>
      </x:c>
      <x:c r="R371" t="str">
        <x:f>IFERROR(XLOOKUP(F371,Lookups!$D$5:$D$10,Lookups!$E$5:$E$10),"Unknown Product")</x:f>
        <x:v>Service Cloud</x:v>
      </x:c>
      <x:c r="S371" t="str">
        <x:f>IFERROR(XLOOKUP(F371,Lookups!$D$5:$D$10,Lookups!$F$5:$F$10),"Unknown")</x:f>
        <x:v>Customer Service</x:v>
      </x:c>
      <x:c r="T371" t="str">
        <x:f>IF(L371&gt;=50000,"Enterprise",IF(L371&gt;=20000,"Mid-Market","SMB"))</x:f>
        <x:v>Mid-Market</x:v>
      </x:c>
      <x:c r="U371" t="str">
        <x:f>IF(I371="Closed Won","Won",IF(I371="Closed Lost","Lost","Open"))</x:f>
        <x:v>Lost</x:v>
      </x:c>
      <x:c r="V371" s="22" t="n">
        <x:f>IF(U371="Won",L371*(1-M371),0)</x:f>
        <x:v>0</x:v>
      </x:c>
      <x:c r="W371" s="22" t="n">
        <x:f>IF(U371="Open",L371*N371,0)</x:f>
        <x:v>0</x:v>
      </x:c>
      <x:c r="X371" s="26" t="n">
        <x:f>IF(U371="Open","",IFERROR(K371-B371,""))</x:f>
        <x:v>39</x:v>
      </x:c>
      <x:c r="Y371" s="26" t="n">
        <x:f>IF(U371="Open",Lookups!$B$2-B371,X371)</x:f>
        <x:v>39</x:v>
      </x:c>
      <x:c r="Z371" t="str">
        <x:f>IF(AND(U371="Open",Y371&gt;30),"STALE","OK")</x:f>
        <x:v>OK</x:v>
      </x:c>
      <x:c r="AA371" t="str">
        <x:f>TEXT(B371,"yyyy-mm")</x:f>
        <x:v>2025-03</x:v>
      </x:c>
      <x:c r="AB371" t="str">
        <x:f>IF(K371="","",TEXT(K371,"yyyy-mm"))</x:f>
        <x:v>2025-04</x:v>
      </x:c>
      <x:c r="AC371" t="str">
        <x:f>"Q"&amp;ROUNDUP(MONTH(B371)/3,0)&amp;"-"&amp;YEAR(B371)</x:f>
        <x:v>Q1-2025</x:v>
      </x:c>
      <x:c r="AD371" s="26" t="n">
        <x:f>MIN(100,IF(H371="Enterprise",30,IF(H371="Mid-Market",22,14))+IF(T371="Enterprise",25,IF(T371="Mid-Market",18,10))+IF(Q371="Referral",25,IF(Q371="Organic Search",20,IF(Q371="Email",18,14)))+IF(G371="Technology",10,5))</x:f>
        <x:v>51</x:v>
      </x:c>
      <x:c r="AE371" t="str">
        <x:f>IF(U371&lt;&gt;"Open",U371,IF(N371&gt;=0.8,"Commit",IF(N371&gt;=0.5,"Best Case","Pipeline")))</x:f>
        <x:v>Lost</x:v>
      </x:c>
    </x:row>
    <x:row r="372">
      <x:c r="A372" t="str">
        <x:v>L00371</x:v>
      </x:c>
      <x:c r="B372" s="10" t="n">
        <x:v>45802</x:v>
      </x:c>
      <x:c r="C372" t="str">
        <x:v>Chi Le</x:v>
      </x:c>
      <x:c r="D372" t="str">
        <x:v>South</x:v>
      </x:c>
      <x:c r="E372" t="str">
        <x:v>SEO</x:v>
      </x:c>
      <x:c r="F372" t="str">
        <x:v>CRM-PRO</x:v>
      </x:c>
      <x:c r="G372" t="str">
        <x:v>Professional Services</x:v>
      </x:c>
      <x:c r="H372" t="str">
        <x:v>SMB</x:v>
      </x:c>
      <x:c r="I372" t="str">
        <x:v>Closed Lost</x:v>
      </x:c>
      <x:c r="J372" s="10" t="n">
        <x:v>45862</x:v>
      </x:c>
      <x:c r="K372" s="10" t="n">
        <x:v>45862</x:v>
      </x:c>
      <x:c r="L372" s="22" t="n">
        <x:v>13700</x:v>
      </x:c>
      <x:c r="M372" s="24" t="n">
        <x:v>0</x:v>
      </x:c>
      <x:c r="N372" s="24" t="n">
        <x:v>0</x:v>
      </x:c>
      <x:c r="O372" t="str">
        <x:v>Budget</x:v>
      </x:c>
      <x:c r="P372" t="n">
        <x:v>3</x:v>
      </x:c>
      <x:c r="Q372" t="str">
        <x:f>IFERROR(XLOOKUP(E372,Lookups!$A$5:$A$24,Lookups!$B$5:$B$24),"Other")</x:f>
        <x:v>Organic Search</x:v>
      </x:c>
      <x:c r="R372" t="str">
        <x:f>IFERROR(XLOOKUP(F372,Lookups!$D$5:$D$10,Lookups!$E$5:$E$10),"Unknown Product")</x:f>
        <x:v>NexaCRM Pro</x:v>
      </x:c>
      <x:c r="S372" t="str">
        <x:f>IFERROR(XLOOKUP(F372,Lookups!$D$5:$D$10,Lookups!$F$5:$F$10),"Unknown")</x:f>
        <x:v>CRM</x:v>
      </x:c>
      <x:c r="T372" t="str">
        <x:f>IF(L372&gt;=50000,"Enterprise",IF(L372&gt;=20000,"Mid-Market","SMB"))</x:f>
        <x:v>SMB</x:v>
      </x:c>
      <x:c r="U372" t="str">
        <x:f>IF(I372="Closed Won","Won",IF(I372="Closed Lost","Lost","Open"))</x:f>
        <x:v>Lost</x:v>
      </x:c>
      <x:c r="V372" s="22" t="n">
        <x:f>IF(U372="Won",L372*(1-M372),0)</x:f>
        <x:v>0</x:v>
      </x:c>
      <x:c r="W372" s="22" t="n">
        <x:f>IF(U372="Open",L372*N372,0)</x:f>
        <x:v>0</x:v>
      </x:c>
      <x:c r="X372" s="26" t="n">
        <x:f>IF(U372="Open","",IFERROR(K372-B372,""))</x:f>
        <x:v>60</x:v>
      </x:c>
      <x:c r="Y372" s="26" t="n">
        <x:f>IF(U372="Open",Lookups!$B$2-B372,X372)</x:f>
        <x:v>60</x:v>
      </x:c>
      <x:c r="Z372" t="str">
        <x:f>IF(AND(U372="Open",Y372&gt;30),"STALE","OK")</x:f>
        <x:v>OK</x:v>
      </x:c>
      <x:c r="AA372" t="str">
        <x:f>TEXT(B372,"yyyy-mm")</x:f>
        <x:v>2025-05</x:v>
      </x:c>
      <x:c r="AB372" t="str">
        <x:f>IF(K372="","",TEXT(K372,"yyyy-mm"))</x:f>
        <x:v>2025-07</x:v>
      </x:c>
      <x:c r="AC372" t="str">
        <x:f>"Q"&amp;ROUNDUP(MONTH(B372)/3,0)&amp;"-"&amp;YEAR(B372)</x:f>
        <x:v>Q2-2025</x:v>
      </x:c>
      <x:c r="AD372" s="26" t="n">
        <x:f>MIN(100,IF(H372="Enterprise",30,IF(H372="Mid-Market",22,14))+IF(T372="Enterprise",25,IF(T372="Mid-Market",18,10))+IF(Q372="Referral",25,IF(Q372="Organic Search",20,IF(Q372="Email",18,14)))+IF(G372="Technology",10,5))</x:f>
        <x:v>49</x:v>
      </x:c>
      <x:c r="AE372" t="str">
        <x:f>IF(U372&lt;&gt;"Open",U372,IF(N372&gt;=0.8,"Commit",IF(N372&gt;=0.5,"Best Case","Pipeline")))</x:f>
        <x:v>Lost</x:v>
      </x:c>
    </x:row>
    <x:row r="373">
      <x:c r="A373" t="str">
        <x:v>L00372</x:v>
      </x:c>
      <x:c r="B373" s="10" t="n">
        <x:v>45778</x:v>
      </x:c>
      <x:c r="C373" t="str">
        <x:v>Ha Vo</x:v>
      </x:c>
      <x:c r="D373" t="str">
        <x:v>North</x:v>
      </x:c>
      <x:c r="E373" t="str">
        <x:v>Outbound</x:v>
      </x:c>
      <x:c r="F373" t="str">
        <x:v>CRM-CORE</x:v>
      </x:c>
      <x:c r="G373" t="str">
        <x:v>Technology</x:v>
      </x:c>
      <x:c r="H373" t="str">
        <x:v>Enterprise</x:v>
      </x:c>
      <x:c r="I373" t="str">
        <x:v>Closed Lost</x:v>
      </x:c>
      <x:c r="J373" s="10" t="n">
        <x:v>45798</x:v>
      </x:c>
      <x:c r="K373" s="10" t="n">
        <x:v>45798</x:v>
      </x:c>
      <x:c r="L373" s="22" t="n">
        <x:v>25300</x:v>
      </x:c>
      <x:c r="M373" s="24" t="n">
        <x:v>0</x:v>
      </x:c>
      <x:c r="N373" s="24" t="n">
        <x:v>0</x:v>
      </x:c>
      <x:c r="O373" t="str">
        <x:v>Budget</x:v>
      </x:c>
      <x:c r="P373" t="n">
        <x:v>5</x:v>
      </x:c>
      <x:c r="Q373" t="str">
        <x:f>IFERROR(XLOOKUP(E373,Lookups!$A$5:$A$24,Lookups!$B$5:$B$24),"Other")</x:f>
        <x:v>Outbound</x:v>
      </x:c>
      <x:c r="R373" t="str">
        <x:f>IFERROR(XLOOKUP(F373,Lookups!$D$5:$D$10,Lookups!$E$5:$E$10),"Unknown Product")</x:f>
        <x:v>NexaCRM Core</x:v>
      </x:c>
      <x:c r="S373" t="str">
        <x:f>IFERROR(XLOOKUP(F373,Lookups!$D$5:$D$10,Lookups!$F$5:$F$10),"Unknown")</x:f>
        <x:v>CRM</x:v>
      </x:c>
      <x:c r="T373" t="str">
        <x:f>IF(L373&gt;=50000,"Enterprise",IF(L373&gt;=20000,"Mid-Market","SMB"))</x:f>
        <x:v>Mid-Market</x:v>
      </x:c>
      <x:c r="U373" t="str">
        <x:f>IF(I373="Closed Won","Won",IF(I373="Closed Lost","Lost","Open"))</x:f>
        <x:v>Lost</x:v>
      </x:c>
      <x:c r="V373" s="22" t="n">
        <x:f>IF(U373="Won",L373*(1-M373),0)</x:f>
        <x:v>0</x:v>
      </x:c>
      <x:c r="W373" s="22" t="n">
        <x:f>IF(U373="Open",L373*N373,0)</x:f>
        <x:v>0</x:v>
      </x:c>
      <x:c r="X373" s="26" t="n">
        <x:f>IF(U373="Open","",IFERROR(K373-B373,""))</x:f>
        <x:v>20</x:v>
      </x:c>
      <x:c r="Y373" s="26" t="n">
        <x:f>IF(U373="Open",Lookups!$B$2-B373,X373)</x:f>
        <x:v>20</x:v>
      </x:c>
      <x:c r="Z373" t="str">
        <x:f>IF(AND(U373="Open",Y373&gt;30),"STALE","OK")</x:f>
        <x:v>OK</x:v>
      </x:c>
      <x:c r="AA373" t="str">
        <x:f>TEXT(B373,"yyyy-mm")</x:f>
        <x:v>2025-05</x:v>
      </x:c>
      <x:c r="AB373" t="str">
        <x:f>IF(K373="","",TEXT(K373,"yyyy-mm"))</x:f>
        <x:v>2025-05</x:v>
      </x:c>
      <x:c r="AC373" t="str">
        <x:f>"Q"&amp;ROUNDUP(MONTH(B373)/3,0)&amp;"-"&amp;YEAR(B373)</x:f>
        <x:v>Q2-2025</x:v>
      </x:c>
      <x:c r="AD373" s="26" t="n">
        <x:f>MIN(100,IF(H373="Enterprise",30,IF(H373="Mid-Market",22,14))+IF(T373="Enterprise",25,IF(T373="Mid-Market",18,10))+IF(Q373="Referral",25,IF(Q373="Organic Search",20,IF(Q373="Email",18,14)))+IF(G373="Technology",10,5))</x:f>
        <x:v>72</x:v>
      </x:c>
      <x:c r="AE373" t="str">
        <x:f>IF(U373&lt;&gt;"Open",U373,IF(N373&gt;=0.8,"Commit",IF(N373&gt;=0.5,"Best Case","Pipeline")))</x:f>
        <x:v>Lost</x:v>
      </x:c>
    </x:row>
    <x:row r="374">
      <x:c r="A374" t="str">
        <x:v>L00373</x:v>
      </x:c>
      <x:c r="B374" s="10" t="n">
        <x:v>45985</x:v>
      </x:c>
      <x:c r="C374" t="str">
        <x:v>Ha Vo</x:v>
      </x:c>
      <x:c r="D374" t="str">
        <x:v>North</x:v>
      </x:c>
      <x:c r="E374" t="str">
        <x:v>google cpc</x:v>
      </x:c>
      <x:c r="F374" t="str">
        <x:v>REV-OPS</x:v>
      </x:c>
      <x:c r="G374" t="str">
        <x:v>Financial Services</x:v>
      </x:c>
      <x:c r="H374" t="str">
        <x:v>Enterprise</x:v>
      </x:c>
      <x:c r="I374" t="str">
        <x:v>Closed Lost</x:v>
      </x:c>
      <x:c r="J374" s="10" t="n">
        <x:v>45999</x:v>
      </x:c>
      <x:c r="K374" s="10" t="n">
        <x:v>45999</x:v>
      </x:c>
      <x:c r="L374" s="22" t="n">
        <x:v>129400</x:v>
      </x:c>
      <x:c r="M374" s="24" t="n">
        <x:v>0</x:v>
      </x:c>
      <x:c r="N374" s="24" t="n">
        <x:v>0</x:v>
      </x:c>
      <x:c r="O374" t="str">
        <x:v>Price</x:v>
      </x:c>
      <x:c r="P374" t="n">
        <x:v>3</x:v>
      </x:c>
      <x:c r="Q374" t="str">
        <x:f>IFERROR(XLOOKUP(E374,Lookups!$A$5:$A$24,Lookups!$B$5:$B$24),"Other")</x:f>
        <x:v>Paid Search</x:v>
      </x:c>
      <x:c r="R374" t="str">
        <x:f>IFERROR(XLOOKUP(F374,Lookups!$D$5:$D$10,Lookups!$E$5:$E$10),"Unknown Product")</x:f>
        <x:v>Revenue Operations Suite</x:v>
      </x:c>
      <x:c r="S374" t="str">
        <x:f>IFERROR(XLOOKUP(F374,Lookups!$D$5:$D$10,Lookups!$F$5:$F$10),"Unknown")</x:f>
        <x:v>Revenue Ops</x:v>
      </x:c>
      <x:c r="T374" t="str">
        <x:f>IF(L374&gt;=50000,"Enterprise",IF(L374&gt;=20000,"Mid-Market","SMB"))</x:f>
        <x:v>Enterprise</x:v>
      </x:c>
      <x:c r="U374" t="str">
        <x:f>IF(I374="Closed Won","Won",IF(I374="Closed Lost","Lost","Open"))</x:f>
        <x:v>Lost</x:v>
      </x:c>
      <x:c r="V374" s="22" t="n">
        <x:f>IF(U374="Won",L374*(1-M374),0)</x:f>
        <x:v>0</x:v>
      </x:c>
      <x:c r="W374" s="22" t="n">
        <x:f>IF(U374="Open",L374*N374,0)</x:f>
        <x:v>0</x:v>
      </x:c>
      <x:c r="X374" s="26" t="n">
        <x:f>IF(U374="Open","",IFERROR(K374-B374,""))</x:f>
        <x:v>14</x:v>
      </x:c>
      <x:c r="Y374" s="26" t="n">
        <x:f>IF(U374="Open",Lookups!$B$2-B374,X374)</x:f>
        <x:v>14</x:v>
      </x:c>
      <x:c r="Z374" t="str">
        <x:f>IF(AND(U374="Open",Y374&gt;30),"STALE","OK")</x:f>
        <x:v>OK</x:v>
      </x:c>
      <x:c r="AA374" t="str">
        <x:f>TEXT(B374,"yyyy-mm")</x:f>
        <x:v>2025-11</x:v>
      </x:c>
      <x:c r="AB374" t="str">
        <x:f>IF(K374="","",TEXT(K374,"yyyy-mm"))</x:f>
        <x:v>2025-12</x:v>
      </x:c>
      <x:c r="AC374" t="str">
        <x:f>"Q"&amp;ROUNDUP(MONTH(B374)/3,0)&amp;"-"&amp;YEAR(B374)</x:f>
        <x:v>Q4-2025</x:v>
      </x:c>
      <x:c r="AD374" s="26" t="n">
        <x:f>MIN(100,IF(H374="Enterprise",30,IF(H374="Mid-Market",22,14))+IF(T374="Enterprise",25,IF(T374="Mid-Market",18,10))+IF(Q374="Referral",25,IF(Q374="Organic Search",20,IF(Q374="Email",18,14)))+IF(G374="Technology",10,5))</x:f>
        <x:v>74</x:v>
      </x:c>
      <x:c r="AE374" t="str">
        <x:f>IF(U374&lt;&gt;"Open",U374,IF(N374&gt;=0.8,"Commit",IF(N374&gt;=0.5,"Best Case","Pipeline")))</x:f>
        <x:v>Lost</x:v>
      </x:c>
    </x:row>
    <x:row r="375">
      <x:c r="A375" t="str">
        <x:v>L00374</x:v>
      </x:c>
      <x:c r="B375" s="10" t="n">
        <x:v>45808</x:v>
      </x:c>
      <x:c r="C375" t="str">
        <x:v>Duy Pham</x:v>
      </x:c>
      <x:c r="D375" t="str">
        <x:v>South</x:v>
      </x:c>
      <x:c r="E375" t="str">
        <x:v>organic search</x:v>
      </x:c>
      <x:c r="F375" t="str">
        <x:v>CRM-CORE</x:v>
      </x:c>
      <x:c r="G375" t="str">
        <x:v>Healthcare</x:v>
      </x:c>
      <x:c r="H375" t="str">
        <x:v>Mid-Market</x:v>
      </x:c>
      <x:c r="I375" t="str">
        <x:v>Closed Won</x:v>
      </x:c>
      <x:c r="J375" s="10" t="n">
        <x:v>45870</x:v>
      </x:c>
      <x:c r="K375" s="10" t="n">
        <x:v>45870</x:v>
      </x:c>
      <x:c r="L375" s="22" t="n">
        <x:v>13400</x:v>
      </x:c>
      <x:c r="M375" s="24" t="n">
        <x:v>0.12</x:v>
      </x:c>
      <x:c r="N375" s="24" t="n">
        <x:v>1</x:v>
      </x:c>
      <x:c r="O375" t="str"/>
      <x:c r="P375" t="n">
        <x:v>6</x:v>
      </x:c>
      <x:c r="Q375" t="str">
        <x:f>IFERROR(XLOOKUP(E375,Lookups!$A$5:$A$24,Lookups!$B$5:$B$24),"Other")</x:f>
        <x:v>Organic Search</x:v>
      </x:c>
      <x:c r="R375" t="str">
        <x:f>IFERROR(XLOOKUP(F375,Lookups!$D$5:$D$10,Lookups!$E$5:$E$10),"Unknown Product")</x:f>
        <x:v>NexaCRM Core</x:v>
      </x:c>
      <x:c r="S375" t="str">
        <x:f>IFERROR(XLOOKUP(F375,Lookups!$D$5:$D$10,Lookups!$F$5:$F$10),"Unknown")</x:f>
        <x:v>CRM</x:v>
      </x:c>
      <x:c r="T375" t="str">
        <x:f>IF(L375&gt;=50000,"Enterprise",IF(L375&gt;=20000,"Mid-Market","SMB"))</x:f>
        <x:v>SMB</x:v>
      </x:c>
      <x:c r="U375" t="str">
        <x:f>IF(I375="Closed Won","Won",IF(I375="Closed Lost","Lost","Open"))</x:f>
        <x:v>Won</x:v>
      </x:c>
      <x:c r="V375" s="22" t="n">
        <x:f>IF(U375="Won",L375*(1-M375),0)</x:f>
        <x:v>11792</x:v>
      </x:c>
      <x:c r="W375" s="22" t="n">
        <x:f>IF(U375="Open",L375*N375,0)</x:f>
        <x:v>0</x:v>
      </x:c>
      <x:c r="X375" s="26" t="n">
        <x:f>IF(U375="Open","",IFERROR(K375-B375,""))</x:f>
        <x:v>62</x:v>
      </x:c>
      <x:c r="Y375" s="26" t="n">
        <x:f>IF(U375="Open",Lookups!$B$2-B375,X375)</x:f>
        <x:v>62</x:v>
      </x:c>
      <x:c r="Z375" t="str">
        <x:f>IF(AND(U375="Open",Y375&gt;30),"STALE","OK")</x:f>
        <x:v>OK</x:v>
      </x:c>
      <x:c r="AA375" t="str">
        <x:f>TEXT(B375,"yyyy-mm")</x:f>
        <x:v>2025-05</x:v>
      </x:c>
      <x:c r="AB375" t="str">
        <x:f>IF(K375="","",TEXT(K375,"yyyy-mm"))</x:f>
        <x:v>2025-08</x:v>
      </x:c>
      <x:c r="AC375" t="str">
        <x:f>"Q"&amp;ROUNDUP(MONTH(B375)/3,0)&amp;"-"&amp;YEAR(B375)</x:f>
        <x:v>Q2-2025</x:v>
      </x:c>
      <x:c r="AD375" s="26" t="n">
        <x:f>MIN(100,IF(H375="Enterprise",30,IF(H375="Mid-Market",22,14))+IF(T375="Enterprise",25,IF(T375="Mid-Market",18,10))+IF(Q375="Referral",25,IF(Q375="Organic Search",20,IF(Q375="Email",18,14)))+IF(G375="Technology",10,5))</x:f>
        <x:v>57</x:v>
      </x:c>
      <x:c r="AE375" t="str">
        <x:f>IF(U375&lt;&gt;"Open",U375,IF(N375&gt;=0.8,"Commit",IF(N375&gt;=0.5,"Best Case","Pipeline")))</x:f>
        <x:v>Won</x:v>
      </x:c>
    </x:row>
    <x:row r="376">
      <x:c r="A376" t="str">
        <x:v>L00375</x:v>
      </x:c>
      <x:c r="B376" s="10" t="n">
        <x:v>46167</x:v>
      </x:c>
      <x:c r="C376" t="str">
        <x:v>Quynh Vu</x:v>
      </x:c>
      <x:c r="D376" t="str">
        <x:v>North</x:v>
      </x:c>
      <x:c r="E376" t="str">
        <x:v>Google Organic</x:v>
      </x:c>
      <x:c r="F376" t="str">
        <x:v>CRM-CORE</x:v>
      </x:c>
      <x:c r="G376" t="str">
        <x:v>Technology</x:v>
      </x:c>
      <x:c r="H376" t="str">
        <x:v>Mid-Market</x:v>
      </x:c>
      <x:c r="I376" t="str">
        <x:v>Closed Lost</x:v>
      </x:c>
      <x:c r="J376" s="10" t="n">
        <x:v>46184</x:v>
      </x:c>
      <x:c r="K376" s="10" t="n">
        <x:v>46184</x:v>
      </x:c>
      <x:c r="L376" s="22" t="n">
        <x:v>9000</x:v>
      </x:c>
      <x:c r="M376" s="24" t="n">
        <x:v>0</x:v>
      </x:c>
      <x:c r="N376" s="24" t="n">
        <x:v>0</x:v>
      </x:c>
      <x:c r="O376" t="str">
        <x:v>Budget</x:v>
      </x:c>
      <x:c r="P376" t="n">
        <x:v>4</x:v>
      </x:c>
      <x:c r="Q376" t="str">
        <x:f>IFERROR(XLOOKUP(E376,Lookups!$A$5:$A$24,Lookups!$B$5:$B$24),"Other")</x:f>
        <x:v>Organic Search</x:v>
      </x:c>
      <x:c r="R376" t="str">
        <x:f>IFERROR(XLOOKUP(F376,Lookups!$D$5:$D$10,Lookups!$E$5:$E$10),"Unknown Product")</x:f>
        <x:v>NexaCRM Core</x:v>
      </x:c>
      <x:c r="S376" t="str">
        <x:f>IFERROR(XLOOKUP(F376,Lookups!$D$5:$D$10,Lookups!$F$5:$F$10),"Unknown")</x:f>
        <x:v>CRM</x:v>
      </x:c>
      <x:c r="T376" t="str">
        <x:f>IF(L376&gt;=50000,"Enterprise",IF(L376&gt;=20000,"Mid-Market","SMB"))</x:f>
        <x:v>SMB</x:v>
      </x:c>
      <x:c r="U376" t="str">
        <x:f>IF(I376="Closed Won","Won",IF(I376="Closed Lost","Lost","Open"))</x:f>
        <x:v>Lost</x:v>
      </x:c>
      <x:c r="V376" s="22" t="n">
        <x:f>IF(U376="Won",L376*(1-M376),0)</x:f>
        <x:v>0</x:v>
      </x:c>
      <x:c r="W376" s="22" t="n">
        <x:f>IF(U376="Open",L376*N376,0)</x:f>
        <x:v>0</x:v>
      </x:c>
      <x:c r="X376" s="26" t="n">
        <x:f>IF(U376="Open","",IFERROR(K376-B376,""))</x:f>
        <x:v>17</x:v>
      </x:c>
      <x:c r="Y376" s="26" t="n">
        <x:f>IF(U376="Open",Lookups!$B$2-B376,X376)</x:f>
        <x:v>17</x:v>
      </x:c>
      <x:c r="Z376" t="str">
        <x:f>IF(AND(U376="Open",Y376&gt;30),"STALE","OK")</x:f>
        <x:v>OK</x:v>
      </x:c>
      <x:c r="AA376" t="str">
        <x:f>TEXT(B376,"yyyy-mm")</x:f>
        <x:v>2026-05</x:v>
      </x:c>
      <x:c r="AB376" t="str">
        <x:f>IF(K376="","",TEXT(K376,"yyyy-mm"))</x:f>
        <x:v>2026-06</x:v>
      </x:c>
      <x:c r="AC376" t="str">
        <x:f>"Q"&amp;ROUNDUP(MONTH(B376)/3,0)&amp;"-"&amp;YEAR(B376)</x:f>
        <x:v>Q2-2026</x:v>
      </x:c>
      <x:c r="AD376" s="26" t="n">
        <x:f>MIN(100,IF(H376="Enterprise",30,IF(H376="Mid-Market",22,14))+IF(T376="Enterprise",25,IF(T376="Mid-Market",18,10))+IF(Q376="Referral",25,IF(Q376="Organic Search",20,IF(Q376="Email",18,14)))+IF(G376="Technology",10,5))</x:f>
        <x:v>62</x:v>
      </x:c>
      <x:c r="AE376" t="str">
        <x:f>IF(U376&lt;&gt;"Open",U376,IF(N376&gt;=0.8,"Commit",IF(N376&gt;=0.5,"Best Case","Pipeline")))</x:f>
        <x:v>Lost</x:v>
      </x:c>
    </x:row>
    <x:row r="377">
      <x:c r="A377" t="str">
        <x:v>L00376</x:v>
      </x:c>
      <x:c r="B377" s="10" t="n">
        <x:v>46159</x:v>
      </x:c>
      <x:c r="C377" t="str">
        <x:v>Duy Pham</x:v>
      </x:c>
      <x:c r="D377" t="str">
        <x:v>South</x:v>
      </x:c>
      <x:c r="E377" t="str">
        <x:v>SEM - Google</x:v>
      </x:c>
      <x:c r="F377" t="str">
        <x:v>MKT-AUTO</x:v>
      </x:c>
      <x:c r="G377" t="str">
        <x:v>Financial Services</x:v>
      </x:c>
      <x:c r="H377" t="str">
        <x:v>SMB</x:v>
      </x:c>
      <x:c r="I377" t="str">
        <x:v>Demo / Meeting</x:v>
      </x:c>
      <x:c r="J377" s="10" t="n">
        <x:v>46239</x:v>
      </x:c>
      <x:c r="K377" s="10"/>
      <x:c r="L377" s="22" t="n">
        <x:v>9300</x:v>
      </x:c>
      <x:c r="M377" s="24" t="n">
        <x:v>0</x:v>
      </x:c>
      <x:c r="N377" s="24" t="n">
        <x:v>0.4</x:v>
      </x:c>
      <x:c r="O377" t="str"/>
      <x:c r="P377" t="n">
        <x:v>3</x:v>
      </x:c>
      <x:c r="Q377" t="str">
        <x:f>IFERROR(XLOOKUP(E377,Lookups!$A$5:$A$24,Lookups!$B$5:$B$24),"Other")</x:f>
        <x:v>Paid Search</x:v>
      </x:c>
      <x:c r="R377" t="str">
        <x:f>IFERROR(XLOOKUP(F377,Lookups!$D$5:$D$10,Lookups!$E$5:$E$10),"Unknown Product")</x:f>
        <x:v>Marketing Automation</x:v>
      </x:c>
      <x:c r="S377" t="str">
        <x:f>IFERROR(XLOOKUP(F377,Lookups!$D$5:$D$10,Lookups!$F$5:$F$10),"Unknown")</x:f>
        <x:v>Marketing</x:v>
      </x:c>
      <x:c r="T377" t="str">
        <x:f>IF(L377&gt;=50000,"Enterprise",IF(L377&gt;=20000,"Mid-Market","SMB"))</x:f>
        <x:v>SMB</x:v>
      </x:c>
      <x:c r="U377" t="str">
        <x:f>IF(I377="Closed Won","Won",IF(I377="Closed Lost","Lost","Open"))</x:f>
        <x:v>Open</x:v>
      </x:c>
      <x:c r="V377" s="22" t="n">
        <x:f>IF(U377="Won",L377*(1-M377),0)</x:f>
        <x:v>0</x:v>
      </x:c>
      <x:c r="W377" s="22" t="n">
        <x:f>IF(U377="Open",L377*N377,0)</x:f>
        <x:v>3720</x:v>
      </x:c>
      <x:c r="X377" s="26" t="str">
        <x:f>IF(U377="Open","",IFERROR(K377-B377,""))</x:f>
      </x:c>
      <x:c r="Y377" s="26" t="n">
        <x:f>IF(U377="Open",Lookups!$B$2-B377,X377)</x:f>
        <x:v>107</x:v>
      </x:c>
      <x:c r="Z377" t="str">
        <x:f>IF(AND(U377="Open",Y377&gt;30),"STALE","OK")</x:f>
        <x:v>STALE</x:v>
      </x:c>
      <x:c r="AA377" t="str">
        <x:f>TEXT(B377,"yyyy-mm")</x:f>
        <x:v>2026-05</x:v>
      </x:c>
      <x:c r="AB377" t="str">
        <x:f>IF(K377="","",TEXT(K377,"yyyy-mm"))</x:f>
      </x:c>
      <x:c r="AC377" t="str">
        <x:f>"Q"&amp;ROUNDUP(MONTH(B377)/3,0)&amp;"-"&amp;YEAR(B377)</x:f>
        <x:v>Q2-2026</x:v>
      </x:c>
      <x:c r="AD377" s="26" t="n">
        <x:f>MIN(100,IF(H377="Enterprise",30,IF(H377="Mid-Market",22,14))+IF(T377="Enterprise",25,IF(T377="Mid-Market",18,10))+IF(Q377="Referral",25,IF(Q377="Organic Search",20,IF(Q377="Email",18,14)))+IF(G377="Technology",10,5))</x:f>
        <x:v>43</x:v>
      </x:c>
      <x:c r="AE377" t="str">
        <x:f>IF(U377&lt;&gt;"Open",U377,IF(N377&gt;=0.8,"Commit",IF(N377&gt;=0.5,"Best Case","Pipeline")))</x:f>
        <x:v>Pipeline</x:v>
      </x:c>
    </x:row>
    <x:row r="378">
      <x:c r="A378" t="str">
        <x:v>L00377</x:v>
      </x:c>
      <x:c r="B378" s="10" t="n">
        <x:v>46220</x:v>
      </x:c>
      <x:c r="C378" t="str">
        <x:v>Ha Vo</x:v>
      </x:c>
      <x:c r="D378" t="str">
        <x:v>North</x:v>
      </x:c>
      <x:c r="E378" t="str">
        <x:v>google cpc</x:v>
      </x:c>
      <x:c r="F378" t="str">
        <x:v>MKT-AUTO</x:v>
      </x:c>
      <x:c r="G378" t="str">
        <x:v>Retail</x:v>
      </x:c>
      <x:c r="H378" t="str">
        <x:v>SMB</x:v>
      </x:c>
      <x:c r="I378" t="str">
        <x:v>Qualified</x:v>
      </x:c>
      <x:c r="J378" s="10" t="n">
        <x:v>46246</x:v>
      </x:c>
      <x:c r="K378" s="10"/>
      <x:c r="L378" s="22" t="n">
        <x:v>17400</x:v>
      </x:c>
      <x:c r="M378" s="24" t="n">
        <x:v>0</x:v>
      </x:c>
      <x:c r="N378" s="24" t="n">
        <x:v>0.2</x:v>
      </x:c>
      <x:c r="O378" t="str"/>
      <x:c r="P378" t="n">
        <x:v>2</x:v>
      </x:c>
      <x:c r="Q378" t="str">
        <x:f>IFERROR(XLOOKUP(E378,Lookups!$A$5:$A$24,Lookups!$B$5:$B$24),"Other")</x:f>
        <x:v>Paid Search</x:v>
      </x:c>
      <x:c r="R378" t="str">
        <x:f>IFERROR(XLOOKUP(F378,Lookups!$D$5:$D$10,Lookups!$E$5:$E$10),"Unknown Product")</x:f>
        <x:v>Marketing Automation</x:v>
      </x:c>
      <x:c r="S378" t="str">
        <x:f>IFERROR(XLOOKUP(F378,Lookups!$D$5:$D$10,Lookups!$F$5:$F$10),"Unknown")</x:f>
        <x:v>Marketing</x:v>
      </x:c>
      <x:c r="T378" t="str">
        <x:f>IF(L378&gt;=50000,"Enterprise",IF(L378&gt;=20000,"Mid-Market","SMB"))</x:f>
        <x:v>SMB</x:v>
      </x:c>
      <x:c r="U378" t="str">
        <x:f>IF(I378="Closed Won","Won",IF(I378="Closed Lost","Lost","Open"))</x:f>
        <x:v>Open</x:v>
      </x:c>
      <x:c r="V378" s="22" t="n">
        <x:f>IF(U378="Won",L378*(1-M378),0)</x:f>
        <x:v>0</x:v>
      </x:c>
      <x:c r="W378" s="22" t="n">
        <x:f>IF(U378="Open",L378*N378,0)</x:f>
        <x:v>3480</x:v>
      </x:c>
      <x:c r="X378" s="26" t="str">
        <x:f>IF(U378="Open","",IFERROR(K378-B378,""))</x:f>
      </x:c>
      <x:c r="Y378" s="26" t="n">
        <x:f>IF(U378="Open",Lookups!$B$2-B378,X378)</x:f>
        <x:v>46</x:v>
      </x:c>
      <x:c r="Z378" t="str">
        <x:f>IF(AND(U378="Open",Y378&gt;30),"STALE","OK")</x:f>
        <x:v>STALE</x:v>
      </x:c>
      <x:c r="AA378" t="str">
        <x:f>TEXT(B378,"yyyy-mm")</x:f>
        <x:v>2026-07</x:v>
      </x:c>
      <x:c r="AB378" t="str">
        <x:f>IF(K378="","",TEXT(K378,"yyyy-mm"))</x:f>
      </x:c>
      <x:c r="AC378" t="str">
        <x:f>"Q"&amp;ROUNDUP(MONTH(B378)/3,0)&amp;"-"&amp;YEAR(B378)</x:f>
        <x:v>Q3-2026</x:v>
      </x:c>
      <x:c r="AD378" s="26" t="n">
        <x:f>MIN(100,IF(H378="Enterprise",30,IF(H378="Mid-Market",22,14))+IF(T378="Enterprise",25,IF(T378="Mid-Market",18,10))+IF(Q378="Referral",25,IF(Q378="Organic Search",20,IF(Q378="Email",18,14)))+IF(G378="Technology",10,5))</x:f>
        <x:v>43</x:v>
      </x:c>
      <x:c r="AE378" t="str">
        <x:f>IF(U378&lt;&gt;"Open",U378,IF(N378&gt;=0.8,"Commit",IF(N378&gt;=0.5,"Best Case","Pipeline")))</x:f>
        <x:v>Pipeline</x:v>
      </x:c>
    </x:row>
    <x:row r="379">
      <x:c r="A379" t="str">
        <x:v>L00378</x:v>
      </x:c>
      <x:c r="B379" s="10" t="n">
        <x:v>46033</x:v>
      </x:c>
      <x:c r="C379" t="str">
        <x:v>Ha Vo</x:v>
      </x:c>
      <x:c r="D379" t="str">
        <x:v>North</x:v>
      </x:c>
      <x:c r="E379" t="str">
        <x:v>Email Campaign</x:v>
      </x:c>
      <x:c r="F379" t="str">
        <x:v>CS-CLOUD</x:v>
      </x:c>
      <x:c r="G379" t="str">
        <x:v>Financial Services</x:v>
      </x:c>
      <x:c r="H379" t="str">
        <x:v>Mid-Market</x:v>
      </x:c>
      <x:c r="I379" t="str">
        <x:v>Closed Won</x:v>
      </x:c>
      <x:c r="J379" s="10" t="n">
        <x:v>46081</x:v>
      </x:c>
      <x:c r="K379" s="10" t="n">
        <x:v>46081</x:v>
      </x:c>
      <x:c r="L379" s="22" t="n">
        <x:v>36900</x:v>
      </x:c>
      <x:c r="M379" s="24" t="n">
        <x:v>0</x:v>
      </x:c>
      <x:c r="N379" s="24" t="n">
        <x:v>1</x:v>
      </x:c>
      <x:c r="O379" t="str"/>
      <x:c r="P379" t="n">
        <x:v>6</x:v>
      </x:c>
      <x:c r="Q379" t="str">
        <x:f>IFERROR(XLOOKUP(E379,Lookups!$A$5:$A$24,Lookups!$B$5:$B$24),"Other")</x:f>
        <x:v>Email</x:v>
      </x:c>
      <x:c r="R379" t="str">
        <x:f>IFERROR(XLOOKUP(F379,Lookups!$D$5:$D$10,Lookups!$E$5:$E$10),"Unknown Product")</x:f>
        <x:v>Service Cloud</x:v>
      </x:c>
      <x:c r="S379" t="str">
        <x:f>IFERROR(XLOOKUP(F379,Lookups!$D$5:$D$10,Lookups!$F$5:$F$10),"Unknown")</x:f>
        <x:v>Customer Service</x:v>
      </x:c>
      <x:c r="T379" t="str">
        <x:f>IF(L379&gt;=50000,"Enterprise",IF(L379&gt;=20000,"Mid-Market","SMB"))</x:f>
        <x:v>Mid-Market</x:v>
      </x:c>
      <x:c r="U379" t="str">
        <x:f>IF(I379="Closed Won","Won",IF(I379="Closed Lost","Lost","Open"))</x:f>
        <x:v>Won</x:v>
      </x:c>
      <x:c r="V379" s="22" t="n">
        <x:f>IF(U379="Won",L379*(1-M379),0)</x:f>
        <x:v>36900</x:v>
      </x:c>
      <x:c r="W379" s="22" t="n">
        <x:f>IF(U379="Open",L379*N379,0)</x:f>
        <x:v>0</x:v>
      </x:c>
      <x:c r="X379" s="26" t="n">
        <x:f>IF(U379="Open","",IFERROR(K379-B379,""))</x:f>
        <x:v>48</x:v>
      </x:c>
      <x:c r="Y379" s="26" t="n">
        <x:f>IF(U379="Open",Lookups!$B$2-B379,X379)</x:f>
        <x:v>48</x:v>
      </x:c>
      <x:c r="Z379" t="str">
        <x:f>IF(AND(U379="Open",Y379&gt;30),"STALE","OK")</x:f>
        <x:v>OK</x:v>
      </x:c>
      <x:c r="AA379" t="str">
        <x:f>TEXT(B379,"yyyy-mm")</x:f>
        <x:v>2026-01</x:v>
      </x:c>
      <x:c r="AB379" t="str">
        <x:f>IF(K379="","",TEXT(K379,"yyyy-mm"))</x:f>
        <x:v>2026-02</x:v>
      </x:c>
      <x:c r="AC379" t="str">
        <x:f>"Q"&amp;ROUNDUP(MONTH(B379)/3,0)&amp;"-"&amp;YEAR(B379)</x:f>
        <x:v>Q1-2026</x:v>
      </x:c>
      <x:c r="AD379" s="26" t="n">
        <x:f>MIN(100,IF(H379="Enterprise",30,IF(H379="Mid-Market",22,14))+IF(T379="Enterprise",25,IF(T379="Mid-Market",18,10))+IF(Q379="Referral",25,IF(Q379="Organic Search",20,IF(Q379="Email",18,14)))+IF(G379="Technology",10,5))</x:f>
        <x:v>63</x:v>
      </x:c>
      <x:c r="AE379" t="str">
        <x:f>IF(U379&lt;&gt;"Open",U379,IF(N379&gt;=0.8,"Commit",IF(N379&gt;=0.5,"Best Case","Pipeline")))</x:f>
        <x:v>Won</x:v>
      </x:c>
    </x:row>
    <x:row r="380">
      <x:c r="A380" t="str">
        <x:v>L00379</x:v>
      </x:c>
      <x:c r="B380" s="10" t="n">
        <x:v>45705</x:v>
      </x:c>
      <x:c r="C380" t="str">
        <x:v>Minh Do</x:v>
      </x:c>
      <x:c r="D380" t="str">
        <x:v>North</x:v>
      </x:c>
      <x:c r="E380" t="str">
        <x:v>Webinar</x:v>
      </x:c>
      <x:c r="F380" t="str">
        <x:v>MKT-AUTO</x:v>
      </x:c>
      <x:c r="G380" t="str">
        <x:v>Professional Services</x:v>
      </x:c>
      <x:c r="H380" t="str">
        <x:v>Enterprise</x:v>
      </x:c>
      <x:c r="I380" t="str">
        <x:v>Closed Lost</x:v>
      </x:c>
      <x:c r="J380" s="10" t="n">
        <x:v>45737</x:v>
      </x:c>
      <x:c r="K380" s="10" t="n">
        <x:v>45737</x:v>
      </x:c>
      <x:c r="L380" s="22" t="n">
        <x:v>35900</x:v>
      </x:c>
      <x:c r="M380" s="24" t="n">
        <x:v>0</x:v>
      </x:c>
      <x:c r="N380" s="24" t="n">
        <x:v>0</x:v>
      </x:c>
      <x:c r="O380" t="str">
        <x:v>Price</x:v>
      </x:c>
      <x:c r="P380" t="n">
        <x:v>4</x:v>
      </x:c>
      <x:c r="Q380" t="str">
        <x:f>IFERROR(XLOOKUP(E380,Lookups!$A$5:$A$24,Lookups!$B$5:$B$24),"Other")</x:f>
        <x:v>Webinar</x:v>
      </x:c>
      <x:c r="R380" t="str">
        <x:f>IFERROR(XLOOKUP(F380,Lookups!$D$5:$D$10,Lookups!$E$5:$E$10),"Unknown Product")</x:f>
        <x:v>Marketing Automation</x:v>
      </x:c>
      <x:c r="S380" t="str">
        <x:f>IFERROR(XLOOKUP(F380,Lookups!$D$5:$D$10,Lookups!$F$5:$F$10),"Unknown")</x:f>
        <x:v>Marketing</x:v>
      </x:c>
      <x:c r="T380" t="str">
        <x:f>IF(L380&gt;=50000,"Enterprise",IF(L380&gt;=20000,"Mid-Market","SMB"))</x:f>
        <x:v>Mid-Market</x:v>
      </x:c>
      <x:c r="U380" t="str">
        <x:f>IF(I380="Closed Won","Won",IF(I380="Closed Lost","Lost","Open"))</x:f>
        <x:v>Lost</x:v>
      </x:c>
      <x:c r="V380" s="22" t="n">
        <x:f>IF(U380="Won",L380*(1-M380),0)</x:f>
        <x:v>0</x:v>
      </x:c>
      <x:c r="W380" s="22" t="n">
        <x:f>IF(U380="Open",L380*N380,0)</x:f>
        <x:v>0</x:v>
      </x:c>
      <x:c r="X380" s="26" t="n">
        <x:f>IF(U380="Open","",IFERROR(K380-B380,""))</x:f>
        <x:v>32</x:v>
      </x:c>
      <x:c r="Y380" s="26" t="n">
        <x:f>IF(U380="Open",Lookups!$B$2-B380,X380)</x:f>
        <x:v>32</x:v>
      </x:c>
      <x:c r="Z380" t="str">
        <x:f>IF(AND(U380="Open",Y380&gt;30),"STALE","OK")</x:f>
        <x:v>OK</x:v>
      </x:c>
      <x:c r="AA380" t="str">
        <x:f>TEXT(B380,"yyyy-mm")</x:f>
        <x:v>2025-02</x:v>
      </x:c>
      <x:c r="AB380" t="str">
        <x:f>IF(K380="","",TEXT(K380,"yyyy-mm"))</x:f>
        <x:v>2025-03</x:v>
      </x:c>
      <x:c r="AC380" t="str">
        <x:f>"Q"&amp;ROUNDUP(MONTH(B380)/3,0)&amp;"-"&amp;YEAR(B380)</x:f>
        <x:v>Q1-2025</x:v>
      </x:c>
      <x:c r="AD380" s="26" t="n">
        <x:f>MIN(100,IF(H380="Enterprise",30,IF(H380="Mid-Market",22,14))+IF(T380="Enterprise",25,IF(T380="Mid-Market",18,10))+IF(Q380="Referral",25,IF(Q380="Organic Search",20,IF(Q380="Email",18,14)))+IF(G380="Technology",10,5))</x:f>
        <x:v>67</x:v>
      </x:c>
      <x:c r="AE380" t="str">
        <x:f>IF(U380&lt;&gt;"Open",U380,IF(N380&gt;=0.8,"Commit",IF(N380&gt;=0.5,"Best Case","Pipeline")))</x:f>
        <x:v>Lost</x:v>
      </x:c>
    </x:row>
    <x:row r="381">
      <x:c r="A381" t="str">
        <x:v>L00380</x:v>
      </x:c>
      <x:c r="B381" s="10" t="n">
        <x:v>46068</x:v>
      </x:c>
      <x:c r="C381" t="str">
        <x:v>Duy Pham</x:v>
      </x:c>
      <x:c r="D381" t="str">
        <x:v>South</x:v>
      </x:c>
      <x:c r="E381" t="str">
        <x:v>Google Organic</x:v>
      </x:c>
      <x:c r="F381" t="str">
        <x:v>CRM-PRO</x:v>
      </x:c>
      <x:c r="G381" t="str">
        <x:v>Manufacturing</x:v>
      </x:c>
      <x:c r="H381" t="str">
        <x:v>Mid-Market</x:v>
      </x:c>
      <x:c r="I381" t="str">
        <x:v>Negotiation</x:v>
      </x:c>
      <x:c r="J381" s="10" t="n">
        <x:v>46150</x:v>
      </x:c>
      <x:c r="K381" s="10"/>
      <x:c r="L381" s="22" t="n">
        <x:v>26800</x:v>
      </x:c>
      <x:c r="M381" s="24" t="n">
        <x:v>0</x:v>
      </x:c>
      <x:c r="N381" s="24" t="n">
        <x:v>0.85</x:v>
      </x:c>
      <x:c r="O381" t="str"/>
      <x:c r="P381" t="n">
        <x:v>5</x:v>
      </x:c>
      <x:c r="Q381" t="str">
        <x:f>IFERROR(XLOOKUP(E381,Lookups!$A$5:$A$24,Lookups!$B$5:$B$24),"Other")</x:f>
        <x:v>Organic Search</x:v>
      </x:c>
      <x:c r="R381" t="str">
        <x:f>IFERROR(XLOOKUP(F381,Lookups!$D$5:$D$10,Lookups!$E$5:$E$10),"Unknown Product")</x:f>
        <x:v>NexaCRM Pro</x:v>
      </x:c>
      <x:c r="S381" t="str">
        <x:f>IFERROR(XLOOKUP(F381,Lookups!$D$5:$D$10,Lookups!$F$5:$F$10),"Unknown")</x:f>
        <x:v>CRM</x:v>
      </x:c>
      <x:c r="T381" t="str">
        <x:f>IF(L381&gt;=50000,"Enterprise",IF(L381&gt;=20000,"Mid-Market","SMB"))</x:f>
        <x:v>Mid-Market</x:v>
      </x:c>
      <x:c r="U381" t="str">
        <x:f>IF(I381="Closed Won","Won",IF(I381="Closed Lost","Lost","Open"))</x:f>
        <x:v>Open</x:v>
      </x:c>
      <x:c r="V381" s="22" t="n">
        <x:f>IF(U381="Won",L381*(1-M381),0)</x:f>
        <x:v>0</x:v>
      </x:c>
      <x:c r="W381" s="22" t="n">
        <x:f>IF(U381="Open",L381*N381,0)</x:f>
        <x:v>22780</x:v>
      </x:c>
      <x:c r="X381" s="26" t="str">
        <x:f>IF(U381="Open","",IFERROR(K381-B381,""))</x:f>
      </x:c>
      <x:c r="Y381" s="26" t="n">
        <x:f>IF(U381="Open",Lookups!$B$2-B381,X381)</x:f>
        <x:v>198</x:v>
      </x:c>
      <x:c r="Z381" t="str">
        <x:f>IF(AND(U381="Open",Y381&gt;30),"STALE","OK")</x:f>
        <x:v>STALE</x:v>
      </x:c>
      <x:c r="AA381" t="str">
        <x:f>TEXT(B381,"yyyy-mm")</x:f>
        <x:v>2026-02</x:v>
      </x:c>
      <x:c r="AB381" t="str">
        <x:f>IF(K381="","",TEXT(K381,"yyyy-mm"))</x:f>
      </x:c>
      <x:c r="AC381" t="str">
        <x:f>"Q"&amp;ROUNDUP(MONTH(B381)/3,0)&amp;"-"&amp;YEAR(B381)</x:f>
        <x:v>Q1-2026</x:v>
      </x:c>
      <x:c r="AD381" s="26" t="n">
        <x:f>MIN(100,IF(H381="Enterprise",30,IF(H381="Mid-Market",22,14))+IF(T381="Enterprise",25,IF(T381="Mid-Market",18,10))+IF(Q381="Referral",25,IF(Q381="Organic Search",20,IF(Q381="Email",18,14)))+IF(G381="Technology",10,5))</x:f>
        <x:v>65</x:v>
      </x:c>
      <x:c r="AE381" t="str">
        <x:f>IF(U381&lt;&gt;"Open",U381,IF(N381&gt;=0.8,"Commit",IF(N381&gt;=0.5,"Best Case","Pipeline")))</x:f>
        <x:v>Commit</x:v>
      </x:c>
    </x:row>
    <x:row r="382">
      <x:c r="A382" t="str">
        <x:v>L00381</x:v>
      </x:c>
      <x:c r="B382" s="10" t="n">
        <x:v>45797</x:v>
      </x:c>
      <x:c r="C382" t="str">
        <x:v>Tuan Bui</x:v>
      </x:c>
      <x:c r="D382" t="str">
        <x:v>Central</x:v>
      </x:c>
      <x:c r="E382" t="str">
        <x:v>virtual event</x:v>
      </x:c>
      <x:c r="F382" t="str">
        <x:v>REV-OPS</x:v>
      </x:c>
      <x:c r="G382" t="str">
        <x:v>Retail</x:v>
      </x:c>
      <x:c r="H382" t="str">
        <x:v>Enterprise</x:v>
      </x:c>
      <x:c r="I382" t="str">
        <x:v>Negotiation</x:v>
      </x:c>
      <x:c r="J382" s="10" t="n">
        <x:v>46163</x:v>
      </x:c>
      <x:c r="K382" s="10"/>
      <x:c r="L382" s="22" t="n">
        <x:v>160000</x:v>
      </x:c>
      <x:c r="M382" s="24" t="n">
        <x:v>0.03</x:v>
      </x:c>
      <x:c r="N382" s="24" t="n">
        <x:v>0.85</x:v>
      </x:c>
      <x:c r="O382" t="str"/>
      <x:c r="P382" t="n">
        <x:v>5</x:v>
      </x:c>
      <x:c r="Q382" t="str">
        <x:f>IFERROR(XLOOKUP(E382,Lookups!$A$5:$A$24,Lookups!$B$5:$B$24),"Other")</x:f>
        <x:v>Webinar</x:v>
      </x:c>
      <x:c r="R382" t="str">
        <x:f>IFERROR(XLOOKUP(F382,Lookups!$D$5:$D$10,Lookups!$E$5:$E$10),"Unknown Product")</x:f>
        <x:v>Revenue Operations Suite</x:v>
      </x:c>
      <x:c r="S382" t="str">
        <x:f>IFERROR(XLOOKUP(F382,Lookups!$D$5:$D$10,Lookups!$F$5:$F$10),"Unknown")</x:f>
        <x:v>Revenue Ops</x:v>
      </x:c>
      <x:c r="T382" t="str">
        <x:f>IF(L382&gt;=50000,"Enterprise",IF(L382&gt;=20000,"Mid-Market","SMB"))</x:f>
        <x:v>Enterprise</x:v>
      </x:c>
      <x:c r="U382" t="str">
        <x:f>IF(I382="Closed Won","Won",IF(I382="Closed Lost","Lost","Open"))</x:f>
        <x:v>Open</x:v>
      </x:c>
      <x:c r="V382" s="22" t="n">
        <x:f>IF(U382="Won",L382*(1-M382),0)</x:f>
        <x:v>0</x:v>
      </x:c>
      <x:c r="W382" s="22" t="n">
        <x:f>IF(U382="Open",L382*N382,0)</x:f>
        <x:v>136000</x:v>
      </x:c>
      <x:c r="X382" s="26" t="str">
        <x:f>IF(U382="Open","",IFERROR(K382-B382,""))</x:f>
      </x:c>
      <x:c r="Y382" s="26" t="n">
        <x:f>IF(U382="Open",Lookups!$B$2-B382,X382)</x:f>
        <x:v>469</x:v>
      </x:c>
      <x:c r="Z382" t="str">
        <x:f>IF(AND(U382="Open",Y382&gt;30),"STALE","OK")</x:f>
        <x:v>STALE</x:v>
      </x:c>
      <x:c r="AA382" t="str">
        <x:f>TEXT(B382,"yyyy-mm")</x:f>
        <x:v>2025-05</x:v>
      </x:c>
      <x:c r="AB382" t="str">
        <x:f>IF(K382="","",TEXT(K382,"yyyy-mm"))</x:f>
      </x:c>
      <x:c r="AC382" t="str">
        <x:f>"Q"&amp;ROUNDUP(MONTH(B382)/3,0)&amp;"-"&amp;YEAR(B382)</x:f>
        <x:v>Q2-2025</x:v>
      </x:c>
      <x:c r="AD382" s="26" t="n">
        <x:f>MIN(100,IF(H382="Enterprise",30,IF(H382="Mid-Market",22,14))+IF(T382="Enterprise",25,IF(T382="Mid-Market",18,10))+IF(Q382="Referral",25,IF(Q382="Organic Search",20,IF(Q382="Email",18,14)))+IF(G382="Technology",10,5))</x:f>
        <x:v>74</x:v>
      </x:c>
      <x:c r="AE382" t="str">
        <x:f>IF(U382&lt;&gt;"Open",U382,IF(N382&gt;=0.8,"Commit",IF(N382&gt;=0.5,"Best Case","Pipeline")))</x:f>
        <x:v>Commit</x:v>
      </x:c>
    </x:row>
    <x:row r="383">
      <x:c r="A383" t="str">
        <x:v>L00382</x:v>
      </x:c>
      <x:c r="B383" s="10" t="n">
        <x:v>45967</x:v>
      </x:c>
      <x:c r="C383" t="str">
        <x:v>Quynh Vu</x:v>
      </x:c>
      <x:c r="D383" t="str">
        <x:v>North</x:v>
      </x:c>
      <x:c r="E383" t="str">
        <x:v>Cold Email</x:v>
      </x:c>
      <x:c r="F383" t="str">
        <x:v>CS-CLOUD</x:v>
      </x:c>
      <x:c r="G383" t="str">
        <x:v>Healthcare</x:v>
      </x:c>
      <x:c r="H383" t="str">
        <x:v>Mid-Market</x:v>
      </x:c>
      <x:c r="I383" t="str">
        <x:v>Negotiation</x:v>
      </x:c>
      <x:c r="J383" s="10" t="n">
        <x:v>46072</x:v>
      </x:c>
      <x:c r="K383" s="10"/>
      <x:c r="L383" s="22" t="n">
        <x:v>32100</x:v>
      </x:c>
      <x:c r="M383" s="24" t="n">
        <x:v>0.03</x:v>
      </x:c>
      <x:c r="N383" s="24" t="n">
        <x:v>0.85</x:v>
      </x:c>
      <x:c r="O383" t="str"/>
      <x:c r="P383" t="n">
        <x:v>5</x:v>
      </x:c>
      <x:c r="Q383" t="str">
        <x:f>IFERROR(XLOOKUP(E383,Lookups!$A$5:$A$24,Lookups!$B$5:$B$24),"Other")</x:f>
        <x:v>Outbound</x:v>
      </x:c>
      <x:c r="R383" t="str">
        <x:f>IFERROR(XLOOKUP(F383,Lookups!$D$5:$D$10,Lookups!$E$5:$E$10),"Unknown Product")</x:f>
        <x:v>Service Cloud</x:v>
      </x:c>
      <x:c r="S383" t="str">
        <x:f>IFERROR(XLOOKUP(F383,Lookups!$D$5:$D$10,Lookups!$F$5:$F$10),"Unknown")</x:f>
        <x:v>Customer Service</x:v>
      </x:c>
      <x:c r="T383" t="str">
        <x:f>IF(L383&gt;=50000,"Enterprise",IF(L383&gt;=20000,"Mid-Market","SMB"))</x:f>
        <x:v>Mid-Market</x:v>
      </x:c>
      <x:c r="U383" t="str">
        <x:f>IF(I383="Closed Won","Won",IF(I383="Closed Lost","Lost","Open"))</x:f>
        <x:v>Open</x:v>
      </x:c>
      <x:c r="V383" s="22" t="n">
        <x:f>IF(U383="Won",L383*(1-M383),0)</x:f>
        <x:v>0</x:v>
      </x:c>
      <x:c r="W383" s="22" t="n">
        <x:f>IF(U383="Open",L383*N383,0)</x:f>
        <x:v>27285</x:v>
      </x:c>
      <x:c r="X383" s="26" t="str">
        <x:f>IF(U383="Open","",IFERROR(K383-B383,""))</x:f>
      </x:c>
      <x:c r="Y383" s="26" t="n">
        <x:f>IF(U383="Open",Lookups!$B$2-B383,X383)</x:f>
        <x:v>299</x:v>
      </x:c>
      <x:c r="Z383" t="str">
        <x:f>IF(AND(U383="Open",Y383&gt;30),"STALE","OK")</x:f>
        <x:v>STALE</x:v>
      </x:c>
      <x:c r="AA383" t="str">
        <x:f>TEXT(B383,"yyyy-mm")</x:f>
        <x:v>2025-11</x:v>
      </x:c>
      <x:c r="AB383" t="str">
        <x:f>IF(K383="","",TEXT(K383,"yyyy-mm"))</x:f>
      </x:c>
      <x:c r="AC383" t="str">
        <x:f>"Q"&amp;ROUNDUP(MONTH(B383)/3,0)&amp;"-"&amp;YEAR(B383)</x:f>
        <x:v>Q4-2025</x:v>
      </x:c>
      <x:c r="AD383" s="26" t="n">
        <x:f>MIN(100,IF(H383="Enterprise",30,IF(H383="Mid-Market",22,14))+IF(T383="Enterprise",25,IF(T383="Mid-Market",18,10))+IF(Q383="Referral",25,IF(Q383="Organic Search",20,IF(Q383="Email",18,14)))+IF(G383="Technology",10,5))</x:f>
        <x:v>59</x:v>
      </x:c>
      <x:c r="AE383" t="str">
        <x:f>IF(U383&lt;&gt;"Open",U383,IF(N383&gt;=0.8,"Commit",IF(N383&gt;=0.5,"Best Case","Pipeline")))</x:f>
        <x:v>Commit</x:v>
      </x:c>
    </x:row>
    <x:row r="384">
      <x:c r="A384" t="str">
        <x:v>L00383</x:v>
      </x:c>
      <x:c r="B384" s="10" t="n">
        <x:v>46056</x:v>
      </x:c>
      <x:c r="C384" t="str">
        <x:v>Tuan Bui</x:v>
      </x:c>
      <x:c r="D384" t="str">
        <x:v>Central</x:v>
      </x:c>
      <x:c r="E384" t="str">
        <x:v>LinkedIn Ads</x:v>
      </x:c>
      <x:c r="F384" t="str">
        <x:v>BI-PLUS</x:v>
      </x:c>
      <x:c r="G384" t="str">
        <x:v>Healthcare</x:v>
      </x:c>
      <x:c r="H384" t="str">
        <x:v>Mid-Market</x:v>
      </x:c>
      <x:c r="I384" t="str">
        <x:v>Closed Lost</x:v>
      </x:c>
      <x:c r="J384" s="10" t="n">
        <x:v>46106</x:v>
      </x:c>
      <x:c r="K384" s="10" t="n">
        <x:v>46106</x:v>
      </x:c>
      <x:c r="L384" s="22" t="n">
        <x:v>45100</x:v>
      </x:c>
      <x:c r="M384" s="24" t="n">
        <x:v>0</x:v>
      </x:c>
      <x:c r="N384" s="24" t="n">
        <x:v>0</x:v>
      </x:c>
      <x:c r="O384" t="str">
        <x:v>Feature Gap</x:v>
      </x:c>
      <x:c r="P384" t="n">
        <x:v>4</x:v>
      </x:c>
      <x:c r="Q384" t="str">
        <x:f>IFERROR(XLOOKUP(E384,Lookups!$A$5:$A$24,Lookups!$B$5:$B$24),"Other")</x:f>
        <x:v>LinkedIn</x:v>
      </x:c>
      <x:c r="R384" t="str">
        <x:f>IFERROR(XLOOKUP(F384,Lookups!$D$5:$D$10,Lookups!$E$5:$E$10),"Unknown Product")</x:f>
        <x:v>Analytics Plus</x:v>
      </x:c>
      <x:c r="S384" t="str">
        <x:f>IFERROR(XLOOKUP(F384,Lookups!$D$5:$D$10,Lookups!$F$5:$F$10),"Unknown")</x:f>
        <x:v>Analytics</x:v>
      </x:c>
      <x:c r="T384" t="str">
        <x:f>IF(L384&gt;=50000,"Enterprise",IF(L384&gt;=20000,"Mid-Market","SMB"))</x:f>
        <x:v>Mid-Market</x:v>
      </x:c>
      <x:c r="U384" t="str">
        <x:f>IF(I384="Closed Won","Won",IF(I384="Closed Lost","Lost","Open"))</x:f>
        <x:v>Lost</x:v>
      </x:c>
      <x:c r="V384" s="22" t="n">
        <x:f>IF(U384="Won",L384*(1-M384),0)</x:f>
        <x:v>0</x:v>
      </x:c>
      <x:c r="W384" s="22" t="n">
        <x:f>IF(U384="Open",L384*N384,0)</x:f>
        <x:v>0</x:v>
      </x:c>
      <x:c r="X384" s="26" t="n">
        <x:f>IF(U384="Open","",IFERROR(K384-B384,""))</x:f>
        <x:v>50</x:v>
      </x:c>
      <x:c r="Y384" s="26" t="n">
        <x:f>IF(U384="Open",Lookups!$B$2-B384,X384)</x:f>
        <x:v>50</x:v>
      </x:c>
      <x:c r="Z384" t="str">
        <x:f>IF(AND(U384="Open",Y384&gt;30),"STALE","OK")</x:f>
        <x:v>OK</x:v>
      </x:c>
      <x:c r="AA384" t="str">
        <x:f>TEXT(B384,"yyyy-mm")</x:f>
        <x:v>2026-02</x:v>
      </x:c>
      <x:c r="AB384" t="str">
        <x:f>IF(K384="","",TEXT(K384,"yyyy-mm"))</x:f>
        <x:v>2026-03</x:v>
      </x:c>
      <x:c r="AC384" t="str">
        <x:f>"Q"&amp;ROUNDUP(MONTH(B384)/3,0)&amp;"-"&amp;YEAR(B384)</x:f>
        <x:v>Q1-2026</x:v>
      </x:c>
      <x:c r="AD384" s="26" t="n">
        <x:f>MIN(100,IF(H384="Enterprise",30,IF(H384="Mid-Market",22,14))+IF(T384="Enterprise",25,IF(T384="Mid-Market",18,10))+IF(Q384="Referral",25,IF(Q384="Organic Search",20,IF(Q384="Email",18,14)))+IF(G384="Technology",10,5))</x:f>
        <x:v>59</x:v>
      </x:c>
      <x:c r="AE384" t="str">
        <x:f>IF(U384&lt;&gt;"Open",U384,IF(N384&gt;=0.8,"Commit",IF(N384&gt;=0.5,"Best Case","Pipeline")))</x:f>
        <x:v>Lost</x:v>
      </x:c>
    </x:row>
    <x:row r="385">
      <x:c r="A385" t="str">
        <x:v>L00384</x:v>
      </x:c>
      <x:c r="B385" s="10" t="n">
        <x:v>46252</x:v>
      </x:c>
      <x:c r="C385" t="str">
        <x:v>Quynh Vu</x:v>
      </x:c>
      <x:c r="D385" t="str">
        <x:v>North</x:v>
      </x:c>
      <x:c r="E385" t="str">
        <x:v>Partner Referral</x:v>
      </x:c>
      <x:c r="F385" t="str">
        <x:v>CRM-PRO</x:v>
      </x:c>
      <x:c r="G385" t="str">
        <x:v>Technology</x:v>
      </x:c>
      <x:c r="H385" t="str">
        <x:v>Mid-Market</x:v>
      </x:c>
      <x:c r="I385" t="str">
        <x:v>Closed Lost</x:v>
      </x:c>
      <x:c r="J385" s="10" t="n">
        <x:v>46266</x:v>
      </x:c>
      <x:c r="K385" s="10" t="n">
        <x:v>46266</x:v>
      </x:c>
      <x:c r="L385" s="22" t="n">
        <x:v>39700</x:v>
      </x:c>
      <x:c r="M385" s="24" t="n">
        <x:v>0</x:v>
      </x:c>
      <x:c r="N385" s="24" t="n">
        <x:v>0</x:v>
      </x:c>
      <x:c r="O385" t="str">
        <x:v>Price</x:v>
      </x:c>
      <x:c r="P385" t="n">
        <x:v>4</x:v>
      </x:c>
      <x:c r="Q385" t="str">
        <x:f>IFERROR(XLOOKUP(E385,Lookups!$A$5:$A$24,Lookups!$B$5:$B$24),"Other")</x:f>
        <x:v>Referral</x:v>
      </x:c>
      <x:c r="R385" t="str">
        <x:f>IFERROR(XLOOKUP(F385,Lookups!$D$5:$D$10,Lookups!$E$5:$E$10),"Unknown Product")</x:f>
        <x:v>NexaCRM Pro</x:v>
      </x:c>
      <x:c r="S385" t="str">
        <x:f>IFERROR(XLOOKUP(F385,Lookups!$D$5:$D$10,Lookups!$F$5:$F$10),"Unknown")</x:f>
        <x:v>CRM</x:v>
      </x:c>
      <x:c r="T385" t="str">
        <x:f>IF(L385&gt;=50000,"Enterprise",IF(L385&gt;=20000,"Mid-Market","SMB"))</x:f>
        <x:v>Mid-Market</x:v>
      </x:c>
      <x:c r="U385" t="str">
        <x:f>IF(I385="Closed Won","Won",IF(I385="Closed Lost","Lost","Open"))</x:f>
        <x:v>Lost</x:v>
      </x:c>
      <x:c r="V385" s="22" t="n">
        <x:f>IF(U385="Won",L385*(1-M385),0)</x:f>
        <x:v>0</x:v>
      </x:c>
      <x:c r="W385" s="22" t="n">
        <x:f>IF(U385="Open",L385*N385,0)</x:f>
        <x:v>0</x:v>
      </x:c>
      <x:c r="X385" s="26" t="n">
        <x:f>IF(U385="Open","",IFERROR(K385-B385,""))</x:f>
        <x:v>14</x:v>
      </x:c>
      <x:c r="Y385" s="26" t="n">
        <x:f>IF(U385="Open",Lookups!$B$2-B385,X385)</x:f>
        <x:v>14</x:v>
      </x:c>
      <x:c r="Z385" t="str">
        <x:f>IF(AND(U385="Open",Y385&gt;30),"STALE","OK")</x:f>
        <x:v>OK</x:v>
      </x:c>
      <x:c r="AA385" t="str">
        <x:f>TEXT(B385,"yyyy-mm")</x:f>
        <x:v>2026-08</x:v>
      </x:c>
      <x:c r="AB385" t="str">
        <x:f>IF(K385="","",TEXT(K385,"yyyy-mm"))</x:f>
        <x:v>2026-09</x:v>
      </x:c>
      <x:c r="AC385" t="str">
        <x:f>"Q"&amp;ROUNDUP(MONTH(B385)/3,0)&amp;"-"&amp;YEAR(B385)</x:f>
        <x:v>Q3-2026</x:v>
      </x:c>
      <x:c r="AD385" s="26" t="n">
        <x:f>MIN(100,IF(H385="Enterprise",30,IF(H385="Mid-Market",22,14))+IF(T385="Enterprise",25,IF(T385="Mid-Market",18,10))+IF(Q385="Referral",25,IF(Q385="Organic Search",20,IF(Q385="Email",18,14)))+IF(G385="Technology",10,5))</x:f>
        <x:v>75</x:v>
      </x:c>
      <x:c r="AE385" t="str">
        <x:f>IF(U385&lt;&gt;"Open",U385,IF(N385&gt;=0.8,"Commit",IF(N385&gt;=0.5,"Best Case","Pipeline")))</x:f>
        <x:v>Lost</x:v>
      </x:c>
    </x:row>
    <x:row r="386">
      <x:c r="A386" t="str">
        <x:v>L00385</x:v>
      </x:c>
      <x:c r="B386" s="10" t="n">
        <x:v>46165</x:v>
      </x:c>
      <x:c r="C386" t="str">
        <x:v>Ha Vo</x:v>
      </x:c>
      <x:c r="D386" t="str">
        <x:v>North</x:v>
      </x:c>
      <x:c r="E386" t="str">
        <x:v>Partner Referral</x:v>
      </x:c>
      <x:c r="F386" t="str">
        <x:v>CRM-PRO</x:v>
      </x:c>
      <x:c r="G386" t="str">
        <x:v>Retail</x:v>
      </x:c>
      <x:c r="H386" t="str">
        <x:v>Mid-Market</x:v>
      </x:c>
      <x:c r="I386" t="str">
        <x:v>Closed Won</x:v>
      </x:c>
      <x:c r="J386" s="10" t="n">
        <x:v>46220</x:v>
      </x:c>
      <x:c r="K386" s="10" t="n">
        <x:v>46220</x:v>
      </x:c>
      <x:c r="L386" s="22" t="n">
        <x:v>34800</x:v>
      </x:c>
      <x:c r="M386" s="24" t="n">
        <x:v>0.12</x:v>
      </x:c>
      <x:c r="N386" s="24" t="n">
        <x:v>1</x:v>
      </x:c>
      <x:c r="O386" t="str"/>
      <x:c r="P386" t="n">
        <x:v>6</x:v>
      </x:c>
      <x:c r="Q386" t="str">
        <x:f>IFERROR(XLOOKUP(E386,Lookups!$A$5:$A$24,Lookups!$B$5:$B$24),"Other")</x:f>
        <x:v>Referral</x:v>
      </x:c>
      <x:c r="R386" t="str">
        <x:f>IFERROR(XLOOKUP(F386,Lookups!$D$5:$D$10,Lookups!$E$5:$E$10),"Unknown Product")</x:f>
        <x:v>NexaCRM Pro</x:v>
      </x:c>
      <x:c r="S386" t="str">
        <x:f>IFERROR(XLOOKUP(F386,Lookups!$D$5:$D$10,Lookups!$F$5:$F$10),"Unknown")</x:f>
        <x:v>CRM</x:v>
      </x:c>
      <x:c r="T386" t="str">
        <x:f>IF(L386&gt;=50000,"Enterprise",IF(L386&gt;=20000,"Mid-Market","SMB"))</x:f>
        <x:v>Mid-Market</x:v>
      </x:c>
      <x:c r="U386" t="str">
        <x:f>IF(I386="Closed Won","Won",IF(I386="Closed Lost","Lost","Open"))</x:f>
        <x:v>Won</x:v>
      </x:c>
      <x:c r="V386" s="22" t="n">
        <x:f>IF(U386="Won",L386*(1-M386),0)</x:f>
        <x:v>30624</x:v>
      </x:c>
      <x:c r="W386" s="22" t="n">
        <x:f>IF(U386="Open",L386*N386,0)</x:f>
        <x:v>0</x:v>
      </x:c>
      <x:c r="X386" s="26" t="n">
        <x:f>IF(U386="Open","",IFERROR(K386-B386,""))</x:f>
        <x:v>55</x:v>
      </x:c>
      <x:c r="Y386" s="26" t="n">
        <x:f>IF(U386="Open",Lookups!$B$2-B386,X386)</x:f>
        <x:v>55</x:v>
      </x:c>
      <x:c r="Z386" t="str">
        <x:f>IF(AND(U386="Open",Y386&gt;30),"STALE","OK")</x:f>
        <x:v>OK</x:v>
      </x:c>
      <x:c r="AA386" t="str">
        <x:f>TEXT(B386,"yyyy-mm")</x:f>
        <x:v>2026-05</x:v>
      </x:c>
      <x:c r="AB386" t="str">
        <x:f>IF(K386="","",TEXT(K386,"yyyy-mm"))</x:f>
        <x:v>2026-07</x:v>
      </x:c>
      <x:c r="AC386" t="str">
        <x:f>"Q"&amp;ROUNDUP(MONTH(B386)/3,0)&amp;"-"&amp;YEAR(B386)</x:f>
        <x:v>Q2-2026</x:v>
      </x:c>
      <x:c r="AD386" s="26" t="n">
        <x:f>MIN(100,IF(H386="Enterprise",30,IF(H386="Mid-Market",22,14))+IF(T386="Enterprise",25,IF(T386="Mid-Market",18,10))+IF(Q386="Referral",25,IF(Q386="Organic Search",20,IF(Q386="Email",18,14)))+IF(G386="Technology",10,5))</x:f>
        <x:v>70</x:v>
      </x:c>
      <x:c r="AE386" t="str">
        <x:f>IF(U386&lt;&gt;"Open",U386,IF(N386&gt;=0.8,"Commit",IF(N386&gt;=0.5,"Best Case","Pipeline")))</x:f>
        <x:v>Won</x:v>
      </x:c>
    </x:row>
    <x:row r="387">
      <x:c r="A387" t="str">
        <x:v>L00386</x:v>
      </x:c>
      <x:c r="B387" s="10" t="n">
        <x:v>45791</x:v>
      </x:c>
      <x:c r="C387" t="str">
        <x:v>An Nguyen</x:v>
      </x:c>
      <x:c r="D387" t="str">
        <x:v>South</x:v>
      </x:c>
      <x:c r="E387" t="str">
        <x:v>LI Ads</x:v>
      </x:c>
      <x:c r="F387" t="str">
        <x:v>CRM-PRO</x:v>
      </x:c>
      <x:c r="G387" t="str">
        <x:v>Manufacturing</x:v>
      </x:c>
      <x:c r="H387" t="str">
        <x:v>SMB</x:v>
      </x:c>
      <x:c r="I387" t="str">
        <x:v>Closed Lost</x:v>
      </x:c>
      <x:c r="J387" s="10" t="n">
        <x:v>45849</x:v>
      </x:c>
      <x:c r="K387" s="10" t="n">
        <x:v>45849</x:v>
      </x:c>
      <x:c r="L387" s="22" t="n">
        <x:v>12200</x:v>
      </x:c>
      <x:c r="M387" s="24" t="n">
        <x:v>0</x:v>
      </x:c>
      <x:c r="N387" s="24" t="n">
        <x:v>0</x:v>
      </x:c>
      <x:c r="O387" t="str">
        <x:v>Price</x:v>
      </x:c>
      <x:c r="P387" t="n">
        <x:v>3</x:v>
      </x:c>
      <x:c r="Q387" t="str">
        <x:f>IFERROR(XLOOKUP(E387,Lookups!$A$5:$A$24,Lookups!$B$5:$B$24),"Other")</x:f>
        <x:v>LinkedIn</x:v>
      </x:c>
      <x:c r="R387" t="str">
        <x:f>IFERROR(XLOOKUP(F387,Lookups!$D$5:$D$10,Lookups!$E$5:$E$10),"Unknown Product")</x:f>
        <x:v>NexaCRM Pro</x:v>
      </x:c>
      <x:c r="S387" t="str">
        <x:f>IFERROR(XLOOKUP(F387,Lookups!$D$5:$D$10,Lookups!$F$5:$F$10),"Unknown")</x:f>
        <x:v>CRM</x:v>
      </x:c>
      <x:c r="T387" t="str">
        <x:f>IF(L387&gt;=50000,"Enterprise",IF(L387&gt;=20000,"Mid-Market","SMB"))</x:f>
        <x:v>SMB</x:v>
      </x:c>
      <x:c r="U387" t="str">
        <x:f>IF(I387="Closed Won","Won",IF(I387="Closed Lost","Lost","Open"))</x:f>
        <x:v>Lost</x:v>
      </x:c>
      <x:c r="V387" s="22" t="n">
        <x:f>IF(U387="Won",L387*(1-M387),0)</x:f>
        <x:v>0</x:v>
      </x:c>
      <x:c r="W387" s="22" t="n">
        <x:f>IF(U387="Open",L387*N387,0)</x:f>
        <x:v>0</x:v>
      </x:c>
      <x:c r="X387" s="26" t="n">
        <x:f>IF(U387="Open","",IFERROR(K387-B387,""))</x:f>
        <x:v>58</x:v>
      </x:c>
      <x:c r="Y387" s="26" t="n">
        <x:f>IF(U387="Open",Lookups!$B$2-B387,X387)</x:f>
        <x:v>58</x:v>
      </x:c>
      <x:c r="Z387" t="str">
        <x:f>IF(AND(U387="Open",Y387&gt;30),"STALE","OK")</x:f>
        <x:v>OK</x:v>
      </x:c>
      <x:c r="AA387" t="str">
        <x:f>TEXT(B387,"yyyy-mm")</x:f>
        <x:v>2025-05</x:v>
      </x:c>
      <x:c r="AB387" t="str">
        <x:f>IF(K387="","",TEXT(K387,"yyyy-mm"))</x:f>
        <x:v>2025-07</x:v>
      </x:c>
      <x:c r="AC387" t="str">
        <x:f>"Q"&amp;ROUNDUP(MONTH(B387)/3,0)&amp;"-"&amp;YEAR(B387)</x:f>
        <x:v>Q2-2025</x:v>
      </x:c>
      <x:c r="AD387" s="26" t="n">
        <x:f>MIN(100,IF(H387="Enterprise",30,IF(H387="Mid-Market",22,14))+IF(T387="Enterprise",25,IF(T387="Mid-Market",18,10))+IF(Q387="Referral",25,IF(Q387="Organic Search",20,IF(Q387="Email",18,14)))+IF(G387="Technology",10,5))</x:f>
        <x:v>43</x:v>
      </x:c>
      <x:c r="AE387" t="str">
        <x:f>IF(U387&lt;&gt;"Open",U387,IF(N387&gt;=0.8,"Commit",IF(N387&gt;=0.5,"Best Case","Pipeline")))</x:f>
        <x:v>Lost</x:v>
      </x:c>
    </x:row>
    <x:row r="388">
      <x:c r="A388" t="str">
        <x:v>L00387</x:v>
      </x:c>
      <x:c r="B388" s="10" t="n">
        <x:v>46007</x:v>
      </x:c>
      <x:c r="C388" t="str">
        <x:v>Minh Do</x:v>
      </x:c>
      <x:c r="D388" t="str">
        <x:v>North</x:v>
      </x:c>
      <x:c r="E388" t="str">
        <x:v>Unknown Event</x:v>
      </x:c>
      <x:c r="F388" t="str">
        <x:v>BI-PLUS</x:v>
      </x:c>
      <x:c r="G388" t="str">
        <x:v>Financial Services</x:v>
      </x:c>
      <x:c r="H388" t="str">
        <x:v>Enterprise</x:v>
      </x:c>
      <x:c r="I388" t="str">
        <x:v>Closed Lost</x:v>
      </x:c>
      <x:c r="J388" s="10" t="n">
        <x:v>46069</x:v>
      </x:c>
      <x:c r="K388" s="10" t="n">
        <x:v>46069</x:v>
      </x:c>
      <x:c r="L388" s="22" t="n">
        <x:v>57700</x:v>
      </x:c>
      <x:c r="M388" s="24" t="n">
        <x:v>0</x:v>
      </x:c>
      <x:c r="N388" s="24" t="n">
        <x:v>0</x:v>
      </x:c>
      <x:c r="O388" t="str">
        <x:v>Price</x:v>
      </x:c>
      <x:c r="P388" t="n">
        <x:v>3</x:v>
      </x:c>
      <x:c r="Q388" t="str">
        <x:f>IFERROR(XLOOKUP(E388,Lookups!$A$5:$A$24,Lookups!$B$5:$B$24),"Other")</x:f>
        <x:v>Other</x:v>
      </x:c>
      <x:c r="R388" t="str">
        <x:f>IFERROR(XLOOKUP(F388,Lookups!$D$5:$D$10,Lookups!$E$5:$E$10),"Unknown Product")</x:f>
        <x:v>Analytics Plus</x:v>
      </x:c>
      <x:c r="S388" t="str">
        <x:f>IFERROR(XLOOKUP(F388,Lookups!$D$5:$D$10,Lookups!$F$5:$F$10),"Unknown")</x:f>
        <x:v>Analytics</x:v>
      </x:c>
      <x:c r="T388" t="str">
        <x:f>IF(L388&gt;=50000,"Enterprise",IF(L388&gt;=20000,"Mid-Market","SMB"))</x:f>
        <x:v>Enterprise</x:v>
      </x:c>
      <x:c r="U388" t="str">
        <x:f>IF(I388="Closed Won","Won",IF(I388="Closed Lost","Lost","Open"))</x:f>
        <x:v>Lost</x:v>
      </x:c>
      <x:c r="V388" s="22" t="n">
        <x:f>IF(U388="Won",L388*(1-M388),0)</x:f>
        <x:v>0</x:v>
      </x:c>
      <x:c r="W388" s="22" t="n">
        <x:f>IF(U388="Open",L388*N388,0)</x:f>
        <x:v>0</x:v>
      </x:c>
      <x:c r="X388" s="26" t="n">
        <x:f>IF(U388="Open","",IFERROR(K388-B388,""))</x:f>
        <x:v>62</x:v>
      </x:c>
      <x:c r="Y388" s="26" t="n">
        <x:f>IF(U388="Open",Lookups!$B$2-B388,X388)</x:f>
        <x:v>62</x:v>
      </x:c>
      <x:c r="Z388" t="str">
        <x:f>IF(AND(U388="Open",Y388&gt;30),"STALE","OK")</x:f>
        <x:v>OK</x:v>
      </x:c>
      <x:c r="AA388" t="str">
        <x:f>TEXT(B388,"yyyy-mm")</x:f>
        <x:v>2025-12</x:v>
      </x:c>
      <x:c r="AB388" t="str">
        <x:f>IF(K388="","",TEXT(K388,"yyyy-mm"))</x:f>
        <x:v>2026-02</x:v>
      </x:c>
      <x:c r="AC388" t="str">
        <x:f>"Q"&amp;ROUNDUP(MONTH(B388)/3,0)&amp;"-"&amp;YEAR(B388)</x:f>
        <x:v>Q4-2025</x:v>
      </x:c>
      <x:c r="AD388" s="26" t="n">
        <x:f>MIN(100,IF(H388="Enterprise",30,IF(H388="Mid-Market",22,14))+IF(T388="Enterprise",25,IF(T388="Mid-Market",18,10))+IF(Q388="Referral",25,IF(Q388="Organic Search",20,IF(Q388="Email",18,14)))+IF(G388="Technology",10,5))</x:f>
        <x:v>74</x:v>
      </x:c>
      <x:c r="AE388" t="str">
        <x:f>IF(U388&lt;&gt;"Open",U388,IF(N388&gt;=0.8,"Commit",IF(N388&gt;=0.5,"Best Case","Pipeline")))</x:f>
        <x:v>Lost</x:v>
      </x:c>
    </x:row>
    <x:row r="389">
      <x:c r="A389" t="str">
        <x:v>L00388</x:v>
      </x:c>
      <x:c r="B389" s="10" t="n">
        <x:v>46034</x:v>
      </x:c>
      <x:c r="C389" t="str">
        <x:v>Duy Pham</x:v>
      </x:c>
      <x:c r="D389" t="str">
        <x:v>South</x:v>
      </x:c>
      <x:c r="E389" t="str">
        <x:v>Outbound</x:v>
      </x:c>
      <x:c r="F389" t="str">
        <x:v>CRM-CORE</x:v>
      </x:c>
      <x:c r="G389" t="str">
        <x:v>Retail</x:v>
      </x:c>
      <x:c r="H389" t="str">
        <x:v>Mid-Market</x:v>
      </x:c>
      <x:c r="I389" t="str">
        <x:v>Closed Lost</x:v>
      </x:c>
      <x:c r="J389" s="10" t="n">
        <x:v>46071</x:v>
      </x:c>
      <x:c r="K389" s="10" t="n">
        <x:v>46071</x:v>
      </x:c>
      <x:c r="L389" s="22" t="n">
        <x:v>8400</x:v>
      </x:c>
      <x:c r="M389" s="24" t="n">
        <x:v>0</x:v>
      </x:c>
      <x:c r="N389" s="24" t="n">
        <x:v>0</x:v>
      </x:c>
      <x:c r="O389" t="str">
        <x:v>Feature Gap</x:v>
      </x:c>
      <x:c r="P389" t="n">
        <x:v>4</x:v>
      </x:c>
      <x:c r="Q389" t="str">
        <x:f>IFERROR(XLOOKUP(E389,Lookups!$A$5:$A$24,Lookups!$B$5:$B$24),"Other")</x:f>
        <x:v>Outbound</x:v>
      </x:c>
      <x:c r="R389" t="str">
        <x:f>IFERROR(XLOOKUP(F389,Lookups!$D$5:$D$10,Lookups!$E$5:$E$10),"Unknown Product")</x:f>
        <x:v>NexaCRM Core</x:v>
      </x:c>
      <x:c r="S389" t="str">
        <x:f>IFERROR(XLOOKUP(F389,Lookups!$D$5:$D$10,Lookups!$F$5:$F$10),"Unknown")</x:f>
        <x:v>CRM</x:v>
      </x:c>
      <x:c r="T389" t="str">
        <x:f>IF(L389&gt;=50000,"Enterprise",IF(L389&gt;=20000,"Mid-Market","SMB"))</x:f>
        <x:v>SMB</x:v>
      </x:c>
      <x:c r="U389" t="str">
        <x:f>IF(I389="Closed Won","Won",IF(I389="Closed Lost","Lost","Open"))</x:f>
        <x:v>Lost</x:v>
      </x:c>
      <x:c r="V389" s="22" t="n">
        <x:f>IF(U389="Won",L389*(1-M389),0)</x:f>
        <x:v>0</x:v>
      </x:c>
      <x:c r="W389" s="22" t="n">
        <x:f>IF(U389="Open",L389*N389,0)</x:f>
        <x:v>0</x:v>
      </x:c>
      <x:c r="X389" s="26" t="n">
        <x:f>IF(U389="Open","",IFERROR(K389-B389,""))</x:f>
        <x:v>37</x:v>
      </x:c>
      <x:c r="Y389" s="26" t="n">
        <x:f>IF(U389="Open",Lookups!$B$2-B389,X389)</x:f>
        <x:v>37</x:v>
      </x:c>
      <x:c r="Z389" t="str">
        <x:f>IF(AND(U389="Open",Y389&gt;30),"STALE","OK")</x:f>
        <x:v>OK</x:v>
      </x:c>
      <x:c r="AA389" t="str">
        <x:f>TEXT(B389,"yyyy-mm")</x:f>
        <x:v>2026-01</x:v>
      </x:c>
      <x:c r="AB389" t="str">
        <x:f>IF(K389="","",TEXT(K389,"yyyy-mm"))</x:f>
        <x:v>2026-02</x:v>
      </x:c>
      <x:c r="AC389" t="str">
        <x:f>"Q"&amp;ROUNDUP(MONTH(B389)/3,0)&amp;"-"&amp;YEAR(B389)</x:f>
        <x:v>Q1-2026</x:v>
      </x:c>
      <x:c r="AD389" s="26" t="n">
        <x:f>MIN(100,IF(H389="Enterprise",30,IF(H389="Mid-Market",22,14))+IF(T389="Enterprise",25,IF(T389="Mid-Market",18,10))+IF(Q389="Referral",25,IF(Q389="Organic Search",20,IF(Q389="Email",18,14)))+IF(G389="Technology",10,5))</x:f>
        <x:v>51</x:v>
      </x:c>
      <x:c r="AE389" t="str">
        <x:f>IF(U389&lt;&gt;"Open",U389,IF(N389&gt;=0.8,"Commit",IF(N389&gt;=0.5,"Best Case","Pipeline")))</x:f>
        <x:v>Lost</x:v>
      </x:c>
    </x:row>
    <x:row r="390">
      <x:c r="A390" t="str">
        <x:v>L00389</x:v>
      </x:c>
      <x:c r="B390" s="10" t="n">
        <x:v>45728</x:v>
      </x:c>
      <x:c r="C390" t="str">
        <x:v>Ha Vo</x:v>
      </x:c>
      <x:c r="D390" t="str">
        <x:v>North</x:v>
      </x:c>
      <x:c r="E390" t="str">
        <x:v>Partner Referral</x:v>
      </x:c>
      <x:c r="F390" t="str">
        <x:v>CRM-PRO</x:v>
      </x:c>
      <x:c r="G390" t="str">
        <x:v>Retail</x:v>
      </x:c>
      <x:c r="H390" t="str">
        <x:v>SMB</x:v>
      </x:c>
      <x:c r="I390" t="str">
        <x:v>Closed Lost</x:v>
      </x:c>
      <x:c r="J390" s="10" t="n">
        <x:v>45783</x:v>
      </x:c>
      <x:c r="K390" s="10" t="n">
        <x:v>45783</x:v>
      </x:c>
      <x:c r="L390" s="22" t="n">
        <x:v>17500</x:v>
      </x:c>
      <x:c r="M390" s="24" t="n">
        <x:v>0</x:v>
      </x:c>
      <x:c r="N390" s="24" t="n">
        <x:v>0</x:v>
      </x:c>
      <x:c r="O390" t="str">
        <x:v>Price</x:v>
      </x:c>
      <x:c r="P390" t="n">
        <x:v>3</x:v>
      </x:c>
      <x:c r="Q390" t="str">
        <x:f>IFERROR(XLOOKUP(E390,Lookups!$A$5:$A$24,Lookups!$B$5:$B$24),"Other")</x:f>
        <x:v>Referral</x:v>
      </x:c>
      <x:c r="R390" t="str">
        <x:f>IFERROR(XLOOKUP(F390,Lookups!$D$5:$D$10,Lookups!$E$5:$E$10),"Unknown Product")</x:f>
        <x:v>NexaCRM Pro</x:v>
      </x:c>
      <x:c r="S390" t="str">
        <x:f>IFERROR(XLOOKUP(F390,Lookups!$D$5:$D$10,Lookups!$F$5:$F$10),"Unknown")</x:f>
        <x:v>CRM</x:v>
      </x:c>
      <x:c r="T390" t="str">
        <x:f>IF(L390&gt;=50000,"Enterprise",IF(L390&gt;=20000,"Mid-Market","SMB"))</x:f>
        <x:v>SMB</x:v>
      </x:c>
      <x:c r="U390" t="str">
        <x:f>IF(I390="Closed Won","Won",IF(I390="Closed Lost","Lost","Open"))</x:f>
        <x:v>Lost</x:v>
      </x:c>
      <x:c r="V390" s="22" t="n">
        <x:f>IF(U390="Won",L390*(1-M390),0)</x:f>
        <x:v>0</x:v>
      </x:c>
      <x:c r="W390" s="22" t="n">
        <x:f>IF(U390="Open",L390*N390,0)</x:f>
        <x:v>0</x:v>
      </x:c>
      <x:c r="X390" s="26" t="n">
        <x:f>IF(U390="Open","",IFERROR(K390-B390,""))</x:f>
        <x:v>55</x:v>
      </x:c>
      <x:c r="Y390" s="26" t="n">
        <x:f>IF(U390="Open",Lookups!$B$2-B390,X390)</x:f>
        <x:v>55</x:v>
      </x:c>
      <x:c r="Z390" t="str">
        <x:f>IF(AND(U390="Open",Y390&gt;30),"STALE","OK")</x:f>
        <x:v>OK</x:v>
      </x:c>
      <x:c r="AA390" t="str">
        <x:f>TEXT(B390,"yyyy-mm")</x:f>
        <x:v>2025-03</x:v>
      </x:c>
      <x:c r="AB390" t="str">
        <x:f>IF(K390="","",TEXT(K390,"yyyy-mm"))</x:f>
        <x:v>2025-05</x:v>
      </x:c>
      <x:c r="AC390" t="str">
        <x:f>"Q"&amp;ROUNDUP(MONTH(B390)/3,0)&amp;"-"&amp;YEAR(B390)</x:f>
        <x:v>Q1-2025</x:v>
      </x:c>
      <x:c r="AD390" s="26" t="n">
        <x:f>MIN(100,IF(H390="Enterprise",30,IF(H390="Mid-Market",22,14))+IF(T390="Enterprise",25,IF(T390="Mid-Market",18,10))+IF(Q390="Referral",25,IF(Q390="Organic Search",20,IF(Q390="Email",18,14)))+IF(G390="Technology",10,5))</x:f>
        <x:v>54</x:v>
      </x:c>
      <x:c r="AE390" t="str">
        <x:f>IF(U390&lt;&gt;"Open",U390,IF(N390&gt;=0.8,"Commit",IF(N390&gt;=0.5,"Best Case","Pipeline")))</x:f>
        <x:v>Lost</x:v>
      </x:c>
    </x:row>
    <x:row r="391">
      <x:c r="A391" t="str">
        <x:v>L00390</x:v>
      </x:c>
      <x:c r="B391" s="10" t="n">
        <x:v>45755</x:v>
      </x:c>
      <x:c r="C391" t="str">
        <x:v>An Nguyen</x:v>
      </x:c>
      <x:c r="D391" t="str">
        <x:v>South</x:v>
      </x:c>
      <x:c r="E391" t="str">
        <x:v>Offline List</x:v>
      </x:c>
      <x:c r="F391" t="str">
        <x:v>CRM-CORE</x:v>
      </x:c>
      <x:c r="G391" t="str">
        <x:v>Education</x:v>
      </x:c>
      <x:c r="H391" t="str">
        <x:v>SMB</x:v>
      </x:c>
      <x:c r="I391" t="str">
        <x:v>Closed Lost</x:v>
      </x:c>
      <x:c r="J391" s="10" t="n">
        <x:v>45777</x:v>
      </x:c>
      <x:c r="K391" s="10" t="n">
        <x:v>45777</x:v>
      </x:c>
      <x:c r="L391" s="22" t="n">
        <x:v>7100</x:v>
      </x:c>
      <x:c r="M391" s="24" t="n">
        <x:v>0</x:v>
      </x:c>
      <x:c r="N391" s="24" t="n">
        <x:v>0</x:v>
      </x:c>
      <x:c r="O391" t="str">
        <x:v>Price</x:v>
      </x:c>
      <x:c r="P391" t="n">
        <x:v>4</x:v>
      </x:c>
      <x:c r="Q391" t="str">
        <x:f>IFERROR(XLOOKUP(E391,Lookups!$A$5:$A$24,Lookups!$B$5:$B$24),"Other")</x:f>
        <x:v>Other</x:v>
      </x:c>
      <x:c r="R391" t="str">
        <x:f>IFERROR(XLOOKUP(F391,Lookups!$D$5:$D$10,Lookups!$E$5:$E$10),"Unknown Product")</x:f>
        <x:v>NexaCRM Core</x:v>
      </x:c>
      <x:c r="S391" t="str">
        <x:f>IFERROR(XLOOKUP(F391,Lookups!$D$5:$D$10,Lookups!$F$5:$F$10),"Unknown")</x:f>
        <x:v>CRM</x:v>
      </x:c>
      <x:c r="T391" t="str">
        <x:f>IF(L391&gt;=50000,"Enterprise",IF(L391&gt;=20000,"Mid-Market","SMB"))</x:f>
        <x:v>SMB</x:v>
      </x:c>
      <x:c r="U391" t="str">
        <x:f>IF(I391="Closed Won","Won",IF(I391="Closed Lost","Lost","Open"))</x:f>
        <x:v>Lost</x:v>
      </x:c>
      <x:c r="V391" s="22" t="n">
        <x:f>IF(U391="Won",L391*(1-M391),0)</x:f>
        <x:v>0</x:v>
      </x:c>
      <x:c r="W391" s="22" t="n">
        <x:f>IF(U391="Open",L391*N391,0)</x:f>
        <x:v>0</x:v>
      </x:c>
      <x:c r="X391" s="26" t="n">
        <x:f>IF(U391="Open","",IFERROR(K391-B391,""))</x:f>
        <x:v>22</x:v>
      </x:c>
      <x:c r="Y391" s="26" t="n">
        <x:f>IF(U391="Open",Lookups!$B$2-B391,X391)</x:f>
        <x:v>22</x:v>
      </x:c>
      <x:c r="Z391" t="str">
        <x:f>IF(AND(U391="Open",Y391&gt;30),"STALE","OK")</x:f>
        <x:v>OK</x:v>
      </x:c>
      <x:c r="AA391" t="str">
        <x:f>TEXT(B391,"yyyy-mm")</x:f>
        <x:v>2025-04</x:v>
      </x:c>
      <x:c r="AB391" t="str">
        <x:f>IF(K391="","",TEXT(K391,"yyyy-mm"))</x:f>
        <x:v>2025-04</x:v>
      </x:c>
      <x:c r="AC391" t="str">
        <x:f>"Q"&amp;ROUNDUP(MONTH(B391)/3,0)&amp;"-"&amp;YEAR(B391)</x:f>
        <x:v>Q2-2025</x:v>
      </x:c>
      <x:c r="AD391" s="26" t="n">
        <x:f>MIN(100,IF(H391="Enterprise",30,IF(H391="Mid-Market",22,14))+IF(T391="Enterprise",25,IF(T391="Mid-Market",18,10))+IF(Q391="Referral",25,IF(Q391="Organic Search",20,IF(Q391="Email",18,14)))+IF(G391="Technology",10,5))</x:f>
        <x:v>43</x:v>
      </x:c>
      <x:c r="AE391" t="str">
        <x:f>IF(U391&lt;&gt;"Open",U391,IF(N391&gt;=0.8,"Commit",IF(N391&gt;=0.5,"Best Case","Pipeline")))</x:f>
        <x:v>Lost</x:v>
      </x:c>
    </x:row>
    <x:row r="392">
      <x:c r="A392" t="str">
        <x:v>L00391</x:v>
      </x:c>
      <x:c r="B392" s="10" t="n">
        <x:v>45783</x:v>
      </x:c>
      <x:c r="C392" t="str">
        <x:v>An Nguyen</x:v>
      </x:c>
      <x:c r="D392" t="str">
        <x:v>South</x:v>
      </x:c>
      <x:c r="E392" t="str">
        <x:v>linkedin</x:v>
      </x:c>
      <x:c r="F392" t="str">
        <x:v>REV-OPS</x:v>
      </x:c>
      <x:c r="G392" t="str">
        <x:v>Professional Services</x:v>
      </x:c>
      <x:c r="H392" t="str">
        <x:v>Mid-Market</x:v>
      </x:c>
      <x:c r="I392" t="str">
        <x:v>Closed Lost</x:v>
      </x:c>
      <x:c r="J392" s="10" t="n">
        <x:v>45844</x:v>
      </x:c>
      <x:c r="K392" s="10" t="n">
        <x:v>45844</x:v>
      </x:c>
      <x:c r="L392" s="22" t="n">
        <x:v>37400</x:v>
      </x:c>
      <x:c r="M392" s="24" t="n">
        <x:v>0</x:v>
      </x:c>
      <x:c r="N392" s="24" t="n">
        <x:v>0</x:v>
      </x:c>
      <x:c r="O392" t="str">
        <x:v>Price</x:v>
      </x:c>
      <x:c r="P392" t="n">
        <x:v>2</x:v>
      </x:c>
      <x:c r="Q392" t="str">
        <x:f>IFERROR(XLOOKUP(E392,Lookups!$A$5:$A$24,Lookups!$B$5:$B$24),"Other")</x:f>
        <x:v>LinkedIn</x:v>
      </x:c>
      <x:c r="R392" t="str">
        <x:f>IFERROR(XLOOKUP(F392,Lookups!$D$5:$D$10,Lookups!$E$5:$E$10),"Unknown Product")</x:f>
        <x:v>Revenue Operations Suite</x:v>
      </x:c>
      <x:c r="S392" t="str">
        <x:f>IFERROR(XLOOKUP(F392,Lookups!$D$5:$D$10,Lookups!$F$5:$F$10),"Unknown")</x:f>
        <x:v>Revenue Ops</x:v>
      </x:c>
      <x:c r="T392" t="str">
        <x:f>IF(L392&gt;=50000,"Enterprise",IF(L392&gt;=20000,"Mid-Market","SMB"))</x:f>
        <x:v>Mid-Market</x:v>
      </x:c>
      <x:c r="U392" t="str">
        <x:f>IF(I392="Closed Won","Won",IF(I392="Closed Lost","Lost","Open"))</x:f>
        <x:v>Lost</x:v>
      </x:c>
      <x:c r="V392" s="22" t="n">
        <x:f>IF(U392="Won",L392*(1-M392),0)</x:f>
        <x:v>0</x:v>
      </x:c>
      <x:c r="W392" s="22" t="n">
        <x:f>IF(U392="Open",L392*N392,0)</x:f>
        <x:v>0</x:v>
      </x:c>
      <x:c r="X392" s="26" t="n">
        <x:f>IF(U392="Open","",IFERROR(K392-B392,""))</x:f>
        <x:v>61</x:v>
      </x:c>
      <x:c r="Y392" s="26" t="n">
        <x:f>IF(U392="Open",Lookups!$B$2-B392,X392)</x:f>
        <x:v>61</x:v>
      </x:c>
      <x:c r="Z392" t="str">
        <x:f>IF(AND(U392="Open",Y392&gt;30),"STALE","OK")</x:f>
        <x:v>OK</x:v>
      </x:c>
      <x:c r="AA392" t="str">
        <x:f>TEXT(B392,"yyyy-mm")</x:f>
        <x:v>2025-05</x:v>
      </x:c>
      <x:c r="AB392" t="str">
        <x:f>IF(K392="","",TEXT(K392,"yyyy-mm"))</x:f>
        <x:v>2025-07</x:v>
      </x:c>
      <x:c r="AC392" t="str">
        <x:f>"Q"&amp;ROUNDUP(MONTH(B392)/3,0)&amp;"-"&amp;YEAR(B392)</x:f>
        <x:v>Q2-2025</x:v>
      </x:c>
      <x:c r="AD392" s="26" t="n">
        <x:f>MIN(100,IF(H392="Enterprise",30,IF(H392="Mid-Market",22,14))+IF(T392="Enterprise",25,IF(T392="Mid-Market",18,10))+IF(Q392="Referral",25,IF(Q392="Organic Search",20,IF(Q392="Email",18,14)))+IF(G392="Technology",10,5))</x:f>
        <x:v>59</x:v>
      </x:c>
      <x:c r="AE392" t="str">
        <x:f>IF(U392&lt;&gt;"Open",U392,IF(N392&gt;=0.8,"Commit",IF(N392&gt;=0.5,"Best Case","Pipeline")))</x:f>
        <x:v>Lost</x:v>
      </x:c>
    </x:row>
    <x:row r="393">
      <x:c r="A393" t="str">
        <x:v>L00392</x:v>
      </x:c>
      <x:c r="B393" s="10" t="n">
        <x:v>46249</x:v>
      </x:c>
      <x:c r="C393" t="str">
        <x:v>Tuan Bui</x:v>
      </x:c>
      <x:c r="D393" t="str">
        <x:v>Central</x:v>
      </x:c>
      <x:c r="E393" t="str">
        <x:v>Webinar</x:v>
      </x:c>
      <x:c r="F393" t="str">
        <x:v>MKT-AUTO</x:v>
      </x:c>
      <x:c r="G393" t="str">
        <x:v>Manufacturing</x:v>
      </x:c>
      <x:c r="H393" t="str">
        <x:v>SMB</x:v>
      </x:c>
      <x:c r="I393" t="str">
        <x:v>New</x:v>
      </x:c>
      <x:c r="J393" s="10" t="n">
        <x:v>46259</x:v>
      </x:c>
      <x:c r="K393" s="10"/>
      <x:c r="L393" s="22" t="n">
        <x:v>12600</x:v>
      </x:c>
      <x:c r="M393" s="24" t="n">
        <x:v>0</x:v>
      </x:c>
      <x:c r="N393" s="24" t="n">
        <x:v>0.05</x:v>
      </x:c>
      <x:c r="O393" t="str"/>
      <x:c r="P393" t="n">
        <x:v>1</x:v>
      </x:c>
      <x:c r="Q393" t="str">
        <x:f>IFERROR(XLOOKUP(E393,Lookups!$A$5:$A$24,Lookups!$B$5:$B$24),"Other")</x:f>
        <x:v>Webinar</x:v>
      </x:c>
      <x:c r="R393" t="str">
        <x:f>IFERROR(XLOOKUP(F393,Lookups!$D$5:$D$10,Lookups!$E$5:$E$10),"Unknown Product")</x:f>
        <x:v>Marketing Automation</x:v>
      </x:c>
      <x:c r="S393" t="str">
        <x:f>IFERROR(XLOOKUP(F393,Lookups!$D$5:$D$10,Lookups!$F$5:$F$10),"Unknown")</x:f>
        <x:v>Marketing</x:v>
      </x:c>
      <x:c r="T393" t="str">
        <x:f>IF(L393&gt;=50000,"Enterprise",IF(L393&gt;=20000,"Mid-Market","SMB"))</x:f>
        <x:v>SMB</x:v>
      </x:c>
      <x:c r="U393" t="str">
        <x:f>IF(I393="Closed Won","Won",IF(I393="Closed Lost","Lost","Open"))</x:f>
        <x:v>Open</x:v>
      </x:c>
      <x:c r="V393" s="22" t="n">
        <x:f>IF(U393="Won",L393*(1-M393),0)</x:f>
        <x:v>0</x:v>
      </x:c>
      <x:c r="W393" s="22" t="n">
        <x:f>IF(U393="Open",L393*N393,0)</x:f>
        <x:v>630</x:v>
      </x:c>
      <x:c r="X393" s="26" t="str">
        <x:f>IF(U393="Open","",IFERROR(K393-B393,""))</x:f>
      </x:c>
      <x:c r="Y393" s="26" t="n">
        <x:f>IF(U393="Open",Lookups!$B$2-B393,X393)</x:f>
        <x:v>17</x:v>
      </x:c>
      <x:c r="Z393" t="str">
        <x:f>IF(AND(U393="Open",Y393&gt;30),"STALE","OK")</x:f>
        <x:v>OK</x:v>
      </x:c>
      <x:c r="AA393" t="str">
        <x:f>TEXT(B393,"yyyy-mm")</x:f>
        <x:v>2026-08</x:v>
      </x:c>
      <x:c r="AB393" t="str">
        <x:f>IF(K393="","",TEXT(K393,"yyyy-mm"))</x:f>
      </x:c>
      <x:c r="AC393" t="str">
        <x:f>"Q"&amp;ROUNDUP(MONTH(B393)/3,0)&amp;"-"&amp;YEAR(B393)</x:f>
        <x:v>Q3-2026</x:v>
      </x:c>
      <x:c r="AD393" s="26" t="n">
        <x:f>MIN(100,IF(H393="Enterprise",30,IF(H393="Mid-Market",22,14))+IF(T393="Enterprise",25,IF(T393="Mid-Market",18,10))+IF(Q393="Referral",25,IF(Q393="Organic Search",20,IF(Q393="Email",18,14)))+IF(G393="Technology",10,5))</x:f>
        <x:v>43</x:v>
      </x:c>
      <x:c r="AE393" t="str">
        <x:f>IF(U393&lt;&gt;"Open",U393,IF(N393&gt;=0.8,"Commit",IF(N393&gt;=0.5,"Best Case","Pipeline")))</x:f>
        <x:v>Pipeline</x:v>
      </x:c>
    </x:row>
    <x:row r="394">
      <x:c r="A394" t="str">
        <x:v>L00393</x:v>
      </x:c>
      <x:c r="B394" s="10" t="n">
        <x:v>46062</x:v>
      </x:c>
      <x:c r="C394" t="str">
        <x:v>Tuan Bui</x:v>
      </x:c>
      <x:c r="D394" t="str">
        <x:v>Central</x:v>
      </x:c>
      <x:c r="E394" t="str">
        <x:v>Google Ads</x:v>
      </x:c>
      <x:c r="F394" t="str">
        <x:v>BI-PLUS</x:v>
      </x:c>
      <x:c r="G394" t="str">
        <x:v>Technology</x:v>
      </x:c>
      <x:c r="H394" t="str">
        <x:v>SMB</x:v>
      </x:c>
      <x:c r="I394" t="str">
        <x:v>Closed Won</x:v>
      </x:c>
      <x:c r="J394" s="10" t="n">
        <x:v>46127</x:v>
      </x:c>
      <x:c r="K394" s="10" t="n">
        <x:v>46127</x:v>
      </x:c>
      <x:c r="L394" s="22" t="n">
        <x:v>22600</x:v>
      </x:c>
      <x:c r="M394" s="24" t="n">
        <x:v>0.12</x:v>
      </x:c>
      <x:c r="N394" s="24" t="n">
        <x:v>1</x:v>
      </x:c>
      <x:c r="O394" t="str"/>
      <x:c r="P394" t="n">
        <x:v>6</x:v>
      </x:c>
      <x:c r="Q394" t="str">
        <x:f>IFERROR(XLOOKUP(E394,Lookups!$A$5:$A$24,Lookups!$B$5:$B$24),"Other")</x:f>
        <x:v>Paid Search</x:v>
      </x:c>
      <x:c r="R394" t="str">
        <x:f>IFERROR(XLOOKUP(F394,Lookups!$D$5:$D$10,Lookups!$E$5:$E$10),"Unknown Product")</x:f>
        <x:v>Analytics Plus</x:v>
      </x:c>
      <x:c r="S394" t="str">
        <x:f>IFERROR(XLOOKUP(F394,Lookups!$D$5:$D$10,Lookups!$F$5:$F$10),"Unknown")</x:f>
        <x:v>Analytics</x:v>
      </x:c>
      <x:c r="T394" t="str">
        <x:f>IF(L394&gt;=50000,"Enterprise",IF(L394&gt;=20000,"Mid-Market","SMB"))</x:f>
        <x:v>Mid-Market</x:v>
      </x:c>
      <x:c r="U394" t="str">
        <x:f>IF(I394="Closed Won","Won",IF(I394="Closed Lost","Lost","Open"))</x:f>
        <x:v>Won</x:v>
      </x:c>
      <x:c r="V394" s="22" t="n">
        <x:f>IF(U394="Won",L394*(1-M394),0)</x:f>
        <x:v>19888</x:v>
      </x:c>
      <x:c r="W394" s="22" t="n">
        <x:f>IF(U394="Open",L394*N394,0)</x:f>
        <x:v>0</x:v>
      </x:c>
      <x:c r="X394" s="26" t="n">
        <x:f>IF(U394="Open","",IFERROR(K394-B394,""))</x:f>
        <x:v>65</x:v>
      </x:c>
      <x:c r="Y394" s="26" t="n">
        <x:f>IF(U394="Open",Lookups!$B$2-B394,X394)</x:f>
        <x:v>65</x:v>
      </x:c>
      <x:c r="Z394" t="str">
        <x:f>IF(AND(U394="Open",Y394&gt;30),"STALE","OK")</x:f>
        <x:v>OK</x:v>
      </x:c>
      <x:c r="AA394" t="str">
        <x:f>TEXT(B394,"yyyy-mm")</x:f>
        <x:v>2026-02</x:v>
      </x:c>
      <x:c r="AB394" t="str">
        <x:f>IF(K394="","",TEXT(K394,"yyyy-mm"))</x:f>
        <x:v>2026-04</x:v>
      </x:c>
      <x:c r="AC394" t="str">
        <x:f>"Q"&amp;ROUNDUP(MONTH(B394)/3,0)&amp;"-"&amp;YEAR(B394)</x:f>
        <x:v>Q1-2026</x:v>
      </x:c>
      <x:c r="AD394" s="26" t="n">
        <x:f>MIN(100,IF(H394="Enterprise",30,IF(H394="Mid-Market",22,14))+IF(T394="Enterprise",25,IF(T394="Mid-Market",18,10))+IF(Q394="Referral",25,IF(Q394="Organic Search",20,IF(Q394="Email",18,14)))+IF(G394="Technology",10,5))</x:f>
        <x:v>56</x:v>
      </x:c>
      <x:c r="AE394" t="str">
        <x:f>IF(U394&lt;&gt;"Open",U394,IF(N394&gt;=0.8,"Commit",IF(N394&gt;=0.5,"Best Case","Pipeline")))</x:f>
        <x:v>Won</x:v>
      </x:c>
    </x:row>
    <x:row r="395">
      <x:c r="A395" t="str">
        <x:v>L00394</x:v>
      </x:c>
      <x:c r="B395" s="10" t="n">
        <x:v>45814</x:v>
      </x:c>
      <x:c r="C395" t="str">
        <x:v>Minh Do</x:v>
      </x:c>
      <x:c r="D395" t="str">
        <x:v>North</x:v>
      </x:c>
      <x:c r="E395" t="str">
        <x:v>Partner Referral</x:v>
      </x:c>
      <x:c r="F395" t="str">
        <x:v>CS-CLOUD</x:v>
      </x:c>
      <x:c r="G395" t="str">
        <x:v>Professional Services</x:v>
      </x:c>
      <x:c r="H395" t="str">
        <x:v>SMB</x:v>
      </x:c>
      <x:c r="I395" t="str">
        <x:v>Negotiation</x:v>
      </x:c>
      <x:c r="J395" s="10" t="n">
        <x:v>46036</x:v>
      </x:c>
      <x:c r="K395" s="10"/>
      <x:c r="L395" s="22" t="n">
        <x:v>16900</x:v>
      </x:c>
      <x:c r="M395" s="24" t="n">
        <x:v>0.05</x:v>
      </x:c>
      <x:c r="N395" s="24" t="n">
        <x:v>0.85</x:v>
      </x:c>
      <x:c r="O395" t="str"/>
      <x:c r="P395" t="n">
        <x:v>5</x:v>
      </x:c>
      <x:c r="Q395" t="str">
        <x:f>IFERROR(XLOOKUP(E395,Lookups!$A$5:$A$24,Lookups!$B$5:$B$24),"Other")</x:f>
        <x:v>Referral</x:v>
      </x:c>
      <x:c r="R395" t="str">
        <x:f>IFERROR(XLOOKUP(F395,Lookups!$D$5:$D$10,Lookups!$E$5:$E$10),"Unknown Product")</x:f>
        <x:v>Service Cloud</x:v>
      </x:c>
      <x:c r="S395" t="str">
        <x:f>IFERROR(XLOOKUP(F395,Lookups!$D$5:$D$10,Lookups!$F$5:$F$10),"Unknown")</x:f>
        <x:v>Customer Service</x:v>
      </x:c>
      <x:c r="T395" t="str">
        <x:f>IF(L395&gt;=50000,"Enterprise",IF(L395&gt;=20000,"Mid-Market","SMB"))</x:f>
        <x:v>SMB</x:v>
      </x:c>
      <x:c r="U395" t="str">
        <x:f>IF(I395="Closed Won","Won",IF(I395="Closed Lost","Lost","Open"))</x:f>
        <x:v>Open</x:v>
      </x:c>
      <x:c r="V395" s="22" t="n">
        <x:f>IF(U395="Won",L395*(1-M395),0)</x:f>
        <x:v>0</x:v>
      </x:c>
      <x:c r="W395" s="22" t="n">
        <x:f>IF(U395="Open",L395*N395,0)</x:f>
        <x:v>14365</x:v>
      </x:c>
      <x:c r="X395" s="26" t="str">
        <x:f>IF(U395="Open","",IFERROR(K395-B395,""))</x:f>
      </x:c>
      <x:c r="Y395" s="26" t="n">
        <x:f>IF(U395="Open",Lookups!$B$2-B395,X395)</x:f>
        <x:v>452</x:v>
      </x:c>
      <x:c r="Z395" t="str">
        <x:f>IF(AND(U395="Open",Y395&gt;30),"STALE","OK")</x:f>
        <x:v>STALE</x:v>
      </x:c>
      <x:c r="AA395" t="str">
        <x:f>TEXT(B395,"yyyy-mm")</x:f>
        <x:v>2025-06</x:v>
      </x:c>
      <x:c r="AB395" t="str">
        <x:f>IF(K395="","",TEXT(K395,"yyyy-mm"))</x:f>
      </x:c>
      <x:c r="AC395" t="str">
        <x:f>"Q"&amp;ROUNDUP(MONTH(B395)/3,0)&amp;"-"&amp;YEAR(B395)</x:f>
        <x:v>Q2-2025</x:v>
      </x:c>
      <x:c r="AD395" s="26" t="n">
        <x:f>MIN(100,IF(H395="Enterprise",30,IF(H395="Mid-Market",22,14))+IF(T395="Enterprise",25,IF(T395="Mid-Market",18,10))+IF(Q395="Referral",25,IF(Q395="Organic Search",20,IF(Q395="Email",18,14)))+IF(G395="Technology",10,5))</x:f>
        <x:v>54</x:v>
      </x:c>
      <x:c r="AE395" t="str">
        <x:f>IF(U395&lt;&gt;"Open",U395,IF(N395&gt;=0.8,"Commit",IF(N395&gt;=0.5,"Best Case","Pipeline")))</x:f>
        <x:v>Commit</x:v>
      </x:c>
    </x:row>
    <x:row r="396">
      <x:c r="A396" t="str">
        <x:v>L00395</x:v>
      </x:c>
      <x:c r="B396" s="10" t="n">
        <x:v>45911</x:v>
      </x:c>
      <x:c r="C396" t="str">
        <x:v>Bao Tran</x:v>
      </x:c>
      <x:c r="D396" t="str">
        <x:v>South</x:v>
      </x:c>
      <x:c r="E396" t="str">
        <x:v>Outbound</x:v>
      </x:c>
      <x:c r="F396" t="str">
        <x:v>REV-OPS</x:v>
      </x:c>
      <x:c r="G396" t="str">
        <x:v>Technology</x:v>
      </x:c>
      <x:c r="H396" t="str">
        <x:v>SMB</x:v>
      </x:c>
      <x:c r="I396" t="str">
        <x:v>Closed Lost</x:v>
      </x:c>
      <x:c r="J396" s="10" t="n">
        <x:v>45966</x:v>
      </x:c>
      <x:c r="K396" s="10" t="n">
        <x:v>45966</x:v>
      </x:c>
      <x:c r="L396" s="22" t="n">
        <x:v>30600</x:v>
      </x:c>
      <x:c r="M396" s="24" t="n">
        <x:v>0</x:v>
      </x:c>
      <x:c r="N396" s="24" t="n">
        <x:v>0</x:v>
      </x:c>
      <x:c r="O396" t="str">
        <x:v>Price</x:v>
      </x:c>
      <x:c r="P396" t="n">
        <x:v>2</x:v>
      </x:c>
      <x:c r="Q396" t="str">
        <x:f>IFERROR(XLOOKUP(E396,Lookups!$A$5:$A$24,Lookups!$B$5:$B$24),"Other")</x:f>
        <x:v>Outbound</x:v>
      </x:c>
      <x:c r="R396" t="str">
        <x:f>IFERROR(XLOOKUP(F396,Lookups!$D$5:$D$10,Lookups!$E$5:$E$10),"Unknown Product")</x:f>
        <x:v>Revenue Operations Suite</x:v>
      </x:c>
      <x:c r="S396" t="str">
        <x:f>IFERROR(XLOOKUP(F396,Lookups!$D$5:$D$10,Lookups!$F$5:$F$10),"Unknown")</x:f>
        <x:v>Revenue Ops</x:v>
      </x:c>
      <x:c r="T396" t="str">
        <x:f>IF(L396&gt;=50000,"Enterprise",IF(L396&gt;=20000,"Mid-Market","SMB"))</x:f>
        <x:v>Mid-Market</x:v>
      </x:c>
      <x:c r="U396" t="str">
        <x:f>IF(I396="Closed Won","Won",IF(I396="Closed Lost","Lost","Open"))</x:f>
        <x:v>Lost</x:v>
      </x:c>
      <x:c r="V396" s="22" t="n">
        <x:f>IF(U396="Won",L396*(1-M396),0)</x:f>
        <x:v>0</x:v>
      </x:c>
      <x:c r="W396" s="22" t="n">
        <x:f>IF(U396="Open",L396*N396,0)</x:f>
        <x:v>0</x:v>
      </x:c>
      <x:c r="X396" s="26" t="n">
        <x:f>IF(U396="Open","",IFERROR(K396-B396,""))</x:f>
        <x:v>55</x:v>
      </x:c>
      <x:c r="Y396" s="26" t="n">
        <x:f>IF(U396="Open",Lookups!$B$2-B396,X396)</x:f>
        <x:v>55</x:v>
      </x:c>
      <x:c r="Z396" t="str">
        <x:f>IF(AND(U396="Open",Y396&gt;30),"STALE","OK")</x:f>
        <x:v>OK</x:v>
      </x:c>
      <x:c r="AA396" t="str">
        <x:f>TEXT(B396,"yyyy-mm")</x:f>
        <x:v>2025-09</x:v>
      </x:c>
      <x:c r="AB396" t="str">
        <x:f>IF(K396="","",TEXT(K396,"yyyy-mm"))</x:f>
        <x:v>2025-11</x:v>
      </x:c>
      <x:c r="AC396" t="str">
        <x:f>"Q"&amp;ROUNDUP(MONTH(B396)/3,0)&amp;"-"&amp;YEAR(B396)</x:f>
        <x:v>Q3-2025</x:v>
      </x:c>
      <x:c r="AD396" s="26" t="n">
        <x:f>MIN(100,IF(H396="Enterprise",30,IF(H396="Mid-Market",22,14))+IF(T396="Enterprise",25,IF(T396="Mid-Market",18,10))+IF(Q396="Referral",25,IF(Q396="Organic Search",20,IF(Q396="Email",18,14)))+IF(G396="Technology",10,5))</x:f>
        <x:v>56</x:v>
      </x:c>
      <x:c r="AE396" t="str">
        <x:f>IF(U396&lt;&gt;"Open",U396,IF(N396&gt;=0.8,"Commit",IF(N396&gt;=0.5,"Best Case","Pipeline")))</x:f>
        <x:v>Lost</x:v>
      </x:c>
    </x:row>
    <x:row r="397">
      <x:c r="A397" t="str">
        <x:v>L00396</x:v>
      </x:c>
      <x:c r="B397" s="10" t="n">
        <x:v>45973</x:v>
      </x:c>
      <x:c r="C397" t="str">
        <x:v>Chi Le</x:v>
      </x:c>
      <x:c r="D397" t="str">
        <x:v>South</x:v>
      </x:c>
      <x:c r="E397" t="str">
        <x:v>google cpc</x:v>
      </x:c>
      <x:c r="F397" t="str">
        <x:v>CRM-CORE</x:v>
      </x:c>
      <x:c r="G397" t="str">
        <x:v>Technology</x:v>
      </x:c>
      <x:c r="H397" t="str">
        <x:v>Mid-Market</x:v>
      </x:c>
      <x:c r="I397" t="str">
        <x:v>Negotiation</x:v>
      </x:c>
      <x:c r="J397" s="10" t="n">
        <x:v>46212</x:v>
      </x:c>
      <x:c r="K397" s="10"/>
      <x:c r="L397" s="22" t="n">
        <x:v>10400</x:v>
      </x:c>
      <x:c r="M397" s="24" t="n">
        <x:v>0</x:v>
      </x:c>
      <x:c r="N397" s="24" t="n">
        <x:v>0.85</x:v>
      </x:c>
      <x:c r="O397" t="str"/>
      <x:c r="P397" t="n">
        <x:v>5</x:v>
      </x:c>
      <x:c r="Q397" t="str">
        <x:f>IFERROR(XLOOKUP(E397,Lookups!$A$5:$A$24,Lookups!$B$5:$B$24),"Other")</x:f>
        <x:v>Paid Search</x:v>
      </x:c>
      <x:c r="R397" t="str">
        <x:f>IFERROR(XLOOKUP(F397,Lookups!$D$5:$D$10,Lookups!$E$5:$E$10),"Unknown Product")</x:f>
        <x:v>NexaCRM Core</x:v>
      </x:c>
      <x:c r="S397" t="str">
        <x:f>IFERROR(XLOOKUP(F397,Lookups!$D$5:$D$10,Lookups!$F$5:$F$10),"Unknown")</x:f>
        <x:v>CRM</x:v>
      </x:c>
      <x:c r="T397" t="str">
        <x:f>IF(L397&gt;=50000,"Enterprise",IF(L397&gt;=20000,"Mid-Market","SMB"))</x:f>
        <x:v>SMB</x:v>
      </x:c>
      <x:c r="U397" t="str">
        <x:f>IF(I397="Closed Won","Won",IF(I397="Closed Lost","Lost","Open"))</x:f>
        <x:v>Open</x:v>
      </x:c>
      <x:c r="V397" s="22" t="n">
        <x:f>IF(U397="Won",L397*(1-M397),0)</x:f>
        <x:v>0</x:v>
      </x:c>
      <x:c r="W397" s="22" t="n">
        <x:f>IF(U397="Open",L397*N397,0)</x:f>
        <x:v>8840</x:v>
      </x:c>
      <x:c r="X397" s="26" t="str">
        <x:f>IF(U397="Open","",IFERROR(K397-B397,""))</x:f>
      </x:c>
      <x:c r="Y397" s="26" t="n">
        <x:f>IF(U397="Open",Lookups!$B$2-B397,X397)</x:f>
        <x:v>293</x:v>
      </x:c>
      <x:c r="Z397" t="str">
        <x:f>IF(AND(U397="Open",Y397&gt;30),"STALE","OK")</x:f>
        <x:v>STALE</x:v>
      </x:c>
      <x:c r="AA397" t="str">
        <x:f>TEXT(B397,"yyyy-mm")</x:f>
        <x:v>2025-11</x:v>
      </x:c>
      <x:c r="AB397" t="str">
        <x:f>IF(K397="","",TEXT(K397,"yyyy-mm"))</x:f>
      </x:c>
      <x:c r="AC397" t="str">
        <x:f>"Q"&amp;ROUNDUP(MONTH(B397)/3,0)&amp;"-"&amp;YEAR(B397)</x:f>
        <x:v>Q4-2025</x:v>
      </x:c>
      <x:c r="AD397" s="26" t="n">
        <x:f>MIN(100,IF(H397="Enterprise",30,IF(H397="Mid-Market",22,14))+IF(T397="Enterprise",25,IF(T397="Mid-Market",18,10))+IF(Q397="Referral",25,IF(Q397="Organic Search",20,IF(Q397="Email",18,14)))+IF(G397="Technology",10,5))</x:f>
        <x:v>56</x:v>
      </x:c>
      <x:c r="AE397" t="str">
        <x:f>IF(U397&lt;&gt;"Open",U397,IF(N397&gt;=0.8,"Commit",IF(N397&gt;=0.5,"Best Case","Pipeline")))</x:f>
        <x:v>Commit</x:v>
      </x:c>
    </x:row>
    <x:row r="398">
      <x:c r="A398" t="str">
        <x:v>L00397</x:v>
      </x:c>
      <x:c r="B398" s="10" t="n">
        <x:v>46199</x:v>
      </x:c>
      <x:c r="C398" t="str">
        <x:v>Tuan Bui</x:v>
      </x:c>
      <x:c r="D398" t="str">
        <x:v>Central</x:v>
      </x:c>
      <x:c r="E398" t="str">
        <x:v>organic search</x:v>
      </x:c>
      <x:c r="F398" t="str">
        <x:v>MKT-AUTO</x:v>
      </x:c>
      <x:c r="G398" t="str">
        <x:v>Technology</x:v>
      </x:c>
      <x:c r="H398" t="str">
        <x:v>Mid-Market</x:v>
      </x:c>
      <x:c r="I398" t="str">
        <x:v>Demo / Meeting</x:v>
      </x:c>
      <x:c r="J398" s="10" t="n">
        <x:v>46255</x:v>
      </x:c>
      <x:c r="K398" s="10"/>
      <x:c r="L398" s="22" t="n">
        <x:v>22300</x:v>
      </x:c>
      <x:c r="M398" s="24" t="n">
        <x:v>0.05</x:v>
      </x:c>
      <x:c r="N398" s="24" t="n">
        <x:v>0.4</x:v>
      </x:c>
      <x:c r="O398" t="str"/>
      <x:c r="P398" t="n">
        <x:v>3</x:v>
      </x:c>
      <x:c r="Q398" t="str">
        <x:f>IFERROR(XLOOKUP(E398,Lookups!$A$5:$A$24,Lookups!$B$5:$B$24),"Other")</x:f>
        <x:v>Organic Search</x:v>
      </x:c>
      <x:c r="R398" t="str">
        <x:f>IFERROR(XLOOKUP(F398,Lookups!$D$5:$D$10,Lookups!$E$5:$E$10),"Unknown Product")</x:f>
        <x:v>Marketing Automation</x:v>
      </x:c>
      <x:c r="S398" t="str">
        <x:f>IFERROR(XLOOKUP(F398,Lookups!$D$5:$D$10,Lookups!$F$5:$F$10),"Unknown")</x:f>
        <x:v>Marketing</x:v>
      </x:c>
      <x:c r="T398" t="str">
        <x:f>IF(L398&gt;=50000,"Enterprise",IF(L398&gt;=20000,"Mid-Market","SMB"))</x:f>
        <x:v>Mid-Market</x:v>
      </x:c>
      <x:c r="U398" t="str">
        <x:f>IF(I398="Closed Won","Won",IF(I398="Closed Lost","Lost","Open"))</x:f>
        <x:v>Open</x:v>
      </x:c>
      <x:c r="V398" s="22" t="n">
        <x:f>IF(U398="Won",L398*(1-M398),0)</x:f>
        <x:v>0</x:v>
      </x:c>
      <x:c r="W398" s="22" t="n">
        <x:f>IF(U398="Open",L398*N398,0)</x:f>
        <x:v>8920</x:v>
      </x:c>
      <x:c r="X398" s="26" t="str">
        <x:f>IF(U398="Open","",IFERROR(K398-B398,""))</x:f>
      </x:c>
      <x:c r="Y398" s="26" t="n">
        <x:f>IF(U398="Open",Lookups!$B$2-B398,X398)</x:f>
        <x:v>67</x:v>
      </x:c>
      <x:c r="Z398" t="str">
        <x:f>IF(AND(U398="Open",Y398&gt;30),"STALE","OK")</x:f>
        <x:v>STALE</x:v>
      </x:c>
      <x:c r="AA398" t="str">
        <x:f>TEXT(B398,"yyyy-mm")</x:f>
        <x:v>2026-06</x:v>
      </x:c>
      <x:c r="AB398" t="str">
        <x:f>IF(K398="","",TEXT(K398,"yyyy-mm"))</x:f>
      </x:c>
      <x:c r="AC398" t="str">
        <x:f>"Q"&amp;ROUNDUP(MONTH(B398)/3,0)&amp;"-"&amp;YEAR(B398)</x:f>
        <x:v>Q2-2026</x:v>
      </x:c>
      <x:c r="AD398" s="26" t="n">
        <x:f>MIN(100,IF(H398="Enterprise",30,IF(H398="Mid-Market",22,14))+IF(T398="Enterprise",25,IF(T398="Mid-Market",18,10))+IF(Q398="Referral",25,IF(Q398="Organic Search",20,IF(Q398="Email",18,14)))+IF(G398="Technology",10,5))</x:f>
        <x:v>70</x:v>
      </x:c>
      <x:c r="AE398" t="str">
        <x:f>IF(U398&lt;&gt;"Open",U398,IF(N398&gt;=0.8,"Commit",IF(N398&gt;=0.5,"Best Case","Pipeline")))</x:f>
        <x:v>Pipeline</x:v>
      </x:c>
    </x:row>
    <x:row r="399">
      <x:c r="A399" t="str">
        <x:v>L00398</x:v>
      </x:c>
      <x:c r="B399" s="10" t="n">
        <x:v>46219</x:v>
      </x:c>
      <x:c r="C399" t="str">
        <x:v>Tuan Bui</x:v>
      </x:c>
      <x:c r="D399" t="str">
        <x:v>Central</x:v>
      </x:c>
      <x:c r="E399" t="str">
        <x:v>Google Organic</x:v>
      </x:c>
      <x:c r="F399" t="str">
        <x:v>BI-PLUS</x:v>
      </x:c>
      <x:c r="G399" t="str">
        <x:v>Financial Services</x:v>
      </x:c>
      <x:c r="H399" t="str">
        <x:v>SMB</x:v>
      </x:c>
      <x:c r="I399" t="str">
        <x:v>Qualified</x:v>
      </x:c>
      <x:c r="J399" s="10" t="n">
        <x:v>46260</x:v>
      </x:c>
      <x:c r="K399" s="10"/>
      <x:c r="L399" s="22" t="n">
        <x:v>27800</x:v>
      </x:c>
      <x:c r="M399" s="24" t="n">
        <x:v>0</x:v>
      </x:c>
      <x:c r="N399" s="24" t="n">
        <x:v>0.2</x:v>
      </x:c>
      <x:c r="O399" t="str"/>
      <x:c r="P399" t="n">
        <x:v>2</x:v>
      </x:c>
      <x:c r="Q399" t="str">
        <x:f>IFERROR(XLOOKUP(E399,Lookups!$A$5:$A$24,Lookups!$B$5:$B$24),"Other")</x:f>
        <x:v>Organic Search</x:v>
      </x:c>
      <x:c r="R399" t="str">
        <x:f>IFERROR(XLOOKUP(F399,Lookups!$D$5:$D$10,Lookups!$E$5:$E$10),"Unknown Product")</x:f>
        <x:v>Analytics Plus</x:v>
      </x:c>
      <x:c r="S399" t="str">
        <x:f>IFERROR(XLOOKUP(F399,Lookups!$D$5:$D$10,Lookups!$F$5:$F$10),"Unknown")</x:f>
        <x:v>Analytics</x:v>
      </x:c>
      <x:c r="T399" t="str">
        <x:f>IF(L399&gt;=50000,"Enterprise",IF(L399&gt;=20000,"Mid-Market","SMB"))</x:f>
        <x:v>Mid-Market</x:v>
      </x:c>
      <x:c r="U399" t="str">
        <x:f>IF(I399="Closed Won","Won",IF(I399="Closed Lost","Lost","Open"))</x:f>
        <x:v>Open</x:v>
      </x:c>
      <x:c r="V399" s="22" t="n">
        <x:f>IF(U399="Won",L399*(1-M399),0)</x:f>
        <x:v>0</x:v>
      </x:c>
      <x:c r="W399" s="22" t="n">
        <x:f>IF(U399="Open",L399*N399,0)</x:f>
        <x:v>5560</x:v>
      </x:c>
      <x:c r="X399" s="26" t="str">
        <x:f>IF(U399="Open","",IFERROR(K399-B399,""))</x:f>
      </x:c>
      <x:c r="Y399" s="26" t="n">
        <x:f>IF(U399="Open",Lookups!$B$2-B399,X399)</x:f>
        <x:v>47</x:v>
      </x:c>
      <x:c r="Z399" t="str">
        <x:f>IF(AND(U399="Open",Y399&gt;30),"STALE","OK")</x:f>
        <x:v>STALE</x:v>
      </x:c>
      <x:c r="AA399" t="str">
        <x:f>TEXT(B399,"yyyy-mm")</x:f>
        <x:v>2026-07</x:v>
      </x:c>
      <x:c r="AB399" t="str">
        <x:f>IF(K399="","",TEXT(K399,"yyyy-mm"))</x:f>
      </x:c>
      <x:c r="AC399" t="str">
        <x:f>"Q"&amp;ROUNDUP(MONTH(B399)/3,0)&amp;"-"&amp;YEAR(B399)</x:f>
        <x:v>Q3-2026</x:v>
      </x:c>
      <x:c r="AD399" s="26" t="n">
        <x:f>MIN(100,IF(H399="Enterprise",30,IF(H399="Mid-Market",22,14))+IF(T399="Enterprise",25,IF(T399="Mid-Market",18,10))+IF(Q399="Referral",25,IF(Q399="Organic Search",20,IF(Q399="Email",18,14)))+IF(G399="Technology",10,5))</x:f>
        <x:v>57</x:v>
      </x:c>
      <x:c r="AE399" t="str">
        <x:f>IF(U399&lt;&gt;"Open",U399,IF(N399&gt;=0.8,"Commit",IF(N399&gt;=0.5,"Best Case","Pipeline")))</x:f>
        <x:v>Pipeline</x:v>
      </x:c>
    </x:row>
    <x:row r="400">
      <x:c r="A400" t="str">
        <x:v>L00399</x:v>
      </x:c>
      <x:c r="B400" s="10" t="n">
        <x:v>45771</x:v>
      </x:c>
      <x:c r="C400" t="str">
        <x:v>Bao Tran</x:v>
      </x:c>
      <x:c r="D400" t="str">
        <x:v>South</x:v>
      </x:c>
      <x:c r="E400" t="str">
        <x:v>LI Ads</x:v>
      </x:c>
      <x:c r="F400" t="str">
        <x:v>CRM-CORE</x:v>
      </x:c>
      <x:c r="G400" t="str">
        <x:v>Manufacturing</x:v>
      </x:c>
      <x:c r="H400" t="str">
        <x:v>SMB</x:v>
      </x:c>
      <x:c r="I400" t="str">
        <x:v>Closed Lost</x:v>
      </x:c>
      <x:c r="J400" s="10" t="n">
        <x:v>45802</x:v>
      </x:c>
      <x:c r="K400" s="10" t="n">
        <x:v>45802</x:v>
      </x:c>
      <x:c r="L400" s="22" t="n">
        <x:v>8600</x:v>
      </x:c>
      <x:c r="M400" s="24" t="n">
        <x:v>0</x:v>
      </x:c>
      <x:c r="N400" s="24" t="n">
        <x:v>0</x:v>
      </x:c>
      <x:c r="O400" t="str">
        <x:v>Budget</x:v>
      </x:c>
      <x:c r="P400" t="n">
        <x:v>4</x:v>
      </x:c>
      <x:c r="Q400" t="str">
        <x:f>IFERROR(XLOOKUP(E400,Lookups!$A$5:$A$24,Lookups!$B$5:$B$24),"Other")</x:f>
        <x:v>LinkedIn</x:v>
      </x:c>
      <x:c r="R400" t="str">
        <x:f>IFERROR(XLOOKUP(F400,Lookups!$D$5:$D$10,Lookups!$E$5:$E$10),"Unknown Product")</x:f>
        <x:v>NexaCRM Core</x:v>
      </x:c>
      <x:c r="S400" t="str">
        <x:f>IFERROR(XLOOKUP(F400,Lookups!$D$5:$D$10,Lookups!$F$5:$F$10),"Unknown")</x:f>
        <x:v>CRM</x:v>
      </x:c>
      <x:c r="T400" t="str">
        <x:f>IF(L400&gt;=50000,"Enterprise",IF(L400&gt;=20000,"Mid-Market","SMB"))</x:f>
        <x:v>SMB</x:v>
      </x:c>
      <x:c r="U400" t="str">
        <x:f>IF(I400="Closed Won","Won",IF(I400="Closed Lost","Lost","Open"))</x:f>
        <x:v>Lost</x:v>
      </x:c>
      <x:c r="V400" s="22" t="n">
        <x:f>IF(U400="Won",L400*(1-M400),0)</x:f>
        <x:v>0</x:v>
      </x:c>
      <x:c r="W400" s="22" t="n">
        <x:f>IF(U400="Open",L400*N400,0)</x:f>
        <x:v>0</x:v>
      </x:c>
      <x:c r="X400" s="26" t="n">
        <x:f>IF(U400="Open","",IFERROR(K400-B400,""))</x:f>
        <x:v>31</x:v>
      </x:c>
      <x:c r="Y400" s="26" t="n">
        <x:f>IF(U400="Open",Lookups!$B$2-B400,X400)</x:f>
        <x:v>31</x:v>
      </x:c>
      <x:c r="Z400" t="str">
        <x:f>IF(AND(U400="Open",Y400&gt;30),"STALE","OK")</x:f>
        <x:v>OK</x:v>
      </x:c>
      <x:c r="AA400" t="str">
        <x:f>TEXT(B400,"yyyy-mm")</x:f>
        <x:v>2025-04</x:v>
      </x:c>
      <x:c r="AB400" t="str">
        <x:f>IF(K400="","",TEXT(K400,"yyyy-mm"))</x:f>
        <x:v>2025-05</x:v>
      </x:c>
      <x:c r="AC400" t="str">
        <x:f>"Q"&amp;ROUNDUP(MONTH(B400)/3,0)&amp;"-"&amp;YEAR(B400)</x:f>
        <x:v>Q2-2025</x:v>
      </x:c>
      <x:c r="AD400" s="26" t="n">
        <x:f>MIN(100,IF(H400="Enterprise",30,IF(H400="Mid-Market",22,14))+IF(T400="Enterprise",25,IF(T400="Mid-Market",18,10))+IF(Q400="Referral",25,IF(Q400="Organic Search",20,IF(Q400="Email",18,14)))+IF(G400="Technology",10,5))</x:f>
        <x:v>43</x:v>
      </x:c>
      <x:c r="AE400" t="str">
        <x:f>IF(U400&lt;&gt;"Open",U400,IF(N400&gt;=0.8,"Commit",IF(N400&gt;=0.5,"Best Case","Pipeline")))</x:f>
        <x:v>Lost</x:v>
      </x:c>
    </x:row>
    <x:row r="401">
      <x:c r="A401" t="str">
        <x:v>L00400</x:v>
      </x:c>
      <x:c r="B401" s="10" t="n">
        <x:v>45754</x:v>
      </x:c>
      <x:c r="C401" t="str">
        <x:v>Bao Tran</x:v>
      </x:c>
      <x:c r="D401" t="str">
        <x:v>South</x:v>
      </x:c>
      <x:c r="E401" t="str">
        <x:v>LinkedIn Ads</x:v>
      </x:c>
      <x:c r="F401" t="str">
        <x:v>CS-CLOUD</x:v>
      </x:c>
      <x:c r="G401" t="str">
        <x:v>Education</x:v>
      </x:c>
      <x:c r="H401" t="str">
        <x:v>SMB</x:v>
      </x:c>
      <x:c r="I401" t="str">
        <x:v>Closed Lost</x:v>
      </x:c>
      <x:c r="J401" s="10" t="n">
        <x:v>45785</x:v>
      </x:c>
      <x:c r="K401" s="10" t="n">
        <x:v>45785</x:v>
      </x:c>
      <x:c r="L401" s="22" t="n">
        <x:v>23200</x:v>
      </x:c>
      <x:c r="M401" s="24" t="n">
        <x:v>0</x:v>
      </x:c>
      <x:c r="N401" s="24" t="n">
        <x:v>0</x:v>
      </x:c>
      <x:c r="O401" t="str">
        <x:v>Competitor</x:v>
      </x:c>
      <x:c r="P401" t="n">
        <x:v>4</x:v>
      </x:c>
      <x:c r="Q401" t="str">
        <x:f>IFERROR(XLOOKUP(E401,Lookups!$A$5:$A$24,Lookups!$B$5:$B$24),"Other")</x:f>
        <x:v>LinkedIn</x:v>
      </x:c>
      <x:c r="R401" t="str">
        <x:f>IFERROR(XLOOKUP(F401,Lookups!$D$5:$D$10,Lookups!$E$5:$E$10),"Unknown Product")</x:f>
        <x:v>Service Cloud</x:v>
      </x:c>
      <x:c r="S401" t="str">
        <x:f>IFERROR(XLOOKUP(F401,Lookups!$D$5:$D$10,Lookups!$F$5:$F$10),"Unknown")</x:f>
        <x:v>Customer Service</x:v>
      </x:c>
      <x:c r="T401" t="str">
        <x:f>IF(L401&gt;=50000,"Enterprise",IF(L401&gt;=20000,"Mid-Market","SMB"))</x:f>
        <x:v>Mid-Market</x:v>
      </x:c>
      <x:c r="U401" t="str">
        <x:f>IF(I401="Closed Won","Won",IF(I401="Closed Lost","Lost","Open"))</x:f>
        <x:v>Lost</x:v>
      </x:c>
      <x:c r="V401" s="22" t="n">
        <x:f>IF(U401="Won",L401*(1-M401),0)</x:f>
        <x:v>0</x:v>
      </x:c>
      <x:c r="W401" s="22" t="n">
        <x:f>IF(U401="Open",L401*N401,0)</x:f>
        <x:v>0</x:v>
      </x:c>
      <x:c r="X401" s="26" t="n">
        <x:f>IF(U401="Open","",IFERROR(K401-B401,""))</x:f>
        <x:v>31</x:v>
      </x:c>
      <x:c r="Y401" s="26" t="n">
        <x:f>IF(U401="Open",Lookups!$B$2-B401,X401)</x:f>
        <x:v>31</x:v>
      </x:c>
      <x:c r="Z401" t="str">
        <x:f>IF(AND(U401="Open",Y401&gt;30),"STALE","OK")</x:f>
        <x:v>OK</x:v>
      </x:c>
      <x:c r="AA401" t="str">
        <x:f>TEXT(B401,"yyyy-mm")</x:f>
        <x:v>2025-04</x:v>
      </x:c>
      <x:c r="AB401" t="str">
        <x:f>IF(K401="","",TEXT(K401,"yyyy-mm"))</x:f>
        <x:v>2025-05</x:v>
      </x:c>
      <x:c r="AC401" t="str">
        <x:f>"Q"&amp;ROUNDUP(MONTH(B401)/3,0)&amp;"-"&amp;YEAR(B401)</x:f>
        <x:v>Q2-2025</x:v>
      </x:c>
      <x:c r="AD401" s="26" t="n">
        <x:f>MIN(100,IF(H401="Enterprise",30,IF(H401="Mid-Market",22,14))+IF(T401="Enterprise",25,IF(T401="Mid-Market",18,10))+IF(Q401="Referral",25,IF(Q401="Organic Search",20,IF(Q401="Email",18,14)))+IF(G401="Technology",10,5))</x:f>
        <x:v>51</x:v>
      </x:c>
      <x:c r="AE401" t="str">
        <x:f>IF(U401&lt;&gt;"Open",U401,IF(N401&gt;=0.8,"Commit",IF(N401&gt;=0.5,"Best Case","Pipeline")))</x:f>
        <x:v>Lost</x:v>
      </x:c>
    </x:row>
    <x:row r="402">
      <x:c r="A402" t="str">
        <x:v>L00401</x:v>
      </x:c>
      <x:c r="B402" s="10" t="n">
        <x:v>45863</x:v>
      </x:c>
      <x:c r="C402" t="str">
        <x:v>An Nguyen</x:v>
      </x:c>
      <x:c r="D402" t="str">
        <x:v>South</x:v>
      </x:c>
      <x:c r="E402" t="str">
        <x:v>LinkedIn Ads</x:v>
      </x:c>
      <x:c r="F402" t="str">
        <x:v>CRM-CORE</x:v>
      </x:c>
      <x:c r="G402" t="str">
        <x:v>Professional Services</x:v>
      </x:c>
      <x:c r="H402" t="str">
        <x:v>Mid-Market</x:v>
      </x:c>
      <x:c r="I402" t="str">
        <x:v>Negotiation</x:v>
      </x:c>
      <x:c r="J402" s="10" t="n">
        <x:v>46109</x:v>
      </x:c>
      <x:c r="K402" s="10"/>
      <x:c r="L402" s="22" t="n">
        <x:v>17500</x:v>
      </x:c>
      <x:c r="M402" s="24" t="n">
        <x:v>0.05</x:v>
      </x:c>
      <x:c r="N402" s="24" t="n">
        <x:v>0.85</x:v>
      </x:c>
      <x:c r="O402" t="str"/>
      <x:c r="P402" t="n">
        <x:v>5</x:v>
      </x:c>
      <x:c r="Q402" t="str">
        <x:f>IFERROR(XLOOKUP(E402,Lookups!$A$5:$A$24,Lookups!$B$5:$B$24),"Other")</x:f>
        <x:v>LinkedIn</x:v>
      </x:c>
      <x:c r="R402" t="str">
        <x:f>IFERROR(XLOOKUP(F402,Lookups!$D$5:$D$10,Lookups!$E$5:$E$10),"Unknown Product")</x:f>
        <x:v>NexaCRM Core</x:v>
      </x:c>
      <x:c r="S402" t="str">
        <x:f>IFERROR(XLOOKUP(F402,Lookups!$D$5:$D$10,Lookups!$F$5:$F$10),"Unknown")</x:f>
        <x:v>CRM</x:v>
      </x:c>
      <x:c r="T402" t="str">
        <x:f>IF(L402&gt;=50000,"Enterprise",IF(L402&gt;=20000,"Mid-Market","SMB"))</x:f>
        <x:v>SMB</x:v>
      </x:c>
      <x:c r="U402" t="str">
        <x:f>IF(I402="Closed Won","Won",IF(I402="Closed Lost","Lost","Open"))</x:f>
        <x:v>Open</x:v>
      </x:c>
      <x:c r="V402" s="22" t="n">
        <x:f>IF(U402="Won",L402*(1-M402),0)</x:f>
        <x:v>0</x:v>
      </x:c>
      <x:c r="W402" s="22" t="n">
        <x:f>IF(U402="Open",L402*N402,0)</x:f>
        <x:v>14875</x:v>
      </x:c>
      <x:c r="X402" s="26" t="str">
        <x:f>IF(U402="Open","",IFERROR(K402-B402,""))</x:f>
      </x:c>
      <x:c r="Y402" s="26" t="n">
        <x:f>IF(U402="Open",Lookups!$B$2-B402,X402)</x:f>
        <x:v>403</x:v>
      </x:c>
      <x:c r="Z402" t="str">
        <x:f>IF(AND(U402="Open",Y402&gt;30),"STALE","OK")</x:f>
        <x:v>STALE</x:v>
      </x:c>
      <x:c r="AA402" t="str">
        <x:f>TEXT(B402,"yyyy-mm")</x:f>
        <x:v>2025-07</x:v>
      </x:c>
      <x:c r="AB402" t="str">
        <x:f>IF(K402="","",TEXT(K402,"yyyy-mm"))</x:f>
      </x:c>
      <x:c r="AC402" t="str">
        <x:f>"Q"&amp;ROUNDUP(MONTH(B402)/3,0)&amp;"-"&amp;YEAR(B402)</x:f>
        <x:v>Q3-2025</x:v>
      </x:c>
      <x:c r="AD402" s="26" t="n">
        <x:f>MIN(100,IF(H402="Enterprise",30,IF(H402="Mid-Market",22,14))+IF(T402="Enterprise",25,IF(T402="Mid-Market",18,10))+IF(Q402="Referral",25,IF(Q402="Organic Search",20,IF(Q402="Email",18,14)))+IF(G402="Technology",10,5))</x:f>
        <x:v>51</x:v>
      </x:c>
      <x:c r="AE402" t="str">
        <x:f>IF(U402&lt;&gt;"Open",U402,IF(N402&gt;=0.8,"Commit",IF(N402&gt;=0.5,"Best Case","Pipeline")))</x:f>
        <x:v>Commit</x:v>
      </x:c>
    </x:row>
    <x:row r="403">
      <x:c r="A403" t="str">
        <x:v>L00402</x:v>
      </x:c>
      <x:c r="B403" s="10" t="n">
        <x:v>46232</x:v>
      </x:c>
      <x:c r="C403" t="str">
        <x:v>Quynh Vu</x:v>
      </x:c>
      <x:c r="D403" t="str">
        <x:v>North</x:v>
      </x:c>
      <x:c r="E403" t="str">
        <x:v>google cpc</x:v>
      </x:c>
      <x:c r="F403" t="str">
        <x:v>MKT-AUTO</x:v>
      </x:c>
      <x:c r="G403" t="str">
        <x:v>Professional Services</x:v>
      </x:c>
      <x:c r="H403" t="str">
        <x:v>Enterprise</x:v>
      </x:c>
      <x:c r="I403" t="str">
        <x:v>Closed Lost</x:v>
      </x:c>
      <x:c r="J403" s="10" t="n">
        <x:v>46266</x:v>
      </x:c>
      <x:c r="K403" s="10" t="n">
        <x:v>46266</x:v>
      </x:c>
      <x:c r="L403" s="22" t="n">
        <x:v>68400</x:v>
      </x:c>
      <x:c r="M403" s="24" t="n">
        <x:v>0</x:v>
      </x:c>
      <x:c r="N403" s="24" t="n">
        <x:v>0</x:v>
      </x:c>
      <x:c r="O403" t="str">
        <x:v>Competitor</x:v>
      </x:c>
      <x:c r="P403" t="n">
        <x:v>2</x:v>
      </x:c>
      <x:c r="Q403" t="str">
        <x:f>IFERROR(XLOOKUP(E403,Lookups!$A$5:$A$24,Lookups!$B$5:$B$24),"Other")</x:f>
        <x:v>Paid Search</x:v>
      </x:c>
      <x:c r="R403" t="str">
        <x:f>IFERROR(XLOOKUP(F403,Lookups!$D$5:$D$10,Lookups!$E$5:$E$10),"Unknown Product")</x:f>
        <x:v>Marketing Automation</x:v>
      </x:c>
      <x:c r="S403" t="str">
        <x:f>IFERROR(XLOOKUP(F403,Lookups!$D$5:$D$10,Lookups!$F$5:$F$10),"Unknown")</x:f>
        <x:v>Marketing</x:v>
      </x:c>
      <x:c r="T403" t="str">
        <x:f>IF(L403&gt;=50000,"Enterprise",IF(L403&gt;=20000,"Mid-Market","SMB"))</x:f>
        <x:v>Enterprise</x:v>
      </x:c>
      <x:c r="U403" t="str">
        <x:f>IF(I403="Closed Won","Won",IF(I403="Closed Lost","Lost","Open"))</x:f>
        <x:v>Lost</x:v>
      </x:c>
      <x:c r="V403" s="22" t="n">
        <x:f>IF(U403="Won",L403*(1-M403),0)</x:f>
        <x:v>0</x:v>
      </x:c>
      <x:c r="W403" s="22" t="n">
        <x:f>IF(U403="Open",L403*N403,0)</x:f>
        <x:v>0</x:v>
      </x:c>
      <x:c r="X403" s="26" t="n">
        <x:f>IF(U403="Open","",IFERROR(K403-B403,""))</x:f>
        <x:v>34</x:v>
      </x:c>
      <x:c r="Y403" s="26" t="n">
        <x:f>IF(U403="Open",Lookups!$B$2-B403,X403)</x:f>
        <x:v>34</x:v>
      </x:c>
      <x:c r="Z403" t="str">
        <x:f>IF(AND(U403="Open",Y403&gt;30),"STALE","OK")</x:f>
        <x:v>OK</x:v>
      </x:c>
      <x:c r="AA403" t="str">
        <x:f>TEXT(B403,"yyyy-mm")</x:f>
        <x:v>2026-07</x:v>
      </x:c>
      <x:c r="AB403" t="str">
        <x:f>IF(K403="","",TEXT(K403,"yyyy-mm"))</x:f>
        <x:v>2026-09</x:v>
      </x:c>
      <x:c r="AC403" t="str">
        <x:f>"Q"&amp;ROUNDUP(MONTH(B403)/3,0)&amp;"-"&amp;YEAR(B403)</x:f>
        <x:v>Q3-2026</x:v>
      </x:c>
      <x:c r="AD403" s="26" t="n">
        <x:f>MIN(100,IF(H403="Enterprise",30,IF(H403="Mid-Market",22,14))+IF(T403="Enterprise",25,IF(T403="Mid-Market",18,10))+IF(Q403="Referral",25,IF(Q403="Organic Search",20,IF(Q403="Email",18,14)))+IF(G403="Technology",10,5))</x:f>
        <x:v>74</x:v>
      </x:c>
      <x:c r="AE403" t="str">
        <x:f>IF(U403&lt;&gt;"Open",U403,IF(N403&gt;=0.8,"Commit",IF(N403&gt;=0.5,"Best Case","Pipeline")))</x:f>
        <x:v>Lost</x:v>
      </x:c>
    </x:row>
    <x:row r="404">
      <x:c r="A404" t="str">
        <x:v>L00403</x:v>
      </x:c>
      <x:c r="B404" s="10" t="n">
        <x:v>45791</x:v>
      </x:c>
      <x:c r="C404" t="str">
        <x:v>An Nguyen</x:v>
      </x:c>
      <x:c r="D404" t="str">
        <x:v>South</x:v>
      </x:c>
      <x:c r="E404" t="str">
        <x:v>SEM - Google</x:v>
      </x:c>
      <x:c r="F404" t="str">
        <x:v>CS-CLOUD</x:v>
      </x:c>
      <x:c r="G404" t="str">
        <x:v>Education</x:v>
      </x:c>
      <x:c r="H404" t="str">
        <x:v>Mid-Market</x:v>
      </x:c>
      <x:c r="I404" t="str">
        <x:v>Closed Lost</x:v>
      </x:c>
      <x:c r="J404" s="10" t="n">
        <x:v>45830</x:v>
      </x:c>
      <x:c r="K404" s="10" t="n">
        <x:v>45830</x:v>
      </x:c>
      <x:c r="L404" s="22" t="n">
        <x:v>48000</x:v>
      </x:c>
      <x:c r="M404" s="24" t="n">
        <x:v>0</x:v>
      </x:c>
      <x:c r="N404" s="24" t="n">
        <x:v>0</x:v>
      </x:c>
      <x:c r="O404" t="str">
        <x:v>No Decision</x:v>
      </x:c>
      <x:c r="P404" t="n">
        <x:v>5</x:v>
      </x:c>
      <x:c r="Q404" t="str">
        <x:f>IFERROR(XLOOKUP(E404,Lookups!$A$5:$A$24,Lookups!$B$5:$B$24),"Other")</x:f>
        <x:v>Paid Search</x:v>
      </x:c>
      <x:c r="R404" t="str">
        <x:f>IFERROR(XLOOKUP(F404,Lookups!$D$5:$D$10,Lookups!$E$5:$E$10),"Unknown Product")</x:f>
        <x:v>Service Cloud</x:v>
      </x:c>
      <x:c r="S404" t="str">
        <x:f>IFERROR(XLOOKUP(F404,Lookups!$D$5:$D$10,Lookups!$F$5:$F$10),"Unknown")</x:f>
        <x:v>Customer Service</x:v>
      </x:c>
      <x:c r="T404" t="str">
        <x:f>IF(L404&gt;=50000,"Enterprise",IF(L404&gt;=20000,"Mid-Market","SMB"))</x:f>
        <x:v>Mid-Market</x:v>
      </x:c>
      <x:c r="U404" t="str">
        <x:f>IF(I404="Closed Won","Won",IF(I404="Closed Lost","Lost","Open"))</x:f>
        <x:v>Lost</x:v>
      </x:c>
      <x:c r="V404" s="22" t="n">
        <x:f>IF(U404="Won",L404*(1-M404),0)</x:f>
        <x:v>0</x:v>
      </x:c>
      <x:c r="W404" s="22" t="n">
        <x:f>IF(U404="Open",L404*N404,0)</x:f>
        <x:v>0</x:v>
      </x:c>
      <x:c r="X404" s="26" t="n">
        <x:f>IF(U404="Open","",IFERROR(K404-B404,""))</x:f>
        <x:v>39</x:v>
      </x:c>
      <x:c r="Y404" s="26" t="n">
        <x:f>IF(U404="Open",Lookups!$B$2-B404,X404)</x:f>
        <x:v>39</x:v>
      </x:c>
      <x:c r="Z404" t="str">
        <x:f>IF(AND(U404="Open",Y404&gt;30),"STALE","OK")</x:f>
        <x:v>OK</x:v>
      </x:c>
      <x:c r="AA404" t="str">
        <x:f>TEXT(B404,"yyyy-mm")</x:f>
        <x:v>2025-05</x:v>
      </x:c>
      <x:c r="AB404" t="str">
        <x:f>IF(K404="","",TEXT(K404,"yyyy-mm"))</x:f>
        <x:v>2025-06</x:v>
      </x:c>
      <x:c r="AC404" t="str">
        <x:f>"Q"&amp;ROUNDUP(MONTH(B404)/3,0)&amp;"-"&amp;YEAR(B404)</x:f>
        <x:v>Q2-2025</x:v>
      </x:c>
      <x:c r="AD404" s="26" t="n">
        <x:f>MIN(100,IF(H404="Enterprise",30,IF(H404="Mid-Market",22,14))+IF(T404="Enterprise",25,IF(T404="Mid-Market",18,10))+IF(Q404="Referral",25,IF(Q404="Organic Search",20,IF(Q404="Email",18,14)))+IF(G404="Technology",10,5))</x:f>
        <x:v>59</x:v>
      </x:c>
      <x:c r="AE404" t="str">
        <x:f>IF(U404&lt;&gt;"Open",U404,IF(N404&gt;=0.8,"Commit",IF(N404&gt;=0.5,"Best Case","Pipeline")))</x:f>
        <x:v>Lost</x:v>
      </x:c>
    </x:row>
    <x:row r="405">
      <x:c r="A405" t="str">
        <x:v>L00404</x:v>
      </x:c>
      <x:c r="B405" s="10" t="n">
        <x:v>45952</x:v>
      </x:c>
      <x:c r="C405" t="str">
        <x:v>Bao Tran</x:v>
      </x:c>
      <x:c r="D405" t="str">
        <x:v>South</x:v>
      </x:c>
      <x:c r="E405" t="str">
        <x:v>Referral</x:v>
      </x:c>
      <x:c r="F405" t="str">
        <x:v>CRM-CORE</x:v>
      </x:c>
      <x:c r="G405" t="str">
        <x:v>Education</x:v>
      </x:c>
      <x:c r="H405" t="str">
        <x:v>SMB</x:v>
      </x:c>
      <x:c r="I405" t="str">
        <x:v>Closed Lost</x:v>
      </x:c>
      <x:c r="J405" s="10" t="n">
        <x:v>45999</x:v>
      </x:c>
      <x:c r="K405" s="10" t="n">
        <x:v>45999</x:v>
      </x:c>
      <x:c r="L405" s="22" t="n">
        <x:v>9200</x:v>
      </x:c>
      <x:c r="M405" s="24" t="n">
        <x:v>0</x:v>
      </x:c>
      <x:c r="N405" s="24" t="n">
        <x:v>0</x:v>
      </x:c>
      <x:c r="O405" t="str">
        <x:v>Competitor</x:v>
      </x:c>
      <x:c r="P405" t="n">
        <x:v>4</x:v>
      </x:c>
      <x:c r="Q405" t="str">
        <x:f>IFERROR(XLOOKUP(E405,Lookups!$A$5:$A$24,Lookups!$B$5:$B$24),"Other")</x:f>
        <x:v>Referral</x:v>
      </x:c>
      <x:c r="R405" t="str">
        <x:f>IFERROR(XLOOKUP(F405,Lookups!$D$5:$D$10,Lookups!$E$5:$E$10),"Unknown Product")</x:f>
        <x:v>NexaCRM Core</x:v>
      </x:c>
      <x:c r="S405" t="str">
        <x:f>IFERROR(XLOOKUP(F405,Lookups!$D$5:$D$10,Lookups!$F$5:$F$10),"Unknown")</x:f>
        <x:v>CRM</x:v>
      </x:c>
      <x:c r="T405" t="str">
        <x:f>IF(L405&gt;=50000,"Enterprise",IF(L405&gt;=20000,"Mid-Market","SMB"))</x:f>
        <x:v>SMB</x:v>
      </x:c>
      <x:c r="U405" t="str">
        <x:f>IF(I405="Closed Won","Won",IF(I405="Closed Lost","Lost","Open"))</x:f>
        <x:v>Lost</x:v>
      </x:c>
      <x:c r="V405" s="22" t="n">
        <x:f>IF(U405="Won",L405*(1-M405),0)</x:f>
        <x:v>0</x:v>
      </x:c>
      <x:c r="W405" s="22" t="n">
        <x:f>IF(U405="Open",L405*N405,0)</x:f>
        <x:v>0</x:v>
      </x:c>
      <x:c r="X405" s="26" t="n">
        <x:f>IF(U405="Open","",IFERROR(K405-B405,""))</x:f>
        <x:v>47</x:v>
      </x:c>
      <x:c r="Y405" s="26" t="n">
        <x:f>IF(U405="Open",Lookups!$B$2-B405,X405)</x:f>
        <x:v>47</x:v>
      </x:c>
      <x:c r="Z405" t="str">
        <x:f>IF(AND(U405="Open",Y405&gt;30),"STALE","OK")</x:f>
        <x:v>OK</x:v>
      </x:c>
      <x:c r="AA405" t="str">
        <x:f>TEXT(B405,"yyyy-mm")</x:f>
        <x:v>2025-10</x:v>
      </x:c>
      <x:c r="AB405" t="str">
        <x:f>IF(K405="","",TEXT(K405,"yyyy-mm"))</x:f>
        <x:v>2025-12</x:v>
      </x:c>
      <x:c r="AC405" t="str">
        <x:f>"Q"&amp;ROUNDUP(MONTH(B405)/3,0)&amp;"-"&amp;YEAR(B405)</x:f>
        <x:v>Q4-2025</x:v>
      </x:c>
      <x:c r="AD405" s="26" t="n">
        <x:f>MIN(100,IF(H405="Enterprise",30,IF(H405="Mid-Market",22,14))+IF(T405="Enterprise",25,IF(T405="Mid-Market",18,10))+IF(Q405="Referral",25,IF(Q405="Organic Search",20,IF(Q405="Email",18,14)))+IF(G405="Technology",10,5))</x:f>
        <x:v>54</x:v>
      </x:c>
      <x:c r="AE405" t="str">
        <x:f>IF(U405&lt;&gt;"Open",U405,IF(N405&gt;=0.8,"Commit",IF(N405&gt;=0.5,"Best Case","Pipeline")))</x:f>
        <x:v>Lost</x:v>
      </x:c>
    </x:row>
    <x:row r="406">
      <x:c r="A406" t="str">
        <x:v>L00405</x:v>
      </x:c>
      <x:c r="B406" s="10" t="n">
        <x:v>46192</x:v>
      </x:c>
      <x:c r="C406" t="str">
        <x:v>Tuan Bui</x:v>
      </x:c>
      <x:c r="D406" t="str">
        <x:v>Central</x:v>
      </x:c>
      <x:c r="E406" t="str">
        <x:v>customer referral</x:v>
      </x:c>
      <x:c r="F406" t="str">
        <x:v>CRM-CORE</x:v>
      </x:c>
      <x:c r="G406" t="str">
        <x:v>Education</x:v>
      </x:c>
      <x:c r="H406" t="str">
        <x:v>SMB</x:v>
      </x:c>
      <x:c r="I406" t="str">
        <x:v>Qualified</x:v>
      </x:c>
      <x:c r="J406" s="10" t="n">
        <x:v>46251</x:v>
      </x:c>
      <x:c r="K406" s="10"/>
      <x:c r="L406" s="22" t="n">
        <x:v>4600</x:v>
      </x:c>
      <x:c r="M406" s="24" t="n">
        <x:v>0.03</x:v>
      </x:c>
      <x:c r="N406" s="24" t="n">
        <x:v>0.2</x:v>
      </x:c>
      <x:c r="O406" t="str"/>
      <x:c r="P406" t="n">
        <x:v>2</x:v>
      </x:c>
      <x:c r="Q406" t="str">
        <x:f>IFERROR(XLOOKUP(E406,Lookups!$A$5:$A$24,Lookups!$B$5:$B$24),"Other")</x:f>
        <x:v>Referral</x:v>
      </x:c>
      <x:c r="R406" t="str">
        <x:f>IFERROR(XLOOKUP(F406,Lookups!$D$5:$D$10,Lookups!$E$5:$E$10),"Unknown Product")</x:f>
        <x:v>NexaCRM Core</x:v>
      </x:c>
      <x:c r="S406" t="str">
        <x:f>IFERROR(XLOOKUP(F406,Lookups!$D$5:$D$10,Lookups!$F$5:$F$10),"Unknown")</x:f>
        <x:v>CRM</x:v>
      </x:c>
      <x:c r="T406" t="str">
        <x:f>IF(L406&gt;=50000,"Enterprise",IF(L406&gt;=20000,"Mid-Market","SMB"))</x:f>
        <x:v>SMB</x:v>
      </x:c>
      <x:c r="U406" t="str">
        <x:f>IF(I406="Closed Won","Won",IF(I406="Closed Lost","Lost","Open"))</x:f>
        <x:v>Open</x:v>
      </x:c>
      <x:c r="V406" s="22" t="n">
        <x:f>IF(U406="Won",L406*(1-M406),0)</x:f>
        <x:v>0</x:v>
      </x:c>
      <x:c r="W406" s="22" t="n">
        <x:f>IF(U406="Open",L406*N406,0)</x:f>
        <x:v>920</x:v>
      </x:c>
      <x:c r="X406" s="26" t="str">
        <x:f>IF(U406="Open","",IFERROR(K406-B406,""))</x:f>
      </x:c>
      <x:c r="Y406" s="26" t="n">
        <x:f>IF(U406="Open",Lookups!$B$2-B406,X406)</x:f>
        <x:v>74</x:v>
      </x:c>
      <x:c r="Z406" t="str">
        <x:f>IF(AND(U406="Open",Y406&gt;30),"STALE","OK")</x:f>
        <x:v>STALE</x:v>
      </x:c>
      <x:c r="AA406" t="str">
        <x:f>TEXT(B406,"yyyy-mm")</x:f>
        <x:v>2026-06</x:v>
      </x:c>
      <x:c r="AB406" t="str">
        <x:f>IF(K406="","",TEXT(K406,"yyyy-mm"))</x:f>
      </x:c>
      <x:c r="AC406" t="str">
        <x:f>"Q"&amp;ROUNDUP(MONTH(B406)/3,0)&amp;"-"&amp;YEAR(B406)</x:f>
        <x:v>Q2-2026</x:v>
      </x:c>
      <x:c r="AD406" s="26" t="n">
        <x:f>MIN(100,IF(H406="Enterprise",30,IF(H406="Mid-Market",22,14))+IF(T406="Enterprise",25,IF(T406="Mid-Market",18,10))+IF(Q406="Referral",25,IF(Q406="Organic Search",20,IF(Q406="Email",18,14)))+IF(G406="Technology",10,5))</x:f>
        <x:v>54</x:v>
      </x:c>
      <x:c r="AE406" t="str">
        <x:f>IF(U406&lt;&gt;"Open",U406,IF(N406&gt;=0.8,"Commit",IF(N406&gt;=0.5,"Best Case","Pipeline")))</x:f>
        <x:v>Pipeline</x:v>
      </x:c>
    </x:row>
    <x:row r="407">
      <x:c r="A407" t="str">
        <x:v>L00406</x:v>
      </x:c>
      <x:c r="B407" s="10" t="n">
        <x:v>45702</x:v>
      </x:c>
      <x:c r="C407" t="str">
        <x:v>Bao Tran</x:v>
      </x:c>
      <x:c r="D407" t="str">
        <x:v>South</x:v>
      </x:c>
      <x:c r="E407" t="str">
        <x:v>Partner Referral</x:v>
      </x:c>
      <x:c r="F407" t="str">
        <x:v>CRM-PRO</x:v>
      </x:c>
      <x:c r="G407" t="str">
        <x:v>Education</x:v>
      </x:c>
      <x:c r="H407" t="str">
        <x:v>SMB</x:v>
      </x:c>
      <x:c r="I407" t="str">
        <x:v>Closed Lost</x:v>
      </x:c>
      <x:c r="J407" s="10" t="n">
        <x:v>45803</x:v>
      </x:c>
      <x:c r="K407" s="10" t="n">
        <x:v>45803</x:v>
      </x:c>
      <x:c r="L407" s="22" t="n">
        <x:v>24700</x:v>
      </x:c>
      <x:c r="M407" s="24" t="n">
        <x:v>0</x:v>
      </x:c>
      <x:c r="N407" s="24" t="n">
        <x:v>0</x:v>
      </x:c>
      <x:c r="O407" t="str">
        <x:v>Budget</x:v>
      </x:c>
      <x:c r="P407" t="n">
        <x:v>4</x:v>
      </x:c>
      <x:c r="Q407" t="str">
        <x:f>IFERROR(XLOOKUP(E407,Lookups!$A$5:$A$24,Lookups!$B$5:$B$24),"Other")</x:f>
        <x:v>Referral</x:v>
      </x:c>
      <x:c r="R407" t="str">
        <x:f>IFERROR(XLOOKUP(F407,Lookups!$D$5:$D$10,Lookups!$E$5:$E$10),"Unknown Product")</x:f>
        <x:v>NexaCRM Pro</x:v>
      </x:c>
      <x:c r="S407" t="str">
        <x:f>IFERROR(XLOOKUP(F407,Lookups!$D$5:$D$10,Lookups!$F$5:$F$10),"Unknown")</x:f>
        <x:v>CRM</x:v>
      </x:c>
      <x:c r="T407" t="str">
        <x:f>IF(L407&gt;=50000,"Enterprise",IF(L407&gt;=20000,"Mid-Market","SMB"))</x:f>
        <x:v>Mid-Market</x:v>
      </x:c>
      <x:c r="U407" t="str">
        <x:f>IF(I407="Closed Won","Won",IF(I407="Closed Lost","Lost","Open"))</x:f>
        <x:v>Lost</x:v>
      </x:c>
      <x:c r="V407" s="22" t="n">
        <x:f>IF(U407="Won",L407*(1-M407),0)</x:f>
        <x:v>0</x:v>
      </x:c>
      <x:c r="W407" s="22" t="n">
        <x:f>IF(U407="Open",L407*N407,0)</x:f>
        <x:v>0</x:v>
      </x:c>
      <x:c r="X407" s="26" t="n">
        <x:f>IF(U407="Open","",IFERROR(K407-B407,""))</x:f>
        <x:v>101</x:v>
      </x:c>
      <x:c r="Y407" s="26" t="n">
        <x:f>IF(U407="Open",Lookups!$B$2-B407,X407)</x:f>
        <x:v>101</x:v>
      </x:c>
      <x:c r="Z407" t="str">
        <x:f>IF(AND(U407="Open",Y407&gt;30),"STALE","OK")</x:f>
        <x:v>OK</x:v>
      </x:c>
      <x:c r="AA407" t="str">
        <x:f>TEXT(B407,"yyyy-mm")</x:f>
        <x:v>2025-02</x:v>
      </x:c>
      <x:c r="AB407" t="str">
        <x:f>IF(K407="","",TEXT(K407,"yyyy-mm"))</x:f>
        <x:v>2025-05</x:v>
      </x:c>
      <x:c r="AC407" t="str">
        <x:f>"Q"&amp;ROUNDUP(MONTH(B407)/3,0)&amp;"-"&amp;YEAR(B407)</x:f>
        <x:v>Q1-2025</x:v>
      </x:c>
      <x:c r="AD407" s="26" t="n">
        <x:f>MIN(100,IF(H407="Enterprise",30,IF(H407="Mid-Market",22,14))+IF(T407="Enterprise",25,IF(T407="Mid-Market",18,10))+IF(Q407="Referral",25,IF(Q407="Organic Search",20,IF(Q407="Email",18,14)))+IF(G407="Technology",10,5))</x:f>
        <x:v>62</x:v>
      </x:c>
      <x:c r="AE407" t="str">
        <x:f>IF(U407&lt;&gt;"Open",U407,IF(N407&gt;=0.8,"Commit",IF(N407&gt;=0.5,"Best Case","Pipeline")))</x:f>
        <x:v>Lost</x:v>
      </x:c>
    </x:row>
    <x:row r="408">
      <x:c r="A408" t="str">
        <x:v>L00407</x:v>
      </x:c>
      <x:c r="B408" s="10" t="n">
        <x:v>45979</x:v>
      </x:c>
      <x:c r="C408" t="str">
        <x:v>Tuan Bui</x:v>
      </x:c>
      <x:c r="D408" t="str">
        <x:v>Central</x:v>
      </x:c>
      <x:c r="E408" t="str">
        <x:v>google cpc</x:v>
      </x:c>
      <x:c r="F408" t="str">
        <x:v>CRM-CORE</x:v>
      </x:c>
      <x:c r="G408" t="str">
        <x:v>Retail</x:v>
      </x:c>
      <x:c r="H408" t="str">
        <x:v>SMB</x:v>
      </x:c>
      <x:c r="I408" t="str">
        <x:v>Closed Lost</x:v>
      </x:c>
      <x:c r="J408" s="10" t="n">
        <x:v>46034</x:v>
      </x:c>
      <x:c r="K408" s="10" t="n">
        <x:v>46034</x:v>
      </x:c>
      <x:c r="L408" s="22" t="n">
        <x:v>6300</x:v>
      </x:c>
      <x:c r="M408" s="24" t="n">
        <x:v>0</x:v>
      </x:c>
      <x:c r="N408" s="24" t="n">
        <x:v>0</x:v>
      </x:c>
      <x:c r="O408" t="str">
        <x:v>Competitor</x:v>
      </x:c>
      <x:c r="P408" t="n">
        <x:v>4</x:v>
      </x:c>
      <x:c r="Q408" t="str">
        <x:f>IFERROR(XLOOKUP(E408,Lookups!$A$5:$A$24,Lookups!$B$5:$B$24),"Other")</x:f>
        <x:v>Paid Search</x:v>
      </x:c>
      <x:c r="R408" t="str">
        <x:f>IFERROR(XLOOKUP(F408,Lookups!$D$5:$D$10,Lookups!$E$5:$E$10),"Unknown Product")</x:f>
        <x:v>NexaCRM Core</x:v>
      </x:c>
      <x:c r="S408" t="str">
        <x:f>IFERROR(XLOOKUP(F408,Lookups!$D$5:$D$10,Lookups!$F$5:$F$10),"Unknown")</x:f>
        <x:v>CRM</x:v>
      </x:c>
      <x:c r="T408" t="str">
        <x:f>IF(L408&gt;=50000,"Enterprise",IF(L408&gt;=20000,"Mid-Market","SMB"))</x:f>
        <x:v>SMB</x:v>
      </x:c>
      <x:c r="U408" t="str">
        <x:f>IF(I408="Closed Won","Won",IF(I408="Closed Lost","Lost","Open"))</x:f>
        <x:v>Lost</x:v>
      </x:c>
      <x:c r="V408" s="22" t="n">
        <x:f>IF(U408="Won",L408*(1-M408),0)</x:f>
        <x:v>0</x:v>
      </x:c>
      <x:c r="W408" s="22" t="n">
        <x:f>IF(U408="Open",L408*N408,0)</x:f>
        <x:v>0</x:v>
      </x:c>
      <x:c r="X408" s="26" t="n">
        <x:f>IF(U408="Open","",IFERROR(K408-B408,""))</x:f>
        <x:v>55</x:v>
      </x:c>
      <x:c r="Y408" s="26" t="n">
        <x:f>IF(U408="Open",Lookups!$B$2-B408,X408)</x:f>
        <x:v>55</x:v>
      </x:c>
      <x:c r="Z408" t="str">
        <x:f>IF(AND(U408="Open",Y408&gt;30),"STALE","OK")</x:f>
        <x:v>OK</x:v>
      </x:c>
      <x:c r="AA408" t="str">
        <x:f>TEXT(B408,"yyyy-mm")</x:f>
        <x:v>2025-11</x:v>
      </x:c>
      <x:c r="AB408" t="str">
        <x:f>IF(K408="","",TEXT(K408,"yyyy-mm"))</x:f>
        <x:v>2026-01</x:v>
      </x:c>
      <x:c r="AC408" t="str">
        <x:f>"Q"&amp;ROUNDUP(MONTH(B408)/3,0)&amp;"-"&amp;YEAR(B408)</x:f>
        <x:v>Q4-2025</x:v>
      </x:c>
      <x:c r="AD408" s="26" t="n">
        <x:f>MIN(100,IF(H408="Enterprise",30,IF(H408="Mid-Market",22,14))+IF(T408="Enterprise",25,IF(T408="Mid-Market",18,10))+IF(Q408="Referral",25,IF(Q408="Organic Search",20,IF(Q408="Email",18,14)))+IF(G408="Technology",10,5))</x:f>
        <x:v>43</x:v>
      </x:c>
      <x:c r="AE408" t="str">
        <x:f>IF(U408&lt;&gt;"Open",U408,IF(N408&gt;=0.8,"Commit",IF(N408&gt;=0.5,"Best Case","Pipeline")))</x:f>
        <x:v>Lost</x:v>
      </x:c>
    </x:row>
    <x:row r="409">
      <x:c r="A409" t="str">
        <x:v>L00408</x:v>
      </x:c>
      <x:c r="B409" s="10" t="n">
        <x:v>46118</x:v>
      </x:c>
      <x:c r="C409" t="str">
        <x:v>Quynh Vu</x:v>
      </x:c>
      <x:c r="D409" t="str">
        <x:v>North</x:v>
      </x:c>
      <x:c r="E409" t="str">
        <x:v>LI Ads</x:v>
      </x:c>
      <x:c r="F409" t="str">
        <x:v>MKT-AUTO</x:v>
      </x:c>
      <x:c r="G409" t="str">
        <x:v>Education</x:v>
      </x:c>
      <x:c r="H409" t="str">
        <x:v>Enterprise</x:v>
      </x:c>
      <x:c r="I409" t="str">
        <x:v>Closed Lost</x:v>
      </x:c>
      <x:c r="J409" s="10" t="n">
        <x:v>46189</x:v>
      </x:c>
      <x:c r="K409" s="10" t="n">
        <x:v>46189</x:v>
      </x:c>
      <x:c r="L409" s="22" t="n">
        <x:v>57800</x:v>
      </x:c>
      <x:c r="M409" s="24" t="n">
        <x:v>0</x:v>
      </x:c>
      <x:c r="N409" s="24" t="n">
        <x:v>0</x:v>
      </x:c>
      <x:c r="O409" t="str">
        <x:v>Price</x:v>
      </x:c>
      <x:c r="P409" t="n">
        <x:v>2</x:v>
      </x:c>
      <x:c r="Q409" t="str">
        <x:f>IFERROR(XLOOKUP(E409,Lookups!$A$5:$A$24,Lookups!$B$5:$B$24),"Other")</x:f>
        <x:v>LinkedIn</x:v>
      </x:c>
      <x:c r="R409" t="str">
        <x:f>IFERROR(XLOOKUP(F409,Lookups!$D$5:$D$10,Lookups!$E$5:$E$10),"Unknown Product")</x:f>
        <x:v>Marketing Automation</x:v>
      </x:c>
      <x:c r="S409" t="str">
        <x:f>IFERROR(XLOOKUP(F409,Lookups!$D$5:$D$10,Lookups!$F$5:$F$10),"Unknown")</x:f>
        <x:v>Marketing</x:v>
      </x:c>
      <x:c r="T409" t="str">
        <x:f>IF(L409&gt;=50000,"Enterprise",IF(L409&gt;=20000,"Mid-Market","SMB"))</x:f>
        <x:v>Enterprise</x:v>
      </x:c>
      <x:c r="U409" t="str">
        <x:f>IF(I409="Closed Won","Won",IF(I409="Closed Lost","Lost","Open"))</x:f>
        <x:v>Lost</x:v>
      </x:c>
      <x:c r="V409" s="22" t="n">
        <x:f>IF(U409="Won",L409*(1-M409),0)</x:f>
        <x:v>0</x:v>
      </x:c>
      <x:c r="W409" s="22" t="n">
        <x:f>IF(U409="Open",L409*N409,0)</x:f>
        <x:v>0</x:v>
      </x:c>
      <x:c r="X409" s="26" t="n">
        <x:f>IF(U409="Open","",IFERROR(K409-B409,""))</x:f>
        <x:v>71</x:v>
      </x:c>
      <x:c r="Y409" s="26" t="n">
        <x:f>IF(U409="Open",Lookups!$B$2-B409,X409)</x:f>
        <x:v>71</x:v>
      </x:c>
      <x:c r="Z409" t="str">
        <x:f>IF(AND(U409="Open",Y409&gt;30),"STALE","OK")</x:f>
        <x:v>OK</x:v>
      </x:c>
      <x:c r="AA409" t="str">
        <x:f>TEXT(B409,"yyyy-mm")</x:f>
        <x:v>2026-04</x:v>
      </x:c>
      <x:c r="AB409" t="str">
        <x:f>IF(K409="","",TEXT(K409,"yyyy-mm"))</x:f>
        <x:v>2026-06</x:v>
      </x:c>
      <x:c r="AC409" t="str">
        <x:f>"Q"&amp;ROUNDUP(MONTH(B409)/3,0)&amp;"-"&amp;YEAR(B409)</x:f>
        <x:v>Q2-2026</x:v>
      </x:c>
      <x:c r="AD409" s="26" t="n">
        <x:f>MIN(100,IF(H409="Enterprise",30,IF(H409="Mid-Market",22,14))+IF(T409="Enterprise",25,IF(T409="Mid-Market",18,10))+IF(Q409="Referral",25,IF(Q409="Organic Search",20,IF(Q409="Email",18,14)))+IF(G409="Technology",10,5))</x:f>
        <x:v>74</x:v>
      </x:c>
      <x:c r="AE409" t="str">
        <x:f>IF(U409&lt;&gt;"Open",U409,IF(N409&gt;=0.8,"Commit",IF(N409&gt;=0.5,"Best Case","Pipeline")))</x:f>
        <x:v>Lost</x:v>
      </x:c>
    </x:row>
    <x:row r="410">
      <x:c r="A410" t="str">
        <x:v>L00409</x:v>
      </x:c>
      <x:c r="B410" s="10" t="n">
        <x:v>45757</x:v>
      </x:c>
      <x:c r="C410" t="str">
        <x:v>Duy Pham</x:v>
      </x:c>
      <x:c r="D410" t="str">
        <x:v>South</x:v>
      </x:c>
      <x:c r="E410" t="str">
        <x:v>LinkedIn Ads</x:v>
      </x:c>
      <x:c r="F410" t="str">
        <x:v>CRM-CORE</x:v>
      </x:c>
      <x:c r="G410" t="str">
        <x:v>Manufacturing</x:v>
      </x:c>
      <x:c r="H410" t="str">
        <x:v>SMB</x:v>
      </x:c>
      <x:c r="I410" t="str">
        <x:v>Closed Lost</x:v>
      </x:c>
      <x:c r="J410" s="10" t="n">
        <x:v>45810</x:v>
      </x:c>
      <x:c r="K410" s="10" t="n">
        <x:v>45810</x:v>
      </x:c>
      <x:c r="L410" s="22" t="n">
        <x:v>7100</x:v>
      </x:c>
      <x:c r="M410" s="24" t="n">
        <x:v>0</x:v>
      </x:c>
      <x:c r="N410" s="24" t="n">
        <x:v>0</x:v>
      </x:c>
      <x:c r="O410" t="str">
        <x:v>Price</x:v>
      </x:c>
      <x:c r="P410" t="n">
        <x:v>2</x:v>
      </x:c>
      <x:c r="Q410" t="str">
        <x:f>IFERROR(XLOOKUP(E410,Lookups!$A$5:$A$24,Lookups!$B$5:$B$24),"Other")</x:f>
        <x:v>LinkedIn</x:v>
      </x:c>
      <x:c r="R410" t="str">
        <x:f>IFERROR(XLOOKUP(F410,Lookups!$D$5:$D$10,Lookups!$E$5:$E$10),"Unknown Product")</x:f>
        <x:v>NexaCRM Core</x:v>
      </x:c>
      <x:c r="S410" t="str">
        <x:f>IFERROR(XLOOKUP(F410,Lookups!$D$5:$D$10,Lookups!$F$5:$F$10),"Unknown")</x:f>
        <x:v>CRM</x:v>
      </x:c>
      <x:c r="T410" t="str">
        <x:f>IF(L410&gt;=50000,"Enterprise",IF(L410&gt;=20000,"Mid-Market","SMB"))</x:f>
        <x:v>SMB</x:v>
      </x:c>
      <x:c r="U410" t="str">
        <x:f>IF(I410="Closed Won","Won",IF(I410="Closed Lost","Lost","Open"))</x:f>
        <x:v>Lost</x:v>
      </x:c>
      <x:c r="V410" s="22" t="n">
        <x:f>IF(U410="Won",L410*(1-M410),0)</x:f>
        <x:v>0</x:v>
      </x:c>
      <x:c r="W410" s="22" t="n">
        <x:f>IF(U410="Open",L410*N410,0)</x:f>
        <x:v>0</x:v>
      </x:c>
      <x:c r="X410" s="26" t="n">
        <x:f>IF(U410="Open","",IFERROR(K410-B410,""))</x:f>
        <x:v>53</x:v>
      </x:c>
      <x:c r="Y410" s="26" t="n">
        <x:f>IF(U410="Open",Lookups!$B$2-B410,X410)</x:f>
        <x:v>53</x:v>
      </x:c>
      <x:c r="Z410" t="str">
        <x:f>IF(AND(U410="Open",Y410&gt;30),"STALE","OK")</x:f>
        <x:v>OK</x:v>
      </x:c>
      <x:c r="AA410" t="str">
        <x:f>TEXT(B410,"yyyy-mm")</x:f>
        <x:v>2025-04</x:v>
      </x:c>
      <x:c r="AB410" t="str">
        <x:f>IF(K410="","",TEXT(K410,"yyyy-mm"))</x:f>
        <x:v>2025-06</x:v>
      </x:c>
      <x:c r="AC410" t="str">
        <x:f>"Q"&amp;ROUNDUP(MONTH(B410)/3,0)&amp;"-"&amp;YEAR(B410)</x:f>
        <x:v>Q2-2025</x:v>
      </x:c>
      <x:c r="AD410" s="26" t="n">
        <x:f>MIN(100,IF(H410="Enterprise",30,IF(H410="Mid-Market",22,14))+IF(T410="Enterprise",25,IF(T410="Mid-Market",18,10))+IF(Q410="Referral",25,IF(Q410="Organic Search",20,IF(Q410="Email",18,14)))+IF(G410="Technology",10,5))</x:f>
        <x:v>43</x:v>
      </x:c>
      <x:c r="AE410" t="str">
        <x:f>IF(U410&lt;&gt;"Open",U410,IF(N410&gt;=0.8,"Commit",IF(N410&gt;=0.5,"Best Case","Pipeline")))</x:f>
        <x:v>Lost</x:v>
      </x:c>
    </x:row>
    <x:row r="411">
      <x:c r="A411" t="str">
        <x:v>L00410</x:v>
      </x:c>
      <x:c r="B411" s="10" t="n">
        <x:v>45885</x:v>
      </x:c>
      <x:c r="C411" t="str">
        <x:v>Ha Vo</x:v>
      </x:c>
      <x:c r="D411" t="str">
        <x:v>North</x:v>
      </x:c>
      <x:c r="E411" t="str">
        <x:v>LinkedIn Ads</x:v>
      </x:c>
      <x:c r="F411" t="str">
        <x:v>BI-PLUS</x:v>
      </x:c>
      <x:c r="G411" t="str">
        <x:v>Healthcare</x:v>
      </x:c>
      <x:c r="H411" t="str">
        <x:v>Mid-Market</x:v>
      </x:c>
      <x:c r="I411" t="str">
        <x:v>Closed Lost</x:v>
      </x:c>
      <x:c r="J411" s="10" t="n">
        <x:v>45944</x:v>
      </x:c>
      <x:c r="K411" s="10" t="n">
        <x:v>45944</x:v>
      </x:c>
      <x:c r="L411" s="22" t="n">
        <x:v>47600</x:v>
      </x:c>
      <x:c r="M411" s="24" t="n">
        <x:v>0</x:v>
      </x:c>
      <x:c r="N411" s="24" t="n">
        <x:v>0</x:v>
      </x:c>
      <x:c r="O411" t="str">
        <x:v>Budget</x:v>
      </x:c>
      <x:c r="P411" t="n">
        <x:v>2</x:v>
      </x:c>
      <x:c r="Q411" t="str">
        <x:f>IFERROR(XLOOKUP(E411,Lookups!$A$5:$A$24,Lookups!$B$5:$B$24),"Other")</x:f>
        <x:v>LinkedIn</x:v>
      </x:c>
      <x:c r="R411" t="str">
        <x:f>IFERROR(XLOOKUP(F411,Lookups!$D$5:$D$10,Lookups!$E$5:$E$10),"Unknown Product")</x:f>
        <x:v>Analytics Plus</x:v>
      </x:c>
      <x:c r="S411" t="str">
        <x:f>IFERROR(XLOOKUP(F411,Lookups!$D$5:$D$10,Lookups!$F$5:$F$10),"Unknown")</x:f>
        <x:v>Analytics</x:v>
      </x:c>
      <x:c r="T411" t="str">
        <x:f>IF(L411&gt;=50000,"Enterprise",IF(L411&gt;=20000,"Mid-Market","SMB"))</x:f>
        <x:v>Mid-Market</x:v>
      </x:c>
      <x:c r="U411" t="str">
        <x:f>IF(I411="Closed Won","Won",IF(I411="Closed Lost","Lost","Open"))</x:f>
        <x:v>Lost</x:v>
      </x:c>
      <x:c r="V411" s="22" t="n">
        <x:f>IF(U411="Won",L411*(1-M411),0)</x:f>
        <x:v>0</x:v>
      </x:c>
      <x:c r="W411" s="22" t="n">
        <x:f>IF(U411="Open",L411*N411,0)</x:f>
        <x:v>0</x:v>
      </x:c>
      <x:c r="X411" s="26" t="n">
        <x:f>IF(U411="Open","",IFERROR(K411-B411,""))</x:f>
        <x:v>59</x:v>
      </x:c>
      <x:c r="Y411" s="26" t="n">
        <x:f>IF(U411="Open",Lookups!$B$2-B411,X411)</x:f>
        <x:v>59</x:v>
      </x:c>
      <x:c r="Z411" t="str">
        <x:f>IF(AND(U411="Open",Y411&gt;30),"STALE","OK")</x:f>
        <x:v>OK</x:v>
      </x:c>
      <x:c r="AA411" t="str">
        <x:f>TEXT(B411,"yyyy-mm")</x:f>
        <x:v>2025-08</x:v>
      </x:c>
      <x:c r="AB411" t="str">
        <x:f>IF(K411="","",TEXT(K411,"yyyy-mm"))</x:f>
        <x:v>2025-10</x:v>
      </x:c>
      <x:c r="AC411" t="str">
        <x:f>"Q"&amp;ROUNDUP(MONTH(B411)/3,0)&amp;"-"&amp;YEAR(B411)</x:f>
        <x:v>Q3-2025</x:v>
      </x:c>
      <x:c r="AD411" s="26" t="n">
        <x:f>MIN(100,IF(H411="Enterprise",30,IF(H411="Mid-Market",22,14))+IF(T411="Enterprise",25,IF(T411="Mid-Market",18,10))+IF(Q411="Referral",25,IF(Q411="Organic Search",20,IF(Q411="Email",18,14)))+IF(G411="Technology",10,5))</x:f>
        <x:v>59</x:v>
      </x:c>
      <x:c r="AE411" t="str">
        <x:f>IF(U411&lt;&gt;"Open",U411,IF(N411&gt;=0.8,"Commit",IF(N411&gt;=0.5,"Best Case","Pipeline")))</x:f>
        <x:v>Lost</x:v>
      </x:c>
    </x:row>
    <x:row r="412">
      <x:c r="A412" t="str">
        <x:v>L00411</x:v>
      </x:c>
      <x:c r="B412" s="10" t="n">
        <x:v>46234</x:v>
      </x:c>
      <x:c r="C412" t="str">
        <x:v>Bao Tran</x:v>
      </x:c>
      <x:c r="D412" t="str">
        <x:v>South</x:v>
      </x:c>
      <x:c r="E412" t="str">
        <x:v>Offline List</x:v>
      </x:c>
      <x:c r="F412" t="str">
        <x:v>CRM-CORE</x:v>
      </x:c>
      <x:c r="G412" t="str">
        <x:v>Technology</x:v>
      </x:c>
      <x:c r="H412" t="str">
        <x:v>Mid-Market</x:v>
      </x:c>
      <x:c r="I412" t="str">
        <x:v>Qualified</x:v>
      </x:c>
      <x:c r="J412" s="10" t="n">
        <x:v>46254</x:v>
      </x:c>
      <x:c r="K412" s="10"/>
      <x:c r="L412" s="22" t="n">
        <x:v>8400</x:v>
      </x:c>
      <x:c r="M412" s="24" t="n">
        <x:v>0</x:v>
      </x:c>
      <x:c r="N412" s="24" t="n">
        <x:v>0.2</x:v>
      </x:c>
      <x:c r="O412" t="str"/>
      <x:c r="P412" t="n">
        <x:v>2</x:v>
      </x:c>
      <x:c r="Q412" t="str">
        <x:f>IFERROR(XLOOKUP(E412,Lookups!$A$5:$A$24,Lookups!$B$5:$B$24),"Other")</x:f>
        <x:v>Other</x:v>
      </x:c>
      <x:c r="R412" t="str">
        <x:f>IFERROR(XLOOKUP(F412,Lookups!$D$5:$D$10,Lookups!$E$5:$E$10),"Unknown Product")</x:f>
        <x:v>NexaCRM Core</x:v>
      </x:c>
      <x:c r="S412" t="str">
        <x:f>IFERROR(XLOOKUP(F412,Lookups!$D$5:$D$10,Lookups!$F$5:$F$10),"Unknown")</x:f>
        <x:v>CRM</x:v>
      </x:c>
      <x:c r="T412" t="str">
        <x:f>IF(L412&gt;=50000,"Enterprise",IF(L412&gt;=20000,"Mid-Market","SMB"))</x:f>
        <x:v>SMB</x:v>
      </x:c>
      <x:c r="U412" t="str">
        <x:f>IF(I412="Closed Won","Won",IF(I412="Closed Lost","Lost","Open"))</x:f>
        <x:v>Open</x:v>
      </x:c>
      <x:c r="V412" s="22" t="n">
        <x:f>IF(U412="Won",L412*(1-M412),0)</x:f>
        <x:v>0</x:v>
      </x:c>
      <x:c r="W412" s="22" t="n">
        <x:f>IF(U412="Open",L412*N412,0)</x:f>
        <x:v>1680</x:v>
      </x:c>
      <x:c r="X412" s="26" t="str">
        <x:f>IF(U412="Open","",IFERROR(K412-B412,""))</x:f>
      </x:c>
      <x:c r="Y412" s="26" t="n">
        <x:f>IF(U412="Open",Lookups!$B$2-B412,X412)</x:f>
        <x:v>32</x:v>
      </x:c>
      <x:c r="Z412" t="str">
        <x:f>IF(AND(U412="Open",Y412&gt;30),"STALE","OK")</x:f>
        <x:v>STALE</x:v>
      </x:c>
      <x:c r="AA412" t="str">
        <x:f>TEXT(B412,"yyyy-mm")</x:f>
        <x:v>2026-07</x:v>
      </x:c>
      <x:c r="AB412" t="str">
        <x:f>IF(K412="","",TEXT(K412,"yyyy-mm"))</x:f>
      </x:c>
      <x:c r="AC412" t="str">
        <x:f>"Q"&amp;ROUNDUP(MONTH(B412)/3,0)&amp;"-"&amp;YEAR(B412)</x:f>
        <x:v>Q3-2026</x:v>
      </x:c>
      <x:c r="AD412" s="26" t="n">
        <x:f>MIN(100,IF(H412="Enterprise",30,IF(H412="Mid-Market",22,14))+IF(T412="Enterprise",25,IF(T412="Mid-Market",18,10))+IF(Q412="Referral",25,IF(Q412="Organic Search",20,IF(Q412="Email",18,14)))+IF(G412="Technology",10,5))</x:f>
        <x:v>56</x:v>
      </x:c>
      <x:c r="AE412" t="str">
        <x:f>IF(U412&lt;&gt;"Open",U412,IF(N412&gt;=0.8,"Commit",IF(N412&gt;=0.5,"Best Case","Pipeline")))</x:f>
        <x:v>Pipeline</x:v>
      </x:c>
    </x:row>
    <x:row r="413">
      <x:c r="A413" t="str">
        <x:v>L00412</x:v>
      </x:c>
      <x:c r="B413" s="10" t="n">
        <x:v>46120</x:v>
      </x:c>
      <x:c r="C413" t="str">
        <x:v>Ha Vo</x:v>
      </x:c>
      <x:c r="D413" t="str">
        <x:v>North</x:v>
      </x:c>
      <x:c r="E413" t="str">
        <x:v>Google Organic</x:v>
      </x:c>
      <x:c r="F413" t="str">
        <x:v>MKT-AUTO</x:v>
      </x:c>
      <x:c r="G413" t="str">
        <x:v>Healthcare</x:v>
      </x:c>
      <x:c r="H413" t="str">
        <x:v>Mid-Market</x:v>
      </x:c>
      <x:c r="I413" t="str">
        <x:v>Closed Lost</x:v>
      </x:c>
      <x:c r="J413" s="10" t="n">
        <x:v>46161</x:v>
      </x:c>
      <x:c r="K413" s="10" t="n">
        <x:v>46161</x:v>
      </x:c>
      <x:c r="L413" s="22" t="n">
        <x:v>17600</x:v>
      </x:c>
      <x:c r="M413" s="24" t="n">
        <x:v>0</x:v>
      </x:c>
      <x:c r="N413" s="24" t="n">
        <x:v>0</x:v>
      </x:c>
      <x:c r="O413" t="str">
        <x:v>Competitor</x:v>
      </x:c>
      <x:c r="P413" t="n">
        <x:v>2</x:v>
      </x:c>
      <x:c r="Q413" t="str">
        <x:f>IFERROR(XLOOKUP(E413,Lookups!$A$5:$A$24,Lookups!$B$5:$B$24),"Other")</x:f>
        <x:v>Organic Search</x:v>
      </x:c>
      <x:c r="R413" t="str">
        <x:f>IFERROR(XLOOKUP(F413,Lookups!$D$5:$D$10,Lookups!$E$5:$E$10),"Unknown Product")</x:f>
        <x:v>Marketing Automation</x:v>
      </x:c>
      <x:c r="S413" t="str">
        <x:f>IFERROR(XLOOKUP(F413,Lookups!$D$5:$D$10,Lookups!$F$5:$F$10),"Unknown")</x:f>
        <x:v>Marketing</x:v>
      </x:c>
      <x:c r="T413" t="str">
        <x:f>IF(L413&gt;=50000,"Enterprise",IF(L413&gt;=20000,"Mid-Market","SMB"))</x:f>
        <x:v>SMB</x:v>
      </x:c>
      <x:c r="U413" t="str">
        <x:f>IF(I413="Closed Won","Won",IF(I413="Closed Lost","Lost","Open"))</x:f>
        <x:v>Lost</x:v>
      </x:c>
      <x:c r="V413" s="22" t="n">
        <x:f>IF(U413="Won",L413*(1-M413),0)</x:f>
        <x:v>0</x:v>
      </x:c>
      <x:c r="W413" s="22" t="n">
        <x:f>IF(U413="Open",L413*N413,0)</x:f>
        <x:v>0</x:v>
      </x:c>
      <x:c r="X413" s="26" t="n">
        <x:f>IF(U413="Open","",IFERROR(K413-B413,""))</x:f>
        <x:v>41</x:v>
      </x:c>
      <x:c r="Y413" s="26" t="n">
        <x:f>IF(U413="Open",Lookups!$B$2-B413,X413)</x:f>
        <x:v>41</x:v>
      </x:c>
      <x:c r="Z413" t="str">
        <x:f>IF(AND(U413="Open",Y413&gt;30),"STALE","OK")</x:f>
        <x:v>OK</x:v>
      </x:c>
      <x:c r="AA413" t="str">
        <x:f>TEXT(B413,"yyyy-mm")</x:f>
        <x:v>2026-04</x:v>
      </x:c>
      <x:c r="AB413" t="str">
        <x:f>IF(K413="","",TEXT(K413,"yyyy-mm"))</x:f>
        <x:v>2026-05</x:v>
      </x:c>
      <x:c r="AC413" t="str">
        <x:f>"Q"&amp;ROUNDUP(MONTH(B413)/3,0)&amp;"-"&amp;YEAR(B413)</x:f>
        <x:v>Q2-2026</x:v>
      </x:c>
      <x:c r="AD413" s="26" t="n">
        <x:f>MIN(100,IF(H413="Enterprise",30,IF(H413="Mid-Market",22,14))+IF(T413="Enterprise",25,IF(T413="Mid-Market",18,10))+IF(Q413="Referral",25,IF(Q413="Organic Search",20,IF(Q413="Email",18,14)))+IF(G413="Technology",10,5))</x:f>
        <x:v>57</x:v>
      </x:c>
      <x:c r="AE413" t="str">
        <x:f>IF(U413&lt;&gt;"Open",U413,IF(N413&gt;=0.8,"Commit",IF(N413&gt;=0.5,"Best Case","Pipeline")))</x:f>
        <x:v>Lost</x:v>
      </x:c>
    </x:row>
    <x:row r="414">
      <x:c r="A414" t="str">
        <x:v>L00413</x:v>
      </x:c>
      <x:c r="B414" s="10" t="n">
        <x:v>45982</x:v>
      </x:c>
      <x:c r="C414" t="str">
        <x:v>Minh Do</x:v>
      </x:c>
      <x:c r="D414" t="str">
        <x:v>North</x:v>
      </x:c>
      <x:c r="E414" t="str">
        <x:v>customer referral</x:v>
      </x:c>
      <x:c r="F414" t="str">
        <x:v>BI-PLUS</x:v>
      </x:c>
      <x:c r="G414" t="str">
        <x:v>Healthcare</x:v>
      </x:c>
      <x:c r="H414" t="str">
        <x:v>Mid-Market</x:v>
      </x:c>
      <x:c r="I414" t="str">
        <x:v>Closed Won</x:v>
      </x:c>
      <x:c r="J414" s="10" t="n">
        <x:v>46077</x:v>
      </x:c>
      <x:c r="K414" s="10" t="n">
        <x:v>46077</x:v>
      </x:c>
      <x:c r="L414" s="22" t="n">
        <x:v>41500</x:v>
      </x:c>
      <x:c r="M414" s="24" t="n">
        <x:v>0.03</x:v>
      </x:c>
      <x:c r="N414" s="24" t="n">
        <x:v>1</x:v>
      </x:c>
      <x:c r="O414" t="str"/>
      <x:c r="P414" t="n">
        <x:v>6</x:v>
      </x:c>
      <x:c r="Q414" t="str">
        <x:f>IFERROR(XLOOKUP(E414,Lookups!$A$5:$A$24,Lookups!$B$5:$B$24),"Other")</x:f>
        <x:v>Referral</x:v>
      </x:c>
      <x:c r="R414" t="str">
        <x:f>IFERROR(XLOOKUP(F414,Lookups!$D$5:$D$10,Lookups!$E$5:$E$10),"Unknown Product")</x:f>
        <x:v>Analytics Plus</x:v>
      </x:c>
      <x:c r="S414" t="str">
        <x:f>IFERROR(XLOOKUP(F414,Lookups!$D$5:$D$10,Lookups!$F$5:$F$10),"Unknown")</x:f>
        <x:v>Analytics</x:v>
      </x:c>
      <x:c r="T414" t="str">
        <x:f>IF(L414&gt;=50000,"Enterprise",IF(L414&gt;=20000,"Mid-Market","SMB"))</x:f>
        <x:v>Mid-Market</x:v>
      </x:c>
      <x:c r="U414" t="str">
        <x:f>IF(I414="Closed Won","Won",IF(I414="Closed Lost","Lost","Open"))</x:f>
        <x:v>Won</x:v>
      </x:c>
      <x:c r="V414" s="22" t="n">
        <x:f>IF(U414="Won",L414*(1-M414),0)</x:f>
        <x:v>40255</x:v>
      </x:c>
      <x:c r="W414" s="22" t="n">
        <x:f>IF(U414="Open",L414*N414,0)</x:f>
        <x:v>0</x:v>
      </x:c>
      <x:c r="X414" s="26" t="n">
        <x:f>IF(U414="Open","",IFERROR(K414-B414,""))</x:f>
        <x:v>95</x:v>
      </x:c>
      <x:c r="Y414" s="26" t="n">
        <x:f>IF(U414="Open",Lookups!$B$2-B414,X414)</x:f>
        <x:v>95</x:v>
      </x:c>
      <x:c r="Z414" t="str">
        <x:f>IF(AND(U414="Open",Y414&gt;30),"STALE","OK")</x:f>
        <x:v>OK</x:v>
      </x:c>
      <x:c r="AA414" t="str">
        <x:f>TEXT(B414,"yyyy-mm")</x:f>
        <x:v>2025-11</x:v>
      </x:c>
      <x:c r="AB414" t="str">
        <x:f>IF(K414="","",TEXT(K414,"yyyy-mm"))</x:f>
        <x:v>2026-02</x:v>
      </x:c>
      <x:c r="AC414" t="str">
        <x:f>"Q"&amp;ROUNDUP(MONTH(B414)/3,0)&amp;"-"&amp;YEAR(B414)</x:f>
        <x:v>Q4-2025</x:v>
      </x:c>
      <x:c r="AD414" s="26" t="n">
        <x:f>MIN(100,IF(H414="Enterprise",30,IF(H414="Mid-Market",22,14))+IF(T414="Enterprise",25,IF(T414="Mid-Market",18,10))+IF(Q414="Referral",25,IF(Q414="Organic Search",20,IF(Q414="Email",18,14)))+IF(G414="Technology",10,5))</x:f>
        <x:v>70</x:v>
      </x:c>
      <x:c r="AE414" t="str">
        <x:f>IF(U414&lt;&gt;"Open",U414,IF(N414&gt;=0.8,"Commit",IF(N414&gt;=0.5,"Best Case","Pipeline")))</x:f>
        <x:v>Won</x:v>
      </x:c>
    </x:row>
    <x:row r="415">
      <x:c r="A415" t="str">
        <x:v>L00414</x:v>
      </x:c>
      <x:c r="B415" s="10" t="n">
        <x:v>46146</x:v>
      </x:c>
      <x:c r="C415" t="str">
        <x:v>An Nguyen</x:v>
      </x:c>
      <x:c r="D415" t="str">
        <x:v>South</x:v>
      </x:c>
      <x:c r="E415" t="str">
        <x:v>Outbound</x:v>
      </x:c>
      <x:c r="F415" t="str">
        <x:v>CRM-CORE</x:v>
      </x:c>
      <x:c r="G415" t="str">
        <x:v>Technology</x:v>
      </x:c>
      <x:c r="H415" t="str">
        <x:v>Mid-Market</x:v>
      </x:c>
      <x:c r="I415" t="str">
        <x:v>Closed Lost</x:v>
      </x:c>
      <x:c r="J415" s="10" t="n">
        <x:v>46160</x:v>
      </x:c>
      <x:c r="K415" s="10" t="n">
        <x:v>46160</x:v>
      </x:c>
      <x:c r="L415" s="22" t="n">
        <x:v>13800</x:v>
      </x:c>
      <x:c r="M415" s="24" t="n">
        <x:v>0</x:v>
      </x:c>
      <x:c r="N415" s="24" t="n">
        <x:v>0</x:v>
      </x:c>
      <x:c r="O415" t="str">
        <x:v>Competitor</x:v>
      </x:c>
      <x:c r="P415" t="n">
        <x:v>3</x:v>
      </x:c>
      <x:c r="Q415" t="str">
        <x:f>IFERROR(XLOOKUP(E415,Lookups!$A$5:$A$24,Lookups!$B$5:$B$24),"Other")</x:f>
        <x:v>Outbound</x:v>
      </x:c>
      <x:c r="R415" t="str">
        <x:f>IFERROR(XLOOKUP(F415,Lookups!$D$5:$D$10,Lookups!$E$5:$E$10),"Unknown Product")</x:f>
        <x:v>NexaCRM Core</x:v>
      </x:c>
      <x:c r="S415" t="str">
        <x:f>IFERROR(XLOOKUP(F415,Lookups!$D$5:$D$10,Lookups!$F$5:$F$10),"Unknown")</x:f>
        <x:v>CRM</x:v>
      </x:c>
      <x:c r="T415" t="str">
        <x:f>IF(L415&gt;=50000,"Enterprise",IF(L415&gt;=20000,"Mid-Market","SMB"))</x:f>
        <x:v>SMB</x:v>
      </x:c>
      <x:c r="U415" t="str">
        <x:f>IF(I415="Closed Won","Won",IF(I415="Closed Lost","Lost","Open"))</x:f>
        <x:v>Lost</x:v>
      </x:c>
      <x:c r="V415" s="22" t="n">
        <x:f>IF(U415="Won",L415*(1-M415),0)</x:f>
        <x:v>0</x:v>
      </x:c>
      <x:c r="W415" s="22" t="n">
        <x:f>IF(U415="Open",L415*N415,0)</x:f>
        <x:v>0</x:v>
      </x:c>
      <x:c r="X415" s="26" t="n">
        <x:f>IF(U415="Open","",IFERROR(K415-B415,""))</x:f>
        <x:v>14</x:v>
      </x:c>
      <x:c r="Y415" s="26" t="n">
        <x:f>IF(U415="Open",Lookups!$B$2-B415,X415)</x:f>
        <x:v>14</x:v>
      </x:c>
      <x:c r="Z415" t="str">
        <x:f>IF(AND(U415="Open",Y415&gt;30),"STALE","OK")</x:f>
        <x:v>OK</x:v>
      </x:c>
      <x:c r="AA415" t="str">
        <x:f>TEXT(B415,"yyyy-mm")</x:f>
        <x:v>2026-05</x:v>
      </x:c>
      <x:c r="AB415" t="str">
        <x:f>IF(K415="","",TEXT(K415,"yyyy-mm"))</x:f>
        <x:v>2026-05</x:v>
      </x:c>
      <x:c r="AC415" t="str">
        <x:f>"Q"&amp;ROUNDUP(MONTH(B415)/3,0)&amp;"-"&amp;YEAR(B415)</x:f>
        <x:v>Q2-2026</x:v>
      </x:c>
      <x:c r="AD415" s="26" t="n">
        <x:f>MIN(100,IF(H415="Enterprise",30,IF(H415="Mid-Market",22,14))+IF(T415="Enterprise",25,IF(T415="Mid-Market",18,10))+IF(Q415="Referral",25,IF(Q415="Organic Search",20,IF(Q415="Email",18,14)))+IF(G415="Technology",10,5))</x:f>
        <x:v>56</x:v>
      </x:c>
      <x:c r="AE415" t="str">
        <x:f>IF(U415&lt;&gt;"Open",U415,IF(N415&gt;=0.8,"Commit",IF(N415&gt;=0.5,"Best Case","Pipeline")))</x:f>
        <x:v>Lost</x:v>
      </x:c>
    </x:row>
    <x:row r="416">
      <x:c r="A416" t="str">
        <x:v>L00415</x:v>
      </x:c>
      <x:c r="B416" s="10" t="n">
        <x:v>46095</x:v>
      </x:c>
      <x:c r="C416" t="str">
        <x:v>Bao Tran</x:v>
      </x:c>
      <x:c r="D416" t="str">
        <x:v>South</x:v>
      </x:c>
      <x:c r="E416" t="str">
        <x:v>email nurture</x:v>
      </x:c>
      <x:c r="F416" t="str">
        <x:v>CRM-PRO</x:v>
      </x:c>
      <x:c r="G416" t="str">
        <x:v>Professional Services</x:v>
      </x:c>
      <x:c r="H416" t="str">
        <x:v>Mid-Market</x:v>
      </x:c>
      <x:c r="I416" t="str">
        <x:v>Closed Lost</x:v>
      </x:c>
      <x:c r="J416" s="10" t="n">
        <x:v>46138</x:v>
      </x:c>
      <x:c r="K416" s="10" t="n">
        <x:v>46138</x:v>
      </x:c>
      <x:c r="L416" s="22" t="n">
        <x:v>31500</x:v>
      </x:c>
      <x:c r="M416" s="24" t="n">
        <x:v>0</x:v>
      </x:c>
      <x:c r="N416" s="24" t="n">
        <x:v>0</x:v>
      </x:c>
      <x:c r="O416" t="str">
        <x:v>Price</x:v>
      </x:c>
      <x:c r="P416" t="n">
        <x:v>4</x:v>
      </x:c>
      <x:c r="Q416" t="str">
        <x:f>IFERROR(XLOOKUP(E416,Lookups!$A$5:$A$24,Lookups!$B$5:$B$24),"Other")</x:f>
        <x:v>Email</x:v>
      </x:c>
      <x:c r="R416" t="str">
        <x:f>IFERROR(XLOOKUP(F416,Lookups!$D$5:$D$10,Lookups!$E$5:$E$10),"Unknown Product")</x:f>
        <x:v>NexaCRM Pro</x:v>
      </x:c>
      <x:c r="S416" t="str">
        <x:f>IFERROR(XLOOKUP(F416,Lookups!$D$5:$D$10,Lookups!$F$5:$F$10),"Unknown")</x:f>
        <x:v>CRM</x:v>
      </x:c>
      <x:c r="T416" t="str">
        <x:f>IF(L416&gt;=50000,"Enterprise",IF(L416&gt;=20000,"Mid-Market","SMB"))</x:f>
        <x:v>Mid-Market</x:v>
      </x:c>
      <x:c r="U416" t="str">
        <x:f>IF(I416="Closed Won","Won",IF(I416="Closed Lost","Lost","Open"))</x:f>
        <x:v>Lost</x:v>
      </x:c>
      <x:c r="V416" s="22" t="n">
        <x:f>IF(U416="Won",L416*(1-M416),0)</x:f>
        <x:v>0</x:v>
      </x:c>
      <x:c r="W416" s="22" t="n">
        <x:f>IF(U416="Open",L416*N416,0)</x:f>
        <x:v>0</x:v>
      </x:c>
      <x:c r="X416" s="26" t="n">
        <x:f>IF(U416="Open","",IFERROR(K416-B416,""))</x:f>
        <x:v>43</x:v>
      </x:c>
      <x:c r="Y416" s="26" t="n">
        <x:f>IF(U416="Open",Lookups!$B$2-B416,X416)</x:f>
        <x:v>43</x:v>
      </x:c>
      <x:c r="Z416" t="str">
        <x:f>IF(AND(U416="Open",Y416&gt;30),"STALE","OK")</x:f>
        <x:v>OK</x:v>
      </x:c>
      <x:c r="AA416" t="str">
        <x:f>TEXT(B416,"yyyy-mm")</x:f>
        <x:v>2026-03</x:v>
      </x:c>
      <x:c r="AB416" t="str">
        <x:f>IF(K416="","",TEXT(K416,"yyyy-mm"))</x:f>
        <x:v>2026-04</x:v>
      </x:c>
      <x:c r="AC416" t="str">
        <x:f>"Q"&amp;ROUNDUP(MONTH(B416)/3,0)&amp;"-"&amp;YEAR(B416)</x:f>
        <x:v>Q1-2026</x:v>
      </x:c>
      <x:c r="AD416" s="26" t="n">
        <x:f>MIN(100,IF(H416="Enterprise",30,IF(H416="Mid-Market",22,14))+IF(T416="Enterprise",25,IF(T416="Mid-Market",18,10))+IF(Q416="Referral",25,IF(Q416="Organic Search",20,IF(Q416="Email",18,14)))+IF(G416="Technology",10,5))</x:f>
        <x:v>63</x:v>
      </x:c>
      <x:c r="AE416" t="str">
        <x:f>IF(U416&lt;&gt;"Open",U416,IF(N416&gt;=0.8,"Commit",IF(N416&gt;=0.5,"Best Case","Pipeline")))</x:f>
        <x:v>Lost</x:v>
      </x:c>
    </x:row>
    <x:row r="417">
      <x:c r="A417" t="str">
        <x:v>L00416</x:v>
      </x:c>
      <x:c r="B417" s="10" t="n">
        <x:v>46247</x:v>
      </x:c>
      <x:c r="C417" t="str">
        <x:v>Ha Vo</x:v>
      </x:c>
      <x:c r="D417" t="str">
        <x:v>North</x:v>
      </x:c>
      <x:c r="E417" t="str">
        <x:v>SEO</x:v>
      </x:c>
      <x:c r="F417" t="str">
        <x:v>CRM-PRO</x:v>
      </x:c>
      <x:c r="G417" t="str">
        <x:v>Technology</x:v>
      </x:c>
      <x:c r="H417" t="str">
        <x:v>Mid-Market</x:v>
      </x:c>
      <x:c r="I417" t="str">
        <x:v>Closed Won</x:v>
      </x:c>
      <x:c r="J417" s="10" t="n">
        <x:v>46266</x:v>
      </x:c>
      <x:c r="K417" s="10" t="n">
        <x:v>46266</x:v>
      </x:c>
      <x:c r="L417" s="22" t="n">
        <x:v>36400</x:v>
      </x:c>
      <x:c r="M417" s="24" t="n">
        <x:v>0.03</x:v>
      </x:c>
      <x:c r="N417" s="24" t="n">
        <x:v>1</x:v>
      </x:c>
      <x:c r="O417" t="str"/>
      <x:c r="P417" t="n">
        <x:v>6</x:v>
      </x:c>
      <x:c r="Q417" t="str">
        <x:f>IFERROR(XLOOKUP(E417,Lookups!$A$5:$A$24,Lookups!$B$5:$B$24),"Other")</x:f>
        <x:v>Organic Search</x:v>
      </x:c>
      <x:c r="R417" t="str">
        <x:f>IFERROR(XLOOKUP(F417,Lookups!$D$5:$D$10,Lookups!$E$5:$E$10),"Unknown Product")</x:f>
        <x:v>NexaCRM Pro</x:v>
      </x:c>
      <x:c r="S417" t="str">
        <x:f>IFERROR(XLOOKUP(F417,Lookups!$D$5:$D$10,Lookups!$F$5:$F$10),"Unknown")</x:f>
        <x:v>CRM</x:v>
      </x:c>
      <x:c r="T417" t="str">
        <x:f>IF(L417&gt;=50000,"Enterprise",IF(L417&gt;=20000,"Mid-Market","SMB"))</x:f>
        <x:v>Mid-Market</x:v>
      </x:c>
      <x:c r="U417" t="str">
        <x:f>IF(I417="Closed Won","Won",IF(I417="Closed Lost","Lost","Open"))</x:f>
        <x:v>Won</x:v>
      </x:c>
      <x:c r="V417" s="22" t="n">
        <x:f>IF(U417="Won",L417*(1-M417),0)</x:f>
        <x:v>35308</x:v>
      </x:c>
      <x:c r="W417" s="22" t="n">
        <x:f>IF(U417="Open",L417*N417,0)</x:f>
        <x:v>0</x:v>
      </x:c>
      <x:c r="X417" s="26" t="n">
        <x:f>IF(U417="Open","",IFERROR(K417-B417,""))</x:f>
        <x:v>19</x:v>
      </x:c>
      <x:c r="Y417" s="26" t="n">
        <x:f>IF(U417="Open",Lookups!$B$2-B417,X417)</x:f>
        <x:v>19</x:v>
      </x:c>
      <x:c r="Z417" t="str">
        <x:f>IF(AND(U417="Open",Y417&gt;30),"STALE","OK")</x:f>
        <x:v>OK</x:v>
      </x:c>
      <x:c r="AA417" t="str">
        <x:f>TEXT(B417,"yyyy-mm")</x:f>
        <x:v>2026-08</x:v>
      </x:c>
      <x:c r="AB417" t="str">
        <x:f>IF(K417="","",TEXT(K417,"yyyy-mm"))</x:f>
        <x:v>2026-09</x:v>
      </x:c>
      <x:c r="AC417" t="str">
        <x:f>"Q"&amp;ROUNDUP(MONTH(B417)/3,0)&amp;"-"&amp;YEAR(B417)</x:f>
        <x:v>Q3-2026</x:v>
      </x:c>
      <x:c r="AD417" s="26" t="n">
        <x:f>MIN(100,IF(H417="Enterprise",30,IF(H417="Mid-Market",22,14))+IF(T417="Enterprise",25,IF(T417="Mid-Market",18,10))+IF(Q417="Referral",25,IF(Q417="Organic Search",20,IF(Q417="Email",18,14)))+IF(G417="Technology",10,5))</x:f>
        <x:v>70</x:v>
      </x:c>
      <x:c r="AE417" t="str">
        <x:f>IF(U417&lt;&gt;"Open",U417,IF(N417&gt;=0.8,"Commit",IF(N417&gt;=0.5,"Best Case","Pipeline")))</x:f>
        <x:v>Won</x:v>
      </x:c>
    </x:row>
    <x:row r="418">
      <x:c r="A418" t="str">
        <x:v>L00417</x:v>
      </x:c>
      <x:c r="B418" s="10" t="n">
        <x:v>45970</x:v>
      </x:c>
      <x:c r="C418" t="str">
        <x:v>Quynh Vu</x:v>
      </x:c>
      <x:c r="D418" t="str">
        <x:v>North</x:v>
      </x:c>
      <x:c r="E418" t="str">
        <x:v>LinkedIn Ads</x:v>
      </x:c>
      <x:c r="F418" t="str">
        <x:v>CRM-PRO</x:v>
      </x:c>
      <x:c r="G418" t="str">
        <x:v>Financial Services</x:v>
      </x:c>
      <x:c r="H418" t="str">
        <x:v>SMB</x:v>
      </x:c>
      <x:c r="I418" t="str">
        <x:v>Closed Lost</x:v>
      </x:c>
      <x:c r="J418" s="10" t="n">
        <x:v>46012</x:v>
      </x:c>
      <x:c r="K418" s="10" t="n">
        <x:v>46012</x:v>
      </x:c>
      <x:c r="L418" s="22" t="n">
        <x:v>13000</x:v>
      </x:c>
      <x:c r="M418" s="24" t="n">
        <x:v>0</x:v>
      </x:c>
      <x:c r="N418" s="24" t="n">
        <x:v>0</x:v>
      </x:c>
      <x:c r="O418" t="str">
        <x:v>No Decision</x:v>
      </x:c>
      <x:c r="P418" t="n">
        <x:v>3</x:v>
      </x:c>
      <x:c r="Q418" t="str">
        <x:f>IFERROR(XLOOKUP(E418,Lookups!$A$5:$A$24,Lookups!$B$5:$B$24),"Other")</x:f>
        <x:v>LinkedIn</x:v>
      </x:c>
      <x:c r="R418" t="str">
        <x:f>IFERROR(XLOOKUP(F418,Lookups!$D$5:$D$10,Lookups!$E$5:$E$10),"Unknown Product")</x:f>
        <x:v>NexaCRM Pro</x:v>
      </x:c>
      <x:c r="S418" t="str">
        <x:f>IFERROR(XLOOKUP(F418,Lookups!$D$5:$D$10,Lookups!$F$5:$F$10),"Unknown")</x:f>
        <x:v>CRM</x:v>
      </x:c>
      <x:c r="T418" t="str">
        <x:f>IF(L418&gt;=50000,"Enterprise",IF(L418&gt;=20000,"Mid-Market","SMB"))</x:f>
        <x:v>SMB</x:v>
      </x:c>
      <x:c r="U418" t="str">
        <x:f>IF(I418="Closed Won","Won",IF(I418="Closed Lost","Lost","Open"))</x:f>
        <x:v>Lost</x:v>
      </x:c>
      <x:c r="V418" s="22" t="n">
        <x:f>IF(U418="Won",L418*(1-M418),0)</x:f>
        <x:v>0</x:v>
      </x:c>
      <x:c r="W418" s="22" t="n">
        <x:f>IF(U418="Open",L418*N418,0)</x:f>
        <x:v>0</x:v>
      </x:c>
      <x:c r="X418" s="26" t="n">
        <x:f>IF(U418="Open","",IFERROR(K418-B418,""))</x:f>
        <x:v>42</x:v>
      </x:c>
      <x:c r="Y418" s="26" t="n">
        <x:f>IF(U418="Open",Lookups!$B$2-B418,X418)</x:f>
        <x:v>42</x:v>
      </x:c>
      <x:c r="Z418" t="str">
        <x:f>IF(AND(U418="Open",Y418&gt;30),"STALE","OK")</x:f>
        <x:v>OK</x:v>
      </x:c>
      <x:c r="AA418" t="str">
        <x:f>TEXT(B418,"yyyy-mm")</x:f>
        <x:v>2025-11</x:v>
      </x:c>
      <x:c r="AB418" t="str">
        <x:f>IF(K418="","",TEXT(K418,"yyyy-mm"))</x:f>
        <x:v>2025-12</x:v>
      </x:c>
      <x:c r="AC418" t="str">
        <x:f>"Q"&amp;ROUNDUP(MONTH(B418)/3,0)&amp;"-"&amp;YEAR(B418)</x:f>
        <x:v>Q4-2025</x:v>
      </x:c>
      <x:c r="AD418" s="26" t="n">
        <x:f>MIN(100,IF(H418="Enterprise",30,IF(H418="Mid-Market",22,14))+IF(T418="Enterprise",25,IF(T418="Mid-Market",18,10))+IF(Q418="Referral",25,IF(Q418="Organic Search",20,IF(Q418="Email",18,14)))+IF(G418="Technology",10,5))</x:f>
        <x:v>43</x:v>
      </x:c>
      <x:c r="AE418" t="str">
        <x:f>IF(U418&lt;&gt;"Open",U418,IF(N418&gt;=0.8,"Commit",IF(N418&gt;=0.5,"Best Case","Pipeline")))</x:f>
        <x:v>Lost</x:v>
      </x:c>
    </x:row>
    <x:row r="419">
      <x:c r="A419" t="str">
        <x:v>L00418</x:v>
      </x:c>
      <x:c r="B419" s="10" t="n">
        <x:v>46102</x:v>
      </x:c>
      <x:c r="C419" t="str">
        <x:v>Minh Do</x:v>
      </x:c>
      <x:c r="D419" t="str">
        <x:v>North</x:v>
      </x:c>
      <x:c r="E419" t="str">
        <x:v>email nurture</x:v>
      </x:c>
      <x:c r="F419" t="str">
        <x:v>BI-PLUS</x:v>
      </x:c>
      <x:c r="G419" t="str">
        <x:v>Financial Services</x:v>
      </x:c>
      <x:c r="H419" t="str">
        <x:v>Enterprise</x:v>
      </x:c>
      <x:c r="I419" t="str">
        <x:v>Closed Lost</x:v>
      </x:c>
      <x:c r="J419" s="10" t="n">
        <x:v>46132</x:v>
      </x:c>
      <x:c r="K419" s="10" t="n">
        <x:v>46132</x:v>
      </x:c>
      <x:c r="L419" s="22" t="n">
        <x:v>95200</x:v>
      </x:c>
      <x:c r="M419" s="24" t="n">
        <x:v>0</x:v>
      </x:c>
      <x:c r="N419" s="24" t="n">
        <x:v>0</x:v>
      </x:c>
      <x:c r="O419" t="str">
        <x:v>Timing</x:v>
      </x:c>
      <x:c r="P419" t="n">
        <x:v>4</x:v>
      </x:c>
      <x:c r="Q419" t="str">
        <x:f>IFERROR(XLOOKUP(E419,Lookups!$A$5:$A$24,Lookups!$B$5:$B$24),"Other")</x:f>
        <x:v>Email</x:v>
      </x:c>
      <x:c r="R419" t="str">
        <x:f>IFERROR(XLOOKUP(F419,Lookups!$D$5:$D$10,Lookups!$E$5:$E$10),"Unknown Product")</x:f>
        <x:v>Analytics Plus</x:v>
      </x:c>
      <x:c r="S419" t="str">
        <x:f>IFERROR(XLOOKUP(F419,Lookups!$D$5:$D$10,Lookups!$F$5:$F$10),"Unknown")</x:f>
        <x:v>Analytics</x:v>
      </x:c>
      <x:c r="T419" t="str">
        <x:f>IF(L419&gt;=50000,"Enterprise",IF(L419&gt;=20000,"Mid-Market","SMB"))</x:f>
        <x:v>Enterprise</x:v>
      </x:c>
      <x:c r="U419" t="str">
        <x:f>IF(I419="Closed Won","Won",IF(I419="Closed Lost","Lost","Open"))</x:f>
        <x:v>Lost</x:v>
      </x:c>
      <x:c r="V419" s="22" t="n">
        <x:f>IF(U419="Won",L419*(1-M419),0)</x:f>
        <x:v>0</x:v>
      </x:c>
      <x:c r="W419" s="22" t="n">
        <x:f>IF(U419="Open",L419*N419,0)</x:f>
        <x:v>0</x:v>
      </x:c>
      <x:c r="X419" s="26" t="n">
        <x:f>IF(U419="Open","",IFERROR(K419-B419,""))</x:f>
        <x:v>30</x:v>
      </x:c>
      <x:c r="Y419" s="26" t="n">
        <x:f>IF(U419="Open",Lookups!$B$2-B419,X419)</x:f>
        <x:v>30</x:v>
      </x:c>
      <x:c r="Z419" t="str">
        <x:f>IF(AND(U419="Open",Y419&gt;30),"STALE","OK")</x:f>
        <x:v>OK</x:v>
      </x:c>
      <x:c r="AA419" t="str">
        <x:f>TEXT(B419,"yyyy-mm")</x:f>
        <x:v>2026-03</x:v>
      </x:c>
      <x:c r="AB419" t="str">
        <x:f>IF(K419="","",TEXT(K419,"yyyy-mm"))</x:f>
        <x:v>2026-04</x:v>
      </x:c>
      <x:c r="AC419" t="str">
        <x:f>"Q"&amp;ROUNDUP(MONTH(B419)/3,0)&amp;"-"&amp;YEAR(B419)</x:f>
        <x:v>Q1-2026</x:v>
      </x:c>
      <x:c r="AD419" s="26" t="n">
        <x:f>MIN(100,IF(H419="Enterprise",30,IF(H419="Mid-Market",22,14))+IF(T419="Enterprise",25,IF(T419="Mid-Market",18,10))+IF(Q419="Referral",25,IF(Q419="Organic Search",20,IF(Q419="Email",18,14)))+IF(G419="Technology",10,5))</x:f>
        <x:v>78</x:v>
      </x:c>
      <x:c r="AE419" t="str">
        <x:f>IF(U419&lt;&gt;"Open",U419,IF(N419&gt;=0.8,"Commit",IF(N419&gt;=0.5,"Best Case","Pipeline")))</x:f>
        <x:v>Lost</x:v>
      </x:c>
    </x:row>
    <x:row r="420">
      <x:c r="A420" t="str">
        <x:v>L00419</x:v>
      </x:c>
      <x:c r="B420" s="10" t="n">
        <x:v>45698</x:v>
      </x:c>
      <x:c r="C420" t="str">
        <x:v>Minh Do</x:v>
      </x:c>
      <x:c r="D420" t="str">
        <x:v>North</x:v>
      </x:c>
      <x:c r="E420" t="str">
        <x:v>linkedin</x:v>
      </x:c>
      <x:c r="F420" t="str">
        <x:v>BI-PLUS</x:v>
      </x:c>
      <x:c r="G420" t="str">
        <x:v>Retail</x:v>
      </x:c>
      <x:c r="H420" t="str">
        <x:v>Enterprise</x:v>
      </x:c>
      <x:c r="I420" t="str">
        <x:v>Closed Lost</x:v>
      </x:c>
      <x:c r="J420" s="10" t="n">
        <x:v>45744</x:v>
      </x:c>
      <x:c r="K420" s="10" t="n">
        <x:v>45744</x:v>
      </x:c>
      <x:c r="L420" s="22" t="n">
        <x:v>61200</x:v>
      </x:c>
      <x:c r="M420" s="24" t="n">
        <x:v>0</x:v>
      </x:c>
      <x:c r="N420" s="24" t="n">
        <x:v>0</x:v>
      </x:c>
      <x:c r="O420" t="str">
        <x:v>No Decision</x:v>
      </x:c>
      <x:c r="P420" t="n">
        <x:v>4</x:v>
      </x:c>
      <x:c r="Q420" t="str">
        <x:f>IFERROR(XLOOKUP(E420,Lookups!$A$5:$A$24,Lookups!$B$5:$B$24),"Other")</x:f>
        <x:v>LinkedIn</x:v>
      </x:c>
      <x:c r="R420" t="str">
        <x:f>IFERROR(XLOOKUP(F420,Lookups!$D$5:$D$10,Lookups!$E$5:$E$10),"Unknown Product")</x:f>
        <x:v>Analytics Plus</x:v>
      </x:c>
      <x:c r="S420" t="str">
        <x:f>IFERROR(XLOOKUP(F420,Lookups!$D$5:$D$10,Lookups!$F$5:$F$10),"Unknown")</x:f>
        <x:v>Analytics</x:v>
      </x:c>
      <x:c r="T420" t="str">
        <x:f>IF(L420&gt;=50000,"Enterprise",IF(L420&gt;=20000,"Mid-Market","SMB"))</x:f>
        <x:v>Enterprise</x:v>
      </x:c>
      <x:c r="U420" t="str">
        <x:f>IF(I420="Closed Won","Won",IF(I420="Closed Lost","Lost","Open"))</x:f>
        <x:v>Lost</x:v>
      </x:c>
      <x:c r="V420" s="22" t="n">
        <x:f>IF(U420="Won",L420*(1-M420),0)</x:f>
        <x:v>0</x:v>
      </x:c>
      <x:c r="W420" s="22" t="n">
        <x:f>IF(U420="Open",L420*N420,0)</x:f>
        <x:v>0</x:v>
      </x:c>
      <x:c r="X420" s="26" t="n">
        <x:f>IF(U420="Open","",IFERROR(K420-B420,""))</x:f>
        <x:v>46</x:v>
      </x:c>
      <x:c r="Y420" s="26" t="n">
        <x:f>IF(U420="Open",Lookups!$B$2-B420,X420)</x:f>
        <x:v>46</x:v>
      </x:c>
      <x:c r="Z420" t="str">
        <x:f>IF(AND(U420="Open",Y420&gt;30),"STALE","OK")</x:f>
        <x:v>OK</x:v>
      </x:c>
      <x:c r="AA420" t="str">
        <x:f>TEXT(B420,"yyyy-mm")</x:f>
        <x:v>2025-02</x:v>
      </x:c>
      <x:c r="AB420" t="str">
        <x:f>IF(K420="","",TEXT(K420,"yyyy-mm"))</x:f>
        <x:v>2025-03</x:v>
      </x:c>
      <x:c r="AC420" t="str">
        <x:f>"Q"&amp;ROUNDUP(MONTH(B420)/3,0)&amp;"-"&amp;YEAR(B420)</x:f>
        <x:v>Q1-2025</x:v>
      </x:c>
      <x:c r="AD420" s="26" t="n">
        <x:f>MIN(100,IF(H420="Enterprise",30,IF(H420="Mid-Market",22,14))+IF(T420="Enterprise",25,IF(T420="Mid-Market",18,10))+IF(Q420="Referral",25,IF(Q420="Organic Search",20,IF(Q420="Email",18,14)))+IF(G420="Technology",10,5))</x:f>
        <x:v>74</x:v>
      </x:c>
      <x:c r="AE420" t="str">
        <x:f>IF(U420&lt;&gt;"Open",U420,IF(N420&gt;=0.8,"Commit",IF(N420&gt;=0.5,"Best Case","Pipeline")))</x:f>
        <x:v>Lost</x:v>
      </x:c>
    </x:row>
    <x:row r="421">
      <x:c r="A421" t="str">
        <x:v>L00420</x:v>
      </x:c>
      <x:c r="B421" s="10" t="n">
        <x:v>45828</x:v>
      </x:c>
      <x:c r="C421" t="str">
        <x:v>Ha Vo</x:v>
      </x:c>
      <x:c r="D421" t="str">
        <x:v>North</x:v>
      </x:c>
      <x:c r="E421" t="str">
        <x:v>customer referral</x:v>
      </x:c>
      <x:c r="F421" t="str">
        <x:v>MKT-AUTO</x:v>
      </x:c>
      <x:c r="G421" t="str">
        <x:v>Financial Services</x:v>
      </x:c>
      <x:c r="H421" t="str">
        <x:v>Enterprise</x:v>
      </x:c>
      <x:c r="I421" t="str">
        <x:v>Closed Lost</x:v>
      </x:c>
      <x:c r="J421" s="10" t="n">
        <x:v>45895</x:v>
      </x:c>
      <x:c r="K421" s="10" t="n">
        <x:v>45895</x:v>
      </x:c>
      <x:c r="L421" s="22" t="n">
        <x:v>53100</x:v>
      </x:c>
      <x:c r="M421" s="24" t="n">
        <x:v>0</x:v>
      </x:c>
      <x:c r="N421" s="24" t="n">
        <x:v>0</x:v>
      </x:c>
      <x:c r="O421" t="str">
        <x:v>Price</x:v>
      </x:c>
      <x:c r="P421" t="n">
        <x:v>2</x:v>
      </x:c>
      <x:c r="Q421" t="str">
        <x:f>IFERROR(XLOOKUP(E421,Lookups!$A$5:$A$24,Lookups!$B$5:$B$24),"Other")</x:f>
        <x:v>Referral</x:v>
      </x:c>
      <x:c r="R421" t="str">
        <x:f>IFERROR(XLOOKUP(F421,Lookups!$D$5:$D$10,Lookups!$E$5:$E$10),"Unknown Product")</x:f>
        <x:v>Marketing Automation</x:v>
      </x:c>
      <x:c r="S421" t="str">
        <x:f>IFERROR(XLOOKUP(F421,Lookups!$D$5:$D$10,Lookups!$F$5:$F$10),"Unknown")</x:f>
        <x:v>Marketing</x:v>
      </x:c>
      <x:c r="T421" t="str">
        <x:f>IF(L421&gt;=50000,"Enterprise",IF(L421&gt;=20000,"Mid-Market","SMB"))</x:f>
        <x:v>Enterprise</x:v>
      </x:c>
      <x:c r="U421" t="str">
        <x:f>IF(I421="Closed Won","Won",IF(I421="Closed Lost","Lost","Open"))</x:f>
        <x:v>Lost</x:v>
      </x:c>
      <x:c r="V421" s="22" t="n">
        <x:f>IF(U421="Won",L421*(1-M421),0)</x:f>
        <x:v>0</x:v>
      </x:c>
      <x:c r="W421" s="22" t="n">
        <x:f>IF(U421="Open",L421*N421,0)</x:f>
        <x:v>0</x:v>
      </x:c>
      <x:c r="X421" s="26" t="n">
        <x:f>IF(U421="Open","",IFERROR(K421-B421,""))</x:f>
        <x:v>67</x:v>
      </x:c>
      <x:c r="Y421" s="26" t="n">
        <x:f>IF(U421="Open",Lookups!$B$2-B421,X421)</x:f>
        <x:v>67</x:v>
      </x:c>
      <x:c r="Z421" t="str">
        <x:f>IF(AND(U421="Open",Y421&gt;30),"STALE","OK")</x:f>
        <x:v>OK</x:v>
      </x:c>
      <x:c r="AA421" t="str">
        <x:f>TEXT(B421,"yyyy-mm")</x:f>
        <x:v>2025-06</x:v>
      </x:c>
      <x:c r="AB421" t="str">
        <x:f>IF(K421="","",TEXT(K421,"yyyy-mm"))</x:f>
        <x:v>2025-08</x:v>
      </x:c>
      <x:c r="AC421" t="str">
        <x:f>"Q"&amp;ROUNDUP(MONTH(B421)/3,0)&amp;"-"&amp;YEAR(B421)</x:f>
        <x:v>Q2-2025</x:v>
      </x:c>
      <x:c r="AD421" s="26" t="n">
        <x:f>MIN(100,IF(H421="Enterprise",30,IF(H421="Mid-Market",22,14))+IF(T421="Enterprise",25,IF(T421="Mid-Market",18,10))+IF(Q421="Referral",25,IF(Q421="Organic Search",20,IF(Q421="Email",18,14)))+IF(G421="Technology",10,5))</x:f>
        <x:v>85</x:v>
      </x:c>
      <x:c r="AE421" t="str">
        <x:f>IF(U421&lt;&gt;"Open",U421,IF(N421&gt;=0.8,"Commit",IF(N421&gt;=0.5,"Best Case","Pipeline")))</x:f>
        <x:v>Lost</x:v>
      </x:c>
    </x:row>
    <x:row r="422">
      <x:c r="A422" t="str">
        <x:v>L00421</x:v>
      </x:c>
      <x:c r="B422" s="10" t="n">
        <x:v>46249</x:v>
      </x:c>
      <x:c r="C422" t="str">
        <x:v>Bao Tran</x:v>
      </x:c>
      <x:c r="D422" t="str">
        <x:v>South</x:v>
      </x:c>
      <x:c r="E422" t="str">
        <x:v>SDR Outreach</x:v>
      </x:c>
      <x:c r="F422" t="str">
        <x:v>CRM-PRO</x:v>
      </x:c>
      <x:c r="G422" t="str">
        <x:v>Manufacturing</x:v>
      </x:c>
      <x:c r="H422" t="str">
        <x:v>SMB</x:v>
      </x:c>
      <x:c r="I422" t="str">
        <x:v>Closed Lost</x:v>
      </x:c>
      <x:c r="J422" s="10" t="n">
        <x:v>46266</x:v>
      </x:c>
      <x:c r="K422" s="10" t="n">
        <x:v>46266</x:v>
      </x:c>
      <x:c r="L422" s="22" t="n">
        <x:v>23300</x:v>
      </x:c>
      <x:c r="M422" s="24" t="n">
        <x:v>0</x:v>
      </x:c>
      <x:c r="N422" s="24" t="n">
        <x:v>0</x:v>
      </x:c>
      <x:c r="O422" t="str">
        <x:v>Price</x:v>
      </x:c>
      <x:c r="P422" t="n">
        <x:v>3</x:v>
      </x:c>
      <x:c r="Q422" t="str">
        <x:f>IFERROR(XLOOKUP(E422,Lookups!$A$5:$A$24,Lookups!$B$5:$B$24),"Other")</x:f>
        <x:v>Outbound</x:v>
      </x:c>
      <x:c r="R422" t="str">
        <x:f>IFERROR(XLOOKUP(F422,Lookups!$D$5:$D$10,Lookups!$E$5:$E$10),"Unknown Product")</x:f>
        <x:v>NexaCRM Pro</x:v>
      </x:c>
      <x:c r="S422" t="str">
        <x:f>IFERROR(XLOOKUP(F422,Lookups!$D$5:$D$10,Lookups!$F$5:$F$10),"Unknown")</x:f>
        <x:v>CRM</x:v>
      </x:c>
      <x:c r="T422" t="str">
        <x:f>IF(L422&gt;=50000,"Enterprise",IF(L422&gt;=20000,"Mid-Market","SMB"))</x:f>
        <x:v>Mid-Market</x:v>
      </x:c>
      <x:c r="U422" t="str">
        <x:f>IF(I422="Closed Won","Won",IF(I422="Closed Lost","Lost","Open"))</x:f>
        <x:v>Lost</x:v>
      </x:c>
      <x:c r="V422" s="22" t="n">
        <x:f>IF(U422="Won",L422*(1-M422),0)</x:f>
        <x:v>0</x:v>
      </x:c>
      <x:c r="W422" s="22" t="n">
        <x:f>IF(U422="Open",L422*N422,0)</x:f>
        <x:v>0</x:v>
      </x:c>
      <x:c r="X422" s="26" t="n">
        <x:f>IF(U422="Open","",IFERROR(K422-B422,""))</x:f>
        <x:v>17</x:v>
      </x:c>
      <x:c r="Y422" s="26" t="n">
        <x:f>IF(U422="Open",Lookups!$B$2-B422,X422)</x:f>
        <x:v>17</x:v>
      </x:c>
      <x:c r="Z422" t="str">
        <x:f>IF(AND(U422="Open",Y422&gt;30),"STALE","OK")</x:f>
        <x:v>OK</x:v>
      </x:c>
      <x:c r="AA422" t="str">
        <x:f>TEXT(B422,"yyyy-mm")</x:f>
        <x:v>2026-08</x:v>
      </x:c>
      <x:c r="AB422" t="str">
        <x:f>IF(K422="","",TEXT(K422,"yyyy-mm"))</x:f>
        <x:v>2026-09</x:v>
      </x:c>
      <x:c r="AC422" t="str">
        <x:f>"Q"&amp;ROUNDUP(MONTH(B422)/3,0)&amp;"-"&amp;YEAR(B422)</x:f>
        <x:v>Q3-2026</x:v>
      </x:c>
      <x:c r="AD422" s="26" t="n">
        <x:f>MIN(100,IF(H422="Enterprise",30,IF(H422="Mid-Market",22,14))+IF(T422="Enterprise",25,IF(T422="Mid-Market",18,10))+IF(Q422="Referral",25,IF(Q422="Organic Search",20,IF(Q422="Email",18,14)))+IF(G422="Technology",10,5))</x:f>
        <x:v>51</x:v>
      </x:c>
      <x:c r="AE422" t="str">
        <x:f>IF(U422&lt;&gt;"Open",U422,IF(N422&gt;=0.8,"Commit",IF(N422&gt;=0.5,"Best Case","Pipeline")))</x:f>
        <x:v>Lost</x:v>
      </x:c>
    </x:row>
    <x:row r="423">
      <x:c r="A423" t="str">
        <x:v>L00422</x:v>
      </x:c>
      <x:c r="B423" s="10" t="n">
        <x:v>46117</x:v>
      </x:c>
      <x:c r="C423" t="str">
        <x:v>Quynh Vu</x:v>
      </x:c>
      <x:c r="D423" t="str">
        <x:v>North</x:v>
      </x:c>
      <x:c r="E423" t="str">
        <x:v>google cpc</x:v>
      </x:c>
      <x:c r="F423" t="str">
        <x:v>BI-PLUS</x:v>
      </x:c>
      <x:c r="G423" t="str">
        <x:v>Financial Services</x:v>
      </x:c>
      <x:c r="H423" t="str">
        <x:v>Mid-Market</x:v>
      </x:c>
      <x:c r="I423" t="str">
        <x:v>Closed Lost</x:v>
      </x:c>
      <x:c r="J423" s="10" t="n">
        <x:v>46147</x:v>
      </x:c>
      <x:c r="K423" s="10" t="n">
        <x:v>46147</x:v>
      </x:c>
      <x:c r="L423" s="22" t="n">
        <x:v>45400</x:v>
      </x:c>
      <x:c r="M423" s="24" t="n">
        <x:v>0</x:v>
      </x:c>
      <x:c r="N423" s="24" t="n">
        <x:v>0</x:v>
      </x:c>
      <x:c r="O423" t="str">
        <x:v>Competitor</x:v>
      </x:c>
      <x:c r="P423" t="n">
        <x:v>4</x:v>
      </x:c>
      <x:c r="Q423" t="str">
        <x:f>IFERROR(XLOOKUP(E423,Lookups!$A$5:$A$24,Lookups!$B$5:$B$24),"Other")</x:f>
        <x:v>Paid Search</x:v>
      </x:c>
      <x:c r="R423" t="str">
        <x:f>IFERROR(XLOOKUP(F423,Lookups!$D$5:$D$10,Lookups!$E$5:$E$10),"Unknown Product")</x:f>
        <x:v>Analytics Plus</x:v>
      </x:c>
      <x:c r="S423" t="str">
        <x:f>IFERROR(XLOOKUP(F423,Lookups!$D$5:$D$10,Lookups!$F$5:$F$10),"Unknown")</x:f>
        <x:v>Analytics</x:v>
      </x:c>
      <x:c r="T423" t="str">
        <x:f>IF(L423&gt;=50000,"Enterprise",IF(L423&gt;=20000,"Mid-Market","SMB"))</x:f>
        <x:v>Mid-Market</x:v>
      </x:c>
      <x:c r="U423" t="str">
        <x:f>IF(I423="Closed Won","Won",IF(I423="Closed Lost","Lost","Open"))</x:f>
        <x:v>Lost</x:v>
      </x:c>
      <x:c r="V423" s="22" t="n">
        <x:f>IF(U423="Won",L423*(1-M423),0)</x:f>
        <x:v>0</x:v>
      </x:c>
      <x:c r="W423" s="22" t="n">
        <x:f>IF(U423="Open",L423*N423,0)</x:f>
        <x:v>0</x:v>
      </x:c>
      <x:c r="X423" s="26" t="n">
        <x:f>IF(U423="Open","",IFERROR(K423-B423,""))</x:f>
        <x:v>30</x:v>
      </x:c>
      <x:c r="Y423" s="26" t="n">
        <x:f>IF(U423="Open",Lookups!$B$2-B423,X423)</x:f>
        <x:v>30</x:v>
      </x:c>
      <x:c r="Z423" t="str">
        <x:f>IF(AND(U423="Open",Y423&gt;30),"STALE","OK")</x:f>
        <x:v>OK</x:v>
      </x:c>
      <x:c r="AA423" t="str">
        <x:f>TEXT(B423,"yyyy-mm")</x:f>
        <x:v>2026-04</x:v>
      </x:c>
      <x:c r="AB423" t="str">
        <x:f>IF(K423="","",TEXT(K423,"yyyy-mm"))</x:f>
        <x:v>2026-05</x:v>
      </x:c>
      <x:c r="AC423" t="str">
        <x:f>"Q"&amp;ROUNDUP(MONTH(B423)/3,0)&amp;"-"&amp;YEAR(B423)</x:f>
        <x:v>Q2-2026</x:v>
      </x:c>
      <x:c r="AD423" s="26" t="n">
        <x:f>MIN(100,IF(H423="Enterprise",30,IF(H423="Mid-Market",22,14))+IF(T423="Enterprise",25,IF(T423="Mid-Market",18,10))+IF(Q423="Referral",25,IF(Q423="Organic Search",20,IF(Q423="Email",18,14)))+IF(G423="Technology",10,5))</x:f>
        <x:v>59</x:v>
      </x:c>
      <x:c r="AE423" t="str">
        <x:f>IF(U423&lt;&gt;"Open",U423,IF(N423&gt;=0.8,"Commit",IF(N423&gt;=0.5,"Best Case","Pipeline")))</x:f>
        <x:v>Lost</x:v>
      </x:c>
    </x:row>
    <x:row r="424">
      <x:c r="A424" t="str">
        <x:v>L00423</x:v>
      </x:c>
      <x:c r="B424" s="10" t="n">
        <x:v>46190</x:v>
      </x:c>
      <x:c r="C424" t="str">
        <x:v>Minh Do</x:v>
      </x:c>
      <x:c r="D424" t="str">
        <x:v>North</x:v>
      </x:c>
      <x:c r="E424" t="str">
        <x:v>customer referral</x:v>
      </x:c>
      <x:c r="F424" t="str">
        <x:v>CS-CLOUD</x:v>
      </x:c>
      <x:c r="G424" t="str">
        <x:v>Technology</x:v>
      </x:c>
      <x:c r="H424" t="str">
        <x:v>Mid-Market</x:v>
      </x:c>
      <x:c r="I424" t="str">
        <x:v>Closed Lost</x:v>
      </x:c>
      <x:c r="J424" s="10" t="n">
        <x:v>46233</x:v>
      </x:c>
      <x:c r="K424" s="10" t="n">
        <x:v>46233</x:v>
      </x:c>
      <x:c r="L424" s="22" t="n">
        <x:v>22500</x:v>
      </x:c>
      <x:c r="M424" s="24" t="n">
        <x:v>0</x:v>
      </x:c>
      <x:c r="N424" s="24" t="n">
        <x:v>0</x:v>
      </x:c>
      <x:c r="O424" t="str">
        <x:v>Budget</x:v>
      </x:c>
      <x:c r="P424" t="n">
        <x:v>3</x:v>
      </x:c>
      <x:c r="Q424" t="str">
        <x:f>IFERROR(XLOOKUP(E424,Lookups!$A$5:$A$24,Lookups!$B$5:$B$24),"Other")</x:f>
        <x:v>Referral</x:v>
      </x:c>
      <x:c r="R424" t="str">
        <x:f>IFERROR(XLOOKUP(F424,Lookups!$D$5:$D$10,Lookups!$E$5:$E$10),"Unknown Product")</x:f>
        <x:v>Service Cloud</x:v>
      </x:c>
      <x:c r="S424" t="str">
        <x:f>IFERROR(XLOOKUP(F424,Lookups!$D$5:$D$10,Lookups!$F$5:$F$10),"Unknown")</x:f>
        <x:v>Customer Service</x:v>
      </x:c>
      <x:c r="T424" t="str">
        <x:f>IF(L424&gt;=50000,"Enterprise",IF(L424&gt;=20000,"Mid-Market","SMB"))</x:f>
        <x:v>Mid-Market</x:v>
      </x:c>
      <x:c r="U424" t="str">
        <x:f>IF(I424="Closed Won","Won",IF(I424="Closed Lost","Lost","Open"))</x:f>
        <x:v>Lost</x:v>
      </x:c>
      <x:c r="V424" s="22" t="n">
        <x:f>IF(U424="Won",L424*(1-M424),0)</x:f>
        <x:v>0</x:v>
      </x:c>
      <x:c r="W424" s="22" t="n">
        <x:f>IF(U424="Open",L424*N424,0)</x:f>
        <x:v>0</x:v>
      </x:c>
      <x:c r="X424" s="26" t="n">
        <x:f>IF(U424="Open","",IFERROR(K424-B424,""))</x:f>
        <x:v>43</x:v>
      </x:c>
      <x:c r="Y424" s="26" t="n">
        <x:f>IF(U424="Open",Lookups!$B$2-B424,X424)</x:f>
        <x:v>43</x:v>
      </x:c>
      <x:c r="Z424" t="str">
        <x:f>IF(AND(U424="Open",Y424&gt;30),"STALE","OK")</x:f>
        <x:v>OK</x:v>
      </x:c>
      <x:c r="AA424" t="str">
        <x:f>TEXT(B424,"yyyy-mm")</x:f>
        <x:v>2026-06</x:v>
      </x:c>
      <x:c r="AB424" t="str">
        <x:f>IF(K424="","",TEXT(K424,"yyyy-mm"))</x:f>
        <x:v>2026-07</x:v>
      </x:c>
      <x:c r="AC424" t="str">
        <x:f>"Q"&amp;ROUNDUP(MONTH(B424)/3,0)&amp;"-"&amp;YEAR(B424)</x:f>
        <x:v>Q2-2026</x:v>
      </x:c>
      <x:c r="AD424" s="26" t="n">
        <x:f>MIN(100,IF(H424="Enterprise",30,IF(H424="Mid-Market",22,14))+IF(T424="Enterprise",25,IF(T424="Mid-Market",18,10))+IF(Q424="Referral",25,IF(Q424="Organic Search",20,IF(Q424="Email",18,14)))+IF(G424="Technology",10,5))</x:f>
        <x:v>75</x:v>
      </x:c>
      <x:c r="AE424" t="str">
        <x:f>IF(U424&lt;&gt;"Open",U424,IF(N424&gt;=0.8,"Commit",IF(N424&gt;=0.5,"Best Case","Pipeline")))</x:f>
        <x:v>Lost</x:v>
      </x:c>
    </x:row>
    <x:row r="425">
      <x:c r="A425" t="str">
        <x:v>L00424</x:v>
      </x:c>
      <x:c r="B425" s="10" t="n">
        <x:v>45784</x:v>
      </x:c>
      <x:c r="C425" t="str">
        <x:v>Duy Pham</x:v>
      </x:c>
      <x:c r="D425" t="str">
        <x:v>South</x:v>
      </x:c>
      <x:c r="E425" t="str">
        <x:v>SEM - Google</x:v>
      </x:c>
      <x:c r="F425" t="str">
        <x:v>MKT-AUTO</x:v>
      </x:c>
      <x:c r="G425" t="str">
        <x:v>Financial Services</x:v>
      </x:c>
      <x:c r="H425" t="str">
        <x:v>SMB</x:v>
      </x:c>
      <x:c r="I425" t="str">
        <x:v>Closed Lost</x:v>
      </x:c>
      <x:c r="J425" s="10" t="n">
        <x:v>45819</x:v>
      </x:c>
      <x:c r="K425" s="10" t="n">
        <x:v>45819</x:v>
      </x:c>
      <x:c r="L425" s="22" t="n">
        <x:v>14500</x:v>
      </x:c>
      <x:c r="M425" s="24" t="n">
        <x:v>0</x:v>
      </x:c>
      <x:c r="N425" s="24" t="n">
        <x:v>0</x:v>
      </x:c>
      <x:c r="O425" t="str">
        <x:v>Price</x:v>
      </x:c>
      <x:c r="P425" t="n">
        <x:v>4</x:v>
      </x:c>
      <x:c r="Q425" t="str">
        <x:f>IFERROR(XLOOKUP(E425,Lookups!$A$5:$A$24,Lookups!$B$5:$B$24),"Other")</x:f>
        <x:v>Paid Search</x:v>
      </x:c>
      <x:c r="R425" t="str">
        <x:f>IFERROR(XLOOKUP(F425,Lookups!$D$5:$D$10,Lookups!$E$5:$E$10),"Unknown Product")</x:f>
        <x:v>Marketing Automation</x:v>
      </x:c>
      <x:c r="S425" t="str">
        <x:f>IFERROR(XLOOKUP(F425,Lookups!$D$5:$D$10,Lookups!$F$5:$F$10),"Unknown")</x:f>
        <x:v>Marketing</x:v>
      </x:c>
      <x:c r="T425" t="str">
        <x:f>IF(L425&gt;=50000,"Enterprise",IF(L425&gt;=20000,"Mid-Market","SMB"))</x:f>
        <x:v>SMB</x:v>
      </x:c>
      <x:c r="U425" t="str">
        <x:f>IF(I425="Closed Won","Won",IF(I425="Closed Lost","Lost","Open"))</x:f>
        <x:v>Lost</x:v>
      </x:c>
      <x:c r="V425" s="22" t="n">
        <x:f>IF(U425="Won",L425*(1-M425),0)</x:f>
        <x:v>0</x:v>
      </x:c>
      <x:c r="W425" s="22" t="n">
        <x:f>IF(U425="Open",L425*N425,0)</x:f>
        <x:v>0</x:v>
      </x:c>
      <x:c r="X425" s="26" t="n">
        <x:f>IF(U425="Open","",IFERROR(K425-B425,""))</x:f>
        <x:v>35</x:v>
      </x:c>
      <x:c r="Y425" s="26" t="n">
        <x:f>IF(U425="Open",Lookups!$B$2-B425,X425)</x:f>
        <x:v>35</x:v>
      </x:c>
      <x:c r="Z425" t="str">
        <x:f>IF(AND(U425="Open",Y425&gt;30),"STALE","OK")</x:f>
        <x:v>OK</x:v>
      </x:c>
      <x:c r="AA425" t="str">
        <x:f>TEXT(B425,"yyyy-mm")</x:f>
        <x:v>2025-05</x:v>
      </x:c>
      <x:c r="AB425" t="str">
        <x:f>IF(K425="","",TEXT(K425,"yyyy-mm"))</x:f>
        <x:v>2025-06</x:v>
      </x:c>
      <x:c r="AC425" t="str">
        <x:f>"Q"&amp;ROUNDUP(MONTH(B425)/3,0)&amp;"-"&amp;YEAR(B425)</x:f>
        <x:v>Q2-2025</x:v>
      </x:c>
      <x:c r="AD425" s="26" t="n">
        <x:f>MIN(100,IF(H425="Enterprise",30,IF(H425="Mid-Market",22,14))+IF(T425="Enterprise",25,IF(T425="Mid-Market",18,10))+IF(Q425="Referral",25,IF(Q425="Organic Search",20,IF(Q425="Email",18,14)))+IF(G425="Technology",10,5))</x:f>
        <x:v>43</x:v>
      </x:c>
      <x:c r="AE425" t="str">
        <x:f>IF(U425&lt;&gt;"Open",U425,IF(N425&gt;=0.8,"Commit",IF(N425&gt;=0.5,"Best Case","Pipeline")))</x:f>
        <x:v>Lost</x:v>
      </x:c>
    </x:row>
    <x:row r="426">
      <x:c r="A426" t="str">
        <x:v>L00425</x:v>
      </x:c>
      <x:c r="B426" s="10" t="n">
        <x:v>46245</x:v>
      </x:c>
      <x:c r="C426" t="str">
        <x:v>An Nguyen</x:v>
      </x:c>
      <x:c r="D426" t="str">
        <x:v>South</x:v>
      </x:c>
      <x:c r="E426" t="str">
        <x:v>google cpc</x:v>
      </x:c>
      <x:c r="F426" t="str">
        <x:v>CS-CLOUD</x:v>
      </x:c>
      <x:c r="G426" t="str">
        <x:v>Technology</x:v>
      </x:c>
      <x:c r="H426" t="str">
        <x:v>Enterprise</x:v>
      </x:c>
      <x:c r="I426" t="str">
        <x:v>Qualified</x:v>
      </x:c>
      <x:c r="J426" s="10" t="n">
        <x:v>46255</x:v>
      </x:c>
      <x:c r="K426" s="10"/>
      <x:c r="L426" s="22" t="n">
        <x:v>98000</x:v>
      </x:c>
      <x:c r="M426" s="24" t="n">
        <x:v>0.03</x:v>
      </x:c>
      <x:c r="N426" s="24" t="n">
        <x:v>0.2</x:v>
      </x:c>
      <x:c r="O426" t="str"/>
      <x:c r="P426" t="n">
        <x:v>2</x:v>
      </x:c>
      <x:c r="Q426" t="str">
        <x:f>IFERROR(XLOOKUP(E426,Lookups!$A$5:$A$24,Lookups!$B$5:$B$24),"Other")</x:f>
        <x:v>Paid Search</x:v>
      </x:c>
      <x:c r="R426" t="str">
        <x:f>IFERROR(XLOOKUP(F426,Lookups!$D$5:$D$10,Lookups!$E$5:$E$10),"Unknown Product")</x:f>
        <x:v>Service Cloud</x:v>
      </x:c>
      <x:c r="S426" t="str">
        <x:f>IFERROR(XLOOKUP(F426,Lookups!$D$5:$D$10,Lookups!$F$5:$F$10),"Unknown")</x:f>
        <x:v>Customer Service</x:v>
      </x:c>
      <x:c r="T426" t="str">
        <x:f>IF(L426&gt;=50000,"Enterprise",IF(L426&gt;=20000,"Mid-Market","SMB"))</x:f>
        <x:v>Enterprise</x:v>
      </x:c>
      <x:c r="U426" t="str">
        <x:f>IF(I426="Closed Won","Won",IF(I426="Closed Lost","Lost","Open"))</x:f>
        <x:v>Open</x:v>
      </x:c>
      <x:c r="V426" s="22" t="n">
        <x:f>IF(U426="Won",L426*(1-M426),0)</x:f>
        <x:v>0</x:v>
      </x:c>
      <x:c r="W426" s="22" t="n">
        <x:f>IF(U426="Open",L426*N426,0)</x:f>
        <x:v>19600</x:v>
      </x:c>
      <x:c r="X426" s="26" t="str">
        <x:f>IF(U426="Open","",IFERROR(K426-B426,""))</x:f>
      </x:c>
      <x:c r="Y426" s="26" t="n">
        <x:f>IF(U426="Open",Lookups!$B$2-B426,X426)</x:f>
        <x:v>21</x:v>
      </x:c>
      <x:c r="Z426" t="str">
        <x:f>IF(AND(U426="Open",Y426&gt;30),"STALE","OK")</x:f>
        <x:v>OK</x:v>
      </x:c>
      <x:c r="AA426" t="str">
        <x:f>TEXT(B426,"yyyy-mm")</x:f>
        <x:v>2026-08</x:v>
      </x:c>
      <x:c r="AB426" t="str">
        <x:f>IF(K426="","",TEXT(K426,"yyyy-mm"))</x:f>
      </x:c>
      <x:c r="AC426" t="str">
        <x:f>"Q"&amp;ROUNDUP(MONTH(B426)/3,0)&amp;"-"&amp;YEAR(B426)</x:f>
        <x:v>Q3-2026</x:v>
      </x:c>
      <x:c r="AD426" s="26" t="n">
        <x:f>MIN(100,IF(H426="Enterprise",30,IF(H426="Mid-Market",22,14))+IF(T426="Enterprise",25,IF(T426="Mid-Market",18,10))+IF(Q426="Referral",25,IF(Q426="Organic Search",20,IF(Q426="Email",18,14)))+IF(G426="Technology",10,5))</x:f>
        <x:v>79</x:v>
      </x:c>
      <x:c r="AE426" t="str">
        <x:f>IF(U426&lt;&gt;"Open",U426,IF(N426&gt;=0.8,"Commit",IF(N426&gt;=0.5,"Best Case","Pipeline")))</x:f>
        <x:v>Pipeline</x:v>
      </x:c>
    </x:row>
    <x:row r="427">
      <x:c r="A427" t="str">
        <x:v>L00426</x:v>
      </x:c>
      <x:c r="B427" s="10" t="n">
        <x:v>46175</x:v>
      </x:c>
      <x:c r="C427" t="str">
        <x:v>Bao Tran</x:v>
      </x:c>
      <x:c r="D427" t="str">
        <x:v>South</x:v>
      </x:c>
      <x:c r="E427" t="str">
        <x:v>Cold Email</x:v>
      </x:c>
      <x:c r="F427" t="str">
        <x:v>CRM-CORE</x:v>
      </x:c>
      <x:c r="G427" t="str">
        <x:v>Retail</x:v>
      </x:c>
      <x:c r="H427" t="str">
        <x:v>SMB</x:v>
      </x:c>
      <x:c r="I427" t="str">
        <x:v>Closed Lost</x:v>
      </x:c>
      <x:c r="J427" s="10" t="n">
        <x:v>46243</x:v>
      </x:c>
      <x:c r="K427" s="10" t="n">
        <x:v>46243</x:v>
      </x:c>
      <x:c r="L427" s="22" t="n">
        <x:v>5100</x:v>
      </x:c>
      <x:c r="M427" s="24" t="n">
        <x:v>0</x:v>
      </x:c>
      <x:c r="N427" s="24" t="n">
        <x:v>0</x:v>
      </x:c>
      <x:c r="O427" t="str">
        <x:v>Timing</x:v>
      </x:c>
      <x:c r="P427" t="n">
        <x:v>5</x:v>
      </x:c>
      <x:c r="Q427" t="str">
        <x:f>IFERROR(XLOOKUP(E427,Lookups!$A$5:$A$24,Lookups!$B$5:$B$24),"Other")</x:f>
        <x:v>Outbound</x:v>
      </x:c>
      <x:c r="R427" t="str">
        <x:f>IFERROR(XLOOKUP(F427,Lookups!$D$5:$D$10,Lookups!$E$5:$E$10),"Unknown Product")</x:f>
        <x:v>NexaCRM Core</x:v>
      </x:c>
      <x:c r="S427" t="str">
        <x:f>IFERROR(XLOOKUP(F427,Lookups!$D$5:$D$10,Lookups!$F$5:$F$10),"Unknown")</x:f>
        <x:v>CRM</x:v>
      </x:c>
      <x:c r="T427" t="str">
        <x:f>IF(L427&gt;=50000,"Enterprise",IF(L427&gt;=20000,"Mid-Market","SMB"))</x:f>
        <x:v>SMB</x:v>
      </x:c>
      <x:c r="U427" t="str">
        <x:f>IF(I427="Closed Won","Won",IF(I427="Closed Lost","Lost","Open"))</x:f>
        <x:v>Lost</x:v>
      </x:c>
      <x:c r="V427" s="22" t="n">
        <x:f>IF(U427="Won",L427*(1-M427),0)</x:f>
        <x:v>0</x:v>
      </x:c>
      <x:c r="W427" s="22" t="n">
        <x:f>IF(U427="Open",L427*N427,0)</x:f>
        <x:v>0</x:v>
      </x:c>
      <x:c r="X427" s="26" t="n">
        <x:f>IF(U427="Open","",IFERROR(K427-B427,""))</x:f>
        <x:v>68</x:v>
      </x:c>
      <x:c r="Y427" s="26" t="n">
        <x:f>IF(U427="Open",Lookups!$B$2-B427,X427)</x:f>
        <x:v>68</x:v>
      </x:c>
      <x:c r="Z427" t="str">
        <x:f>IF(AND(U427="Open",Y427&gt;30),"STALE","OK")</x:f>
        <x:v>OK</x:v>
      </x:c>
      <x:c r="AA427" t="str">
        <x:f>TEXT(B427,"yyyy-mm")</x:f>
        <x:v>2026-06</x:v>
      </x:c>
      <x:c r="AB427" t="str">
        <x:f>IF(K427="","",TEXT(K427,"yyyy-mm"))</x:f>
        <x:v>2026-08</x:v>
      </x:c>
      <x:c r="AC427" t="str">
        <x:f>"Q"&amp;ROUNDUP(MONTH(B427)/3,0)&amp;"-"&amp;YEAR(B427)</x:f>
        <x:v>Q2-2026</x:v>
      </x:c>
      <x:c r="AD427" s="26" t="n">
        <x:f>MIN(100,IF(H427="Enterprise",30,IF(H427="Mid-Market",22,14))+IF(T427="Enterprise",25,IF(T427="Mid-Market",18,10))+IF(Q427="Referral",25,IF(Q427="Organic Search",20,IF(Q427="Email",18,14)))+IF(G427="Technology",10,5))</x:f>
        <x:v>43</x:v>
      </x:c>
      <x:c r="AE427" t="str">
        <x:f>IF(U427&lt;&gt;"Open",U427,IF(N427&gt;=0.8,"Commit",IF(N427&gt;=0.5,"Best Case","Pipeline")))</x:f>
        <x:v>Lost</x:v>
      </x:c>
    </x:row>
    <x:row r="428">
      <x:c r="A428" t="str">
        <x:v>L00427</x:v>
      </x:c>
      <x:c r="B428" s="10" t="n">
        <x:v>45988</x:v>
      </x:c>
      <x:c r="C428" t="str">
        <x:v>Quynh Vu</x:v>
      </x:c>
      <x:c r="D428" t="str">
        <x:v>North</x:v>
      </x:c>
      <x:c r="E428" t="str">
        <x:v>SEM - Google</x:v>
      </x:c>
      <x:c r="F428" t="str">
        <x:v>CRM-PRO</x:v>
      </x:c>
      <x:c r="G428" t="str">
        <x:v>Retail</x:v>
      </x:c>
      <x:c r="H428" t="str">
        <x:v>Mid-Market</x:v>
      </x:c>
      <x:c r="I428" t="str">
        <x:v>Closed Lost</x:v>
      </x:c>
      <x:c r="J428" s="10" t="n">
        <x:v>46070</x:v>
      </x:c>
      <x:c r="K428" s="10" t="n">
        <x:v>46070</x:v>
      </x:c>
      <x:c r="L428" s="22" t="n">
        <x:v>31700</x:v>
      </x:c>
      <x:c r="M428" s="24" t="n">
        <x:v>0</x:v>
      </x:c>
      <x:c r="N428" s="24" t="n">
        <x:v>0</x:v>
      </x:c>
      <x:c r="O428" t="str">
        <x:v>Price</x:v>
      </x:c>
      <x:c r="P428" t="n">
        <x:v>5</x:v>
      </x:c>
      <x:c r="Q428" t="str">
        <x:f>IFERROR(XLOOKUP(E428,Lookups!$A$5:$A$24,Lookups!$B$5:$B$24),"Other")</x:f>
        <x:v>Paid Search</x:v>
      </x:c>
      <x:c r="R428" t="str">
        <x:f>IFERROR(XLOOKUP(F428,Lookups!$D$5:$D$10,Lookups!$E$5:$E$10),"Unknown Product")</x:f>
        <x:v>NexaCRM Pro</x:v>
      </x:c>
      <x:c r="S428" t="str">
        <x:f>IFERROR(XLOOKUP(F428,Lookups!$D$5:$D$10,Lookups!$F$5:$F$10),"Unknown")</x:f>
        <x:v>CRM</x:v>
      </x:c>
      <x:c r="T428" t="str">
        <x:f>IF(L428&gt;=50000,"Enterprise",IF(L428&gt;=20000,"Mid-Market","SMB"))</x:f>
        <x:v>Mid-Market</x:v>
      </x:c>
      <x:c r="U428" t="str">
        <x:f>IF(I428="Closed Won","Won",IF(I428="Closed Lost","Lost","Open"))</x:f>
        <x:v>Lost</x:v>
      </x:c>
      <x:c r="V428" s="22" t="n">
        <x:f>IF(U428="Won",L428*(1-M428),0)</x:f>
        <x:v>0</x:v>
      </x:c>
      <x:c r="W428" s="22" t="n">
        <x:f>IF(U428="Open",L428*N428,0)</x:f>
        <x:v>0</x:v>
      </x:c>
      <x:c r="X428" s="26" t="n">
        <x:f>IF(U428="Open","",IFERROR(K428-B428,""))</x:f>
        <x:v>82</x:v>
      </x:c>
      <x:c r="Y428" s="26" t="n">
        <x:f>IF(U428="Open",Lookups!$B$2-B428,X428)</x:f>
        <x:v>82</x:v>
      </x:c>
      <x:c r="Z428" t="str">
        <x:f>IF(AND(U428="Open",Y428&gt;30),"STALE","OK")</x:f>
        <x:v>OK</x:v>
      </x:c>
      <x:c r="AA428" t="str">
        <x:f>TEXT(B428,"yyyy-mm")</x:f>
        <x:v>2025-11</x:v>
      </x:c>
      <x:c r="AB428" t="str">
        <x:f>IF(K428="","",TEXT(K428,"yyyy-mm"))</x:f>
        <x:v>2026-02</x:v>
      </x:c>
      <x:c r="AC428" t="str">
        <x:f>"Q"&amp;ROUNDUP(MONTH(B428)/3,0)&amp;"-"&amp;YEAR(B428)</x:f>
        <x:v>Q4-2025</x:v>
      </x:c>
      <x:c r="AD428" s="26" t="n">
        <x:f>MIN(100,IF(H428="Enterprise",30,IF(H428="Mid-Market",22,14))+IF(T428="Enterprise",25,IF(T428="Mid-Market",18,10))+IF(Q428="Referral",25,IF(Q428="Organic Search",20,IF(Q428="Email",18,14)))+IF(G428="Technology",10,5))</x:f>
        <x:v>59</x:v>
      </x:c>
      <x:c r="AE428" t="str">
        <x:f>IF(U428&lt;&gt;"Open",U428,IF(N428&gt;=0.8,"Commit",IF(N428&gt;=0.5,"Best Case","Pipeline")))</x:f>
        <x:v>Lost</x:v>
      </x:c>
    </x:row>
    <x:row r="429">
      <x:c r="A429" t="str">
        <x:v>L00428</x:v>
      </x:c>
      <x:c r="B429" s="10" t="n">
        <x:v>46032</x:v>
      </x:c>
      <x:c r="C429" t="str">
        <x:v>An Nguyen</x:v>
      </x:c>
      <x:c r="D429" t="str">
        <x:v>South</x:v>
      </x:c>
      <x:c r="E429" t="str">
        <x:v>Google Ads</x:v>
      </x:c>
      <x:c r="F429" t="str">
        <x:v>MKT-AUTO</x:v>
      </x:c>
      <x:c r="G429" t="str">
        <x:v>Financial Services</x:v>
      </x:c>
      <x:c r="H429" t="str">
        <x:v>SMB</x:v>
      </x:c>
      <x:c r="I429" t="str">
        <x:v>Closed Lost</x:v>
      </x:c>
      <x:c r="J429" s="10" t="n">
        <x:v>46076</x:v>
      </x:c>
      <x:c r="K429" s="10" t="n">
        <x:v>46076</x:v>
      </x:c>
      <x:c r="L429" s="22" t="n">
        <x:v>14200</x:v>
      </x:c>
      <x:c r="M429" s="24" t="n">
        <x:v>0</x:v>
      </x:c>
      <x:c r="N429" s="24" t="n">
        <x:v>0</x:v>
      </x:c>
      <x:c r="O429" t="str">
        <x:v>Competitor</x:v>
      </x:c>
      <x:c r="P429" t="n">
        <x:v>4</x:v>
      </x:c>
      <x:c r="Q429" t="str">
        <x:f>IFERROR(XLOOKUP(E429,Lookups!$A$5:$A$24,Lookups!$B$5:$B$24),"Other")</x:f>
        <x:v>Paid Search</x:v>
      </x:c>
      <x:c r="R429" t="str">
        <x:f>IFERROR(XLOOKUP(F429,Lookups!$D$5:$D$10,Lookups!$E$5:$E$10),"Unknown Product")</x:f>
        <x:v>Marketing Automation</x:v>
      </x:c>
      <x:c r="S429" t="str">
        <x:f>IFERROR(XLOOKUP(F429,Lookups!$D$5:$D$10,Lookups!$F$5:$F$10),"Unknown")</x:f>
        <x:v>Marketing</x:v>
      </x:c>
      <x:c r="T429" t="str">
        <x:f>IF(L429&gt;=50000,"Enterprise",IF(L429&gt;=20000,"Mid-Market","SMB"))</x:f>
        <x:v>SMB</x:v>
      </x:c>
      <x:c r="U429" t="str">
        <x:f>IF(I429="Closed Won","Won",IF(I429="Closed Lost","Lost","Open"))</x:f>
        <x:v>Lost</x:v>
      </x:c>
      <x:c r="V429" s="22" t="n">
        <x:f>IF(U429="Won",L429*(1-M429),0)</x:f>
        <x:v>0</x:v>
      </x:c>
      <x:c r="W429" s="22" t="n">
        <x:f>IF(U429="Open",L429*N429,0)</x:f>
        <x:v>0</x:v>
      </x:c>
      <x:c r="X429" s="26" t="n">
        <x:f>IF(U429="Open","",IFERROR(K429-B429,""))</x:f>
        <x:v>44</x:v>
      </x:c>
      <x:c r="Y429" s="26" t="n">
        <x:f>IF(U429="Open",Lookups!$B$2-B429,X429)</x:f>
        <x:v>44</x:v>
      </x:c>
      <x:c r="Z429" t="str">
        <x:f>IF(AND(U429="Open",Y429&gt;30),"STALE","OK")</x:f>
        <x:v>OK</x:v>
      </x:c>
      <x:c r="AA429" t="str">
        <x:f>TEXT(B429,"yyyy-mm")</x:f>
        <x:v>2026-01</x:v>
      </x:c>
      <x:c r="AB429" t="str">
        <x:f>IF(K429="","",TEXT(K429,"yyyy-mm"))</x:f>
        <x:v>2026-02</x:v>
      </x:c>
      <x:c r="AC429" t="str">
        <x:f>"Q"&amp;ROUNDUP(MONTH(B429)/3,0)&amp;"-"&amp;YEAR(B429)</x:f>
        <x:v>Q1-2026</x:v>
      </x:c>
      <x:c r="AD429" s="26" t="n">
        <x:f>MIN(100,IF(H429="Enterprise",30,IF(H429="Mid-Market",22,14))+IF(T429="Enterprise",25,IF(T429="Mid-Market",18,10))+IF(Q429="Referral",25,IF(Q429="Organic Search",20,IF(Q429="Email",18,14)))+IF(G429="Technology",10,5))</x:f>
        <x:v>43</x:v>
      </x:c>
      <x:c r="AE429" t="str">
        <x:f>IF(U429&lt;&gt;"Open",U429,IF(N429&gt;=0.8,"Commit",IF(N429&gt;=0.5,"Best Case","Pipeline")))</x:f>
        <x:v>Lost</x:v>
      </x:c>
    </x:row>
    <x:row r="430">
      <x:c r="A430" t="str">
        <x:v>L00429</x:v>
      </x:c>
      <x:c r="B430" s="10" t="n">
        <x:v>45871</x:v>
      </x:c>
      <x:c r="C430" t="str">
        <x:v>Tuan Bui</x:v>
      </x:c>
      <x:c r="D430" t="str">
        <x:v>Central</x:v>
      </x:c>
      <x:c r="E430" t="str">
        <x:v>SDR Outreach</x:v>
      </x:c>
      <x:c r="F430" t="str">
        <x:v>CS-CLOUD</x:v>
      </x:c>
      <x:c r="G430" t="str">
        <x:v>Professional Services</x:v>
      </x:c>
      <x:c r="H430" t="str">
        <x:v>Mid-Market</x:v>
      </x:c>
      <x:c r="I430" t="str">
        <x:v>Closed Lost</x:v>
      </x:c>
      <x:c r="J430" s="10" t="n">
        <x:v>45919</x:v>
      </x:c>
      <x:c r="K430" s="10" t="n">
        <x:v>45919</x:v>
      </x:c>
      <x:c r="L430" s="22" t="n">
        <x:v>32300</x:v>
      </x:c>
      <x:c r="M430" s="24" t="n">
        <x:v>0</x:v>
      </x:c>
      <x:c r="N430" s="24" t="n">
        <x:v>0</x:v>
      </x:c>
      <x:c r="O430" t="str">
        <x:v>Price</x:v>
      </x:c>
      <x:c r="P430" t="n">
        <x:v>2</x:v>
      </x:c>
      <x:c r="Q430" t="str">
        <x:f>IFERROR(XLOOKUP(E430,Lookups!$A$5:$A$24,Lookups!$B$5:$B$24),"Other")</x:f>
        <x:v>Outbound</x:v>
      </x:c>
      <x:c r="R430" t="str">
        <x:f>IFERROR(XLOOKUP(F430,Lookups!$D$5:$D$10,Lookups!$E$5:$E$10),"Unknown Product")</x:f>
        <x:v>Service Cloud</x:v>
      </x:c>
      <x:c r="S430" t="str">
        <x:f>IFERROR(XLOOKUP(F430,Lookups!$D$5:$D$10,Lookups!$F$5:$F$10),"Unknown")</x:f>
        <x:v>Customer Service</x:v>
      </x:c>
      <x:c r="T430" t="str">
        <x:f>IF(L430&gt;=50000,"Enterprise",IF(L430&gt;=20000,"Mid-Market","SMB"))</x:f>
        <x:v>Mid-Market</x:v>
      </x:c>
      <x:c r="U430" t="str">
        <x:f>IF(I430="Closed Won","Won",IF(I430="Closed Lost","Lost","Open"))</x:f>
        <x:v>Lost</x:v>
      </x:c>
      <x:c r="V430" s="22" t="n">
        <x:f>IF(U430="Won",L430*(1-M430),0)</x:f>
        <x:v>0</x:v>
      </x:c>
      <x:c r="W430" s="22" t="n">
        <x:f>IF(U430="Open",L430*N430,0)</x:f>
        <x:v>0</x:v>
      </x:c>
      <x:c r="X430" s="26" t="n">
        <x:f>IF(U430="Open","",IFERROR(K430-B430,""))</x:f>
        <x:v>48</x:v>
      </x:c>
      <x:c r="Y430" s="26" t="n">
        <x:f>IF(U430="Open",Lookups!$B$2-B430,X430)</x:f>
        <x:v>48</x:v>
      </x:c>
      <x:c r="Z430" t="str">
        <x:f>IF(AND(U430="Open",Y430&gt;30),"STALE","OK")</x:f>
        <x:v>OK</x:v>
      </x:c>
      <x:c r="AA430" t="str">
        <x:f>TEXT(B430,"yyyy-mm")</x:f>
        <x:v>2025-08</x:v>
      </x:c>
      <x:c r="AB430" t="str">
        <x:f>IF(K430="","",TEXT(K430,"yyyy-mm"))</x:f>
        <x:v>2025-09</x:v>
      </x:c>
      <x:c r="AC430" t="str">
        <x:f>"Q"&amp;ROUNDUP(MONTH(B430)/3,0)&amp;"-"&amp;YEAR(B430)</x:f>
        <x:v>Q3-2025</x:v>
      </x:c>
      <x:c r="AD430" s="26" t="n">
        <x:f>MIN(100,IF(H430="Enterprise",30,IF(H430="Mid-Market",22,14))+IF(T430="Enterprise",25,IF(T430="Mid-Market",18,10))+IF(Q430="Referral",25,IF(Q430="Organic Search",20,IF(Q430="Email",18,14)))+IF(G430="Technology",10,5))</x:f>
        <x:v>59</x:v>
      </x:c>
      <x:c r="AE430" t="str">
        <x:f>IF(U430&lt;&gt;"Open",U430,IF(N430&gt;=0.8,"Commit",IF(N430&gt;=0.5,"Best Case","Pipeline")))</x:f>
        <x:v>Lost</x:v>
      </x:c>
    </x:row>
    <x:row r="431">
      <x:c r="A431" t="str">
        <x:v>L00430</x:v>
      </x:c>
      <x:c r="B431" s="10" t="n">
        <x:v>46097</x:v>
      </x:c>
      <x:c r="C431" t="str">
        <x:v>An Nguyen</x:v>
      </x:c>
      <x:c r="D431" t="str">
        <x:v>South</x:v>
      </x:c>
      <x:c r="E431" t="str">
        <x:v>Cold Email</x:v>
      </x:c>
      <x:c r="F431" t="str">
        <x:v>BI-PLUS</x:v>
      </x:c>
      <x:c r="G431" t="str">
        <x:v>Manufacturing</x:v>
      </x:c>
      <x:c r="H431" t="str">
        <x:v>SMB</x:v>
      </x:c>
      <x:c r="I431" t="str">
        <x:v>Closed Lost</x:v>
      </x:c>
      <x:c r="J431" s="10" t="n">
        <x:v>46141</x:v>
      </x:c>
      <x:c r="K431" s="10" t="n">
        <x:v>46141</x:v>
      </x:c>
      <x:c r="L431" s="22" t="n">
        <x:v>22300</x:v>
      </x:c>
      <x:c r="M431" s="24" t="n">
        <x:v>0</x:v>
      </x:c>
      <x:c r="N431" s="24" t="n">
        <x:v>0</x:v>
      </x:c>
      <x:c r="O431" t="str">
        <x:v>No Decision</x:v>
      </x:c>
      <x:c r="P431" t="n">
        <x:v>2</x:v>
      </x:c>
      <x:c r="Q431" t="str">
        <x:f>IFERROR(XLOOKUP(E431,Lookups!$A$5:$A$24,Lookups!$B$5:$B$24),"Other")</x:f>
        <x:v>Outbound</x:v>
      </x:c>
      <x:c r="R431" t="str">
        <x:f>IFERROR(XLOOKUP(F431,Lookups!$D$5:$D$10,Lookups!$E$5:$E$10),"Unknown Product")</x:f>
        <x:v>Analytics Plus</x:v>
      </x:c>
      <x:c r="S431" t="str">
        <x:f>IFERROR(XLOOKUP(F431,Lookups!$D$5:$D$10,Lookups!$F$5:$F$10),"Unknown")</x:f>
        <x:v>Analytics</x:v>
      </x:c>
      <x:c r="T431" t="str">
        <x:f>IF(L431&gt;=50000,"Enterprise",IF(L431&gt;=20000,"Mid-Market","SMB"))</x:f>
        <x:v>Mid-Market</x:v>
      </x:c>
      <x:c r="U431" t="str">
        <x:f>IF(I431="Closed Won","Won",IF(I431="Closed Lost","Lost","Open"))</x:f>
        <x:v>Lost</x:v>
      </x:c>
      <x:c r="V431" s="22" t="n">
        <x:f>IF(U431="Won",L431*(1-M431),0)</x:f>
        <x:v>0</x:v>
      </x:c>
      <x:c r="W431" s="22" t="n">
        <x:f>IF(U431="Open",L431*N431,0)</x:f>
        <x:v>0</x:v>
      </x:c>
      <x:c r="X431" s="26" t="n">
        <x:f>IF(U431="Open","",IFERROR(K431-B431,""))</x:f>
        <x:v>44</x:v>
      </x:c>
      <x:c r="Y431" s="26" t="n">
        <x:f>IF(U431="Open",Lookups!$B$2-B431,X431)</x:f>
        <x:v>44</x:v>
      </x:c>
      <x:c r="Z431" t="str">
        <x:f>IF(AND(U431="Open",Y431&gt;30),"STALE","OK")</x:f>
        <x:v>OK</x:v>
      </x:c>
      <x:c r="AA431" t="str">
        <x:f>TEXT(B431,"yyyy-mm")</x:f>
        <x:v>2026-03</x:v>
      </x:c>
      <x:c r="AB431" t="str">
        <x:f>IF(K431="","",TEXT(K431,"yyyy-mm"))</x:f>
        <x:v>2026-04</x:v>
      </x:c>
      <x:c r="AC431" t="str">
        <x:f>"Q"&amp;ROUNDUP(MONTH(B431)/3,0)&amp;"-"&amp;YEAR(B431)</x:f>
        <x:v>Q1-2026</x:v>
      </x:c>
      <x:c r="AD431" s="26" t="n">
        <x:f>MIN(100,IF(H431="Enterprise",30,IF(H431="Mid-Market",22,14))+IF(T431="Enterprise",25,IF(T431="Mid-Market",18,10))+IF(Q431="Referral",25,IF(Q431="Organic Search",20,IF(Q431="Email",18,14)))+IF(G431="Technology",10,5))</x:f>
        <x:v>51</x:v>
      </x:c>
      <x:c r="AE431" t="str">
        <x:f>IF(U431&lt;&gt;"Open",U431,IF(N431&gt;=0.8,"Commit",IF(N431&gt;=0.5,"Best Case","Pipeline")))</x:f>
        <x:v>Lost</x:v>
      </x:c>
    </x:row>
    <x:row r="432">
      <x:c r="A432" t="str">
        <x:v>L00431</x:v>
      </x:c>
      <x:c r="B432" s="10" t="n">
        <x:v>46069</x:v>
      </x:c>
      <x:c r="C432" t="str">
        <x:v>Minh Do</x:v>
      </x:c>
      <x:c r="D432" t="str">
        <x:v>North</x:v>
      </x:c>
      <x:c r="E432" t="str">
        <x:v>customer referral</x:v>
      </x:c>
      <x:c r="F432" t="str">
        <x:v>CS-CLOUD</x:v>
      </x:c>
      <x:c r="G432" t="str">
        <x:v>Retail</x:v>
      </x:c>
      <x:c r="H432" t="str">
        <x:v>Mid-Market</x:v>
      </x:c>
      <x:c r="I432" t="str">
        <x:v>Closed Won</x:v>
      </x:c>
      <x:c r="J432" s="10" t="n">
        <x:v>46089</x:v>
      </x:c>
      <x:c r="K432" s="10" t="n">
        <x:v>46089</x:v>
      </x:c>
      <x:c r="L432" s="22" t="n">
        <x:v>36600</x:v>
      </x:c>
      <x:c r="M432" s="24" t="n">
        <x:v>0.12</x:v>
      </x:c>
      <x:c r="N432" s="24" t="n">
        <x:v>1</x:v>
      </x:c>
      <x:c r="O432" t="str"/>
      <x:c r="P432" t="n">
        <x:v>6</x:v>
      </x:c>
      <x:c r="Q432" t="str">
        <x:f>IFERROR(XLOOKUP(E432,Lookups!$A$5:$A$24,Lookups!$B$5:$B$24),"Other")</x:f>
        <x:v>Referral</x:v>
      </x:c>
      <x:c r="R432" t="str">
        <x:f>IFERROR(XLOOKUP(F432,Lookups!$D$5:$D$10,Lookups!$E$5:$E$10),"Unknown Product")</x:f>
        <x:v>Service Cloud</x:v>
      </x:c>
      <x:c r="S432" t="str">
        <x:f>IFERROR(XLOOKUP(F432,Lookups!$D$5:$D$10,Lookups!$F$5:$F$10),"Unknown")</x:f>
        <x:v>Customer Service</x:v>
      </x:c>
      <x:c r="T432" t="str">
        <x:f>IF(L432&gt;=50000,"Enterprise",IF(L432&gt;=20000,"Mid-Market","SMB"))</x:f>
        <x:v>Mid-Market</x:v>
      </x:c>
      <x:c r="U432" t="str">
        <x:f>IF(I432="Closed Won","Won",IF(I432="Closed Lost","Lost","Open"))</x:f>
        <x:v>Won</x:v>
      </x:c>
      <x:c r="V432" s="22" t="n">
        <x:f>IF(U432="Won",L432*(1-M432),0)</x:f>
        <x:v>32208</x:v>
      </x:c>
      <x:c r="W432" s="22" t="n">
        <x:f>IF(U432="Open",L432*N432,0)</x:f>
        <x:v>0</x:v>
      </x:c>
      <x:c r="X432" s="26" t="n">
        <x:f>IF(U432="Open","",IFERROR(K432-B432,""))</x:f>
        <x:v>20</x:v>
      </x:c>
      <x:c r="Y432" s="26" t="n">
        <x:f>IF(U432="Open",Lookups!$B$2-B432,X432)</x:f>
        <x:v>20</x:v>
      </x:c>
      <x:c r="Z432" t="str">
        <x:f>IF(AND(U432="Open",Y432&gt;30),"STALE","OK")</x:f>
        <x:v>OK</x:v>
      </x:c>
      <x:c r="AA432" t="str">
        <x:f>TEXT(B432,"yyyy-mm")</x:f>
        <x:v>2026-02</x:v>
      </x:c>
      <x:c r="AB432" t="str">
        <x:f>IF(K432="","",TEXT(K432,"yyyy-mm"))</x:f>
        <x:v>2026-03</x:v>
      </x:c>
      <x:c r="AC432" t="str">
        <x:f>"Q"&amp;ROUNDUP(MONTH(B432)/3,0)&amp;"-"&amp;YEAR(B432)</x:f>
        <x:v>Q1-2026</x:v>
      </x:c>
      <x:c r="AD432" s="26" t="n">
        <x:f>MIN(100,IF(H432="Enterprise",30,IF(H432="Mid-Market",22,14))+IF(T432="Enterprise",25,IF(T432="Mid-Market",18,10))+IF(Q432="Referral",25,IF(Q432="Organic Search",20,IF(Q432="Email",18,14)))+IF(G432="Technology",10,5))</x:f>
        <x:v>70</x:v>
      </x:c>
      <x:c r="AE432" t="str">
        <x:f>IF(U432&lt;&gt;"Open",U432,IF(N432&gt;=0.8,"Commit",IF(N432&gt;=0.5,"Best Case","Pipeline")))</x:f>
        <x:v>Won</x:v>
      </x:c>
    </x:row>
    <x:row r="433">
      <x:c r="A433" t="str">
        <x:v>L00432</x:v>
      </x:c>
      <x:c r="B433" s="10" t="n">
        <x:v>46174</x:v>
      </x:c>
      <x:c r="C433" t="str">
        <x:v>Duy Pham</x:v>
      </x:c>
      <x:c r="D433" t="str">
        <x:v>South</x:v>
      </x:c>
      <x:c r="E433" t="str">
        <x:v>Cold Email</x:v>
      </x:c>
      <x:c r="F433" t="str">
        <x:v>MKT-AUTO</x:v>
      </x:c>
      <x:c r="G433" t="str">
        <x:v>Education</x:v>
      </x:c>
      <x:c r="H433" t="str">
        <x:v>SMB</x:v>
      </x:c>
      <x:c r="I433" t="str">
        <x:v>Closed Lost</x:v>
      </x:c>
      <x:c r="J433" s="10" t="n">
        <x:v>46210</x:v>
      </x:c>
      <x:c r="K433" s="10" t="n">
        <x:v>46210</x:v>
      </x:c>
      <x:c r="L433" s="22" t="n">
        <x:v>18600</x:v>
      </x:c>
      <x:c r="M433" s="24" t="n">
        <x:v>0</x:v>
      </x:c>
      <x:c r="N433" s="24" t="n">
        <x:v>0</x:v>
      </x:c>
      <x:c r="O433" t="str">
        <x:v>No Decision</x:v>
      </x:c>
      <x:c r="P433" t="n">
        <x:v>3</x:v>
      </x:c>
      <x:c r="Q433" t="str">
        <x:f>IFERROR(XLOOKUP(E433,Lookups!$A$5:$A$24,Lookups!$B$5:$B$24),"Other")</x:f>
        <x:v>Outbound</x:v>
      </x:c>
      <x:c r="R433" t="str">
        <x:f>IFERROR(XLOOKUP(F433,Lookups!$D$5:$D$10,Lookups!$E$5:$E$10),"Unknown Product")</x:f>
        <x:v>Marketing Automation</x:v>
      </x:c>
      <x:c r="S433" t="str">
        <x:f>IFERROR(XLOOKUP(F433,Lookups!$D$5:$D$10,Lookups!$F$5:$F$10),"Unknown")</x:f>
        <x:v>Marketing</x:v>
      </x:c>
      <x:c r="T433" t="str">
        <x:f>IF(L433&gt;=50000,"Enterprise",IF(L433&gt;=20000,"Mid-Market","SMB"))</x:f>
        <x:v>SMB</x:v>
      </x:c>
      <x:c r="U433" t="str">
        <x:f>IF(I433="Closed Won","Won",IF(I433="Closed Lost","Lost","Open"))</x:f>
        <x:v>Lost</x:v>
      </x:c>
      <x:c r="V433" s="22" t="n">
        <x:f>IF(U433="Won",L433*(1-M433),0)</x:f>
        <x:v>0</x:v>
      </x:c>
      <x:c r="W433" s="22" t="n">
        <x:f>IF(U433="Open",L433*N433,0)</x:f>
        <x:v>0</x:v>
      </x:c>
      <x:c r="X433" s="26" t="n">
        <x:f>IF(U433="Open","",IFERROR(K433-B433,""))</x:f>
        <x:v>36</x:v>
      </x:c>
      <x:c r="Y433" s="26" t="n">
        <x:f>IF(U433="Open",Lookups!$B$2-B433,X433)</x:f>
        <x:v>36</x:v>
      </x:c>
      <x:c r="Z433" t="str">
        <x:f>IF(AND(U433="Open",Y433&gt;30),"STALE","OK")</x:f>
        <x:v>OK</x:v>
      </x:c>
      <x:c r="AA433" t="str">
        <x:f>TEXT(B433,"yyyy-mm")</x:f>
        <x:v>2026-06</x:v>
      </x:c>
      <x:c r="AB433" t="str">
        <x:f>IF(K433="","",TEXT(K433,"yyyy-mm"))</x:f>
        <x:v>2026-07</x:v>
      </x:c>
      <x:c r="AC433" t="str">
        <x:f>"Q"&amp;ROUNDUP(MONTH(B433)/3,0)&amp;"-"&amp;YEAR(B433)</x:f>
        <x:v>Q2-2026</x:v>
      </x:c>
      <x:c r="AD433" s="26" t="n">
        <x:f>MIN(100,IF(H433="Enterprise",30,IF(H433="Mid-Market",22,14))+IF(T433="Enterprise",25,IF(T433="Mid-Market",18,10))+IF(Q433="Referral",25,IF(Q433="Organic Search",20,IF(Q433="Email",18,14)))+IF(G433="Technology",10,5))</x:f>
        <x:v>43</x:v>
      </x:c>
      <x:c r="AE433" t="str">
        <x:f>IF(U433&lt;&gt;"Open",U433,IF(N433&gt;=0.8,"Commit",IF(N433&gt;=0.5,"Best Case","Pipeline")))</x:f>
        <x:v>Lost</x:v>
      </x:c>
    </x:row>
    <x:row r="434">
      <x:c r="A434" t="str">
        <x:v>L00433</x:v>
      </x:c>
      <x:c r="B434" s="10" t="n">
        <x:v>45802</x:v>
      </x:c>
      <x:c r="C434" t="str">
        <x:v>Bao Tran</x:v>
      </x:c>
      <x:c r="D434" t="str">
        <x:v>South</x:v>
      </x:c>
      <x:c r="E434" t="str">
        <x:v>customer referral</x:v>
      </x:c>
      <x:c r="F434" t="str">
        <x:v>MKT-AUTO</x:v>
      </x:c>
      <x:c r="G434" t="str">
        <x:v>Education</x:v>
      </x:c>
      <x:c r="H434" t="str">
        <x:v>Mid-Market</x:v>
      </x:c>
      <x:c r="I434" t="str">
        <x:v>Closed Won</x:v>
      </x:c>
      <x:c r="J434" s="10" t="n">
        <x:v>45877</x:v>
      </x:c>
      <x:c r="K434" s="10" t="n">
        <x:v>45877</x:v>
      </x:c>
      <x:c r="L434" s="22" t="n">
        <x:v>25500</x:v>
      </x:c>
      <x:c r="M434" s="24" t="n">
        <x:v>0.08</x:v>
      </x:c>
      <x:c r="N434" s="24" t="n">
        <x:v>1</x:v>
      </x:c>
      <x:c r="O434" t="str"/>
      <x:c r="P434" t="n">
        <x:v>6</x:v>
      </x:c>
      <x:c r="Q434" t="str">
        <x:f>IFERROR(XLOOKUP(E434,Lookups!$A$5:$A$24,Lookups!$B$5:$B$24),"Other")</x:f>
        <x:v>Referral</x:v>
      </x:c>
      <x:c r="R434" t="str">
        <x:f>IFERROR(XLOOKUP(F434,Lookups!$D$5:$D$10,Lookups!$E$5:$E$10),"Unknown Product")</x:f>
        <x:v>Marketing Automation</x:v>
      </x:c>
      <x:c r="S434" t="str">
        <x:f>IFERROR(XLOOKUP(F434,Lookups!$D$5:$D$10,Lookups!$F$5:$F$10),"Unknown")</x:f>
        <x:v>Marketing</x:v>
      </x:c>
      <x:c r="T434" t="str">
        <x:f>IF(L434&gt;=50000,"Enterprise",IF(L434&gt;=20000,"Mid-Market","SMB"))</x:f>
        <x:v>Mid-Market</x:v>
      </x:c>
      <x:c r="U434" t="str">
        <x:f>IF(I434="Closed Won","Won",IF(I434="Closed Lost","Lost","Open"))</x:f>
        <x:v>Won</x:v>
      </x:c>
      <x:c r="V434" s="22" t="n">
        <x:f>IF(U434="Won",L434*(1-M434),0)</x:f>
        <x:v>23460</x:v>
      </x:c>
      <x:c r="W434" s="22" t="n">
        <x:f>IF(U434="Open",L434*N434,0)</x:f>
        <x:v>0</x:v>
      </x:c>
      <x:c r="X434" s="26" t="n">
        <x:f>IF(U434="Open","",IFERROR(K434-B434,""))</x:f>
        <x:v>75</x:v>
      </x:c>
      <x:c r="Y434" s="26" t="n">
        <x:f>IF(U434="Open",Lookups!$B$2-B434,X434)</x:f>
        <x:v>75</x:v>
      </x:c>
      <x:c r="Z434" t="str">
        <x:f>IF(AND(U434="Open",Y434&gt;30),"STALE","OK")</x:f>
        <x:v>OK</x:v>
      </x:c>
      <x:c r="AA434" t="str">
        <x:f>TEXT(B434,"yyyy-mm")</x:f>
        <x:v>2025-05</x:v>
      </x:c>
      <x:c r="AB434" t="str">
        <x:f>IF(K434="","",TEXT(K434,"yyyy-mm"))</x:f>
        <x:v>2025-08</x:v>
      </x:c>
      <x:c r="AC434" t="str">
        <x:f>"Q"&amp;ROUNDUP(MONTH(B434)/3,0)&amp;"-"&amp;YEAR(B434)</x:f>
        <x:v>Q2-2025</x:v>
      </x:c>
      <x:c r="AD434" s="26" t="n">
        <x:f>MIN(100,IF(H434="Enterprise",30,IF(H434="Mid-Market",22,14))+IF(T434="Enterprise",25,IF(T434="Mid-Market",18,10))+IF(Q434="Referral",25,IF(Q434="Organic Search",20,IF(Q434="Email",18,14)))+IF(G434="Technology",10,5))</x:f>
        <x:v>70</x:v>
      </x:c>
      <x:c r="AE434" t="str">
        <x:f>IF(U434&lt;&gt;"Open",U434,IF(N434&gt;=0.8,"Commit",IF(N434&gt;=0.5,"Best Case","Pipeline")))</x:f>
        <x:v>Won</x:v>
      </x:c>
    </x:row>
    <x:row r="435">
      <x:c r="A435" t="str">
        <x:v>L00434</x:v>
      </x:c>
      <x:c r="B435" s="10" t="n">
        <x:v>45834</x:v>
      </x:c>
      <x:c r="C435" t="str">
        <x:v>Minh Do</x:v>
      </x:c>
      <x:c r="D435" t="str">
        <x:v>North</x:v>
      </x:c>
      <x:c r="E435" t="str">
        <x:v>Email Campaign</x:v>
      </x:c>
      <x:c r="F435" t="str">
        <x:v>CRM-PRO</x:v>
      </x:c>
      <x:c r="G435" t="str">
        <x:v>Retail</x:v>
      </x:c>
      <x:c r="H435" t="str">
        <x:v>SMB</x:v>
      </x:c>
      <x:c r="I435" t="str">
        <x:v>Closed Won</x:v>
      </x:c>
      <x:c r="J435" s="10" t="n">
        <x:v>45868</x:v>
      </x:c>
      <x:c r="K435" s="10" t="n">
        <x:v>45868</x:v>
      </x:c>
      <x:c r="L435" s="22" t="n">
        <x:v>18100</x:v>
      </x:c>
      <x:c r="M435" s="24" t="n">
        <x:v>0</x:v>
      </x:c>
      <x:c r="N435" s="24" t="n">
        <x:v>1</x:v>
      </x:c>
      <x:c r="O435" t="str"/>
      <x:c r="P435" t="n">
        <x:v>6</x:v>
      </x:c>
      <x:c r="Q435" t="str">
        <x:f>IFERROR(XLOOKUP(E435,Lookups!$A$5:$A$24,Lookups!$B$5:$B$24),"Other")</x:f>
        <x:v>Email</x:v>
      </x:c>
      <x:c r="R435" t="str">
        <x:f>IFERROR(XLOOKUP(F435,Lookups!$D$5:$D$10,Lookups!$E$5:$E$10),"Unknown Product")</x:f>
        <x:v>NexaCRM Pro</x:v>
      </x:c>
      <x:c r="S435" t="str">
        <x:f>IFERROR(XLOOKUP(F435,Lookups!$D$5:$D$10,Lookups!$F$5:$F$10),"Unknown")</x:f>
        <x:v>CRM</x:v>
      </x:c>
      <x:c r="T435" t="str">
        <x:f>IF(L435&gt;=50000,"Enterprise",IF(L435&gt;=20000,"Mid-Market","SMB"))</x:f>
        <x:v>SMB</x:v>
      </x:c>
      <x:c r="U435" t="str">
        <x:f>IF(I435="Closed Won","Won",IF(I435="Closed Lost","Lost","Open"))</x:f>
        <x:v>Won</x:v>
      </x:c>
      <x:c r="V435" s="22" t="n">
        <x:f>IF(U435="Won",L435*(1-M435),0)</x:f>
        <x:v>18100</x:v>
      </x:c>
      <x:c r="W435" s="22" t="n">
        <x:f>IF(U435="Open",L435*N435,0)</x:f>
        <x:v>0</x:v>
      </x:c>
      <x:c r="X435" s="26" t="n">
        <x:f>IF(U435="Open","",IFERROR(K435-B435,""))</x:f>
        <x:v>34</x:v>
      </x:c>
      <x:c r="Y435" s="26" t="n">
        <x:f>IF(U435="Open",Lookups!$B$2-B435,X435)</x:f>
        <x:v>34</x:v>
      </x:c>
      <x:c r="Z435" t="str">
        <x:f>IF(AND(U435="Open",Y435&gt;30),"STALE","OK")</x:f>
        <x:v>OK</x:v>
      </x:c>
      <x:c r="AA435" t="str">
        <x:f>TEXT(B435,"yyyy-mm")</x:f>
        <x:v>2025-06</x:v>
      </x:c>
      <x:c r="AB435" t="str">
        <x:f>IF(K435="","",TEXT(K435,"yyyy-mm"))</x:f>
        <x:v>2025-07</x:v>
      </x:c>
      <x:c r="AC435" t="str">
        <x:f>"Q"&amp;ROUNDUP(MONTH(B435)/3,0)&amp;"-"&amp;YEAR(B435)</x:f>
        <x:v>Q2-2025</x:v>
      </x:c>
      <x:c r="AD435" s="26" t="n">
        <x:f>MIN(100,IF(H435="Enterprise",30,IF(H435="Mid-Market",22,14))+IF(T435="Enterprise",25,IF(T435="Mid-Market",18,10))+IF(Q435="Referral",25,IF(Q435="Organic Search",20,IF(Q435="Email",18,14)))+IF(G435="Technology",10,5))</x:f>
        <x:v>47</x:v>
      </x:c>
      <x:c r="AE435" t="str">
        <x:f>IF(U435&lt;&gt;"Open",U435,IF(N435&gt;=0.8,"Commit",IF(N435&gt;=0.5,"Best Case","Pipeline")))</x:f>
        <x:v>Won</x:v>
      </x:c>
    </x:row>
    <x:row r="436">
      <x:c r="A436" t="str">
        <x:v>L00435</x:v>
      </x:c>
      <x:c r="B436" s="10" t="n">
        <x:v>46051</x:v>
      </x:c>
      <x:c r="C436" t="str">
        <x:v>Minh Do</x:v>
      </x:c>
      <x:c r="D436" t="str">
        <x:v>North</x:v>
      </x:c>
      <x:c r="E436" t="str">
        <x:v>customer referral</x:v>
      </x:c>
      <x:c r="F436" t="str">
        <x:v>REV-OPS</x:v>
      </x:c>
      <x:c r="G436" t="str">
        <x:v>Financial Services</x:v>
      </x:c>
      <x:c r="H436" t="str">
        <x:v>Mid-Market</x:v>
      </x:c>
      <x:c r="I436" t="str">
        <x:v>Negotiation</x:v>
      </x:c>
      <x:c r="J436" s="10" t="n">
        <x:v>46213</x:v>
      </x:c>
      <x:c r="K436" s="10"/>
      <x:c r="L436" s="22" t="n">
        <x:v>38800</x:v>
      </x:c>
      <x:c r="M436" s="24" t="n">
        <x:v>0.05</x:v>
      </x:c>
      <x:c r="N436" s="24" t="n">
        <x:v>0.85</x:v>
      </x:c>
      <x:c r="O436" t="str"/>
      <x:c r="P436" t="n">
        <x:v>5</x:v>
      </x:c>
      <x:c r="Q436" t="str">
        <x:f>IFERROR(XLOOKUP(E436,Lookups!$A$5:$A$24,Lookups!$B$5:$B$24),"Other")</x:f>
        <x:v>Referral</x:v>
      </x:c>
      <x:c r="R436" t="str">
        <x:f>IFERROR(XLOOKUP(F436,Lookups!$D$5:$D$10,Lookups!$E$5:$E$10),"Unknown Product")</x:f>
        <x:v>Revenue Operations Suite</x:v>
      </x:c>
      <x:c r="S436" t="str">
        <x:f>IFERROR(XLOOKUP(F436,Lookups!$D$5:$D$10,Lookups!$F$5:$F$10),"Unknown")</x:f>
        <x:v>Revenue Ops</x:v>
      </x:c>
      <x:c r="T436" t="str">
        <x:f>IF(L436&gt;=50000,"Enterprise",IF(L436&gt;=20000,"Mid-Market","SMB"))</x:f>
        <x:v>Mid-Market</x:v>
      </x:c>
      <x:c r="U436" t="str">
        <x:f>IF(I436="Closed Won","Won",IF(I436="Closed Lost","Lost","Open"))</x:f>
        <x:v>Open</x:v>
      </x:c>
      <x:c r="V436" s="22" t="n">
        <x:f>IF(U436="Won",L436*(1-M436),0)</x:f>
        <x:v>0</x:v>
      </x:c>
      <x:c r="W436" s="22" t="n">
        <x:f>IF(U436="Open",L436*N436,0)</x:f>
        <x:v>32980</x:v>
      </x:c>
      <x:c r="X436" s="26" t="str">
        <x:f>IF(U436="Open","",IFERROR(K436-B436,""))</x:f>
      </x:c>
      <x:c r="Y436" s="26" t="n">
        <x:f>IF(U436="Open",Lookups!$B$2-B436,X436)</x:f>
        <x:v>215</x:v>
      </x:c>
      <x:c r="Z436" t="str">
        <x:f>IF(AND(U436="Open",Y436&gt;30),"STALE","OK")</x:f>
        <x:v>STALE</x:v>
      </x:c>
      <x:c r="AA436" t="str">
        <x:f>TEXT(B436,"yyyy-mm")</x:f>
        <x:v>2026-01</x:v>
      </x:c>
      <x:c r="AB436" t="str">
        <x:f>IF(K436="","",TEXT(K436,"yyyy-mm"))</x:f>
      </x:c>
      <x:c r="AC436" t="str">
        <x:f>"Q"&amp;ROUNDUP(MONTH(B436)/3,0)&amp;"-"&amp;YEAR(B436)</x:f>
        <x:v>Q1-2026</x:v>
      </x:c>
      <x:c r="AD436" s="26" t="n">
        <x:f>MIN(100,IF(H436="Enterprise",30,IF(H436="Mid-Market",22,14))+IF(T436="Enterprise",25,IF(T436="Mid-Market",18,10))+IF(Q436="Referral",25,IF(Q436="Organic Search",20,IF(Q436="Email",18,14)))+IF(G436="Technology",10,5))</x:f>
        <x:v>70</x:v>
      </x:c>
      <x:c r="AE436" t="str">
        <x:f>IF(U436&lt;&gt;"Open",U436,IF(N436&gt;=0.8,"Commit",IF(N436&gt;=0.5,"Best Case","Pipeline")))</x:f>
        <x:v>Commit</x:v>
      </x:c>
    </x:row>
    <x:row r="437">
      <x:c r="A437" t="str">
        <x:v>L00436</x:v>
      </x:c>
      <x:c r="B437" s="10" t="n">
        <x:v>45976</x:v>
      </x:c>
      <x:c r="C437" t="str">
        <x:v>Chi Le</x:v>
      </x:c>
      <x:c r="D437" t="str">
        <x:v>South</x:v>
      </x:c>
      <x:c r="E437" t="str">
        <x:v>SDR Outreach</x:v>
      </x:c>
      <x:c r="F437" t="str">
        <x:v>CS-CLOUD</x:v>
      </x:c>
      <x:c r="G437" t="str">
        <x:v>Technology</x:v>
      </x:c>
      <x:c r="H437" t="str">
        <x:v>SMB</x:v>
      </x:c>
      <x:c r="I437" t="str">
        <x:v>Closed Won</x:v>
      </x:c>
      <x:c r="J437" s="10" t="n">
        <x:v>46062</x:v>
      </x:c>
      <x:c r="K437" s="10" t="n">
        <x:v>46062</x:v>
      </x:c>
      <x:c r="L437" s="22" t="n">
        <x:v>25000</x:v>
      </x:c>
      <x:c r="M437" s="24" t="n">
        <x:v>0</x:v>
      </x:c>
      <x:c r="N437" s="24" t="n">
        <x:v>1</x:v>
      </x:c>
      <x:c r="O437" t="str"/>
      <x:c r="P437" t="n">
        <x:v>6</x:v>
      </x:c>
      <x:c r="Q437" t="str">
        <x:f>IFERROR(XLOOKUP(E437,Lookups!$A$5:$A$24,Lookups!$B$5:$B$24),"Other")</x:f>
        <x:v>Outbound</x:v>
      </x:c>
      <x:c r="R437" t="str">
        <x:f>IFERROR(XLOOKUP(F437,Lookups!$D$5:$D$10,Lookups!$E$5:$E$10),"Unknown Product")</x:f>
        <x:v>Service Cloud</x:v>
      </x:c>
      <x:c r="S437" t="str">
        <x:f>IFERROR(XLOOKUP(F437,Lookups!$D$5:$D$10,Lookups!$F$5:$F$10),"Unknown")</x:f>
        <x:v>Customer Service</x:v>
      </x:c>
      <x:c r="T437" t="str">
        <x:f>IF(L437&gt;=50000,"Enterprise",IF(L437&gt;=20000,"Mid-Market","SMB"))</x:f>
        <x:v>Mid-Market</x:v>
      </x:c>
      <x:c r="U437" t="str">
        <x:f>IF(I437="Closed Won","Won",IF(I437="Closed Lost","Lost","Open"))</x:f>
        <x:v>Won</x:v>
      </x:c>
      <x:c r="V437" s="22" t="n">
        <x:f>IF(U437="Won",L437*(1-M437),0)</x:f>
        <x:v>25000</x:v>
      </x:c>
      <x:c r="W437" s="22" t="n">
        <x:f>IF(U437="Open",L437*N437,0)</x:f>
        <x:v>0</x:v>
      </x:c>
      <x:c r="X437" s="26" t="n">
        <x:f>IF(U437="Open","",IFERROR(K437-B437,""))</x:f>
        <x:v>86</x:v>
      </x:c>
      <x:c r="Y437" s="26" t="n">
        <x:f>IF(U437="Open",Lookups!$B$2-B437,X437)</x:f>
        <x:v>86</x:v>
      </x:c>
      <x:c r="Z437" t="str">
        <x:f>IF(AND(U437="Open",Y437&gt;30),"STALE","OK")</x:f>
        <x:v>OK</x:v>
      </x:c>
      <x:c r="AA437" t="str">
        <x:f>TEXT(B437,"yyyy-mm")</x:f>
        <x:v>2025-11</x:v>
      </x:c>
      <x:c r="AB437" t="str">
        <x:f>IF(K437="","",TEXT(K437,"yyyy-mm"))</x:f>
        <x:v>2026-02</x:v>
      </x:c>
      <x:c r="AC437" t="str">
        <x:f>"Q"&amp;ROUNDUP(MONTH(B437)/3,0)&amp;"-"&amp;YEAR(B437)</x:f>
        <x:v>Q4-2025</x:v>
      </x:c>
      <x:c r="AD437" s="26" t="n">
        <x:f>MIN(100,IF(H437="Enterprise",30,IF(H437="Mid-Market",22,14))+IF(T437="Enterprise",25,IF(T437="Mid-Market",18,10))+IF(Q437="Referral",25,IF(Q437="Organic Search",20,IF(Q437="Email",18,14)))+IF(G437="Technology",10,5))</x:f>
        <x:v>56</x:v>
      </x:c>
      <x:c r="AE437" t="str">
        <x:f>IF(U437&lt;&gt;"Open",U437,IF(N437&gt;=0.8,"Commit",IF(N437&gt;=0.5,"Best Case","Pipeline")))</x:f>
        <x:v>Won</x:v>
      </x:c>
    </x:row>
    <x:row r="438">
      <x:c r="A438" t="str">
        <x:v>L00437</x:v>
      </x:c>
      <x:c r="B438" s="10" t="n">
        <x:v>46097</x:v>
      </x:c>
      <x:c r="C438" t="str">
        <x:v>Quynh Vu</x:v>
      </x:c>
      <x:c r="D438" t="str">
        <x:v>North</x:v>
      </x:c>
      <x:c r="E438" t="str">
        <x:v>SDR Outreach</x:v>
      </x:c>
      <x:c r="F438" t="str">
        <x:v>CRM-PRO</x:v>
      </x:c>
      <x:c r="G438" t="str">
        <x:v>Professional Services</x:v>
      </x:c>
      <x:c r="H438" t="str">
        <x:v>Enterprise</x:v>
      </x:c>
      <x:c r="I438" t="str">
        <x:v>Closed Won</x:v>
      </x:c>
      <x:c r="J438" s="10" t="n">
        <x:v>46197</x:v>
      </x:c>
      <x:c r="K438" s="10" t="n">
        <x:v>46197</x:v>
      </x:c>
      <x:c r="L438" s="22" t="n">
        <x:v>87900</x:v>
      </x:c>
      <x:c r="M438" s="24" t="n">
        <x:v>0.12</x:v>
      </x:c>
      <x:c r="N438" s="24" t="n">
        <x:v>1</x:v>
      </x:c>
      <x:c r="O438" t="str"/>
      <x:c r="P438" t="n">
        <x:v>6</x:v>
      </x:c>
      <x:c r="Q438" t="str">
        <x:f>IFERROR(XLOOKUP(E438,Lookups!$A$5:$A$24,Lookups!$B$5:$B$24),"Other")</x:f>
        <x:v>Outbound</x:v>
      </x:c>
      <x:c r="R438" t="str">
        <x:f>IFERROR(XLOOKUP(F438,Lookups!$D$5:$D$10,Lookups!$E$5:$E$10),"Unknown Product")</x:f>
        <x:v>NexaCRM Pro</x:v>
      </x:c>
      <x:c r="S438" t="str">
        <x:f>IFERROR(XLOOKUP(F438,Lookups!$D$5:$D$10,Lookups!$F$5:$F$10),"Unknown")</x:f>
        <x:v>CRM</x:v>
      </x:c>
      <x:c r="T438" t="str">
        <x:f>IF(L438&gt;=50000,"Enterprise",IF(L438&gt;=20000,"Mid-Market","SMB"))</x:f>
        <x:v>Enterprise</x:v>
      </x:c>
      <x:c r="U438" t="str">
        <x:f>IF(I438="Closed Won","Won",IF(I438="Closed Lost","Lost","Open"))</x:f>
        <x:v>Won</x:v>
      </x:c>
      <x:c r="V438" s="22" t="n">
        <x:f>IF(U438="Won",L438*(1-M438),0)</x:f>
        <x:v>77352</x:v>
      </x:c>
      <x:c r="W438" s="22" t="n">
        <x:f>IF(U438="Open",L438*N438,0)</x:f>
        <x:v>0</x:v>
      </x:c>
      <x:c r="X438" s="26" t="n">
        <x:f>IF(U438="Open","",IFERROR(K438-B438,""))</x:f>
        <x:v>100</x:v>
      </x:c>
      <x:c r="Y438" s="26" t="n">
        <x:f>IF(U438="Open",Lookups!$B$2-B438,X438)</x:f>
        <x:v>100</x:v>
      </x:c>
      <x:c r="Z438" t="str">
        <x:f>IF(AND(U438="Open",Y438&gt;30),"STALE","OK")</x:f>
        <x:v>OK</x:v>
      </x:c>
      <x:c r="AA438" t="str">
        <x:f>TEXT(B438,"yyyy-mm")</x:f>
        <x:v>2026-03</x:v>
      </x:c>
      <x:c r="AB438" t="str">
        <x:f>IF(K438="","",TEXT(K438,"yyyy-mm"))</x:f>
        <x:v>2026-06</x:v>
      </x:c>
      <x:c r="AC438" t="str">
        <x:f>"Q"&amp;ROUNDUP(MONTH(B438)/3,0)&amp;"-"&amp;YEAR(B438)</x:f>
        <x:v>Q1-2026</x:v>
      </x:c>
      <x:c r="AD438" s="26" t="n">
        <x:f>MIN(100,IF(H438="Enterprise",30,IF(H438="Mid-Market",22,14))+IF(T438="Enterprise",25,IF(T438="Mid-Market",18,10))+IF(Q438="Referral",25,IF(Q438="Organic Search",20,IF(Q438="Email",18,14)))+IF(G438="Technology",10,5))</x:f>
        <x:v>74</x:v>
      </x:c>
      <x:c r="AE438" t="str">
        <x:f>IF(U438&lt;&gt;"Open",U438,IF(N438&gt;=0.8,"Commit",IF(N438&gt;=0.5,"Best Case","Pipeline")))</x:f>
        <x:v>Won</x:v>
      </x:c>
    </x:row>
    <x:row r="439">
      <x:c r="A439" t="str">
        <x:v>L00438</x:v>
      </x:c>
      <x:c r="B439" s="10" t="n">
        <x:v>45949</x:v>
      </x:c>
      <x:c r="C439" t="str">
        <x:v>An Nguyen</x:v>
      </x:c>
      <x:c r="D439" t="str">
        <x:v>South</x:v>
      </x:c>
      <x:c r="E439" t="str">
        <x:v>Webinar</x:v>
      </x:c>
      <x:c r="F439" t="str">
        <x:v>CRM-CORE</x:v>
      </x:c>
      <x:c r="G439" t="str">
        <x:v>Healthcare</x:v>
      </x:c>
      <x:c r="H439" t="str">
        <x:v>Mid-Market</x:v>
      </x:c>
      <x:c r="I439" t="str">
        <x:v>Closed Lost</x:v>
      </x:c>
      <x:c r="J439" s="10" t="n">
        <x:v>45989</x:v>
      </x:c>
      <x:c r="K439" s="10" t="n">
        <x:v>45989</x:v>
      </x:c>
      <x:c r="L439" s="22" t="n">
        <x:v>16600</x:v>
      </x:c>
      <x:c r="M439" s="24" t="n">
        <x:v>0</x:v>
      </x:c>
      <x:c r="N439" s="24" t="n">
        <x:v>0</x:v>
      </x:c>
      <x:c r="O439" t="str">
        <x:v>Competitor</x:v>
      </x:c>
      <x:c r="P439" t="n">
        <x:v>4</x:v>
      </x:c>
      <x:c r="Q439" t="str">
        <x:f>IFERROR(XLOOKUP(E439,Lookups!$A$5:$A$24,Lookups!$B$5:$B$24),"Other")</x:f>
        <x:v>Webinar</x:v>
      </x:c>
      <x:c r="R439" t="str">
        <x:f>IFERROR(XLOOKUP(F439,Lookups!$D$5:$D$10,Lookups!$E$5:$E$10),"Unknown Product")</x:f>
        <x:v>NexaCRM Core</x:v>
      </x:c>
      <x:c r="S439" t="str">
        <x:f>IFERROR(XLOOKUP(F439,Lookups!$D$5:$D$10,Lookups!$F$5:$F$10),"Unknown")</x:f>
        <x:v>CRM</x:v>
      </x:c>
      <x:c r="T439" t="str">
        <x:f>IF(L439&gt;=50000,"Enterprise",IF(L439&gt;=20000,"Mid-Market","SMB"))</x:f>
        <x:v>SMB</x:v>
      </x:c>
      <x:c r="U439" t="str">
        <x:f>IF(I439="Closed Won","Won",IF(I439="Closed Lost","Lost","Open"))</x:f>
        <x:v>Lost</x:v>
      </x:c>
      <x:c r="V439" s="22" t="n">
        <x:f>IF(U439="Won",L439*(1-M439),0)</x:f>
        <x:v>0</x:v>
      </x:c>
      <x:c r="W439" s="22" t="n">
        <x:f>IF(U439="Open",L439*N439,0)</x:f>
        <x:v>0</x:v>
      </x:c>
      <x:c r="X439" s="26" t="n">
        <x:f>IF(U439="Open","",IFERROR(K439-B439,""))</x:f>
        <x:v>40</x:v>
      </x:c>
      <x:c r="Y439" s="26" t="n">
        <x:f>IF(U439="Open",Lookups!$B$2-B439,X439)</x:f>
        <x:v>40</x:v>
      </x:c>
      <x:c r="Z439" t="str">
        <x:f>IF(AND(U439="Open",Y439&gt;30),"STALE","OK")</x:f>
        <x:v>OK</x:v>
      </x:c>
      <x:c r="AA439" t="str">
        <x:f>TEXT(B439,"yyyy-mm")</x:f>
        <x:v>2025-10</x:v>
      </x:c>
      <x:c r="AB439" t="str">
        <x:f>IF(K439="","",TEXT(K439,"yyyy-mm"))</x:f>
        <x:v>2025-11</x:v>
      </x:c>
      <x:c r="AC439" t="str">
        <x:f>"Q"&amp;ROUNDUP(MONTH(B439)/3,0)&amp;"-"&amp;YEAR(B439)</x:f>
        <x:v>Q4-2025</x:v>
      </x:c>
      <x:c r="AD439" s="26" t="n">
        <x:f>MIN(100,IF(H439="Enterprise",30,IF(H439="Mid-Market",22,14))+IF(T439="Enterprise",25,IF(T439="Mid-Market",18,10))+IF(Q439="Referral",25,IF(Q439="Organic Search",20,IF(Q439="Email",18,14)))+IF(G439="Technology",10,5))</x:f>
        <x:v>51</x:v>
      </x:c>
      <x:c r="AE439" t="str">
        <x:f>IF(U439&lt;&gt;"Open",U439,IF(N439&gt;=0.8,"Commit",IF(N439&gt;=0.5,"Best Case","Pipeline")))</x:f>
        <x:v>Lost</x:v>
      </x:c>
    </x:row>
    <x:row r="440">
      <x:c r="A440" t="str">
        <x:v>L00439</x:v>
      </x:c>
      <x:c r="B440" s="10" t="n">
        <x:v>46129</x:v>
      </x:c>
      <x:c r="C440" t="str">
        <x:v>Bao Tran</x:v>
      </x:c>
      <x:c r="D440" t="str">
        <x:v>South</x:v>
      </x:c>
      <x:c r="E440" t="str">
        <x:v>Google Ads</x:v>
      </x:c>
      <x:c r="F440" t="str">
        <x:v>REV-OPS</x:v>
      </x:c>
      <x:c r="G440" t="str">
        <x:v>Healthcare</x:v>
      </x:c>
      <x:c r="H440" t="str">
        <x:v>Mid-Market</x:v>
      </x:c>
      <x:c r="I440" t="str">
        <x:v>Closed Lost</x:v>
      </x:c>
      <x:c r="J440" s="10" t="n">
        <x:v>46180</x:v>
      </x:c>
      <x:c r="K440" s="10" t="n">
        <x:v>46180</x:v>
      </x:c>
      <x:c r="L440" s="22" t="n">
        <x:v>62400</x:v>
      </x:c>
      <x:c r="M440" s="24" t="n">
        <x:v>0</x:v>
      </x:c>
      <x:c r="N440" s="24" t="n">
        <x:v>0</x:v>
      </x:c>
      <x:c r="O440" t="str">
        <x:v>Price</x:v>
      </x:c>
      <x:c r="P440" t="n">
        <x:v>4</x:v>
      </x:c>
      <x:c r="Q440" t="str">
        <x:f>IFERROR(XLOOKUP(E440,Lookups!$A$5:$A$24,Lookups!$B$5:$B$24),"Other")</x:f>
        <x:v>Paid Search</x:v>
      </x:c>
      <x:c r="R440" t="str">
        <x:f>IFERROR(XLOOKUP(F440,Lookups!$D$5:$D$10,Lookups!$E$5:$E$10),"Unknown Product")</x:f>
        <x:v>Revenue Operations Suite</x:v>
      </x:c>
      <x:c r="S440" t="str">
        <x:f>IFERROR(XLOOKUP(F440,Lookups!$D$5:$D$10,Lookups!$F$5:$F$10),"Unknown")</x:f>
        <x:v>Revenue Ops</x:v>
      </x:c>
      <x:c r="T440" t="str">
        <x:f>IF(L440&gt;=50000,"Enterprise",IF(L440&gt;=20000,"Mid-Market","SMB"))</x:f>
        <x:v>Enterprise</x:v>
      </x:c>
      <x:c r="U440" t="str">
        <x:f>IF(I440="Closed Won","Won",IF(I440="Closed Lost","Lost","Open"))</x:f>
        <x:v>Lost</x:v>
      </x:c>
      <x:c r="V440" s="22" t="n">
        <x:f>IF(U440="Won",L440*(1-M440),0)</x:f>
        <x:v>0</x:v>
      </x:c>
      <x:c r="W440" s="22" t="n">
        <x:f>IF(U440="Open",L440*N440,0)</x:f>
        <x:v>0</x:v>
      </x:c>
      <x:c r="X440" s="26" t="n">
        <x:f>IF(U440="Open","",IFERROR(K440-B440,""))</x:f>
        <x:v>51</x:v>
      </x:c>
      <x:c r="Y440" s="26" t="n">
        <x:f>IF(U440="Open",Lookups!$B$2-B440,X440)</x:f>
        <x:v>51</x:v>
      </x:c>
      <x:c r="Z440" t="str">
        <x:f>IF(AND(U440="Open",Y440&gt;30),"STALE","OK")</x:f>
        <x:v>OK</x:v>
      </x:c>
      <x:c r="AA440" t="str">
        <x:f>TEXT(B440,"yyyy-mm")</x:f>
        <x:v>2026-04</x:v>
      </x:c>
      <x:c r="AB440" t="str">
        <x:f>IF(K440="","",TEXT(K440,"yyyy-mm"))</x:f>
        <x:v>2026-06</x:v>
      </x:c>
      <x:c r="AC440" t="str">
        <x:f>"Q"&amp;ROUNDUP(MONTH(B440)/3,0)&amp;"-"&amp;YEAR(B440)</x:f>
        <x:v>Q2-2026</x:v>
      </x:c>
      <x:c r="AD440" s="26" t="n">
        <x:f>MIN(100,IF(H440="Enterprise",30,IF(H440="Mid-Market",22,14))+IF(T440="Enterprise",25,IF(T440="Mid-Market",18,10))+IF(Q440="Referral",25,IF(Q440="Organic Search",20,IF(Q440="Email",18,14)))+IF(G440="Technology",10,5))</x:f>
        <x:v>66</x:v>
      </x:c>
      <x:c r="AE440" t="str">
        <x:f>IF(U440&lt;&gt;"Open",U440,IF(N440&gt;=0.8,"Commit",IF(N440&gt;=0.5,"Best Case","Pipeline")))</x:f>
        <x:v>Lost</x:v>
      </x:c>
    </x:row>
    <x:row r="441">
      <x:c r="A441" t="str">
        <x:v>L00440</x:v>
      </x:c>
      <x:c r="B441" s="10" t="n">
        <x:v>46066</x:v>
      </x:c>
      <x:c r="C441" t="str">
        <x:v>Tuan Bui</x:v>
      </x:c>
      <x:c r="D441" t="str">
        <x:v>Central</x:v>
      </x:c>
      <x:c r="E441" t="str">
        <x:v>organic search</x:v>
      </x:c>
      <x:c r="F441" t="str">
        <x:v>MKT-AUTO</x:v>
      </x:c>
      <x:c r="G441" t="str">
        <x:v>Financial Services</x:v>
      </x:c>
      <x:c r="H441" t="str">
        <x:v>SMB</x:v>
      </x:c>
      <x:c r="I441" t="str">
        <x:v>Closed Won</x:v>
      </x:c>
      <x:c r="J441" s="10" t="n">
        <x:v>46078</x:v>
      </x:c>
      <x:c r="K441" s="10" t="n">
        <x:v>46078</x:v>
      </x:c>
      <x:c r="L441" s="22" t="n">
        <x:v>16800</x:v>
      </x:c>
      <x:c r="M441" s="24" t="n">
        <x:v>0.05</x:v>
      </x:c>
      <x:c r="N441" s="24" t="n">
        <x:v>1</x:v>
      </x:c>
      <x:c r="O441" t="str"/>
      <x:c r="P441" t="n">
        <x:v>6</x:v>
      </x:c>
      <x:c r="Q441" t="str">
        <x:f>IFERROR(XLOOKUP(E441,Lookups!$A$5:$A$24,Lookups!$B$5:$B$24),"Other")</x:f>
        <x:v>Organic Search</x:v>
      </x:c>
      <x:c r="R441" t="str">
        <x:f>IFERROR(XLOOKUP(F441,Lookups!$D$5:$D$10,Lookups!$E$5:$E$10),"Unknown Product")</x:f>
        <x:v>Marketing Automation</x:v>
      </x:c>
      <x:c r="S441" t="str">
        <x:f>IFERROR(XLOOKUP(F441,Lookups!$D$5:$D$10,Lookups!$F$5:$F$10),"Unknown")</x:f>
        <x:v>Marketing</x:v>
      </x:c>
      <x:c r="T441" t="str">
        <x:f>IF(L441&gt;=50000,"Enterprise",IF(L441&gt;=20000,"Mid-Market","SMB"))</x:f>
        <x:v>SMB</x:v>
      </x:c>
      <x:c r="U441" t="str">
        <x:f>IF(I441="Closed Won","Won",IF(I441="Closed Lost","Lost","Open"))</x:f>
        <x:v>Won</x:v>
      </x:c>
      <x:c r="V441" s="22" t="n">
        <x:f>IF(U441="Won",L441*(1-M441),0)</x:f>
        <x:v>15960</x:v>
      </x:c>
      <x:c r="W441" s="22" t="n">
        <x:f>IF(U441="Open",L441*N441,0)</x:f>
        <x:v>0</x:v>
      </x:c>
      <x:c r="X441" s="26" t="n">
        <x:f>IF(U441="Open","",IFERROR(K441-B441,""))</x:f>
        <x:v>12</x:v>
      </x:c>
      <x:c r="Y441" s="26" t="n">
        <x:f>IF(U441="Open",Lookups!$B$2-B441,X441)</x:f>
        <x:v>12</x:v>
      </x:c>
      <x:c r="Z441" t="str">
        <x:f>IF(AND(U441="Open",Y441&gt;30),"STALE","OK")</x:f>
        <x:v>OK</x:v>
      </x:c>
      <x:c r="AA441" t="str">
        <x:f>TEXT(B441,"yyyy-mm")</x:f>
        <x:v>2026-02</x:v>
      </x:c>
      <x:c r="AB441" t="str">
        <x:f>IF(K441="","",TEXT(K441,"yyyy-mm"))</x:f>
        <x:v>2026-02</x:v>
      </x:c>
      <x:c r="AC441" t="str">
        <x:f>"Q"&amp;ROUNDUP(MONTH(B441)/3,0)&amp;"-"&amp;YEAR(B441)</x:f>
        <x:v>Q1-2026</x:v>
      </x:c>
      <x:c r="AD441" s="26" t="n">
        <x:f>MIN(100,IF(H441="Enterprise",30,IF(H441="Mid-Market",22,14))+IF(T441="Enterprise",25,IF(T441="Mid-Market",18,10))+IF(Q441="Referral",25,IF(Q441="Organic Search",20,IF(Q441="Email",18,14)))+IF(G441="Technology",10,5))</x:f>
        <x:v>49</x:v>
      </x:c>
      <x:c r="AE441" t="str">
        <x:f>IF(U441&lt;&gt;"Open",U441,IF(N441&gt;=0.8,"Commit",IF(N441&gt;=0.5,"Best Case","Pipeline")))</x:f>
        <x:v>Won</x:v>
      </x:c>
    </x:row>
    <x:row r="442">
      <x:c r="A442" t="str">
        <x:v>L00441</x:v>
      </x:c>
      <x:c r="B442" s="10" t="n">
        <x:v>45836</x:v>
      </x:c>
      <x:c r="C442" t="str">
        <x:v>Bao Tran</x:v>
      </x:c>
      <x:c r="D442" t="str">
        <x:v>South</x:v>
      </x:c>
      <x:c r="E442" t="str">
        <x:v>Google Ads</x:v>
      </x:c>
      <x:c r="F442" t="str">
        <x:v>CRM-PRO</x:v>
      </x:c>
      <x:c r="G442" t="str">
        <x:v>Retail</x:v>
      </x:c>
      <x:c r="H442" t="str">
        <x:v>Mid-Market</x:v>
      </x:c>
      <x:c r="I442" t="str">
        <x:v>Negotiation</x:v>
      </x:c>
      <x:c r="J442" s="10" t="n">
        <x:v>45989</x:v>
      </x:c>
      <x:c r="K442" s="10"/>
      <x:c r="L442" s="22" t="n">
        <x:v>34500</x:v>
      </x:c>
      <x:c r="M442" s="24" t="n">
        <x:v>0.05</x:v>
      </x:c>
      <x:c r="N442" s="24" t="n">
        <x:v>0.85</x:v>
      </x:c>
      <x:c r="O442" t="str"/>
      <x:c r="P442" t="n">
        <x:v>5</x:v>
      </x:c>
      <x:c r="Q442" t="str">
        <x:f>IFERROR(XLOOKUP(E442,Lookups!$A$5:$A$24,Lookups!$B$5:$B$24),"Other")</x:f>
        <x:v>Paid Search</x:v>
      </x:c>
      <x:c r="R442" t="str">
        <x:f>IFERROR(XLOOKUP(F442,Lookups!$D$5:$D$10,Lookups!$E$5:$E$10),"Unknown Product")</x:f>
        <x:v>NexaCRM Pro</x:v>
      </x:c>
      <x:c r="S442" t="str">
        <x:f>IFERROR(XLOOKUP(F442,Lookups!$D$5:$D$10,Lookups!$F$5:$F$10),"Unknown")</x:f>
        <x:v>CRM</x:v>
      </x:c>
      <x:c r="T442" t="str">
        <x:f>IF(L442&gt;=50000,"Enterprise",IF(L442&gt;=20000,"Mid-Market","SMB"))</x:f>
        <x:v>Mid-Market</x:v>
      </x:c>
      <x:c r="U442" t="str">
        <x:f>IF(I442="Closed Won","Won",IF(I442="Closed Lost","Lost","Open"))</x:f>
        <x:v>Open</x:v>
      </x:c>
      <x:c r="V442" s="22" t="n">
        <x:f>IF(U442="Won",L442*(1-M442),0)</x:f>
        <x:v>0</x:v>
      </x:c>
      <x:c r="W442" s="22" t="n">
        <x:f>IF(U442="Open",L442*N442,0)</x:f>
        <x:v>29325</x:v>
      </x:c>
      <x:c r="X442" s="26" t="str">
        <x:f>IF(U442="Open","",IFERROR(K442-B442,""))</x:f>
      </x:c>
      <x:c r="Y442" s="26" t="n">
        <x:f>IF(U442="Open",Lookups!$B$2-B442,X442)</x:f>
        <x:v>430</x:v>
      </x:c>
      <x:c r="Z442" t="str">
        <x:f>IF(AND(U442="Open",Y442&gt;30),"STALE","OK")</x:f>
        <x:v>STALE</x:v>
      </x:c>
      <x:c r="AA442" t="str">
        <x:f>TEXT(B442,"yyyy-mm")</x:f>
        <x:v>2025-06</x:v>
      </x:c>
      <x:c r="AB442" t="str">
        <x:f>IF(K442="","",TEXT(K442,"yyyy-mm"))</x:f>
      </x:c>
      <x:c r="AC442" t="str">
        <x:f>"Q"&amp;ROUNDUP(MONTH(B442)/3,0)&amp;"-"&amp;YEAR(B442)</x:f>
        <x:v>Q2-2025</x:v>
      </x:c>
      <x:c r="AD442" s="26" t="n">
        <x:f>MIN(100,IF(H442="Enterprise",30,IF(H442="Mid-Market",22,14))+IF(T442="Enterprise",25,IF(T442="Mid-Market",18,10))+IF(Q442="Referral",25,IF(Q442="Organic Search",20,IF(Q442="Email",18,14)))+IF(G442="Technology",10,5))</x:f>
        <x:v>59</x:v>
      </x:c>
      <x:c r="AE442" t="str">
        <x:f>IF(U442&lt;&gt;"Open",U442,IF(N442&gt;=0.8,"Commit",IF(N442&gt;=0.5,"Best Case","Pipeline")))</x:f>
        <x:v>Commit</x:v>
      </x:c>
    </x:row>
    <x:row r="443">
      <x:c r="A443" t="str">
        <x:v>L00442</x:v>
      </x:c>
      <x:c r="B443" s="10" t="n">
        <x:v>46107</x:v>
      </x:c>
      <x:c r="C443" t="str">
        <x:v>Tuan Bui</x:v>
      </x:c>
      <x:c r="D443" t="str">
        <x:v>Central</x:v>
      </x:c>
      <x:c r="E443" t="str">
        <x:v>SEO</x:v>
      </x:c>
      <x:c r="F443" t="str">
        <x:v>CRM-CORE</x:v>
      </x:c>
      <x:c r="G443" t="str">
        <x:v>Education</x:v>
      </x:c>
      <x:c r="H443" t="str">
        <x:v>SMB</x:v>
      </x:c>
      <x:c r="I443" t="str">
        <x:v>Closed Won</x:v>
      </x:c>
      <x:c r="J443" s="10" t="n">
        <x:v>46187</x:v>
      </x:c>
      <x:c r="K443" s="10" t="n">
        <x:v>46187</x:v>
      </x:c>
      <x:c r="L443" s="22" t="n">
        <x:v>6300</x:v>
      </x:c>
      <x:c r="M443" s="24" t="n">
        <x:v>0.1</x:v>
      </x:c>
      <x:c r="N443" s="24" t="n">
        <x:v>1</x:v>
      </x:c>
      <x:c r="O443" t="str"/>
      <x:c r="P443" t="n">
        <x:v>6</x:v>
      </x:c>
      <x:c r="Q443" t="str">
        <x:f>IFERROR(XLOOKUP(E443,Lookups!$A$5:$A$24,Lookups!$B$5:$B$24),"Other")</x:f>
        <x:v>Organic Search</x:v>
      </x:c>
      <x:c r="R443" t="str">
        <x:f>IFERROR(XLOOKUP(F443,Lookups!$D$5:$D$10,Lookups!$E$5:$E$10),"Unknown Product")</x:f>
        <x:v>NexaCRM Core</x:v>
      </x:c>
      <x:c r="S443" t="str">
        <x:f>IFERROR(XLOOKUP(F443,Lookups!$D$5:$D$10,Lookups!$F$5:$F$10),"Unknown")</x:f>
        <x:v>CRM</x:v>
      </x:c>
      <x:c r="T443" t="str">
        <x:f>IF(L443&gt;=50000,"Enterprise",IF(L443&gt;=20000,"Mid-Market","SMB"))</x:f>
        <x:v>SMB</x:v>
      </x:c>
      <x:c r="U443" t="str">
        <x:f>IF(I443="Closed Won","Won",IF(I443="Closed Lost","Lost","Open"))</x:f>
        <x:v>Won</x:v>
      </x:c>
      <x:c r="V443" s="22" t="n">
        <x:f>IF(U443="Won",L443*(1-M443),0)</x:f>
        <x:v>5670</x:v>
      </x:c>
      <x:c r="W443" s="22" t="n">
        <x:f>IF(U443="Open",L443*N443,0)</x:f>
        <x:v>0</x:v>
      </x:c>
      <x:c r="X443" s="26" t="n">
        <x:f>IF(U443="Open","",IFERROR(K443-B443,""))</x:f>
        <x:v>80</x:v>
      </x:c>
      <x:c r="Y443" s="26" t="n">
        <x:f>IF(U443="Open",Lookups!$B$2-B443,X443)</x:f>
        <x:v>80</x:v>
      </x:c>
      <x:c r="Z443" t="str">
        <x:f>IF(AND(U443="Open",Y443&gt;30),"STALE","OK")</x:f>
        <x:v>OK</x:v>
      </x:c>
      <x:c r="AA443" t="str">
        <x:f>TEXT(B443,"yyyy-mm")</x:f>
        <x:v>2026-03</x:v>
      </x:c>
      <x:c r="AB443" t="str">
        <x:f>IF(K443="","",TEXT(K443,"yyyy-mm"))</x:f>
        <x:v>2026-06</x:v>
      </x:c>
      <x:c r="AC443" t="str">
        <x:f>"Q"&amp;ROUNDUP(MONTH(B443)/3,0)&amp;"-"&amp;YEAR(B443)</x:f>
        <x:v>Q1-2026</x:v>
      </x:c>
      <x:c r="AD443" s="26" t="n">
        <x:f>MIN(100,IF(H443="Enterprise",30,IF(H443="Mid-Market",22,14))+IF(T443="Enterprise",25,IF(T443="Mid-Market",18,10))+IF(Q443="Referral",25,IF(Q443="Organic Search",20,IF(Q443="Email",18,14)))+IF(G443="Technology",10,5))</x:f>
        <x:v>49</x:v>
      </x:c>
      <x:c r="AE443" t="str">
        <x:f>IF(U443&lt;&gt;"Open",U443,IF(N443&gt;=0.8,"Commit",IF(N443&gt;=0.5,"Best Case","Pipeline")))</x:f>
        <x:v>Won</x:v>
      </x:c>
    </x:row>
    <x:row r="444">
      <x:c r="A444" t="str">
        <x:v>L00443</x:v>
      </x:c>
      <x:c r="B444" s="10" t="n">
        <x:v>45798</x:v>
      </x:c>
      <x:c r="C444" t="str">
        <x:v>Tuan Bui</x:v>
      </x:c>
      <x:c r="D444" t="str">
        <x:v>Central</x:v>
      </x:c>
      <x:c r="E444" t="str">
        <x:v>virtual event</x:v>
      </x:c>
      <x:c r="F444" t="str">
        <x:v>CRM-CORE</x:v>
      </x:c>
      <x:c r="G444" t="str">
        <x:v>Technology</x:v>
      </x:c>
      <x:c r="H444" t="str">
        <x:v>Mid-Market</x:v>
      </x:c>
      <x:c r="I444" t="str">
        <x:v>Negotiation</x:v>
      </x:c>
      <x:c r="J444" s="10" t="n">
        <x:v>45986</x:v>
      </x:c>
      <x:c r="K444" s="10"/>
      <x:c r="L444" s="22" t="n">
        <x:v>16900</x:v>
      </x:c>
      <x:c r="M444" s="24" t="n">
        <x:v>0.05</x:v>
      </x:c>
      <x:c r="N444" s="24" t="n">
        <x:v>0.85</x:v>
      </x:c>
      <x:c r="O444" t="str"/>
      <x:c r="P444" t="n">
        <x:v>5</x:v>
      </x:c>
      <x:c r="Q444" t="str">
        <x:f>IFERROR(XLOOKUP(E444,Lookups!$A$5:$A$24,Lookups!$B$5:$B$24),"Other")</x:f>
        <x:v>Webinar</x:v>
      </x:c>
      <x:c r="R444" t="str">
        <x:f>IFERROR(XLOOKUP(F444,Lookups!$D$5:$D$10,Lookups!$E$5:$E$10),"Unknown Product")</x:f>
        <x:v>NexaCRM Core</x:v>
      </x:c>
      <x:c r="S444" t="str">
        <x:f>IFERROR(XLOOKUP(F444,Lookups!$D$5:$D$10,Lookups!$F$5:$F$10),"Unknown")</x:f>
        <x:v>CRM</x:v>
      </x:c>
      <x:c r="T444" t="str">
        <x:f>IF(L444&gt;=50000,"Enterprise",IF(L444&gt;=20000,"Mid-Market","SMB"))</x:f>
        <x:v>SMB</x:v>
      </x:c>
      <x:c r="U444" t="str">
        <x:f>IF(I444="Closed Won","Won",IF(I444="Closed Lost","Lost","Open"))</x:f>
        <x:v>Open</x:v>
      </x:c>
      <x:c r="V444" s="22" t="n">
        <x:f>IF(U444="Won",L444*(1-M444),0)</x:f>
        <x:v>0</x:v>
      </x:c>
      <x:c r="W444" s="22" t="n">
        <x:f>IF(U444="Open",L444*N444,0)</x:f>
        <x:v>14365</x:v>
      </x:c>
      <x:c r="X444" s="26" t="str">
        <x:f>IF(U444="Open","",IFERROR(K444-B444,""))</x:f>
      </x:c>
      <x:c r="Y444" s="26" t="n">
        <x:f>IF(U444="Open",Lookups!$B$2-B444,X444)</x:f>
        <x:v>468</x:v>
      </x:c>
      <x:c r="Z444" t="str">
        <x:f>IF(AND(U444="Open",Y444&gt;30),"STALE","OK")</x:f>
        <x:v>STALE</x:v>
      </x:c>
      <x:c r="AA444" t="str">
        <x:f>TEXT(B444,"yyyy-mm")</x:f>
        <x:v>2025-05</x:v>
      </x:c>
      <x:c r="AB444" t="str">
        <x:f>IF(K444="","",TEXT(K444,"yyyy-mm"))</x:f>
      </x:c>
      <x:c r="AC444" t="str">
        <x:f>"Q"&amp;ROUNDUP(MONTH(B444)/3,0)&amp;"-"&amp;YEAR(B444)</x:f>
        <x:v>Q2-2025</x:v>
      </x:c>
      <x:c r="AD444" s="26" t="n">
        <x:f>MIN(100,IF(H444="Enterprise",30,IF(H444="Mid-Market",22,14))+IF(T444="Enterprise",25,IF(T444="Mid-Market",18,10))+IF(Q444="Referral",25,IF(Q444="Organic Search",20,IF(Q444="Email",18,14)))+IF(G444="Technology",10,5))</x:f>
        <x:v>56</x:v>
      </x:c>
      <x:c r="AE444" t="str">
        <x:f>IF(U444&lt;&gt;"Open",U444,IF(N444&gt;=0.8,"Commit",IF(N444&gt;=0.5,"Best Case","Pipeline")))</x:f>
        <x:v>Commit</x:v>
      </x:c>
    </x:row>
    <x:row r="445">
      <x:c r="A445" t="str">
        <x:v>L00444</x:v>
      </x:c>
      <x:c r="B445" s="10" t="n">
        <x:v>46130</x:v>
      </x:c>
      <x:c r="C445" t="str">
        <x:v>Chi Le</x:v>
      </x:c>
      <x:c r="D445" t="str">
        <x:v>South</x:v>
      </x:c>
      <x:c r="E445" t="str">
        <x:v>organic search</x:v>
      </x:c>
      <x:c r="F445" t="str">
        <x:v>CRM-CORE</x:v>
      </x:c>
      <x:c r="G445" t="str">
        <x:v>Financial Services</x:v>
      </x:c>
      <x:c r="H445" t="str">
        <x:v>SMB</x:v>
      </x:c>
      <x:c r="I445" t="str">
        <x:v>Closed Lost</x:v>
      </x:c>
      <x:c r="J445" s="10" t="n">
        <x:v>46178</x:v>
      </x:c>
      <x:c r="K445" s="10" t="n">
        <x:v>46178</x:v>
      </x:c>
      <x:c r="L445" s="22" t="n">
        <x:v>4800</x:v>
      </x:c>
      <x:c r="M445" s="24" t="n">
        <x:v>0</x:v>
      </x:c>
      <x:c r="N445" s="24" t="n">
        <x:v>0</x:v>
      </x:c>
      <x:c r="O445" t="str">
        <x:v>Feature Gap</x:v>
      </x:c>
      <x:c r="P445" t="n">
        <x:v>2</x:v>
      </x:c>
      <x:c r="Q445" t="str">
        <x:f>IFERROR(XLOOKUP(E445,Lookups!$A$5:$A$24,Lookups!$B$5:$B$24),"Other")</x:f>
        <x:v>Organic Search</x:v>
      </x:c>
      <x:c r="R445" t="str">
        <x:f>IFERROR(XLOOKUP(F445,Lookups!$D$5:$D$10,Lookups!$E$5:$E$10),"Unknown Product")</x:f>
        <x:v>NexaCRM Core</x:v>
      </x:c>
      <x:c r="S445" t="str">
        <x:f>IFERROR(XLOOKUP(F445,Lookups!$D$5:$D$10,Lookups!$F$5:$F$10),"Unknown")</x:f>
        <x:v>CRM</x:v>
      </x:c>
      <x:c r="T445" t="str">
        <x:f>IF(L445&gt;=50000,"Enterprise",IF(L445&gt;=20000,"Mid-Market","SMB"))</x:f>
        <x:v>SMB</x:v>
      </x:c>
      <x:c r="U445" t="str">
        <x:f>IF(I445="Closed Won","Won",IF(I445="Closed Lost","Lost","Open"))</x:f>
        <x:v>Lost</x:v>
      </x:c>
      <x:c r="V445" s="22" t="n">
        <x:f>IF(U445="Won",L445*(1-M445),0)</x:f>
        <x:v>0</x:v>
      </x:c>
      <x:c r="W445" s="22" t="n">
        <x:f>IF(U445="Open",L445*N445,0)</x:f>
        <x:v>0</x:v>
      </x:c>
      <x:c r="X445" s="26" t="n">
        <x:f>IF(U445="Open","",IFERROR(K445-B445,""))</x:f>
        <x:v>48</x:v>
      </x:c>
      <x:c r="Y445" s="26" t="n">
        <x:f>IF(U445="Open",Lookups!$B$2-B445,X445)</x:f>
        <x:v>48</x:v>
      </x:c>
      <x:c r="Z445" t="str">
        <x:f>IF(AND(U445="Open",Y445&gt;30),"STALE","OK")</x:f>
        <x:v>OK</x:v>
      </x:c>
      <x:c r="AA445" t="str">
        <x:f>TEXT(B445,"yyyy-mm")</x:f>
        <x:v>2026-04</x:v>
      </x:c>
      <x:c r="AB445" t="str">
        <x:f>IF(K445="","",TEXT(K445,"yyyy-mm"))</x:f>
        <x:v>2026-06</x:v>
      </x:c>
      <x:c r="AC445" t="str">
        <x:f>"Q"&amp;ROUNDUP(MONTH(B445)/3,0)&amp;"-"&amp;YEAR(B445)</x:f>
        <x:v>Q2-2026</x:v>
      </x:c>
      <x:c r="AD445" s="26" t="n">
        <x:f>MIN(100,IF(H445="Enterprise",30,IF(H445="Mid-Market",22,14))+IF(T445="Enterprise",25,IF(T445="Mid-Market",18,10))+IF(Q445="Referral",25,IF(Q445="Organic Search",20,IF(Q445="Email",18,14)))+IF(G445="Technology",10,5))</x:f>
        <x:v>49</x:v>
      </x:c>
      <x:c r="AE445" t="str">
        <x:f>IF(U445&lt;&gt;"Open",U445,IF(N445&gt;=0.8,"Commit",IF(N445&gt;=0.5,"Best Case","Pipeline")))</x:f>
        <x:v>Lost</x:v>
      </x:c>
    </x:row>
    <x:row r="446">
      <x:c r="A446" t="str">
        <x:v>L00445</x:v>
      </x:c>
      <x:c r="B446" s="10" t="n">
        <x:v>46185</x:v>
      </x:c>
      <x:c r="C446" t="str">
        <x:v>Chi Le</x:v>
      </x:c>
      <x:c r="D446" t="str">
        <x:v>South</x:v>
      </x:c>
      <x:c r="E446" t="str">
        <x:v>SEM - Google</x:v>
      </x:c>
      <x:c r="F446" t="str">
        <x:v>CS-CLOUD</x:v>
      </x:c>
      <x:c r="G446" t="str">
        <x:v>Professional Services</x:v>
      </x:c>
      <x:c r="H446" t="str">
        <x:v>SMB</x:v>
      </x:c>
      <x:c r="I446" t="str">
        <x:v>Demo / Meeting</x:v>
      </x:c>
      <x:c r="J446" s="10" t="n">
        <x:v>46257</x:v>
      </x:c>
      <x:c r="K446" s="10"/>
      <x:c r="L446" s="22" t="n">
        <x:v>13500</x:v>
      </x:c>
      <x:c r="M446" s="24" t="n">
        <x:v>0</x:v>
      </x:c>
      <x:c r="N446" s="24" t="n">
        <x:v>0.4</x:v>
      </x:c>
      <x:c r="O446" t="str"/>
      <x:c r="P446" t="n">
        <x:v>3</x:v>
      </x:c>
      <x:c r="Q446" t="str">
        <x:f>IFERROR(XLOOKUP(E446,Lookups!$A$5:$A$24,Lookups!$B$5:$B$24),"Other")</x:f>
        <x:v>Paid Search</x:v>
      </x:c>
      <x:c r="R446" t="str">
        <x:f>IFERROR(XLOOKUP(F446,Lookups!$D$5:$D$10,Lookups!$E$5:$E$10),"Unknown Product")</x:f>
        <x:v>Service Cloud</x:v>
      </x:c>
      <x:c r="S446" t="str">
        <x:f>IFERROR(XLOOKUP(F446,Lookups!$D$5:$D$10,Lookups!$F$5:$F$10),"Unknown")</x:f>
        <x:v>Customer Service</x:v>
      </x:c>
      <x:c r="T446" t="str">
        <x:f>IF(L446&gt;=50000,"Enterprise",IF(L446&gt;=20000,"Mid-Market","SMB"))</x:f>
        <x:v>SMB</x:v>
      </x:c>
      <x:c r="U446" t="str">
        <x:f>IF(I446="Closed Won","Won",IF(I446="Closed Lost","Lost","Open"))</x:f>
        <x:v>Open</x:v>
      </x:c>
      <x:c r="V446" s="22" t="n">
        <x:f>IF(U446="Won",L446*(1-M446),0)</x:f>
        <x:v>0</x:v>
      </x:c>
      <x:c r="W446" s="22" t="n">
        <x:f>IF(U446="Open",L446*N446,0)</x:f>
        <x:v>5400</x:v>
      </x:c>
      <x:c r="X446" s="26" t="str">
        <x:f>IF(U446="Open","",IFERROR(K446-B446,""))</x:f>
      </x:c>
      <x:c r="Y446" s="26" t="n">
        <x:f>IF(U446="Open",Lookups!$B$2-B446,X446)</x:f>
        <x:v>81</x:v>
      </x:c>
      <x:c r="Z446" t="str">
        <x:f>IF(AND(U446="Open",Y446&gt;30),"STALE","OK")</x:f>
        <x:v>STALE</x:v>
      </x:c>
      <x:c r="AA446" t="str">
        <x:f>TEXT(B446,"yyyy-mm")</x:f>
        <x:v>2026-06</x:v>
      </x:c>
      <x:c r="AB446" t="str">
        <x:f>IF(K446="","",TEXT(K446,"yyyy-mm"))</x:f>
      </x:c>
      <x:c r="AC446" t="str">
        <x:f>"Q"&amp;ROUNDUP(MONTH(B446)/3,0)&amp;"-"&amp;YEAR(B446)</x:f>
        <x:v>Q2-2026</x:v>
      </x:c>
      <x:c r="AD446" s="26" t="n">
        <x:f>MIN(100,IF(H446="Enterprise",30,IF(H446="Mid-Market",22,14))+IF(T446="Enterprise",25,IF(T446="Mid-Market",18,10))+IF(Q446="Referral",25,IF(Q446="Organic Search",20,IF(Q446="Email",18,14)))+IF(G446="Technology",10,5))</x:f>
        <x:v>43</x:v>
      </x:c>
      <x:c r="AE446" t="str">
        <x:f>IF(U446&lt;&gt;"Open",U446,IF(N446&gt;=0.8,"Commit",IF(N446&gt;=0.5,"Best Case","Pipeline")))</x:f>
        <x:v>Pipeline</x:v>
      </x:c>
    </x:row>
    <x:row r="447">
      <x:c r="A447" t="str">
        <x:v>L00446</x:v>
      </x:c>
      <x:c r="B447" s="10" t="n">
        <x:v>46187</x:v>
      </x:c>
      <x:c r="C447" t="str">
        <x:v>An Nguyen</x:v>
      </x:c>
      <x:c r="D447" t="str">
        <x:v>South</x:v>
      </x:c>
      <x:c r="E447" t="str">
        <x:v>LinkedIn Ads</x:v>
      </x:c>
      <x:c r="F447" t="str">
        <x:v>MKT-AUTO</x:v>
      </x:c>
      <x:c r="G447" t="str">
        <x:v>Healthcare</x:v>
      </x:c>
      <x:c r="H447" t="str">
        <x:v>SMB</x:v>
      </x:c>
      <x:c r="I447" t="str">
        <x:v>Demo / Meeting</x:v>
      </x:c>
      <x:c r="J447" s="10" t="n">
        <x:v>46257</x:v>
      </x:c>
      <x:c r="K447" s="10"/>
      <x:c r="L447" s="22" t="n">
        <x:v>12100</x:v>
      </x:c>
      <x:c r="M447" s="24" t="n">
        <x:v>0</x:v>
      </x:c>
      <x:c r="N447" s="24" t="n">
        <x:v>0.4</x:v>
      </x:c>
      <x:c r="O447" t="str"/>
      <x:c r="P447" t="n">
        <x:v>3</x:v>
      </x:c>
      <x:c r="Q447" t="str">
        <x:f>IFERROR(XLOOKUP(E447,Lookups!$A$5:$A$24,Lookups!$B$5:$B$24),"Other")</x:f>
        <x:v>LinkedIn</x:v>
      </x:c>
      <x:c r="R447" t="str">
        <x:f>IFERROR(XLOOKUP(F447,Lookups!$D$5:$D$10,Lookups!$E$5:$E$10),"Unknown Product")</x:f>
        <x:v>Marketing Automation</x:v>
      </x:c>
      <x:c r="S447" t="str">
        <x:f>IFERROR(XLOOKUP(F447,Lookups!$D$5:$D$10,Lookups!$F$5:$F$10),"Unknown")</x:f>
        <x:v>Marketing</x:v>
      </x:c>
      <x:c r="T447" t="str">
        <x:f>IF(L447&gt;=50000,"Enterprise",IF(L447&gt;=20000,"Mid-Market","SMB"))</x:f>
        <x:v>SMB</x:v>
      </x:c>
      <x:c r="U447" t="str">
        <x:f>IF(I447="Closed Won","Won",IF(I447="Closed Lost","Lost","Open"))</x:f>
        <x:v>Open</x:v>
      </x:c>
      <x:c r="V447" s="22" t="n">
        <x:f>IF(U447="Won",L447*(1-M447),0)</x:f>
        <x:v>0</x:v>
      </x:c>
      <x:c r="W447" s="22" t="n">
        <x:f>IF(U447="Open",L447*N447,0)</x:f>
        <x:v>4840</x:v>
      </x:c>
      <x:c r="X447" s="26" t="str">
        <x:f>IF(U447="Open","",IFERROR(K447-B447,""))</x:f>
      </x:c>
      <x:c r="Y447" s="26" t="n">
        <x:f>IF(U447="Open",Lookups!$B$2-B447,X447)</x:f>
        <x:v>79</x:v>
      </x:c>
      <x:c r="Z447" t="str">
        <x:f>IF(AND(U447="Open",Y447&gt;30),"STALE","OK")</x:f>
        <x:v>STALE</x:v>
      </x:c>
      <x:c r="AA447" t="str">
        <x:f>TEXT(B447,"yyyy-mm")</x:f>
        <x:v>2026-06</x:v>
      </x:c>
      <x:c r="AB447" t="str">
        <x:f>IF(K447="","",TEXT(K447,"yyyy-mm"))</x:f>
      </x:c>
      <x:c r="AC447" t="str">
        <x:f>"Q"&amp;ROUNDUP(MONTH(B447)/3,0)&amp;"-"&amp;YEAR(B447)</x:f>
        <x:v>Q2-2026</x:v>
      </x:c>
      <x:c r="AD447" s="26" t="n">
        <x:f>MIN(100,IF(H447="Enterprise",30,IF(H447="Mid-Market",22,14))+IF(T447="Enterprise",25,IF(T447="Mid-Market",18,10))+IF(Q447="Referral",25,IF(Q447="Organic Search",20,IF(Q447="Email",18,14)))+IF(G447="Technology",10,5))</x:f>
        <x:v>43</x:v>
      </x:c>
      <x:c r="AE447" t="str">
        <x:f>IF(U447&lt;&gt;"Open",U447,IF(N447&gt;=0.8,"Commit",IF(N447&gt;=0.5,"Best Case","Pipeline")))</x:f>
        <x:v>Pipeline</x:v>
      </x:c>
    </x:row>
    <x:row r="448">
      <x:c r="A448" t="str">
        <x:v>L00447</x:v>
      </x:c>
      <x:c r="B448" s="10" t="n">
        <x:v>46115</x:v>
      </x:c>
      <x:c r="C448" t="str">
        <x:v>Quynh Vu</x:v>
      </x:c>
      <x:c r="D448" t="str">
        <x:v>North</x:v>
      </x:c>
      <x:c r="E448" t="str">
        <x:v>Referral</x:v>
      </x:c>
      <x:c r="F448" t="str">
        <x:v>REV-OPS</x:v>
      </x:c>
      <x:c r="G448" t="str">
        <x:v>Education</x:v>
      </x:c>
      <x:c r="H448" t="str">
        <x:v>SMB</x:v>
      </x:c>
      <x:c r="I448" t="str">
        <x:v>Proposal</x:v>
      </x:c>
      <x:c r="J448" s="10" t="n">
        <x:v>46211</x:v>
      </x:c>
      <x:c r="K448" s="10"/>
      <x:c r="L448" s="22" t="n">
        <x:v>24700</x:v>
      </x:c>
      <x:c r="M448" s="24" t="n">
        <x:v>0.03</x:v>
      </x:c>
      <x:c r="N448" s="24" t="n">
        <x:v>0.65</x:v>
      </x:c>
      <x:c r="O448" t="str"/>
      <x:c r="P448" t="n">
        <x:v>4</x:v>
      </x:c>
      <x:c r="Q448" t="str">
        <x:f>IFERROR(XLOOKUP(E448,Lookups!$A$5:$A$24,Lookups!$B$5:$B$24),"Other")</x:f>
        <x:v>Referral</x:v>
      </x:c>
      <x:c r="R448" t="str">
        <x:f>IFERROR(XLOOKUP(F448,Lookups!$D$5:$D$10,Lookups!$E$5:$E$10),"Unknown Product")</x:f>
        <x:v>Revenue Operations Suite</x:v>
      </x:c>
      <x:c r="S448" t="str">
        <x:f>IFERROR(XLOOKUP(F448,Lookups!$D$5:$D$10,Lookups!$F$5:$F$10),"Unknown")</x:f>
        <x:v>Revenue Ops</x:v>
      </x:c>
      <x:c r="T448" t="str">
        <x:f>IF(L448&gt;=50000,"Enterprise",IF(L448&gt;=20000,"Mid-Market","SMB"))</x:f>
        <x:v>Mid-Market</x:v>
      </x:c>
      <x:c r="U448" t="str">
        <x:f>IF(I448="Closed Won","Won",IF(I448="Closed Lost","Lost","Open"))</x:f>
        <x:v>Open</x:v>
      </x:c>
      <x:c r="V448" s="22" t="n">
        <x:f>IF(U448="Won",L448*(1-M448),0)</x:f>
        <x:v>0</x:v>
      </x:c>
      <x:c r="W448" s="22" t="n">
        <x:f>IF(U448="Open",L448*N448,0)</x:f>
        <x:v>16055</x:v>
      </x:c>
      <x:c r="X448" s="26" t="str">
        <x:f>IF(U448="Open","",IFERROR(K448-B448,""))</x:f>
      </x:c>
      <x:c r="Y448" s="26" t="n">
        <x:f>IF(U448="Open",Lookups!$B$2-B448,X448)</x:f>
        <x:v>151</x:v>
      </x:c>
      <x:c r="Z448" t="str">
        <x:f>IF(AND(U448="Open",Y448&gt;30),"STALE","OK")</x:f>
        <x:v>STALE</x:v>
      </x:c>
      <x:c r="AA448" t="str">
        <x:f>TEXT(B448,"yyyy-mm")</x:f>
        <x:v>2026-04</x:v>
      </x:c>
      <x:c r="AB448" t="str">
        <x:f>IF(K448="","",TEXT(K448,"yyyy-mm"))</x:f>
      </x:c>
      <x:c r="AC448" t="str">
        <x:f>"Q"&amp;ROUNDUP(MONTH(B448)/3,0)&amp;"-"&amp;YEAR(B448)</x:f>
        <x:v>Q2-2026</x:v>
      </x:c>
      <x:c r="AD448" s="26" t="n">
        <x:f>MIN(100,IF(H448="Enterprise",30,IF(H448="Mid-Market",22,14))+IF(T448="Enterprise",25,IF(T448="Mid-Market",18,10))+IF(Q448="Referral",25,IF(Q448="Organic Search",20,IF(Q448="Email",18,14)))+IF(G448="Technology",10,5))</x:f>
        <x:v>62</x:v>
      </x:c>
      <x:c r="AE448" t="str">
        <x:f>IF(U448&lt;&gt;"Open",U448,IF(N448&gt;=0.8,"Commit",IF(N448&gt;=0.5,"Best Case","Pipeline")))</x:f>
        <x:v>Best Case</x:v>
      </x:c>
    </x:row>
    <x:row r="449">
      <x:c r="A449" t="str">
        <x:v>L00448</x:v>
      </x:c>
      <x:c r="B449" s="10" t="n">
        <x:v>46049</x:v>
      </x:c>
      <x:c r="C449" t="str">
        <x:v>Quynh Vu</x:v>
      </x:c>
      <x:c r="D449" t="str">
        <x:v>North</x:v>
      </x:c>
      <x:c r="E449" t="str">
        <x:v>email nurture</x:v>
      </x:c>
      <x:c r="F449" t="str">
        <x:v>REV-OPS</x:v>
      </x:c>
      <x:c r="G449" t="str">
        <x:v>Technology</x:v>
      </x:c>
      <x:c r="H449" t="str">
        <x:v>Enterprise</x:v>
      </x:c>
      <x:c r="I449" t="str">
        <x:v>Closed Lost</x:v>
      </x:c>
      <x:c r="J449" s="10" t="n">
        <x:v>46083</x:v>
      </x:c>
      <x:c r="K449" s="10" t="n">
        <x:v>46083</x:v>
      </x:c>
      <x:c r="L449" s="22" t="n">
        <x:v>77400</x:v>
      </x:c>
      <x:c r="M449" s="24" t="n">
        <x:v>0</x:v>
      </x:c>
      <x:c r="N449" s="24" t="n">
        <x:v>0</x:v>
      </x:c>
      <x:c r="O449" t="str">
        <x:v>Feature Gap</x:v>
      </x:c>
      <x:c r="P449" t="n">
        <x:v>3</x:v>
      </x:c>
      <x:c r="Q449" t="str">
        <x:f>IFERROR(XLOOKUP(E449,Lookups!$A$5:$A$24,Lookups!$B$5:$B$24),"Other")</x:f>
        <x:v>Email</x:v>
      </x:c>
      <x:c r="R449" t="str">
        <x:f>IFERROR(XLOOKUP(F449,Lookups!$D$5:$D$10,Lookups!$E$5:$E$10),"Unknown Product")</x:f>
        <x:v>Revenue Operations Suite</x:v>
      </x:c>
      <x:c r="S449" t="str">
        <x:f>IFERROR(XLOOKUP(F449,Lookups!$D$5:$D$10,Lookups!$F$5:$F$10),"Unknown")</x:f>
        <x:v>Revenue Ops</x:v>
      </x:c>
      <x:c r="T449" t="str">
        <x:f>IF(L449&gt;=50000,"Enterprise",IF(L449&gt;=20000,"Mid-Market","SMB"))</x:f>
        <x:v>Enterprise</x:v>
      </x:c>
      <x:c r="U449" t="str">
        <x:f>IF(I449="Closed Won","Won",IF(I449="Closed Lost","Lost","Open"))</x:f>
        <x:v>Lost</x:v>
      </x:c>
      <x:c r="V449" s="22" t="n">
        <x:f>IF(U449="Won",L449*(1-M449),0)</x:f>
        <x:v>0</x:v>
      </x:c>
      <x:c r="W449" s="22" t="n">
        <x:f>IF(U449="Open",L449*N449,0)</x:f>
        <x:v>0</x:v>
      </x:c>
      <x:c r="X449" s="26" t="n">
        <x:f>IF(U449="Open","",IFERROR(K449-B449,""))</x:f>
        <x:v>34</x:v>
      </x:c>
      <x:c r="Y449" s="26" t="n">
        <x:f>IF(U449="Open",Lookups!$B$2-B449,X449)</x:f>
        <x:v>34</x:v>
      </x:c>
      <x:c r="Z449" t="str">
        <x:f>IF(AND(U449="Open",Y449&gt;30),"STALE","OK")</x:f>
        <x:v>OK</x:v>
      </x:c>
      <x:c r="AA449" t="str">
        <x:f>TEXT(B449,"yyyy-mm")</x:f>
        <x:v>2026-01</x:v>
      </x:c>
      <x:c r="AB449" t="str">
        <x:f>IF(K449="","",TEXT(K449,"yyyy-mm"))</x:f>
        <x:v>2026-03</x:v>
      </x:c>
      <x:c r="AC449" t="str">
        <x:f>"Q"&amp;ROUNDUP(MONTH(B449)/3,0)&amp;"-"&amp;YEAR(B449)</x:f>
        <x:v>Q1-2026</x:v>
      </x:c>
      <x:c r="AD449" s="26" t="n">
        <x:f>MIN(100,IF(H449="Enterprise",30,IF(H449="Mid-Market",22,14))+IF(T449="Enterprise",25,IF(T449="Mid-Market",18,10))+IF(Q449="Referral",25,IF(Q449="Organic Search",20,IF(Q449="Email",18,14)))+IF(G449="Technology",10,5))</x:f>
        <x:v>83</x:v>
      </x:c>
      <x:c r="AE449" t="str">
        <x:f>IF(U449&lt;&gt;"Open",U449,IF(N449&gt;=0.8,"Commit",IF(N449&gt;=0.5,"Best Case","Pipeline")))</x:f>
        <x:v>Lost</x:v>
      </x:c>
    </x:row>
    <x:row r="450">
      <x:c r="A450" t="str">
        <x:v>L00449</x:v>
      </x:c>
      <x:c r="B450" s="10" t="n">
        <x:v>46214</x:v>
      </x:c>
      <x:c r="C450" t="str">
        <x:v>Duy Pham</x:v>
      </x:c>
      <x:c r="D450" t="str">
        <x:v>South</x:v>
      </x:c>
      <x:c r="E450" t="str">
        <x:v>Google Ads</x:v>
      </x:c>
      <x:c r="F450" t="str">
        <x:v>REV-OPS</x:v>
      </x:c>
      <x:c r="G450" t="str">
        <x:v>Education</x:v>
      </x:c>
      <x:c r="H450" t="str">
        <x:v>Mid-Market</x:v>
      </x:c>
      <x:c r="I450" t="str">
        <x:v>Qualified</x:v>
      </x:c>
      <x:c r="J450" s="10" t="n">
        <x:v>46240</x:v>
      </x:c>
      <x:c r="K450" s="10"/>
      <x:c r="L450" s="22" t="n">
        <x:v>83200</x:v>
      </x:c>
      <x:c r="M450" s="24" t="n">
        <x:v>0</x:v>
      </x:c>
      <x:c r="N450" s="24" t="n">
        <x:v>0.2</x:v>
      </x:c>
      <x:c r="O450" t="str"/>
      <x:c r="P450" t="n">
        <x:v>2</x:v>
      </x:c>
      <x:c r="Q450" t="str">
        <x:f>IFERROR(XLOOKUP(E450,Lookups!$A$5:$A$24,Lookups!$B$5:$B$24),"Other")</x:f>
        <x:v>Paid Search</x:v>
      </x:c>
      <x:c r="R450" t="str">
        <x:f>IFERROR(XLOOKUP(F450,Lookups!$D$5:$D$10,Lookups!$E$5:$E$10),"Unknown Product")</x:f>
        <x:v>Revenue Operations Suite</x:v>
      </x:c>
      <x:c r="S450" t="str">
        <x:f>IFERROR(XLOOKUP(F450,Lookups!$D$5:$D$10,Lookups!$F$5:$F$10),"Unknown")</x:f>
        <x:v>Revenue Ops</x:v>
      </x:c>
      <x:c r="T450" t="str">
        <x:f>IF(L450&gt;=50000,"Enterprise",IF(L450&gt;=20000,"Mid-Market","SMB"))</x:f>
        <x:v>Enterprise</x:v>
      </x:c>
      <x:c r="U450" t="str">
        <x:f>IF(I450="Closed Won","Won",IF(I450="Closed Lost","Lost","Open"))</x:f>
        <x:v>Open</x:v>
      </x:c>
      <x:c r="V450" s="22" t="n">
        <x:f>IF(U450="Won",L450*(1-M450),0)</x:f>
        <x:v>0</x:v>
      </x:c>
      <x:c r="W450" s="22" t="n">
        <x:f>IF(U450="Open",L450*N450,0)</x:f>
        <x:v>16640</x:v>
      </x:c>
      <x:c r="X450" s="26" t="str">
        <x:f>IF(U450="Open","",IFERROR(K450-B450,""))</x:f>
      </x:c>
      <x:c r="Y450" s="26" t="n">
        <x:f>IF(U450="Open",Lookups!$B$2-B450,X450)</x:f>
        <x:v>52</x:v>
      </x:c>
      <x:c r="Z450" t="str">
        <x:f>IF(AND(U450="Open",Y450&gt;30),"STALE","OK")</x:f>
        <x:v>STALE</x:v>
      </x:c>
      <x:c r="AA450" t="str">
        <x:f>TEXT(B450,"yyyy-mm")</x:f>
        <x:v>2026-07</x:v>
      </x:c>
      <x:c r="AB450" t="str">
        <x:f>IF(K450="","",TEXT(K450,"yyyy-mm"))</x:f>
      </x:c>
      <x:c r="AC450" t="str">
        <x:f>"Q"&amp;ROUNDUP(MONTH(B450)/3,0)&amp;"-"&amp;YEAR(B450)</x:f>
        <x:v>Q3-2026</x:v>
      </x:c>
      <x:c r="AD450" s="26" t="n">
        <x:f>MIN(100,IF(H450="Enterprise",30,IF(H450="Mid-Market",22,14))+IF(T450="Enterprise",25,IF(T450="Mid-Market",18,10))+IF(Q450="Referral",25,IF(Q450="Organic Search",20,IF(Q450="Email",18,14)))+IF(G450="Technology",10,5))</x:f>
        <x:v>66</x:v>
      </x:c>
      <x:c r="AE450" t="str">
        <x:f>IF(U450&lt;&gt;"Open",U450,IF(N450&gt;=0.8,"Commit",IF(N450&gt;=0.5,"Best Case","Pipeline")))</x:f>
        <x:v>Pipeline</x:v>
      </x:c>
    </x:row>
    <x:row r="451">
      <x:c r="A451" t="str">
        <x:v>L00450</x:v>
      </x:c>
      <x:c r="B451" s="10" t="n">
        <x:v>46201</x:v>
      </x:c>
      <x:c r="C451" t="str">
        <x:v>Bao Tran</x:v>
      </x:c>
      <x:c r="D451" t="str">
        <x:v>South</x:v>
      </x:c>
      <x:c r="E451" t="str">
        <x:v>LinkedIn Ads</x:v>
      </x:c>
      <x:c r="F451" t="str">
        <x:v>CRM-PRO</x:v>
      </x:c>
      <x:c r="G451" t="str">
        <x:v>Professional Services</x:v>
      </x:c>
      <x:c r="H451" t="str">
        <x:v>Mid-Market</x:v>
      </x:c>
      <x:c r="I451" t="str">
        <x:v>Qualified</x:v>
      </x:c>
      <x:c r="J451" s="10" t="n">
        <x:v>46226</x:v>
      </x:c>
      <x:c r="K451" s="10"/>
      <x:c r="L451" s="22" t="n">
        <x:v>27200</x:v>
      </x:c>
      <x:c r="M451" s="24" t="n">
        <x:v>0</x:v>
      </x:c>
      <x:c r="N451" s="24" t="n">
        <x:v>0.2</x:v>
      </x:c>
      <x:c r="O451" t="str"/>
      <x:c r="P451" t="n">
        <x:v>2</x:v>
      </x:c>
      <x:c r="Q451" t="str">
        <x:f>IFERROR(XLOOKUP(E451,Lookups!$A$5:$A$24,Lookups!$B$5:$B$24),"Other")</x:f>
        <x:v>LinkedIn</x:v>
      </x:c>
      <x:c r="R451" t="str">
        <x:f>IFERROR(XLOOKUP(F451,Lookups!$D$5:$D$10,Lookups!$E$5:$E$10),"Unknown Product")</x:f>
        <x:v>NexaCRM Pro</x:v>
      </x:c>
      <x:c r="S451" t="str">
        <x:f>IFERROR(XLOOKUP(F451,Lookups!$D$5:$D$10,Lookups!$F$5:$F$10),"Unknown")</x:f>
        <x:v>CRM</x:v>
      </x:c>
      <x:c r="T451" t="str">
        <x:f>IF(L451&gt;=50000,"Enterprise",IF(L451&gt;=20000,"Mid-Market","SMB"))</x:f>
        <x:v>Mid-Market</x:v>
      </x:c>
      <x:c r="U451" t="str">
        <x:f>IF(I451="Closed Won","Won",IF(I451="Closed Lost","Lost","Open"))</x:f>
        <x:v>Open</x:v>
      </x:c>
      <x:c r="V451" s="22" t="n">
        <x:f>IF(U451="Won",L451*(1-M451),0)</x:f>
        <x:v>0</x:v>
      </x:c>
      <x:c r="W451" s="22" t="n">
        <x:f>IF(U451="Open",L451*N451,0)</x:f>
        <x:v>5440</x:v>
      </x:c>
      <x:c r="X451" s="26" t="str">
        <x:f>IF(U451="Open","",IFERROR(K451-B451,""))</x:f>
      </x:c>
      <x:c r="Y451" s="26" t="n">
        <x:f>IF(U451="Open",Lookups!$B$2-B451,X451)</x:f>
        <x:v>65</x:v>
      </x:c>
      <x:c r="Z451" t="str">
        <x:f>IF(AND(U451="Open",Y451&gt;30),"STALE","OK")</x:f>
        <x:v>STALE</x:v>
      </x:c>
      <x:c r="AA451" t="str">
        <x:f>TEXT(B451,"yyyy-mm")</x:f>
        <x:v>2026-06</x:v>
      </x:c>
      <x:c r="AB451" t="str">
        <x:f>IF(K451="","",TEXT(K451,"yyyy-mm"))</x:f>
      </x:c>
      <x:c r="AC451" t="str">
        <x:f>"Q"&amp;ROUNDUP(MONTH(B451)/3,0)&amp;"-"&amp;YEAR(B451)</x:f>
        <x:v>Q2-2026</x:v>
      </x:c>
      <x:c r="AD451" s="26" t="n">
        <x:f>MIN(100,IF(H451="Enterprise",30,IF(H451="Mid-Market",22,14))+IF(T451="Enterprise",25,IF(T451="Mid-Market",18,10))+IF(Q451="Referral",25,IF(Q451="Organic Search",20,IF(Q451="Email",18,14)))+IF(G451="Technology",10,5))</x:f>
        <x:v>59</x:v>
      </x:c>
      <x:c r="AE451" t="str">
        <x:f>IF(U451&lt;&gt;"Open",U451,IF(N451&gt;=0.8,"Commit",IF(N451&gt;=0.5,"Best Case","Pipeline")))</x:f>
        <x:v>Pipeline</x:v>
      </x:c>
    </x:row>
    <x:row r="452">
      <x:c r="A452" t="str">
        <x:v>L00451</x:v>
      </x:c>
      <x:c r="B452" s="10" t="n">
        <x:v>45692</x:v>
      </x:c>
      <x:c r="C452" t="str">
        <x:v>Duy Pham</x:v>
      </x:c>
      <x:c r="D452" t="str">
        <x:v>South</x:v>
      </x:c>
      <x:c r="E452" t="str">
        <x:v>newsletter</x:v>
      </x:c>
      <x:c r="F452" t="str">
        <x:v>MKT-AUTO</x:v>
      </x:c>
      <x:c r="G452" t="str">
        <x:v>Financial Services</x:v>
      </x:c>
      <x:c r="H452" t="str">
        <x:v>SMB</x:v>
      </x:c>
      <x:c r="I452" t="str">
        <x:v>Closed Lost</x:v>
      </x:c>
      <x:c r="J452" s="10" t="n">
        <x:v>45716</x:v>
      </x:c>
      <x:c r="K452" s="10" t="n">
        <x:v>45716</x:v>
      </x:c>
      <x:c r="L452" s="22" t="n">
        <x:v>19400</x:v>
      </x:c>
      <x:c r="M452" s="24" t="n">
        <x:v>0</x:v>
      </x:c>
      <x:c r="N452" s="24" t="n">
        <x:v>0</x:v>
      </x:c>
      <x:c r="O452" t="str">
        <x:v>Budget</x:v>
      </x:c>
      <x:c r="P452" t="n">
        <x:v>3</x:v>
      </x:c>
      <x:c r="Q452" t="str">
        <x:f>IFERROR(XLOOKUP(E452,Lookups!$A$5:$A$24,Lookups!$B$5:$B$24),"Other")</x:f>
        <x:v>Email</x:v>
      </x:c>
      <x:c r="R452" t="str">
        <x:f>IFERROR(XLOOKUP(F452,Lookups!$D$5:$D$10,Lookups!$E$5:$E$10),"Unknown Product")</x:f>
        <x:v>Marketing Automation</x:v>
      </x:c>
      <x:c r="S452" t="str">
        <x:f>IFERROR(XLOOKUP(F452,Lookups!$D$5:$D$10,Lookups!$F$5:$F$10),"Unknown")</x:f>
        <x:v>Marketing</x:v>
      </x:c>
      <x:c r="T452" t="str">
        <x:f>IF(L452&gt;=50000,"Enterprise",IF(L452&gt;=20000,"Mid-Market","SMB"))</x:f>
        <x:v>SMB</x:v>
      </x:c>
      <x:c r="U452" t="str">
        <x:f>IF(I452="Closed Won","Won",IF(I452="Closed Lost","Lost","Open"))</x:f>
        <x:v>Lost</x:v>
      </x:c>
      <x:c r="V452" s="22" t="n">
        <x:f>IF(U452="Won",L452*(1-M452),0)</x:f>
        <x:v>0</x:v>
      </x:c>
      <x:c r="W452" s="22" t="n">
        <x:f>IF(U452="Open",L452*N452,0)</x:f>
        <x:v>0</x:v>
      </x:c>
      <x:c r="X452" s="26" t="n">
        <x:f>IF(U452="Open","",IFERROR(K452-B452,""))</x:f>
        <x:v>24</x:v>
      </x:c>
      <x:c r="Y452" s="26" t="n">
        <x:f>IF(U452="Open",Lookups!$B$2-B452,X452)</x:f>
        <x:v>24</x:v>
      </x:c>
      <x:c r="Z452" t="str">
        <x:f>IF(AND(U452="Open",Y452&gt;30),"STALE","OK")</x:f>
        <x:v>OK</x:v>
      </x:c>
      <x:c r="AA452" t="str">
        <x:f>TEXT(B452,"yyyy-mm")</x:f>
        <x:v>2025-02</x:v>
      </x:c>
      <x:c r="AB452" t="str">
        <x:f>IF(K452="","",TEXT(K452,"yyyy-mm"))</x:f>
        <x:v>2025-02</x:v>
      </x:c>
      <x:c r="AC452" t="str">
        <x:f>"Q"&amp;ROUNDUP(MONTH(B452)/3,0)&amp;"-"&amp;YEAR(B452)</x:f>
        <x:v>Q1-2025</x:v>
      </x:c>
      <x:c r="AD452" s="26" t="n">
        <x:f>MIN(100,IF(H452="Enterprise",30,IF(H452="Mid-Market",22,14))+IF(T452="Enterprise",25,IF(T452="Mid-Market",18,10))+IF(Q452="Referral",25,IF(Q452="Organic Search",20,IF(Q452="Email",18,14)))+IF(G452="Technology",10,5))</x:f>
        <x:v>47</x:v>
      </x:c>
      <x:c r="AE452" t="str">
        <x:f>IF(U452&lt;&gt;"Open",U452,IF(N452&gt;=0.8,"Commit",IF(N452&gt;=0.5,"Best Case","Pipeline")))</x:f>
        <x:v>Lost</x:v>
      </x:c>
    </x:row>
    <x:row r="453">
      <x:c r="A453" t="str">
        <x:v>L00452</x:v>
      </x:c>
      <x:c r="B453" s="10" t="n">
        <x:v>45714</x:v>
      </x:c>
      <x:c r="C453" t="str">
        <x:v>Ha Vo</x:v>
      </x:c>
      <x:c r="D453" t="str">
        <x:v>North</x:v>
      </x:c>
      <x:c r="E453" t="str">
        <x:v>Offline List</x:v>
      </x:c>
      <x:c r="F453" t="str">
        <x:v>BI-PLUS</x:v>
      </x:c>
      <x:c r="G453" t="str">
        <x:v>Retail</x:v>
      </x:c>
      <x:c r="H453" t="str">
        <x:v>Enterprise</x:v>
      </x:c>
      <x:c r="I453" t="str">
        <x:v>Closed Lost</x:v>
      </x:c>
      <x:c r="J453" s="10" t="n">
        <x:v>45722</x:v>
      </x:c>
      <x:c r="K453" s="10" t="n">
        <x:v>45722</x:v>
      </x:c>
      <x:c r="L453" s="22" t="n">
        <x:v>82900</x:v>
      </x:c>
      <x:c r="M453" s="24" t="n">
        <x:v>0</x:v>
      </x:c>
      <x:c r="N453" s="24" t="n">
        <x:v>0</x:v>
      </x:c>
      <x:c r="O453" t="str">
        <x:v>Price</x:v>
      </x:c>
      <x:c r="P453" t="n">
        <x:v>4</x:v>
      </x:c>
      <x:c r="Q453" t="str">
        <x:f>IFERROR(XLOOKUP(E453,Lookups!$A$5:$A$24,Lookups!$B$5:$B$24),"Other")</x:f>
        <x:v>Other</x:v>
      </x:c>
      <x:c r="R453" t="str">
        <x:f>IFERROR(XLOOKUP(F453,Lookups!$D$5:$D$10,Lookups!$E$5:$E$10),"Unknown Product")</x:f>
        <x:v>Analytics Plus</x:v>
      </x:c>
      <x:c r="S453" t="str">
        <x:f>IFERROR(XLOOKUP(F453,Lookups!$D$5:$D$10,Lookups!$F$5:$F$10),"Unknown")</x:f>
        <x:v>Analytics</x:v>
      </x:c>
      <x:c r="T453" t="str">
        <x:f>IF(L453&gt;=50000,"Enterprise",IF(L453&gt;=20000,"Mid-Market","SMB"))</x:f>
        <x:v>Enterprise</x:v>
      </x:c>
      <x:c r="U453" t="str">
        <x:f>IF(I453="Closed Won","Won",IF(I453="Closed Lost","Lost","Open"))</x:f>
        <x:v>Lost</x:v>
      </x:c>
      <x:c r="V453" s="22" t="n">
        <x:f>IF(U453="Won",L453*(1-M453),0)</x:f>
        <x:v>0</x:v>
      </x:c>
      <x:c r="W453" s="22" t="n">
        <x:f>IF(U453="Open",L453*N453,0)</x:f>
        <x:v>0</x:v>
      </x:c>
      <x:c r="X453" s="26" t="n">
        <x:f>IF(U453="Open","",IFERROR(K453-B453,""))</x:f>
        <x:v>8</x:v>
      </x:c>
      <x:c r="Y453" s="26" t="n">
        <x:f>IF(U453="Open",Lookups!$B$2-B453,X453)</x:f>
        <x:v>8</x:v>
      </x:c>
      <x:c r="Z453" t="str">
        <x:f>IF(AND(U453="Open",Y453&gt;30),"STALE","OK")</x:f>
        <x:v>OK</x:v>
      </x:c>
      <x:c r="AA453" t="str">
        <x:f>TEXT(B453,"yyyy-mm")</x:f>
        <x:v>2025-02</x:v>
      </x:c>
      <x:c r="AB453" t="str">
        <x:f>IF(K453="","",TEXT(K453,"yyyy-mm"))</x:f>
        <x:v>2025-03</x:v>
      </x:c>
      <x:c r="AC453" t="str">
        <x:f>"Q"&amp;ROUNDUP(MONTH(B453)/3,0)&amp;"-"&amp;YEAR(B453)</x:f>
        <x:v>Q1-2025</x:v>
      </x:c>
      <x:c r="AD453" s="26" t="n">
        <x:f>MIN(100,IF(H453="Enterprise",30,IF(H453="Mid-Market",22,14))+IF(T453="Enterprise",25,IF(T453="Mid-Market",18,10))+IF(Q453="Referral",25,IF(Q453="Organic Search",20,IF(Q453="Email",18,14)))+IF(G453="Technology",10,5))</x:f>
        <x:v>74</x:v>
      </x:c>
      <x:c r="AE453" t="str">
        <x:f>IF(U453&lt;&gt;"Open",U453,IF(N453&gt;=0.8,"Commit",IF(N453&gt;=0.5,"Best Case","Pipeline")))</x:f>
        <x:v>Lost</x:v>
      </x:c>
    </x:row>
    <x:row r="454">
      <x:c r="A454" t="str">
        <x:v>L00453</x:v>
      </x:c>
      <x:c r="B454" s="10" t="n">
        <x:v>46149</x:v>
      </x:c>
      <x:c r="C454" t="str">
        <x:v>Tuan Bui</x:v>
      </x:c>
      <x:c r="D454" t="str">
        <x:v>Central</x:v>
      </x:c>
      <x:c r="E454" t="str">
        <x:v>newsletter</x:v>
      </x:c>
      <x:c r="F454" t="str">
        <x:v>MKT-AUTO</x:v>
      </x:c>
      <x:c r="G454" t="str">
        <x:v>Healthcare</x:v>
      </x:c>
      <x:c r="H454" t="str">
        <x:v>Enterprise</x:v>
      </x:c>
      <x:c r="I454" t="str">
        <x:v>Closed Won</x:v>
      </x:c>
      <x:c r="J454" s="10" t="n">
        <x:v>46210</x:v>
      </x:c>
      <x:c r="K454" s="10" t="n">
        <x:v>46210</x:v>
      </x:c>
      <x:c r="L454" s="22" t="n">
        <x:v>69200</x:v>
      </x:c>
      <x:c r="M454" s="24" t="n">
        <x:v>0.03</x:v>
      </x:c>
      <x:c r="N454" s="24" t="n">
        <x:v>1</x:v>
      </x:c>
      <x:c r="O454" t="str"/>
      <x:c r="P454" t="n">
        <x:v>6</x:v>
      </x:c>
      <x:c r="Q454" t="str">
        <x:f>IFERROR(XLOOKUP(E454,Lookups!$A$5:$A$24,Lookups!$B$5:$B$24),"Other")</x:f>
        <x:v>Email</x:v>
      </x:c>
      <x:c r="R454" t="str">
        <x:f>IFERROR(XLOOKUP(F454,Lookups!$D$5:$D$10,Lookups!$E$5:$E$10),"Unknown Product")</x:f>
        <x:v>Marketing Automation</x:v>
      </x:c>
      <x:c r="S454" t="str">
        <x:f>IFERROR(XLOOKUP(F454,Lookups!$D$5:$D$10,Lookups!$F$5:$F$10),"Unknown")</x:f>
        <x:v>Marketing</x:v>
      </x:c>
      <x:c r="T454" t="str">
        <x:f>IF(L454&gt;=50000,"Enterprise",IF(L454&gt;=20000,"Mid-Market","SMB"))</x:f>
        <x:v>Enterprise</x:v>
      </x:c>
      <x:c r="U454" t="str">
        <x:f>IF(I454="Closed Won","Won",IF(I454="Closed Lost","Lost","Open"))</x:f>
        <x:v>Won</x:v>
      </x:c>
      <x:c r="V454" s="22" t="n">
        <x:f>IF(U454="Won",L454*(1-M454),0)</x:f>
        <x:v>67124</x:v>
      </x:c>
      <x:c r="W454" s="22" t="n">
        <x:f>IF(U454="Open",L454*N454,0)</x:f>
        <x:v>0</x:v>
      </x:c>
      <x:c r="X454" s="26" t="n">
        <x:f>IF(U454="Open","",IFERROR(K454-B454,""))</x:f>
        <x:v>61</x:v>
      </x:c>
      <x:c r="Y454" s="26" t="n">
        <x:f>IF(U454="Open",Lookups!$B$2-B454,X454)</x:f>
        <x:v>61</x:v>
      </x:c>
      <x:c r="Z454" t="str">
        <x:f>IF(AND(U454="Open",Y454&gt;30),"STALE","OK")</x:f>
        <x:v>OK</x:v>
      </x:c>
      <x:c r="AA454" t="str">
        <x:f>TEXT(B454,"yyyy-mm")</x:f>
        <x:v>2026-05</x:v>
      </x:c>
      <x:c r="AB454" t="str">
        <x:f>IF(K454="","",TEXT(K454,"yyyy-mm"))</x:f>
        <x:v>2026-07</x:v>
      </x:c>
      <x:c r="AC454" t="str">
        <x:f>"Q"&amp;ROUNDUP(MONTH(B454)/3,0)&amp;"-"&amp;YEAR(B454)</x:f>
        <x:v>Q2-2026</x:v>
      </x:c>
      <x:c r="AD454" s="26" t="n">
        <x:f>MIN(100,IF(H454="Enterprise",30,IF(H454="Mid-Market",22,14))+IF(T454="Enterprise",25,IF(T454="Mid-Market",18,10))+IF(Q454="Referral",25,IF(Q454="Organic Search",20,IF(Q454="Email",18,14)))+IF(G454="Technology",10,5))</x:f>
        <x:v>78</x:v>
      </x:c>
      <x:c r="AE454" t="str">
        <x:f>IF(U454&lt;&gt;"Open",U454,IF(N454&gt;=0.8,"Commit",IF(N454&gt;=0.5,"Best Case","Pipeline")))</x:f>
        <x:v>Won</x:v>
      </x:c>
    </x:row>
    <x:row r="455">
      <x:c r="A455" t="str">
        <x:v>L00454</x:v>
      </x:c>
      <x:c r="B455" s="10" t="n">
        <x:v>46133</x:v>
      </x:c>
      <x:c r="C455" t="str">
        <x:v>Duy Pham</x:v>
      </x:c>
      <x:c r="D455" t="str">
        <x:v>South</x:v>
      </x:c>
      <x:c r="E455" t="str">
        <x:v>Google Organic</x:v>
      </x:c>
      <x:c r="F455" t="str">
        <x:v>CRM-PRO</x:v>
      </x:c>
      <x:c r="G455" t="str">
        <x:v>Financial Services</x:v>
      </x:c>
      <x:c r="H455" t="str">
        <x:v>SMB</x:v>
      </x:c>
      <x:c r="I455" t="str">
        <x:v>Closed Lost</x:v>
      </x:c>
      <x:c r="J455" s="10" t="n">
        <x:v>46173</x:v>
      </x:c>
      <x:c r="K455" s="10" t="n">
        <x:v>46173</x:v>
      </x:c>
      <x:c r="L455" s="22" t="n">
        <x:v>12500</x:v>
      </x:c>
      <x:c r="M455" s="24" t="n">
        <x:v>0</x:v>
      </x:c>
      <x:c r="N455" s="24" t="n">
        <x:v>0</x:v>
      </x:c>
      <x:c r="O455" t="str">
        <x:v>Competitor</x:v>
      </x:c>
      <x:c r="P455" t="n">
        <x:v>2</x:v>
      </x:c>
      <x:c r="Q455" t="str">
        <x:f>IFERROR(XLOOKUP(E455,Lookups!$A$5:$A$24,Lookups!$B$5:$B$24),"Other")</x:f>
        <x:v>Organic Search</x:v>
      </x:c>
      <x:c r="R455" t="str">
        <x:f>IFERROR(XLOOKUP(F455,Lookups!$D$5:$D$10,Lookups!$E$5:$E$10),"Unknown Product")</x:f>
        <x:v>NexaCRM Pro</x:v>
      </x:c>
      <x:c r="S455" t="str">
        <x:f>IFERROR(XLOOKUP(F455,Lookups!$D$5:$D$10,Lookups!$F$5:$F$10),"Unknown")</x:f>
        <x:v>CRM</x:v>
      </x:c>
      <x:c r="T455" t="str">
        <x:f>IF(L455&gt;=50000,"Enterprise",IF(L455&gt;=20000,"Mid-Market","SMB"))</x:f>
        <x:v>SMB</x:v>
      </x:c>
      <x:c r="U455" t="str">
        <x:f>IF(I455="Closed Won","Won",IF(I455="Closed Lost","Lost","Open"))</x:f>
        <x:v>Lost</x:v>
      </x:c>
      <x:c r="V455" s="22" t="n">
        <x:f>IF(U455="Won",L455*(1-M455),0)</x:f>
        <x:v>0</x:v>
      </x:c>
      <x:c r="W455" s="22" t="n">
        <x:f>IF(U455="Open",L455*N455,0)</x:f>
        <x:v>0</x:v>
      </x:c>
      <x:c r="X455" s="26" t="n">
        <x:f>IF(U455="Open","",IFERROR(K455-B455,""))</x:f>
        <x:v>40</x:v>
      </x:c>
      <x:c r="Y455" s="26" t="n">
        <x:f>IF(U455="Open",Lookups!$B$2-B455,X455)</x:f>
        <x:v>40</x:v>
      </x:c>
      <x:c r="Z455" t="str">
        <x:f>IF(AND(U455="Open",Y455&gt;30),"STALE","OK")</x:f>
        <x:v>OK</x:v>
      </x:c>
      <x:c r="AA455" t="str">
        <x:f>TEXT(B455,"yyyy-mm")</x:f>
        <x:v>2026-04</x:v>
      </x:c>
      <x:c r="AB455" t="str">
        <x:f>IF(K455="","",TEXT(K455,"yyyy-mm"))</x:f>
        <x:v>2026-05</x:v>
      </x:c>
      <x:c r="AC455" t="str">
        <x:f>"Q"&amp;ROUNDUP(MONTH(B455)/3,0)&amp;"-"&amp;YEAR(B455)</x:f>
        <x:v>Q2-2026</x:v>
      </x:c>
      <x:c r="AD455" s="26" t="n">
        <x:f>MIN(100,IF(H455="Enterprise",30,IF(H455="Mid-Market",22,14))+IF(T455="Enterprise",25,IF(T455="Mid-Market",18,10))+IF(Q455="Referral",25,IF(Q455="Organic Search",20,IF(Q455="Email",18,14)))+IF(G455="Technology",10,5))</x:f>
        <x:v>49</x:v>
      </x:c>
      <x:c r="AE455" t="str">
        <x:f>IF(U455&lt;&gt;"Open",U455,IF(N455&gt;=0.8,"Commit",IF(N455&gt;=0.5,"Best Case","Pipeline")))</x:f>
        <x:v>Lost</x:v>
      </x:c>
    </x:row>
    <x:row r="456">
      <x:c r="A456" t="str">
        <x:v>L00455</x:v>
      </x:c>
      <x:c r="B456" s="10" t="n">
        <x:v>45902</x:v>
      </x:c>
      <x:c r="C456" t="str">
        <x:v>Bao Tran</x:v>
      </x:c>
      <x:c r="D456" t="str">
        <x:v>South</x:v>
      </x:c>
      <x:c r="E456" t="str">
        <x:v>Google Ads</x:v>
      </x:c>
      <x:c r="F456" t="str">
        <x:v>CRM-CORE</x:v>
      </x:c>
      <x:c r="G456" t="str">
        <x:v>Technology</x:v>
      </x:c>
      <x:c r="H456" t="str">
        <x:v>SMB</x:v>
      </x:c>
      <x:c r="I456" t="str">
        <x:v>Closed Won</x:v>
      </x:c>
      <x:c r="J456" s="10" t="n">
        <x:v>45985</x:v>
      </x:c>
      <x:c r="K456" s="10" t="n">
        <x:v>45985</x:v>
      </x:c>
      <x:c r="L456" s="22" t="n">
        <x:v>5300</x:v>
      </x:c>
      <x:c r="M456" s="24" t="n">
        <x:v>0</x:v>
      </x:c>
      <x:c r="N456" s="24" t="n">
        <x:v>1</x:v>
      </x:c>
      <x:c r="O456" t="str"/>
      <x:c r="P456" t="n">
        <x:v>6</x:v>
      </x:c>
      <x:c r="Q456" t="str">
        <x:f>IFERROR(XLOOKUP(E456,Lookups!$A$5:$A$24,Lookups!$B$5:$B$24),"Other")</x:f>
        <x:v>Paid Search</x:v>
      </x:c>
      <x:c r="R456" t="str">
        <x:f>IFERROR(XLOOKUP(F456,Lookups!$D$5:$D$10,Lookups!$E$5:$E$10),"Unknown Product")</x:f>
        <x:v>NexaCRM Core</x:v>
      </x:c>
      <x:c r="S456" t="str">
        <x:f>IFERROR(XLOOKUP(F456,Lookups!$D$5:$D$10,Lookups!$F$5:$F$10),"Unknown")</x:f>
        <x:v>CRM</x:v>
      </x:c>
      <x:c r="T456" t="str">
        <x:f>IF(L456&gt;=50000,"Enterprise",IF(L456&gt;=20000,"Mid-Market","SMB"))</x:f>
        <x:v>SMB</x:v>
      </x:c>
      <x:c r="U456" t="str">
        <x:f>IF(I456="Closed Won","Won",IF(I456="Closed Lost","Lost","Open"))</x:f>
        <x:v>Won</x:v>
      </x:c>
      <x:c r="V456" s="22" t="n">
        <x:f>IF(U456="Won",L456*(1-M456),0)</x:f>
        <x:v>5300</x:v>
      </x:c>
      <x:c r="W456" s="22" t="n">
        <x:f>IF(U456="Open",L456*N456,0)</x:f>
        <x:v>0</x:v>
      </x:c>
      <x:c r="X456" s="26" t="n">
        <x:f>IF(U456="Open","",IFERROR(K456-B456,""))</x:f>
        <x:v>83</x:v>
      </x:c>
      <x:c r="Y456" s="26" t="n">
        <x:f>IF(U456="Open",Lookups!$B$2-B456,X456)</x:f>
        <x:v>83</x:v>
      </x:c>
      <x:c r="Z456" t="str">
        <x:f>IF(AND(U456="Open",Y456&gt;30),"STALE","OK")</x:f>
        <x:v>OK</x:v>
      </x:c>
      <x:c r="AA456" t="str">
        <x:f>TEXT(B456,"yyyy-mm")</x:f>
        <x:v>2025-09</x:v>
      </x:c>
      <x:c r="AB456" t="str">
        <x:f>IF(K456="","",TEXT(K456,"yyyy-mm"))</x:f>
        <x:v>2025-11</x:v>
      </x:c>
      <x:c r="AC456" t="str">
        <x:f>"Q"&amp;ROUNDUP(MONTH(B456)/3,0)&amp;"-"&amp;YEAR(B456)</x:f>
        <x:v>Q3-2025</x:v>
      </x:c>
      <x:c r="AD456" s="26" t="n">
        <x:f>MIN(100,IF(H456="Enterprise",30,IF(H456="Mid-Market",22,14))+IF(T456="Enterprise",25,IF(T456="Mid-Market",18,10))+IF(Q456="Referral",25,IF(Q456="Organic Search",20,IF(Q456="Email",18,14)))+IF(G456="Technology",10,5))</x:f>
        <x:v>48</x:v>
      </x:c>
      <x:c r="AE456" t="str">
        <x:f>IF(U456&lt;&gt;"Open",U456,IF(N456&gt;=0.8,"Commit",IF(N456&gt;=0.5,"Best Case","Pipeline")))</x:f>
        <x:v>Won</x:v>
      </x:c>
    </x:row>
    <x:row r="457">
      <x:c r="A457" t="str">
        <x:v>L00456</x:v>
      </x:c>
      <x:c r="B457" s="10" t="n">
        <x:v>46153</x:v>
      </x:c>
      <x:c r="C457" t="str">
        <x:v>Bao Tran</x:v>
      </x:c>
      <x:c r="D457" t="str">
        <x:v>South</x:v>
      </x:c>
      <x:c r="E457" t="str">
        <x:v>email nurture</x:v>
      </x:c>
      <x:c r="F457" t="str">
        <x:v>BI-PLUS</x:v>
      </x:c>
      <x:c r="G457" t="str">
        <x:v>Technology</x:v>
      </x:c>
      <x:c r="H457" t="str">
        <x:v>SMB</x:v>
      </x:c>
      <x:c r="I457" t="str">
        <x:v>Proposal</x:v>
      </x:c>
      <x:c r="J457" s="10" t="n">
        <x:v>46198</x:v>
      </x:c>
      <x:c r="K457" s="10"/>
      <x:c r="L457" s="22" t="n">
        <x:v>15300</x:v>
      </x:c>
      <x:c r="M457" s="24" t="n">
        <x:v>0.05</x:v>
      </x:c>
      <x:c r="N457" s="24" t="n">
        <x:v>0.65</x:v>
      </x:c>
      <x:c r="O457" t="str"/>
      <x:c r="P457" t="n">
        <x:v>4</x:v>
      </x:c>
      <x:c r="Q457" t="str">
        <x:f>IFERROR(XLOOKUP(E457,Lookups!$A$5:$A$24,Lookups!$B$5:$B$24),"Other")</x:f>
        <x:v>Email</x:v>
      </x:c>
      <x:c r="R457" t="str">
        <x:f>IFERROR(XLOOKUP(F457,Lookups!$D$5:$D$10,Lookups!$E$5:$E$10),"Unknown Product")</x:f>
        <x:v>Analytics Plus</x:v>
      </x:c>
      <x:c r="S457" t="str">
        <x:f>IFERROR(XLOOKUP(F457,Lookups!$D$5:$D$10,Lookups!$F$5:$F$10),"Unknown")</x:f>
        <x:v>Analytics</x:v>
      </x:c>
      <x:c r="T457" t="str">
        <x:f>IF(L457&gt;=50000,"Enterprise",IF(L457&gt;=20000,"Mid-Market","SMB"))</x:f>
        <x:v>SMB</x:v>
      </x:c>
      <x:c r="U457" t="str">
        <x:f>IF(I457="Closed Won","Won",IF(I457="Closed Lost","Lost","Open"))</x:f>
        <x:v>Open</x:v>
      </x:c>
      <x:c r="V457" s="22" t="n">
        <x:f>IF(U457="Won",L457*(1-M457),0)</x:f>
        <x:v>0</x:v>
      </x:c>
      <x:c r="W457" s="22" t="n">
        <x:f>IF(U457="Open",L457*N457,0)</x:f>
        <x:v>9945</x:v>
      </x:c>
      <x:c r="X457" s="26" t="str">
        <x:f>IF(U457="Open","",IFERROR(K457-B457,""))</x:f>
      </x:c>
      <x:c r="Y457" s="26" t="n">
        <x:f>IF(U457="Open",Lookups!$B$2-B457,X457)</x:f>
        <x:v>113</x:v>
      </x:c>
      <x:c r="Z457" t="str">
        <x:f>IF(AND(U457="Open",Y457&gt;30),"STALE","OK")</x:f>
        <x:v>STALE</x:v>
      </x:c>
      <x:c r="AA457" t="str">
        <x:f>TEXT(B457,"yyyy-mm")</x:f>
        <x:v>2026-05</x:v>
      </x:c>
      <x:c r="AB457" t="str">
        <x:f>IF(K457="","",TEXT(K457,"yyyy-mm"))</x:f>
      </x:c>
      <x:c r="AC457" t="str">
        <x:f>"Q"&amp;ROUNDUP(MONTH(B457)/3,0)&amp;"-"&amp;YEAR(B457)</x:f>
        <x:v>Q2-2026</x:v>
      </x:c>
      <x:c r="AD457" s="26" t="n">
        <x:f>MIN(100,IF(H457="Enterprise",30,IF(H457="Mid-Market",22,14))+IF(T457="Enterprise",25,IF(T457="Mid-Market",18,10))+IF(Q457="Referral",25,IF(Q457="Organic Search",20,IF(Q457="Email",18,14)))+IF(G457="Technology",10,5))</x:f>
        <x:v>52</x:v>
      </x:c>
      <x:c r="AE457" t="str">
        <x:f>IF(U457&lt;&gt;"Open",U457,IF(N457&gt;=0.8,"Commit",IF(N457&gt;=0.5,"Best Case","Pipeline")))</x:f>
        <x:v>Best Case</x:v>
      </x:c>
    </x:row>
    <x:row r="458">
      <x:c r="A458" t="str">
        <x:v>L00457</x:v>
      </x:c>
      <x:c r="B458" s="10" t="n">
        <x:v>46237</x:v>
      </x:c>
      <x:c r="C458" t="str">
        <x:v>Bao Tran</x:v>
      </x:c>
      <x:c r="D458" t="str">
        <x:v>South</x:v>
      </x:c>
      <x:c r="E458" t="str">
        <x:v>Google Organic</x:v>
      </x:c>
      <x:c r="F458" t="str">
        <x:v>MKT-AUTO</x:v>
      </x:c>
      <x:c r="G458" t="str">
        <x:v>Education</x:v>
      </x:c>
      <x:c r="H458" t="str">
        <x:v>SMB</x:v>
      </x:c>
      <x:c r="I458" t="str">
        <x:v>Closed Lost</x:v>
      </x:c>
      <x:c r="J458" s="10" t="n">
        <x:v>46266</x:v>
      </x:c>
      <x:c r="K458" s="10" t="n">
        <x:v>46266</x:v>
      </x:c>
      <x:c r="L458" s="22" t="n">
        <x:v>12500</x:v>
      </x:c>
      <x:c r="M458" s="24" t="n">
        <x:v>0</x:v>
      </x:c>
      <x:c r="N458" s="24" t="n">
        <x:v>0</x:v>
      </x:c>
      <x:c r="O458" t="str">
        <x:v>No Decision</x:v>
      </x:c>
      <x:c r="P458" t="n">
        <x:v>3</x:v>
      </x:c>
      <x:c r="Q458" t="str">
        <x:f>IFERROR(XLOOKUP(E458,Lookups!$A$5:$A$24,Lookups!$B$5:$B$24),"Other")</x:f>
        <x:v>Organic Search</x:v>
      </x:c>
      <x:c r="R458" t="str">
        <x:f>IFERROR(XLOOKUP(F458,Lookups!$D$5:$D$10,Lookups!$E$5:$E$10),"Unknown Product")</x:f>
        <x:v>Marketing Automation</x:v>
      </x:c>
      <x:c r="S458" t="str">
        <x:f>IFERROR(XLOOKUP(F458,Lookups!$D$5:$D$10,Lookups!$F$5:$F$10),"Unknown")</x:f>
        <x:v>Marketing</x:v>
      </x:c>
      <x:c r="T458" t="str">
        <x:f>IF(L458&gt;=50000,"Enterprise",IF(L458&gt;=20000,"Mid-Market","SMB"))</x:f>
        <x:v>SMB</x:v>
      </x:c>
      <x:c r="U458" t="str">
        <x:f>IF(I458="Closed Won","Won",IF(I458="Closed Lost","Lost","Open"))</x:f>
        <x:v>Lost</x:v>
      </x:c>
      <x:c r="V458" s="22" t="n">
        <x:f>IF(U458="Won",L458*(1-M458),0)</x:f>
        <x:v>0</x:v>
      </x:c>
      <x:c r="W458" s="22" t="n">
        <x:f>IF(U458="Open",L458*N458,0)</x:f>
        <x:v>0</x:v>
      </x:c>
      <x:c r="X458" s="26" t="n">
        <x:f>IF(U458="Open","",IFERROR(K458-B458,""))</x:f>
        <x:v>29</x:v>
      </x:c>
      <x:c r="Y458" s="26" t="n">
        <x:f>IF(U458="Open",Lookups!$B$2-B458,X458)</x:f>
        <x:v>29</x:v>
      </x:c>
      <x:c r="Z458" t="str">
        <x:f>IF(AND(U458="Open",Y458&gt;30),"STALE","OK")</x:f>
        <x:v>OK</x:v>
      </x:c>
      <x:c r="AA458" t="str">
        <x:f>TEXT(B458,"yyyy-mm")</x:f>
        <x:v>2026-08</x:v>
      </x:c>
      <x:c r="AB458" t="str">
        <x:f>IF(K458="","",TEXT(K458,"yyyy-mm"))</x:f>
        <x:v>2026-09</x:v>
      </x:c>
      <x:c r="AC458" t="str">
        <x:f>"Q"&amp;ROUNDUP(MONTH(B458)/3,0)&amp;"-"&amp;YEAR(B458)</x:f>
        <x:v>Q3-2026</x:v>
      </x:c>
      <x:c r="AD458" s="26" t="n">
        <x:f>MIN(100,IF(H458="Enterprise",30,IF(H458="Mid-Market",22,14))+IF(T458="Enterprise",25,IF(T458="Mid-Market",18,10))+IF(Q458="Referral",25,IF(Q458="Organic Search",20,IF(Q458="Email",18,14)))+IF(G458="Technology",10,5))</x:f>
        <x:v>49</x:v>
      </x:c>
      <x:c r="AE458" t="str">
        <x:f>IF(U458&lt;&gt;"Open",U458,IF(N458&gt;=0.8,"Commit",IF(N458&gt;=0.5,"Best Case","Pipeline")))</x:f>
        <x:v>Lost</x:v>
      </x:c>
    </x:row>
    <x:row r="459">
      <x:c r="A459" t="str">
        <x:v>L00458</x:v>
      </x:c>
      <x:c r="B459" s="10" t="n">
        <x:v>46219</x:v>
      </x:c>
      <x:c r="C459" t="str">
        <x:v>Chi Le</x:v>
      </x:c>
      <x:c r="D459" t="str">
        <x:v>South</x:v>
      </x:c>
      <x:c r="E459" t="str">
        <x:v>email nurture</x:v>
      </x:c>
      <x:c r="F459" t="str">
        <x:v>CRM-PRO</x:v>
      </x:c>
      <x:c r="G459" t="str">
        <x:v>Technology</x:v>
      </x:c>
      <x:c r="H459" t="str">
        <x:v>Mid-Market</x:v>
      </x:c>
      <x:c r="I459" t="str">
        <x:v>Closed Lost</x:v>
      </x:c>
      <x:c r="J459" s="10" t="n">
        <x:v>46266</x:v>
      </x:c>
      <x:c r="K459" s="10" t="n">
        <x:v>46266</x:v>
      </x:c>
      <x:c r="L459" s="22" t="n">
        <x:v>42200</x:v>
      </x:c>
      <x:c r="M459" s="24" t="n">
        <x:v>0</x:v>
      </x:c>
      <x:c r="N459" s="24" t="n">
        <x:v>0</x:v>
      </x:c>
      <x:c r="O459" t="str">
        <x:v>Price</x:v>
      </x:c>
      <x:c r="P459" t="n">
        <x:v>3</x:v>
      </x:c>
      <x:c r="Q459" t="str">
        <x:f>IFERROR(XLOOKUP(E459,Lookups!$A$5:$A$24,Lookups!$B$5:$B$24),"Other")</x:f>
        <x:v>Email</x:v>
      </x:c>
      <x:c r="R459" t="str">
        <x:f>IFERROR(XLOOKUP(F459,Lookups!$D$5:$D$10,Lookups!$E$5:$E$10),"Unknown Product")</x:f>
        <x:v>NexaCRM Pro</x:v>
      </x:c>
      <x:c r="S459" t="str">
        <x:f>IFERROR(XLOOKUP(F459,Lookups!$D$5:$D$10,Lookups!$F$5:$F$10),"Unknown")</x:f>
        <x:v>CRM</x:v>
      </x:c>
      <x:c r="T459" t="str">
        <x:f>IF(L459&gt;=50000,"Enterprise",IF(L459&gt;=20000,"Mid-Market","SMB"))</x:f>
        <x:v>Mid-Market</x:v>
      </x:c>
      <x:c r="U459" t="str">
        <x:f>IF(I459="Closed Won","Won",IF(I459="Closed Lost","Lost","Open"))</x:f>
        <x:v>Lost</x:v>
      </x:c>
      <x:c r="V459" s="22" t="n">
        <x:f>IF(U459="Won",L459*(1-M459),0)</x:f>
        <x:v>0</x:v>
      </x:c>
      <x:c r="W459" s="22" t="n">
        <x:f>IF(U459="Open",L459*N459,0)</x:f>
        <x:v>0</x:v>
      </x:c>
      <x:c r="X459" s="26" t="n">
        <x:f>IF(U459="Open","",IFERROR(K459-B459,""))</x:f>
        <x:v>47</x:v>
      </x:c>
      <x:c r="Y459" s="26" t="n">
        <x:f>IF(U459="Open",Lookups!$B$2-B459,X459)</x:f>
        <x:v>47</x:v>
      </x:c>
      <x:c r="Z459" t="str">
        <x:f>IF(AND(U459="Open",Y459&gt;30),"STALE","OK")</x:f>
        <x:v>OK</x:v>
      </x:c>
      <x:c r="AA459" t="str">
        <x:f>TEXT(B459,"yyyy-mm")</x:f>
        <x:v>2026-07</x:v>
      </x:c>
      <x:c r="AB459" t="str">
        <x:f>IF(K459="","",TEXT(K459,"yyyy-mm"))</x:f>
        <x:v>2026-09</x:v>
      </x:c>
      <x:c r="AC459" t="str">
        <x:f>"Q"&amp;ROUNDUP(MONTH(B459)/3,0)&amp;"-"&amp;YEAR(B459)</x:f>
        <x:v>Q3-2026</x:v>
      </x:c>
      <x:c r="AD459" s="26" t="n">
        <x:f>MIN(100,IF(H459="Enterprise",30,IF(H459="Mid-Market",22,14))+IF(T459="Enterprise",25,IF(T459="Mid-Market",18,10))+IF(Q459="Referral",25,IF(Q459="Organic Search",20,IF(Q459="Email",18,14)))+IF(G459="Technology",10,5))</x:f>
        <x:v>68</x:v>
      </x:c>
      <x:c r="AE459" t="str">
        <x:f>IF(U459&lt;&gt;"Open",U459,IF(N459&gt;=0.8,"Commit",IF(N459&gt;=0.5,"Best Case","Pipeline")))</x:f>
        <x:v>Lost</x:v>
      </x:c>
    </x:row>
    <x:row r="460">
      <x:c r="A460" t="str">
        <x:v>L00459</x:v>
      </x:c>
      <x:c r="B460" s="10" t="n">
        <x:v>45855</x:v>
      </x:c>
      <x:c r="C460" t="str">
        <x:v>Quynh Vu</x:v>
      </x:c>
      <x:c r="D460" t="str">
        <x:v>North</x:v>
      </x:c>
      <x:c r="E460" t="str">
        <x:v>linkedin</x:v>
      </x:c>
      <x:c r="F460" t="str">
        <x:v>CRM-PRO</x:v>
      </x:c>
      <x:c r="G460" t="str">
        <x:v>Retail</x:v>
      </x:c>
      <x:c r="H460" t="str">
        <x:v>SMB</x:v>
      </x:c>
      <x:c r="I460" t="str">
        <x:v>Closed Lost</x:v>
      </x:c>
      <x:c r="J460" s="10" t="n">
        <x:v>45924</x:v>
      </x:c>
      <x:c r="K460" s="10" t="n">
        <x:v>45924</x:v>
      </x:c>
      <x:c r="L460" s="22" t="n">
        <x:v>25200</x:v>
      </x:c>
      <x:c r="M460" s="24" t="n">
        <x:v>0</x:v>
      </x:c>
      <x:c r="N460" s="24" t="n">
        <x:v>0</x:v>
      </x:c>
      <x:c r="O460" t="str">
        <x:v>Price</x:v>
      </x:c>
      <x:c r="P460" t="n">
        <x:v>4</x:v>
      </x:c>
      <x:c r="Q460" t="str">
        <x:f>IFERROR(XLOOKUP(E460,Lookups!$A$5:$A$24,Lookups!$B$5:$B$24),"Other")</x:f>
        <x:v>LinkedIn</x:v>
      </x:c>
      <x:c r="R460" t="str">
        <x:f>IFERROR(XLOOKUP(F460,Lookups!$D$5:$D$10,Lookups!$E$5:$E$10),"Unknown Product")</x:f>
        <x:v>NexaCRM Pro</x:v>
      </x:c>
      <x:c r="S460" t="str">
        <x:f>IFERROR(XLOOKUP(F460,Lookups!$D$5:$D$10,Lookups!$F$5:$F$10),"Unknown")</x:f>
        <x:v>CRM</x:v>
      </x:c>
      <x:c r="T460" t="str">
        <x:f>IF(L460&gt;=50000,"Enterprise",IF(L460&gt;=20000,"Mid-Market","SMB"))</x:f>
        <x:v>Mid-Market</x:v>
      </x:c>
      <x:c r="U460" t="str">
        <x:f>IF(I460="Closed Won","Won",IF(I460="Closed Lost","Lost","Open"))</x:f>
        <x:v>Lost</x:v>
      </x:c>
      <x:c r="V460" s="22" t="n">
        <x:f>IF(U460="Won",L460*(1-M460),0)</x:f>
        <x:v>0</x:v>
      </x:c>
      <x:c r="W460" s="22" t="n">
        <x:f>IF(U460="Open",L460*N460,0)</x:f>
        <x:v>0</x:v>
      </x:c>
      <x:c r="X460" s="26" t="n">
        <x:f>IF(U460="Open","",IFERROR(K460-B460,""))</x:f>
        <x:v>69</x:v>
      </x:c>
      <x:c r="Y460" s="26" t="n">
        <x:f>IF(U460="Open",Lookups!$B$2-B460,X460)</x:f>
        <x:v>69</x:v>
      </x:c>
      <x:c r="Z460" t="str">
        <x:f>IF(AND(U460="Open",Y460&gt;30),"STALE","OK")</x:f>
        <x:v>OK</x:v>
      </x:c>
      <x:c r="AA460" t="str">
        <x:f>TEXT(B460,"yyyy-mm")</x:f>
        <x:v>2025-07</x:v>
      </x:c>
      <x:c r="AB460" t="str">
        <x:f>IF(K460="","",TEXT(K460,"yyyy-mm"))</x:f>
        <x:v>2025-09</x:v>
      </x:c>
      <x:c r="AC460" t="str">
        <x:f>"Q"&amp;ROUNDUP(MONTH(B460)/3,0)&amp;"-"&amp;YEAR(B460)</x:f>
        <x:v>Q3-2025</x:v>
      </x:c>
      <x:c r="AD460" s="26" t="n">
        <x:f>MIN(100,IF(H460="Enterprise",30,IF(H460="Mid-Market",22,14))+IF(T460="Enterprise",25,IF(T460="Mid-Market",18,10))+IF(Q460="Referral",25,IF(Q460="Organic Search",20,IF(Q460="Email",18,14)))+IF(G460="Technology",10,5))</x:f>
        <x:v>51</x:v>
      </x:c>
      <x:c r="AE460" t="str">
        <x:f>IF(U460&lt;&gt;"Open",U460,IF(N460&gt;=0.8,"Commit",IF(N460&gt;=0.5,"Best Case","Pipeline")))</x:f>
        <x:v>Lost</x:v>
      </x:c>
    </x:row>
    <x:row r="461">
      <x:c r="A461" t="str">
        <x:v>L00460</x:v>
      </x:c>
      <x:c r="B461" s="10" t="n">
        <x:v>45955</x:v>
      </x:c>
      <x:c r="C461" t="str">
        <x:v>An Nguyen</x:v>
      </x:c>
      <x:c r="D461" t="str">
        <x:v>South</x:v>
      </x:c>
      <x:c r="E461" t="str">
        <x:v>Referral</x:v>
      </x:c>
      <x:c r="F461" t="str">
        <x:v>CRM-CORE</x:v>
      </x:c>
      <x:c r="G461" t="str">
        <x:v>Manufacturing</x:v>
      </x:c>
      <x:c r="H461" t="str">
        <x:v>SMB</x:v>
      </x:c>
      <x:c r="I461" t="str">
        <x:v>Closed Lost</x:v>
      </x:c>
      <x:c r="J461" s="10" t="n">
        <x:v>46000</x:v>
      </x:c>
      <x:c r="K461" s="10" t="n">
        <x:v>46000</x:v>
      </x:c>
      <x:c r="L461" s="22" t="n">
        <x:v>5000</x:v>
      </x:c>
      <x:c r="M461" s="24" t="n">
        <x:v>0</x:v>
      </x:c>
      <x:c r="N461" s="24" t="n">
        <x:v>0</x:v>
      </x:c>
      <x:c r="O461" t="str">
        <x:v>Timing</x:v>
      </x:c>
      <x:c r="P461" t="n">
        <x:v>4</x:v>
      </x:c>
      <x:c r="Q461" t="str">
        <x:f>IFERROR(XLOOKUP(E461,Lookups!$A$5:$A$24,Lookups!$B$5:$B$24),"Other")</x:f>
        <x:v>Referral</x:v>
      </x:c>
      <x:c r="R461" t="str">
        <x:f>IFERROR(XLOOKUP(F461,Lookups!$D$5:$D$10,Lookups!$E$5:$E$10),"Unknown Product")</x:f>
        <x:v>NexaCRM Core</x:v>
      </x:c>
      <x:c r="S461" t="str">
        <x:f>IFERROR(XLOOKUP(F461,Lookups!$D$5:$D$10,Lookups!$F$5:$F$10),"Unknown")</x:f>
        <x:v>CRM</x:v>
      </x:c>
      <x:c r="T461" t="str">
        <x:f>IF(L461&gt;=50000,"Enterprise",IF(L461&gt;=20000,"Mid-Market","SMB"))</x:f>
        <x:v>SMB</x:v>
      </x:c>
      <x:c r="U461" t="str">
        <x:f>IF(I461="Closed Won","Won",IF(I461="Closed Lost","Lost","Open"))</x:f>
        <x:v>Lost</x:v>
      </x:c>
      <x:c r="V461" s="22" t="n">
        <x:f>IF(U461="Won",L461*(1-M461),0)</x:f>
        <x:v>0</x:v>
      </x:c>
      <x:c r="W461" s="22" t="n">
        <x:f>IF(U461="Open",L461*N461,0)</x:f>
        <x:v>0</x:v>
      </x:c>
      <x:c r="X461" s="26" t="n">
        <x:f>IF(U461="Open","",IFERROR(K461-B461,""))</x:f>
        <x:v>45</x:v>
      </x:c>
      <x:c r="Y461" s="26" t="n">
        <x:f>IF(U461="Open",Lookups!$B$2-B461,X461)</x:f>
        <x:v>45</x:v>
      </x:c>
      <x:c r="Z461" t="str">
        <x:f>IF(AND(U461="Open",Y461&gt;30),"STALE","OK")</x:f>
        <x:v>OK</x:v>
      </x:c>
      <x:c r="AA461" t="str">
        <x:f>TEXT(B461,"yyyy-mm")</x:f>
        <x:v>2025-10</x:v>
      </x:c>
      <x:c r="AB461" t="str">
        <x:f>IF(K461="","",TEXT(K461,"yyyy-mm"))</x:f>
        <x:v>2025-12</x:v>
      </x:c>
      <x:c r="AC461" t="str">
        <x:f>"Q"&amp;ROUNDUP(MONTH(B461)/3,0)&amp;"-"&amp;YEAR(B461)</x:f>
        <x:v>Q4-2025</x:v>
      </x:c>
      <x:c r="AD461" s="26" t="n">
        <x:f>MIN(100,IF(H461="Enterprise",30,IF(H461="Mid-Market",22,14))+IF(T461="Enterprise",25,IF(T461="Mid-Market",18,10))+IF(Q461="Referral",25,IF(Q461="Organic Search",20,IF(Q461="Email",18,14)))+IF(G461="Technology",10,5))</x:f>
        <x:v>54</x:v>
      </x:c>
      <x:c r="AE461" t="str">
        <x:f>IF(U461&lt;&gt;"Open",U461,IF(N461&gt;=0.8,"Commit",IF(N461&gt;=0.5,"Best Case","Pipeline")))</x:f>
        <x:v>Lost</x:v>
      </x:c>
    </x:row>
    <x:row r="462">
      <x:c r="A462" t="str">
        <x:v>L00461</x:v>
      </x:c>
      <x:c r="B462" s="10" t="n">
        <x:v>45693</x:v>
      </x:c>
      <x:c r="C462" t="str">
        <x:v>Minh Do</x:v>
      </x:c>
      <x:c r="D462" t="str">
        <x:v>North</x:v>
      </x:c>
      <x:c r="E462" t="str">
        <x:v>Google Ads</x:v>
      </x:c>
      <x:c r="F462" t="str">
        <x:v>BI-PLUS</x:v>
      </x:c>
      <x:c r="G462" t="str">
        <x:v>Technology</x:v>
      </x:c>
      <x:c r="H462" t="str">
        <x:v>SMB</x:v>
      </x:c>
      <x:c r="I462" t="str">
        <x:v>Closed Lost</x:v>
      </x:c>
      <x:c r="J462" s="10" t="n">
        <x:v>45750</x:v>
      </x:c>
      <x:c r="K462" s="10" t="n">
        <x:v>45750</x:v>
      </x:c>
      <x:c r="L462" s="22" t="n">
        <x:v>29800</x:v>
      </x:c>
      <x:c r="M462" s="24" t="n">
        <x:v>0</x:v>
      </x:c>
      <x:c r="N462" s="24" t="n">
        <x:v>0</x:v>
      </x:c>
      <x:c r="O462" t="str">
        <x:v>Feature Gap</x:v>
      </x:c>
      <x:c r="P462" t="n">
        <x:v>3</x:v>
      </x:c>
      <x:c r="Q462" t="str">
        <x:f>IFERROR(XLOOKUP(E462,Lookups!$A$5:$A$24,Lookups!$B$5:$B$24),"Other")</x:f>
        <x:v>Paid Search</x:v>
      </x:c>
      <x:c r="R462" t="str">
        <x:f>IFERROR(XLOOKUP(F462,Lookups!$D$5:$D$10,Lookups!$E$5:$E$10),"Unknown Product")</x:f>
        <x:v>Analytics Plus</x:v>
      </x:c>
      <x:c r="S462" t="str">
        <x:f>IFERROR(XLOOKUP(F462,Lookups!$D$5:$D$10,Lookups!$F$5:$F$10),"Unknown")</x:f>
        <x:v>Analytics</x:v>
      </x:c>
      <x:c r="T462" t="str">
        <x:f>IF(L462&gt;=50000,"Enterprise",IF(L462&gt;=20000,"Mid-Market","SMB"))</x:f>
        <x:v>Mid-Market</x:v>
      </x:c>
      <x:c r="U462" t="str">
        <x:f>IF(I462="Closed Won","Won",IF(I462="Closed Lost","Lost","Open"))</x:f>
        <x:v>Lost</x:v>
      </x:c>
      <x:c r="V462" s="22" t="n">
        <x:f>IF(U462="Won",L462*(1-M462),0)</x:f>
        <x:v>0</x:v>
      </x:c>
      <x:c r="W462" s="22" t="n">
        <x:f>IF(U462="Open",L462*N462,0)</x:f>
        <x:v>0</x:v>
      </x:c>
      <x:c r="X462" s="26" t="n">
        <x:f>IF(U462="Open","",IFERROR(K462-B462,""))</x:f>
        <x:v>57</x:v>
      </x:c>
      <x:c r="Y462" s="26" t="n">
        <x:f>IF(U462="Open",Lookups!$B$2-B462,X462)</x:f>
        <x:v>57</x:v>
      </x:c>
      <x:c r="Z462" t="str">
        <x:f>IF(AND(U462="Open",Y462&gt;30),"STALE","OK")</x:f>
        <x:v>OK</x:v>
      </x:c>
      <x:c r="AA462" t="str">
        <x:f>TEXT(B462,"yyyy-mm")</x:f>
        <x:v>2025-02</x:v>
      </x:c>
      <x:c r="AB462" t="str">
        <x:f>IF(K462="","",TEXT(K462,"yyyy-mm"))</x:f>
        <x:v>2025-04</x:v>
      </x:c>
      <x:c r="AC462" t="str">
        <x:f>"Q"&amp;ROUNDUP(MONTH(B462)/3,0)&amp;"-"&amp;YEAR(B462)</x:f>
        <x:v>Q1-2025</x:v>
      </x:c>
      <x:c r="AD462" s="26" t="n">
        <x:f>MIN(100,IF(H462="Enterprise",30,IF(H462="Mid-Market",22,14))+IF(T462="Enterprise",25,IF(T462="Mid-Market",18,10))+IF(Q462="Referral",25,IF(Q462="Organic Search",20,IF(Q462="Email",18,14)))+IF(G462="Technology",10,5))</x:f>
        <x:v>56</x:v>
      </x:c>
      <x:c r="AE462" t="str">
        <x:f>IF(U462&lt;&gt;"Open",U462,IF(N462&gt;=0.8,"Commit",IF(N462&gt;=0.5,"Best Case","Pipeline")))</x:f>
        <x:v>Lost</x:v>
      </x:c>
    </x:row>
    <x:row r="463">
      <x:c r="A463" t="str">
        <x:v>L00462</x:v>
      </x:c>
      <x:c r="B463" s="10" t="n">
        <x:v>46202</x:v>
      </x:c>
      <x:c r="C463" t="str">
        <x:v>Tuan Bui</x:v>
      </x:c>
      <x:c r="D463" t="str">
        <x:v>Central</x:v>
      </x:c>
      <x:c r="E463" t="str">
        <x:v>Google Ads</x:v>
      </x:c>
      <x:c r="F463" t="str">
        <x:v>REV-OPS</x:v>
      </x:c>
      <x:c r="G463" t="str">
        <x:v>Financial Services</x:v>
      </x:c>
      <x:c r="H463" t="str">
        <x:v>Enterprise</x:v>
      </x:c>
      <x:c r="I463" t="str">
        <x:v>Demo / Meeting</x:v>
      </x:c>
      <x:c r="J463" s="10" t="n">
        <x:v>46246</x:v>
      </x:c>
      <x:c r="K463" s="10"/>
      <x:c r="L463" s="22" t="n">
        <x:v>141600</x:v>
      </x:c>
      <x:c r="M463" s="24" t="n">
        <x:v>0.05</x:v>
      </x:c>
      <x:c r="N463" s="24" t="n">
        <x:v>0.4</x:v>
      </x:c>
      <x:c r="O463" t="str"/>
      <x:c r="P463" t="n">
        <x:v>3</x:v>
      </x:c>
      <x:c r="Q463" t="str">
        <x:f>IFERROR(XLOOKUP(E463,Lookups!$A$5:$A$24,Lookups!$B$5:$B$24),"Other")</x:f>
        <x:v>Paid Search</x:v>
      </x:c>
      <x:c r="R463" t="str">
        <x:f>IFERROR(XLOOKUP(F463,Lookups!$D$5:$D$10,Lookups!$E$5:$E$10),"Unknown Product")</x:f>
        <x:v>Revenue Operations Suite</x:v>
      </x:c>
      <x:c r="S463" t="str">
        <x:f>IFERROR(XLOOKUP(F463,Lookups!$D$5:$D$10,Lookups!$F$5:$F$10),"Unknown")</x:f>
        <x:v>Revenue Ops</x:v>
      </x:c>
      <x:c r="T463" t="str">
        <x:f>IF(L463&gt;=50000,"Enterprise",IF(L463&gt;=20000,"Mid-Market","SMB"))</x:f>
        <x:v>Enterprise</x:v>
      </x:c>
      <x:c r="U463" t="str">
        <x:f>IF(I463="Closed Won","Won",IF(I463="Closed Lost","Lost","Open"))</x:f>
        <x:v>Open</x:v>
      </x:c>
      <x:c r="V463" s="22" t="n">
        <x:f>IF(U463="Won",L463*(1-M463),0)</x:f>
        <x:v>0</x:v>
      </x:c>
      <x:c r="W463" s="22" t="n">
        <x:f>IF(U463="Open",L463*N463,0)</x:f>
        <x:v>56640</x:v>
      </x:c>
      <x:c r="X463" s="26" t="str">
        <x:f>IF(U463="Open","",IFERROR(K463-B463,""))</x:f>
      </x:c>
      <x:c r="Y463" s="26" t="n">
        <x:f>IF(U463="Open",Lookups!$B$2-B463,X463)</x:f>
        <x:v>64</x:v>
      </x:c>
      <x:c r="Z463" t="str">
        <x:f>IF(AND(U463="Open",Y463&gt;30),"STALE","OK")</x:f>
        <x:v>STALE</x:v>
      </x:c>
      <x:c r="AA463" t="str">
        <x:f>TEXT(B463,"yyyy-mm")</x:f>
        <x:v>2026-06</x:v>
      </x:c>
      <x:c r="AB463" t="str">
        <x:f>IF(K463="","",TEXT(K463,"yyyy-mm"))</x:f>
      </x:c>
      <x:c r="AC463" t="str">
        <x:f>"Q"&amp;ROUNDUP(MONTH(B463)/3,0)&amp;"-"&amp;YEAR(B463)</x:f>
        <x:v>Q2-2026</x:v>
      </x:c>
      <x:c r="AD463" s="26" t="n">
        <x:f>MIN(100,IF(H463="Enterprise",30,IF(H463="Mid-Market",22,14))+IF(T463="Enterprise",25,IF(T463="Mid-Market",18,10))+IF(Q463="Referral",25,IF(Q463="Organic Search",20,IF(Q463="Email",18,14)))+IF(G463="Technology",10,5))</x:f>
        <x:v>74</x:v>
      </x:c>
      <x:c r="AE463" t="str">
        <x:f>IF(U463&lt;&gt;"Open",U463,IF(N463&gt;=0.8,"Commit",IF(N463&gt;=0.5,"Best Case","Pipeline")))</x:f>
        <x:v>Pipeline</x:v>
      </x:c>
    </x:row>
    <x:row r="464">
      <x:c r="A464" t="str">
        <x:v>L00463</x:v>
      </x:c>
      <x:c r="B464" s="10" t="n">
        <x:v>45947</x:v>
      </x:c>
      <x:c r="C464" t="str">
        <x:v>Tuan Bui</x:v>
      </x:c>
      <x:c r="D464" t="str">
        <x:v>Central</x:v>
      </x:c>
      <x:c r="E464" t="str">
        <x:v>organic search</x:v>
      </x:c>
      <x:c r="F464" t="str">
        <x:v>CS-CLOUD</x:v>
      </x:c>
      <x:c r="G464" t="str">
        <x:v>Retail</x:v>
      </x:c>
      <x:c r="H464" t="str">
        <x:v>SMB</x:v>
      </x:c>
      <x:c r="I464" t="str">
        <x:v>Closed Lost</x:v>
      </x:c>
      <x:c r="J464" s="10" t="n">
        <x:v>45999</x:v>
      </x:c>
      <x:c r="K464" s="10" t="n">
        <x:v>45999</x:v>
      </x:c>
      <x:c r="L464" s="22" t="n">
        <x:v>14900</x:v>
      </x:c>
      <x:c r="M464" s="24" t="n">
        <x:v>0</x:v>
      </x:c>
      <x:c r="N464" s="24" t="n">
        <x:v>0</x:v>
      </x:c>
      <x:c r="O464" t="str">
        <x:v>Competitor</x:v>
      </x:c>
      <x:c r="P464" t="n">
        <x:v>3</x:v>
      </x:c>
      <x:c r="Q464" t="str">
        <x:f>IFERROR(XLOOKUP(E464,Lookups!$A$5:$A$24,Lookups!$B$5:$B$24),"Other")</x:f>
        <x:v>Organic Search</x:v>
      </x:c>
      <x:c r="R464" t="str">
        <x:f>IFERROR(XLOOKUP(F464,Lookups!$D$5:$D$10,Lookups!$E$5:$E$10),"Unknown Product")</x:f>
        <x:v>Service Cloud</x:v>
      </x:c>
      <x:c r="S464" t="str">
        <x:f>IFERROR(XLOOKUP(F464,Lookups!$D$5:$D$10,Lookups!$F$5:$F$10),"Unknown")</x:f>
        <x:v>Customer Service</x:v>
      </x:c>
      <x:c r="T464" t="str">
        <x:f>IF(L464&gt;=50000,"Enterprise",IF(L464&gt;=20000,"Mid-Market","SMB"))</x:f>
        <x:v>SMB</x:v>
      </x:c>
      <x:c r="U464" t="str">
        <x:f>IF(I464="Closed Won","Won",IF(I464="Closed Lost","Lost","Open"))</x:f>
        <x:v>Lost</x:v>
      </x:c>
      <x:c r="V464" s="22" t="n">
        <x:f>IF(U464="Won",L464*(1-M464),0)</x:f>
        <x:v>0</x:v>
      </x:c>
      <x:c r="W464" s="22" t="n">
        <x:f>IF(U464="Open",L464*N464,0)</x:f>
        <x:v>0</x:v>
      </x:c>
      <x:c r="X464" s="26" t="n">
        <x:f>IF(U464="Open","",IFERROR(K464-B464,""))</x:f>
        <x:v>52</x:v>
      </x:c>
      <x:c r="Y464" s="26" t="n">
        <x:f>IF(U464="Open",Lookups!$B$2-B464,X464)</x:f>
        <x:v>52</x:v>
      </x:c>
      <x:c r="Z464" t="str">
        <x:f>IF(AND(U464="Open",Y464&gt;30),"STALE","OK")</x:f>
        <x:v>OK</x:v>
      </x:c>
      <x:c r="AA464" t="str">
        <x:f>TEXT(B464,"yyyy-mm")</x:f>
        <x:v>2025-10</x:v>
      </x:c>
      <x:c r="AB464" t="str">
        <x:f>IF(K464="","",TEXT(K464,"yyyy-mm"))</x:f>
        <x:v>2025-12</x:v>
      </x:c>
      <x:c r="AC464" t="str">
        <x:f>"Q"&amp;ROUNDUP(MONTH(B464)/3,0)&amp;"-"&amp;YEAR(B464)</x:f>
        <x:v>Q4-2025</x:v>
      </x:c>
      <x:c r="AD464" s="26" t="n">
        <x:f>MIN(100,IF(H464="Enterprise",30,IF(H464="Mid-Market",22,14))+IF(T464="Enterprise",25,IF(T464="Mid-Market",18,10))+IF(Q464="Referral",25,IF(Q464="Organic Search",20,IF(Q464="Email",18,14)))+IF(G464="Technology",10,5))</x:f>
        <x:v>49</x:v>
      </x:c>
      <x:c r="AE464" t="str">
        <x:f>IF(U464&lt;&gt;"Open",U464,IF(N464&gt;=0.8,"Commit",IF(N464&gt;=0.5,"Best Case","Pipeline")))</x:f>
        <x:v>Lost</x:v>
      </x:c>
    </x:row>
    <x:row r="465">
      <x:c r="A465" t="str">
        <x:v>L00464</x:v>
      </x:c>
      <x:c r="B465" s="10" t="n">
        <x:v>45848</x:v>
      </x:c>
      <x:c r="C465" t="str">
        <x:v>Chi Le</x:v>
      </x:c>
      <x:c r="D465" t="str">
        <x:v>South</x:v>
      </x:c>
      <x:c r="E465" t="str">
        <x:v>newsletter</x:v>
      </x:c>
      <x:c r="F465" t="str">
        <x:v>REV-OPS</x:v>
      </x:c>
      <x:c r="G465" t="str">
        <x:v>Professional Services</x:v>
      </x:c>
      <x:c r="H465" t="str">
        <x:v>Mid-Market</x:v>
      </x:c>
      <x:c r="I465" t="str">
        <x:v>Closed Lost</x:v>
      </x:c>
      <x:c r="J465" s="10" t="n">
        <x:v>45939</x:v>
      </x:c>
      <x:c r="K465" s="10" t="n">
        <x:v>45939</x:v>
      </x:c>
      <x:c r="L465" s="22" t="n">
        <x:v>42500</x:v>
      </x:c>
      <x:c r="M465" s="24" t="n">
        <x:v>0</x:v>
      </x:c>
      <x:c r="N465" s="24" t="n">
        <x:v>0</x:v>
      </x:c>
      <x:c r="O465" t="str">
        <x:v>Budget</x:v>
      </x:c>
      <x:c r="P465" t="n">
        <x:v>2</x:v>
      </x:c>
      <x:c r="Q465" t="str">
        <x:f>IFERROR(XLOOKUP(E465,Lookups!$A$5:$A$24,Lookups!$B$5:$B$24),"Other")</x:f>
        <x:v>Email</x:v>
      </x:c>
      <x:c r="R465" t="str">
        <x:f>IFERROR(XLOOKUP(F465,Lookups!$D$5:$D$10,Lookups!$E$5:$E$10),"Unknown Product")</x:f>
        <x:v>Revenue Operations Suite</x:v>
      </x:c>
      <x:c r="S465" t="str">
        <x:f>IFERROR(XLOOKUP(F465,Lookups!$D$5:$D$10,Lookups!$F$5:$F$10),"Unknown")</x:f>
        <x:v>Revenue Ops</x:v>
      </x:c>
      <x:c r="T465" t="str">
        <x:f>IF(L465&gt;=50000,"Enterprise",IF(L465&gt;=20000,"Mid-Market","SMB"))</x:f>
        <x:v>Mid-Market</x:v>
      </x:c>
      <x:c r="U465" t="str">
        <x:f>IF(I465="Closed Won","Won",IF(I465="Closed Lost","Lost","Open"))</x:f>
        <x:v>Lost</x:v>
      </x:c>
      <x:c r="V465" s="22" t="n">
        <x:f>IF(U465="Won",L465*(1-M465),0)</x:f>
        <x:v>0</x:v>
      </x:c>
      <x:c r="W465" s="22" t="n">
        <x:f>IF(U465="Open",L465*N465,0)</x:f>
        <x:v>0</x:v>
      </x:c>
      <x:c r="X465" s="26" t="n">
        <x:f>IF(U465="Open","",IFERROR(K465-B465,""))</x:f>
        <x:v>91</x:v>
      </x:c>
      <x:c r="Y465" s="26" t="n">
        <x:f>IF(U465="Open",Lookups!$B$2-B465,X465)</x:f>
        <x:v>91</x:v>
      </x:c>
      <x:c r="Z465" t="str">
        <x:f>IF(AND(U465="Open",Y465&gt;30),"STALE","OK")</x:f>
        <x:v>OK</x:v>
      </x:c>
      <x:c r="AA465" t="str">
        <x:f>TEXT(B465,"yyyy-mm")</x:f>
        <x:v>2025-07</x:v>
      </x:c>
      <x:c r="AB465" t="str">
        <x:f>IF(K465="","",TEXT(K465,"yyyy-mm"))</x:f>
        <x:v>2025-10</x:v>
      </x:c>
      <x:c r="AC465" t="str">
        <x:f>"Q"&amp;ROUNDUP(MONTH(B465)/3,0)&amp;"-"&amp;YEAR(B465)</x:f>
        <x:v>Q3-2025</x:v>
      </x:c>
      <x:c r="AD465" s="26" t="n">
        <x:f>MIN(100,IF(H465="Enterprise",30,IF(H465="Mid-Market",22,14))+IF(T465="Enterprise",25,IF(T465="Mid-Market",18,10))+IF(Q465="Referral",25,IF(Q465="Organic Search",20,IF(Q465="Email",18,14)))+IF(G465="Technology",10,5))</x:f>
        <x:v>63</x:v>
      </x:c>
      <x:c r="AE465" t="str">
        <x:f>IF(U465&lt;&gt;"Open",U465,IF(N465&gt;=0.8,"Commit",IF(N465&gt;=0.5,"Best Case","Pipeline")))</x:f>
        <x:v>Lost</x:v>
      </x:c>
    </x:row>
    <x:row r="466">
      <x:c r="A466" t="str">
        <x:v>L00465</x:v>
      </x:c>
      <x:c r="B466" s="10" t="n">
        <x:v>45702</x:v>
      </x:c>
      <x:c r="C466" t="str">
        <x:v>An Nguyen</x:v>
      </x:c>
      <x:c r="D466" t="str">
        <x:v>South</x:v>
      </x:c>
      <x:c r="E466" t="str">
        <x:v>linkedin</x:v>
      </x:c>
      <x:c r="F466" t="str">
        <x:v>MKT-AUTO</x:v>
      </x:c>
      <x:c r="G466" t="str">
        <x:v>Professional Services</x:v>
      </x:c>
      <x:c r="H466" t="str">
        <x:v>Enterprise</x:v>
      </x:c>
      <x:c r="I466" t="str">
        <x:v>Closed Lost</x:v>
      </x:c>
      <x:c r="J466" s="10" t="n">
        <x:v>45719</x:v>
      </x:c>
      <x:c r="K466" s="10" t="n">
        <x:v>45719</x:v>
      </x:c>
      <x:c r="L466" s="22" t="n">
        <x:v>56500</x:v>
      </x:c>
      <x:c r="M466" s="24" t="n">
        <x:v>0</x:v>
      </x:c>
      <x:c r="N466" s="24" t="n">
        <x:v>0</x:v>
      </x:c>
      <x:c r="O466" t="str">
        <x:v>Budget</x:v>
      </x:c>
      <x:c r="P466" t="n">
        <x:v>4</x:v>
      </x:c>
      <x:c r="Q466" t="str">
        <x:f>IFERROR(XLOOKUP(E466,Lookups!$A$5:$A$24,Lookups!$B$5:$B$24),"Other")</x:f>
        <x:v>LinkedIn</x:v>
      </x:c>
      <x:c r="R466" t="str">
        <x:f>IFERROR(XLOOKUP(F466,Lookups!$D$5:$D$10,Lookups!$E$5:$E$10),"Unknown Product")</x:f>
        <x:v>Marketing Automation</x:v>
      </x:c>
      <x:c r="S466" t="str">
        <x:f>IFERROR(XLOOKUP(F466,Lookups!$D$5:$D$10,Lookups!$F$5:$F$10),"Unknown")</x:f>
        <x:v>Marketing</x:v>
      </x:c>
      <x:c r="T466" t="str">
        <x:f>IF(L466&gt;=50000,"Enterprise",IF(L466&gt;=20000,"Mid-Market","SMB"))</x:f>
        <x:v>Enterprise</x:v>
      </x:c>
      <x:c r="U466" t="str">
        <x:f>IF(I466="Closed Won","Won",IF(I466="Closed Lost","Lost","Open"))</x:f>
        <x:v>Lost</x:v>
      </x:c>
      <x:c r="V466" s="22" t="n">
        <x:f>IF(U466="Won",L466*(1-M466),0)</x:f>
        <x:v>0</x:v>
      </x:c>
      <x:c r="W466" s="22" t="n">
        <x:f>IF(U466="Open",L466*N466,0)</x:f>
        <x:v>0</x:v>
      </x:c>
      <x:c r="X466" s="26" t="n">
        <x:f>IF(U466="Open","",IFERROR(K466-B466,""))</x:f>
        <x:v>17</x:v>
      </x:c>
      <x:c r="Y466" s="26" t="n">
        <x:f>IF(U466="Open",Lookups!$B$2-B466,X466)</x:f>
        <x:v>17</x:v>
      </x:c>
      <x:c r="Z466" t="str">
        <x:f>IF(AND(U466="Open",Y466&gt;30),"STALE","OK")</x:f>
        <x:v>OK</x:v>
      </x:c>
      <x:c r="AA466" t="str">
        <x:f>TEXT(B466,"yyyy-mm")</x:f>
        <x:v>2025-02</x:v>
      </x:c>
      <x:c r="AB466" t="str">
        <x:f>IF(K466="","",TEXT(K466,"yyyy-mm"))</x:f>
        <x:v>2025-03</x:v>
      </x:c>
      <x:c r="AC466" t="str">
        <x:f>"Q"&amp;ROUNDUP(MONTH(B466)/3,0)&amp;"-"&amp;YEAR(B466)</x:f>
        <x:v>Q1-2025</x:v>
      </x:c>
      <x:c r="AD466" s="26" t="n">
        <x:f>MIN(100,IF(H466="Enterprise",30,IF(H466="Mid-Market",22,14))+IF(T466="Enterprise",25,IF(T466="Mid-Market",18,10))+IF(Q466="Referral",25,IF(Q466="Organic Search",20,IF(Q466="Email",18,14)))+IF(G466="Technology",10,5))</x:f>
        <x:v>74</x:v>
      </x:c>
      <x:c r="AE466" t="str">
        <x:f>IF(U466&lt;&gt;"Open",U466,IF(N466&gt;=0.8,"Commit",IF(N466&gt;=0.5,"Best Case","Pipeline")))</x:f>
        <x:v>Lost</x:v>
      </x:c>
    </x:row>
    <x:row r="467">
      <x:c r="A467" t="str">
        <x:v>L00466</x:v>
      </x:c>
      <x:c r="B467" s="10" t="n">
        <x:v>45872</x:v>
      </x:c>
      <x:c r="C467" t="str">
        <x:v>An Nguyen</x:v>
      </x:c>
      <x:c r="D467" t="str">
        <x:v>South</x:v>
      </x:c>
      <x:c r="E467" t="str">
        <x:v>Cold Email</x:v>
      </x:c>
      <x:c r="F467" t="str">
        <x:v>CRM-PRO</x:v>
      </x:c>
      <x:c r="G467" t="str">
        <x:v>Professional Services</x:v>
      </x:c>
      <x:c r="H467" t="str">
        <x:v>Enterprise</x:v>
      </x:c>
      <x:c r="I467" t="str">
        <x:v>Closed Won</x:v>
      </x:c>
      <x:c r="J467" s="10" t="n">
        <x:v>45936</x:v>
      </x:c>
      <x:c r="K467" s="10" t="n">
        <x:v>45936</x:v>
      </x:c>
      <x:c r="L467" s="22" t="n">
        <x:v>66200</x:v>
      </x:c>
      <x:c r="M467" s="24" t="n">
        <x:v>0.03</x:v>
      </x:c>
      <x:c r="N467" s="24" t="n">
        <x:v>1</x:v>
      </x:c>
      <x:c r="O467" t="str"/>
      <x:c r="P467" t="n">
        <x:v>6</x:v>
      </x:c>
      <x:c r="Q467" t="str">
        <x:f>IFERROR(XLOOKUP(E467,Lookups!$A$5:$A$24,Lookups!$B$5:$B$24),"Other")</x:f>
        <x:v>Outbound</x:v>
      </x:c>
      <x:c r="R467" t="str">
        <x:f>IFERROR(XLOOKUP(F467,Lookups!$D$5:$D$10,Lookups!$E$5:$E$10),"Unknown Product")</x:f>
        <x:v>NexaCRM Pro</x:v>
      </x:c>
      <x:c r="S467" t="str">
        <x:f>IFERROR(XLOOKUP(F467,Lookups!$D$5:$D$10,Lookups!$F$5:$F$10),"Unknown")</x:f>
        <x:v>CRM</x:v>
      </x:c>
      <x:c r="T467" t="str">
        <x:f>IF(L467&gt;=50000,"Enterprise",IF(L467&gt;=20000,"Mid-Market","SMB"))</x:f>
        <x:v>Enterprise</x:v>
      </x:c>
      <x:c r="U467" t="str">
        <x:f>IF(I467="Closed Won","Won",IF(I467="Closed Lost","Lost","Open"))</x:f>
        <x:v>Won</x:v>
      </x:c>
      <x:c r="V467" s="22" t="n">
        <x:f>IF(U467="Won",L467*(1-M467),0)</x:f>
        <x:v>64214</x:v>
      </x:c>
      <x:c r="W467" s="22" t="n">
        <x:f>IF(U467="Open",L467*N467,0)</x:f>
        <x:v>0</x:v>
      </x:c>
      <x:c r="X467" s="26" t="n">
        <x:f>IF(U467="Open","",IFERROR(K467-B467,""))</x:f>
        <x:v>64</x:v>
      </x:c>
      <x:c r="Y467" s="26" t="n">
        <x:f>IF(U467="Open",Lookups!$B$2-B467,X467)</x:f>
        <x:v>64</x:v>
      </x:c>
      <x:c r="Z467" t="str">
        <x:f>IF(AND(U467="Open",Y467&gt;30),"STALE","OK")</x:f>
        <x:v>OK</x:v>
      </x:c>
      <x:c r="AA467" t="str">
        <x:f>TEXT(B467,"yyyy-mm")</x:f>
        <x:v>2025-08</x:v>
      </x:c>
      <x:c r="AB467" t="str">
        <x:f>IF(K467="","",TEXT(K467,"yyyy-mm"))</x:f>
        <x:v>2025-10</x:v>
      </x:c>
      <x:c r="AC467" t="str">
        <x:f>"Q"&amp;ROUNDUP(MONTH(B467)/3,0)&amp;"-"&amp;YEAR(B467)</x:f>
        <x:v>Q3-2025</x:v>
      </x:c>
      <x:c r="AD467" s="26" t="n">
        <x:f>MIN(100,IF(H467="Enterprise",30,IF(H467="Mid-Market",22,14))+IF(T467="Enterprise",25,IF(T467="Mid-Market",18,10))+IF(Q467="Referral",25,IF(Q467="Organic Search",20,IF(Q467="Email",18,14)))+IF(G467="Technology",10,5))</x:f>
        <x:v>74</x:v>
      </x:c>
      <x:c r="AE467" t="str">
        <x:f>IF(U467&lt;&gt;"Open",U467,IF(N467&gt;=0.8,"Commit",IF(N467&gt;=0.5,"Best Case","Pipeline")))</x:f>
        <x:v>Won</x:v>
      </x:c>
    </x:row>
    <x:row r="468">
      <x:c r="A468" t="str">
        <x:v>L00467</x:v>
      </x:c>
      <x:c r="B468" s="10" t="n">
        <x:v>45777</x:v>
      </x:c>
      <x:c r="C468" t="str">
        <x:v>Duy Pham</x:v>
      </x:c>
      <x:c r="D468" t="str">
        <x:v>South</x:v>
      </x:c>
      <x:c r="E468" t="str">
        <x:v>SEO</x:v>
      </x:c>
      <x:c r="F468" t="str">
        <x:v>CRM-CORE</x:v>
      </x:c>
      <x:c r="G468" t="str">
        <x:v>Financial Services</x:v>
      </x:c>
      <x:c r="H468" t="str">
        <x:v>Mid-Market</x:v>
      </x:c>
      <x:c r="I468" t="str">
        <x:v>Closed Lost</x:v>
      </x:c>
      <x:c r="J468" s="10" t="n">
        <x:v>45800</x:v>
      </x:c>
      <x:c r="K468" s="10" t="n">
        <x:v>45800</x:v>
      </x:c>
      <x:c r="L468" s="22" t="n">
        <x:v>13700</x:v>
      </x:c>
      <x:c r="M468" s="24" t="n">
        <x:v>0</x:v>
      </x:c>
      <x:c r="N468" s="24" t="n">
        <x:v>0</x:v>
      </x:c>
      <x:c r="O468" t="str">
        <x:v>Price</x:v>
      </x:c>
      <x:c r="P468" t="n">
        <x:v>5</x:v>
      </x:c>
      <x:c r="Q468" t="str">
        <x:f>IFERROR(XLOOKUP(E468,Lookups!$A$5:$A$24,Lookups!$B$5:$B$24),"Other")</x:f>
        <x:v>Organic Search</x:v>
      </x:c>
      <x:c r="R468" t="str">
        <x:f>IFERROR(XLOOKUP(F468,Lookups!$D$5:$D$10,Lookups!$E$5:$E$10),"Unknown Product")</x:f>
        <x:v>NexaCRM Core</x:v>
      </x:c>
      <x:c r="S468" t="str">
        <x:f>IFERROR(XLOOKUP(F468,Lookups!$D$5:$D$10,Lookups!$F$5:$F$10),"Unknown")</x:f>
        <x:v>CRM</x:v>
      </x:c>
      <x:c r="T468" t="str">
        <x:f>IF(L468&gt;=50000,"Enterprise",IF(L468&gt;=20000,"Mid-Market","SMB"))</x:f>
        <x:v>SMB</x:v>
      </x:c>
      <x:c r="U468" t="str">
        <x:f>IF(I468="Closed Won","Won",IF(I468="Closed Lost","Lost","Open"))</x:f>
        <x:v>Lost</x:v>
      </x:c>
      <x:c r="V468" s="22" t="n">
        <x:f>IF(U468="Won",L468*(1-M468),0)</x:f>
        <x:v>0</x:v>
      </x:c>
      <x:c r="W468" s="22" t="n">
        <x:f>IF(U468="Open",L468*N468,0)</x:f>
        <x:v>0</x:v>
      </x:c>
      <x:c r="X468" s="26" t="n">
        <x:f>IF(U468="Open","",IFERROR(K468-B468,""))</x:f>
        <x:v>23</x:v>
      </x:c>
      <x:c r="Y468" s="26" t="n">
        <x:f>IF(U468="Open",Lookups!$B$2-B468,X468)</x:f>
        <x:v>23</x:v>
      </x:c>
      <x:c r="Z468" t="str">
        <x:f>IF(AND(U468="Open",Y468&gt;30),"STALE","OK")</x:f>
        <x:v>OK</x:v>
      </x:c>
      <x:c r="AA468" t="str">
        <x:f>TEXT(B468,"yyyy-mm")</x:f>
        <x:v>2025-04</x:v>
      </x:c>
      <x:c r="AB468" t="str">
        <x:f>IF(K468="","",TEXT(K468,"yyyy-mm"))</x:f>
        <x:v>2025-05</x:v>
      </x:c>
      <x:c r="AC468" t="str">
        <x:f>"Q"&amp;ROUNDUP(MONTH(B468)/3,0)&amp;"-"&amp;YEAR(B468)</x:f>
        <x:v>Q2-2025</x:v>
      </x:c>
      <x:c r="AD468" s="26" t="n">
        <x:f>MIN(100,IF(H468="Enterprise",30,IF(H468="Mid-Market",22,14))+IF(T468="Enterprise",25,IF(T468="Mid-Market",18,10))+IF(Q468="Referral",25,IF(Q468="Organic Search",20,IF(Q468="Email",18,14)))+IF(G468="Technology",10,5))</x:f>
        <x:v>57</x:v>
      </x:c>
      <x:c r="AE468" t="str">
        <x:f>IF(U468&lt;&gt;"Open",U468,IF(N468&gt;=0.8,"Commit",IF(N468&gt;=0.5,"Best Case","Pipeline")))</x:f>
        <x:v>Lost</x:v>
      </x:c>
    </x:row>
    <x:row r="469">
      <x:c r="A469" t="str">
        <x:v>L00468</x:v>
      </x:c>
      <x:c r="B469" s="10" t="n">
        <x:v>45939</x:v>
      </x:c>
      <x:c r="C469" t="str">
        <x:v>Duy Pham</x:v>
      </x:c>
      <x:c r="D469" t="str">
        <x:v>South</x:v>
      </x:c>
      <x:c r="E469" t="str">
        <x:v>LinkedIn Ads</x:v>
      </x:c>
      <x:c r="F469" t="str">
        <x:v>BI-PLUS</x:v>
      </x:c>
      <x:c r="G469" t="str">
        <x:v>Healthcare</x:v>
      </x:c>
      <x:c r="H469" t="str">
        <x:v>Mid-Market</x:v>
      </x:c>
      <x:c r="I469" t="str">
        <x:v>Closed Lost</x:v>
      </x:c>
      <x:c r="J469" s="10" t="n">
        <x:v>45989</x:v>
      </x:c>
      <x:c r="K469" s="10" t="n">
        <x:v>45989</x:v>
      </x:c>
      <x:c r="L469" s="22" t="n">
        <x:v>36800</x:v>
      </x:c>
      <x:c r="M469" s="24" t="n">
        <x:v>0</x:v>
      </x:c>
      <x:c r="N469" s="24" t="n">
        <x:v>0</x:v>
      </x:c>
      <x:c r="O469" t="str">
        <x:v>Price</x:v>
      </x:c>
      <x:c r="P469" t="n">
        <x:v>4</x:v>
      </x:c>
      <x:c r="Q469" t="str">
        <x:f>IFERROR(XLOOKUP(E469,Lookups!$A$5:$A$24,Lookups!$B$5:$B$24),"Other")</x:f>
        <x:v>LinkedIn</x:v>
      </x:c>
      <x:c r="R469" t="str">
        <x:f>IFERROR(XLOOKUP(F469,Lookups!$D$5:$D$10,Lookups!$E$5:$E$10),"Unknown Product")</x:f>
        <x:v>Analytics Plus</x:v>
      </x:c>
      <x:c r="S469" t="str">
        <x:f>IFERROR(XLOOKUP(F469,Lookups!$D$5:$D$10,Lookups!$F$5:$F$10),"Unknown")</x:f>
        <x:v>Analytics</x:v>
      </x:c>
      <x:c r="T469" t="str">
        <x:f>IF(L469&gt;=50000,"Enterprise",IF(L469&gt;=20000,"Mid-Market","SMB"))</x:f>
        <x:v>Mid-Market</x:v>
      </x:c>
      <x:c r="U469" t="str">
        <x:f>IF(I469="Closed Won","Won",IF(I469="Closed Lost","Lost","Open"))</x:f>
        <x:v>Lost</x:v>
      </x:c>
      <x:c r="V469" s="22" t="n">
        <x:f>IF(U469="Won",L469*(1-M469),0)</x:f>
        <x:v>0</x:v>
      </x:c>
      <x:c r="W469" s="22" t="n">
        <x:f>IF(U469="Open",L469*N469,0)</x:f>
        <x:v>0</x:v>
      </x:c>
      <x:c r="X469" s="26" t="n">
        <x:f>IF(U469="Open","",IFERROR(K469-B469,""))</x:f>
        <x:v>50</x:v>
      </x:c>
      <x:c r="Y469" s="26" t="n">
        <x:f>IF(U469="Open",Lookups!$B$2-B469,X469)</x:f>
        <x:v>50</x:v>
      </x:c>
      <x:c r="Z469" t="str">
        <x:f>IF(AND(U469="Open",Y469&gt;30),"STALE","OK")</x:f>
        <x:v>OK</x:v>
      </x:c>
      <x:c r="AA469" t="str">
        <x:f>TEXT(B469,"yyyy-mm")</x:f>
        <x:v>2025-10</x:v>
      </x:c>
      <x:c r="AB469" t="str">
        <x:f>IF(K469="","",TEXT(K469,"yyyy-mm"))</x:f>
        <x:v>2025-11</x:v>
      </x:c>
      <x:c r="AC469" t="str">
        <x:f>"Q"&amp;ROUNDUP(MONTH(B469)/3,0)&amp;"-"&amp;YEAR(B469)</x:f>
        <x:v>Q4-2025</x:v>
      </x:c>
      <x:c r="AD469" s="26" t="n">
        <x:f>MIN(100,IF(H469="Enterprise",30,IF(H469="Mid-Market",22,14))+IF(T469="Enterprise",25,IF(T469="Mid-Market",18,10))+IF(Q469="Referral",25,IF(Q469="Organic Search",20,IF(Q469="Email",18,14)))+IF(G469="Technology",10,5))</x:f>
        <x:v>59</x:v>
      </x:c>
      <x:c r="AE469" t="str">
        <x:f>IF(U469&lt;&gt;"Open",U469,IF(N469&gt;=0.8,"Commit",IF(N469&gt;=0.5,"Best Case","Pipeline")))</x:f>
        <x:v>Lost</x:v>
      </x:c>
    </x:row>
    <x:row r="470">
      <x:c r="A470" t="str">
        <x:v>L00469</x:v>
      </x:c>
      <x:c r="B470" s="10" t="n">
        <x:v>45777</x:v>
      </x:c>
      <x:c r="C470" t="str">
        <x:v>Bao Tran</x:v>
      </x:c>
      <x:c r="D470" t="str">
        <x:v>South</x:v>
      </x:c>
      <x:c r="E470" t="str">
        <x:v>email nurture</x:v>
      </x:c>
      <x:c r="F470" t="str">
        <x:v>CRM-PRO</x:v>
      </x:c>
      <x:c r="G470" t="str">
        <x:v>Healthcare</x:v>
      </x:c>
      <x:c r="H470" t="str">
        <x:v>SMB</x:v>
      </x:c>
      <x:c r="I470" t="str">
        <x:v>Closed Lost</x:v>
      </x:c>
      <x:c r="J470" s="10" t="n">
        <x:v>45828</x:v>
      </x:c>
      <x:c r="K470" s="10" t="n">
        <x:v>45828</x:v>
      </x:c>
      <x:c r="L470" s="22" t="n">
        <x:v>14700</x:v>
      </x:c>
      <x:c r="M470" s="24" t="n">
        <x:v>0</x:v>
      </x:c>
      <x:c r="N470" s="24" t="n">
        <x:v>0</x:v>
      </x:c>
      <x:c r="O470" t="str">
        <x:v>Price</x:v>
      </x:c>
      <x:c r="P470" t="n">
        <x:v>4</x:v>
      </x:c>
      <x:c r="Q470" t="str">
        <x:f>IFERROR(XLOOKUP(E470,Lookups!$A$5:$A$24,Lookups!$B$5:$B$24),"Other")</x:f>
        <x:v>Email</x:v>
      </x:c>
      <x:c r="R470" t="str">
        <x:f>IFERROR(XLOOKUP(F470,Lookups!$D$5:$D$10,Lookups!$E$5:$E$10),"Unknown Product")</x:f>
        <x:v>NexaCRM Pro</x:v>
      </x:c>
      <x:c r="S470" t="str">
        <x:f>IFERROR(XLOOKUP(F470,Lookups!$D$5:$D$10,Lookups!$F$5:$F$10),"Unknown")</x:f>
        <x:v>CRM</x:v>
      </x:c>
      <x:c r="T470" t="str">
        <x:f>IF(L470&gt;=50000,"Enterprise",IF(L470&gt;=20000,"Mid-Market","SMB"))</x:f>
        <x:v>SMB</x:v>
      </x:c>
      <x:c r="U470" t="str">
        <x:f>IF(I470="Closed Won","Won",IF(I470="Closed Lost","Lost","Open"))</x:f>
        <x:v>Lost</x:v>
      </x:c>
      <x:c r="V470" s="22" t="n">
        <x:f>IF(U470="Won",L470*(1-M470),0)</x:f>
        <x:v>0</x:v>
      </x:c>
      <x:c r="W470" s="22" t="n">
        <x:f>IF(U470="Open",L470*N470,0)</x:f>
        <x:v>0</x:v>
      </x:c>
      <x:c r="X470" s="26" t="n">
        <x:f>IF(U470="Open","",IFERROR(K470-B470,""))</x:f>
        <x:v>51</x:v>
      </x:c>
      <x:c r="Y470" s="26" t="n">
        <x:f>IF(U470="Open",Lookups!$B$2-B470,X470)</x:f>
        <x:v>51</x:v>
      </x:c>
      <x:c r="Z470" t="str">
        <x:f>IF(AND(U470="Open",Y470&gt;30),"STALE","OK")</x:f>
        <x:v>OK</x:v>
      </x:c>
      <x:c r="AA470" t="str">
        <x:f>TEXT(B470,"yyyy-mm")</x:f>
        <x:v>2025-04</x:v>
      </x:c>
      <x:c r="AB470" t="str">
        <x:f>IF(K470="","",TEXT(K470,"yyyy-mm"))</x:f>
        <x:v>2025-06</x:v>
      </x:c>
      <x:c r="AC470" t="str">
        <x:f>"Q"&amp;ROUNDUP(MONTH(B470)/3,0)&amp;"-"&amp;YEAR(B470)</x:f>
        <x:v>Q2-2025</x:v>
      </x:c>
      <x:c r="AD470" s="26" t="n">
        <x:f>MIN(100,IF(H470="Enterprise",30,IF(H470="Mid-Market",22,14))+IF(T470="Enterprise",25,IF(T470="Mid-Market",18,10))+IF(Q470="Referral",25,IF(Q470="Organic Search",20,IF(Q470="Email",18,14)))+IF(G470="Technology",10,5))</x:f>
        <x:v>47</x:v>
      </x:c>
      <x:c r="AE470" t="str">
        <x:f>IF(U470&lt;&gt;"Open",U470,IF(N470&gt;=0.8,"Commit",IF(N470&gt;=0.5,"Best Case","Pipeline")))</x:f>
        <x:v>Lost</x:v>
      </x:c>
    </x:row>
    <x:row r="471">
      <x:c r="A471" t="str">
        <x:v>L00470</x:v>
      </x:c>
      <x:c r="B471" s="10" t="n">
        <x:v>45910</x:v>
      </x:c>
      <x:c r="C471" t="str">
        <x:v>Minh Do</x:v>
      </x:c>
      <x:c r="D471" t="str">
        <x:v>North</x:v>
      </x:c>
      <x:c r="E471" t="str">
        <x:v>virtual event</x:v>
      </x:c>
      <x:c r="F471" t="str">
        <x:v>REV-OPS</x:v>
      </x:c>
      <x:c r="G471" t="str">
        <x:v>Manufacturing</x:v>
      </x:c>
      <x:c r="H471" t="str">
        <x:v>SMB</x:v>
      </x:c>
      <x:c r="I471" t="str">
        <x:v>Closed Lost</x:v>
      </x:c>
      <x:c r="J471" s="10" t="n">
        <x:v>45968</x:v>
      </x:c>
      <x:c r="K471" s="10" t="n">
        <x:v>45968</x:v>
      </x:c>
      <x:c r="L471" s="22" t="n">
        <x:v>29800</x:v>
      </x:c>
      <x:c r="M471" s="24" t="n">
        <x:v>0</x:v>
      </x:c>
      <x:c r="N471" s="24" t="n">
        <x:v>0</x:v>
      </x:c>
      <x:c r="O471" t="str">
        <x:v>Timing</x:v>
      </x:c>
      <x:c r="P471" t="n">
        <x:v>2</x:v>
      </x:c>
      <x:c r="Q471" t="str">
        <x:f>IFERROR(XLOOKUP(E471,Lookups!$A$5:$A$24,Lookups!$B$5:$B$24),"Other")</x:f>
        <x:v>Webinar</x:v>
      </x:c>
      <x:c r="R471" t="str">
        <x:f>IFERROR(XLOOKUP(F471,Lookups!$D$5:$D$10,Lookups!$E$5:$E$10),"Unknown Product")</x:f>
        <x:v>Revenue Operations Suite</x:v>
      </x:c>
      <x:c r="S471" t="str">
        <x:f>IFERROR(XLOOKUP(F471,Lookups!$D$5:$D$10,Lookups!$F$5:$F$10),"Unknown")</x:f>
        <x:v>Revenue Ops</x:v>
      </x:c>
      <x:c r="T471" t="str">
        <x:f>IF(L471&gt;=50000,"Enterprise",IF(L471&gt;=20000,"Mid-Market","SMB"))</x:f>
        <x:v>Mid-Market</x:v>
      </x:c>
      <x:c r="U471" t="str">
        <x:f>IF(I471="Closed Won","Won",IF(I471="Closed Lost","Lost","Open"))</x:f>
        <x:v>Lost</x:v>
      </x:c>
      <x:c r="V471" s="22" t="n">
        <x:f>IF(U471="Won",L471*(1-M471),0)</x:f>
        <x:v>0</x:v>
      </x:c>
      <x:c r="W471" s="22" t="n">
        <x:f>IF(U471="Open",L471*N471,0)</x:f>
        <x:v>0</x:v>
      </x:c>
      <x:c r="X471" s="26" t="n">
        <x:f>IF(U471="Open","",IFERROR(K471-B471,""))</x:f>
        <x:v>58</x:v>
      </x:c>
      <x:c r="Y471" s="26" t="n">
        <x:f>IF(U471="Open",Lookups!$B$2-B471,X471)</x:f>
        <x:v>58</x:v>
      </x:c>
      <x:c r="Z471" t="str">
        <x:f>IF(AND(U471="Open",Y471&gt;30),"STALE","OK")</x:f>
        <x:v>OK</x:v>
      </x:c>
      <x:c r="AA471" t="str">
        <x:f>TEXT(B471,"yyyy-mm")</x:f>
        <x:v>2025-09</x:v>
      </x:c>
      <x:c r="AB471" t="str">
        <x:f>IF(K471="","",TEXT(K471,"yyyy-mm"))</x:f>
        <x:v>2025-11</x:v>
      </x:c>
      <x:c r="AC471" t="str">
        <x:f>"Q"&amp;ROUNDUP(MONTH(B471)/3,0)&amp;"-"&amp;YEAR(B471)</x:f>
        <x:v>Q3-2025</x:v>
      </x:c>
      <x:c r="AD471" s="26" t="n">
        <x:f>MIN(100,IF(H471="Enterprise",30,IF(H471="Mid-Market",22,14))+IF(T471="Enterprise",25,IF(T471="Mid-Market",18,10))+IF(Q471="Referral",25,IF(Q471="Organic Search",20,IF(Q471="Email",18,14)))+IF(G471="Technology",10,5))</x:f>
        <x:v>51</x:v>
      </x:c>
      <x:c r="AE471" t="str">
        <x:f>IF(U471&lt;&gt;"Open",U471,IF(N471&gt;=0.8,"Commit",IF(N471&gt;=0.5,"Best Case","Pipeline")))</x:f>
        <x:v>Lost</x:v>
      </x:c>
    </x:row>
    <x:row r="472">
      <x:c r="A472" t="str">
        <x:v>L00471</x:v>
      </x:c>
      <x:c r="B472" s="10" t="n">
        <x:v>46118</x:v>
      </x:c>
      <x:c r="C472" t="str">
        <x:v>Quynh Vu</x:v>
      </x:c>
      <x:c r="D472" t="str">
        <x:v>North</x:v>
      </x:c>
      <x:c r="E472" t="str">
        <x:v>linkedin</x:v>
      </x:c>
      <x:c r="F472" t="str">
        <x:v>CRM-CORE</x:v>
      </x:c>
      <x:c r="G472" t="str">
        <x:v>Manufacturing</x:v>
      </x:c>
      <x:c r="H472" t="str">
        <x:v>Mid-Market</x:v>
      </x:c>
      <x:c r="I472" t="str">
        <x:v>Closed Lost</x:v>
      </x:c>
      <x:c r="J472" s="10" t="n">
        <x:v>46197</x:v>
      </x:c>
      <x:c r="K472" s="10" t="n">
        <x:v>46197</x:v>
      </x:c>
      <x:c r="L472" s="22" t="n">
        <x:v>16300</x:v>
      </x:c>
      <x:c r="M472" s="24" t="n">
        <x:v>0</x:v>
      </x:c>
      <x:c r="N472" s="24" t="n">
        <x:v>0</x:v>
      </x:c>
      <x:c r="O472" t="str">
        <x:v>Competitor</x:v>
      </x:c>
      <x:c r="P472" t="n">
        <x:v>2</x:v>
      </x:c>
      <x:c r="Q472" t="str">
        <x:f>IFERROR(XLOOKUP(E472,Lookups!$A$5:$A$24,Lookups!$B$5:$B$24),"Other")</x:f>
        <x:v>LinkedIn</x:v>
      </x:c>
      <x:c r="R472" t="str">
        <x:f>IFERROR(XLOOKUP(F472,Lookups!$D$5:$D$10,Lookups!$E$5:$E$10),"Unknown Product")</x:f>
        <x:v>NexaCRM Core</x:v>
      </x:c>
      <x:c r="S472" t="str">
        <x:f>IFERROR(XLOOKUP(F472,Lookups!$D$5:$D$10,Lookups!$F$5:$F$10),"Unknown")</x:f>
        <x:v>CRM</x:v>
      </x:c>
      <x:c r="T472" t="str">
        <x:f>IF(L472&gt;=50000,"Enterprise",IF(L472&gt;=20000,"Mid-Market","SMB"))</x:f>
        <x:v>SMB</x:v>
      </x:c>
      <x:c r="U472" t="str">
        <x:f>IF(I472="Closed Won","Won",IF(I472="Closed Lost","Lost","Open"))</x:f>
        <x:v>Lost</x:v>
      </x:c>
      <x:c r="V472" s="22" t="n">
        <x:f>IF(U472="Won",L472*(1-M472),0)</x:f>
        <x:v>0</x:v>
      </x:c>
      <x:c r="W472" s="22" t="n">
        <x:f>IF(U472="Open",L472*N472,0)</x:f>
        <x:v>0</x:v>
      </x:c>
      <x:c r="X472" s="26" t="n">
        <x:f>IF(U472="Open","",IFERROR(K472-B472,""))</x:f>
        <x:v>79</x:v>
      </x:c>
      <x:c r="Y472" s="26" t="n">
        <x:f>IF(U472="Open",Lookups!$B$2-B472,X472)</x:f>
        <x:v>79</x:v>
      </x:c>
      <x:c r="Z472" t="str">
        <x:f>IF(AND(U472="Open",Y472&gt;30),"STALE","OK")</x:f>
        <x:v>OK</x:v>
      </x:c>
      <x:c r="AA472" t="str">
        <x:f>TEXT(B472,"yyyy-mm")</x:f>
        <x:v>2026-04</x:v>
      </x:c>
      <x:c r="AB472" t="str">
        <x:f>IF(K472="","",TEXT(K472,"yyyy-mm"))</x:f>
        <x:v>2026-06</x:v>
      </x:c>
      <x:c r="AC472" t="str">
        <x:f>"Q"&amp;ROUNDUP(MONTH(B472)/3,0)&amp;"-"&amp;YEAR(B472)</x:f>
        <x:v>Q2-2026</x:v>
      </x:c>
      <x:c r="AD472" s="26" t="n">
        <x:f>MIN(100,IF(H472="Enterprise",30,IF(H472="Mid-Market",22,14))+IF(T472="Enterprise",25,IF(T472="Mid-Market",18,10))+IF(Q472="Referral",25,IF(Q472="Organic Search",20,IF(Q472="Email",18,14)))+IF(G472="Technology",10,5))</x:f>
        <x:v>51</x:v>
      </x:c>
      <x:c r="AE472" t="str">
        <x:f>IF(U472&lt;&gt;"Open",U472,IF(N472&gt;=0.8,"Commit",IF(N472&gt;=0.5,"Best Case","Pipeline")))</x:f>
        <x:v>Lost</x:v>
      </x:c>
    </x:row>
    <x:row r="473">
      <x:c r="A473" t="str">
        <x:v>L00472</x:v>
      </x:c>
      <x:c r="B473" s="10" t="n">
        <x:v>46028</x:v>
      </x:c>
      <x:c r="C473" t="str">
        <x:v>Duy Pham</x:v>
      </x:c>
      <x:c r="D473" t="str">
        <x:v>South</x:v>
      </x:c>
      <x:c r="E473" t="str">
        <x:v>customer referral</x:v>
      </x:c>
      <x:c r="F473" t="str">
        <x:v>BI-PLUS</x:v>
      </x:c>
      <x:c r="G473" t="str">
        <x:v>Manufacturing</x:v>
      </x:c>
      <x:c r="H473" t="str">
        <x:v>Enterprise</x:v>
      </x:c>
      <x:c r="I473" t="str">
        <x:v>Closed Lost</x:v>
      </x:c>
      <x:c r="J473" s="10" t="n">
        <x:v>46084</x:v>
      </x:c>
      <x:c r="K473" s="10" t="n">
        <x:v>46084</x:v>
      </x:c>
      <x:c r="L473" s="22" t="n">
        <x:v>50700</x:v>
      </x:c>
      <x:c r="M473" s="24" t="n">
        <x:v>0</x:v>
      </x:c>
      <x:c r="N473" s="24" t="n">
        <x:v>0</x:v>
      </x:c>
      <x:c r="O473" t="str">
        <x:v>No Decision</x:v>
      </x:c>
      <x:c r="P473" t="n">
        <x:v>4</x:v>
      </x:c>
      <x:c r="Q473" t="str">
        <x:f>IFERROR(XLOOKUP(E473,Lookups!$A$5:$A$24,Lookups!$B$5:$B$24),"Other")</x:f>
        <x:v>Referral</x:v>
      </x:c>
      <x:c r="R473" t="str">
        <x:f>IFERROR(XLOOKUP(F473,Lookups!$D$5:$D$10,Lookups!$E$5:$E$10),"Unknown Product")</x:f>
        <x:v>Analytics Plus</x:v>
      </x:c>
      <x:c r="S473" t="str">
        <x:f>IFERROR(XLOOKUP(F473,Lookups!$D$5:$D$10,Lookups!$F$5:$F$10),"Unknown")</x:f>
        <x:v>Analytics</x:v>
      </x:c>
      <x:c r="T473" t="str">
        <x:f>IF(L473&gt;=50000,"Enterprise",IF(L473&gt;=20000,"Mid-Market","SMB"))</x:f>
        <x:v>Enterprise</x:v>
      </x:c>
      <x:c r="U473" t="str">
        <x:f>IF(I473="Closed Won","Won",IF(I473="Closed Lost","Lost","Open"))</x:f>
        <x:v>Lost</x:v>
      </x:c>
      <x:c r="V473" s="22" t="n">
        <x:f>IF(U473="Won",L473*(1-M473),0)</x:f>
        <x:v>0</x:v>
      </x:c>
      <x:c r="W473" s="22" t="n">
        <x:f>IF(U473="Open",L473*N473,0)</x:f>
        <x:v>0</x:v>
      </x:c>
      <x:c r="X473" s="26" t="n">
        <x:f>IF(U473="Open","",IFERROR(K473-B473,""))</x:f>
        <x:v>56</x:v>
      </x:c>
      <x:c r="Y473" s="26" t="n">
        <x:f>IF(U473="Open",Lookups!$B$2-B473,X473)</x:f>
        <x:v>56</x:v>
      </x:c>
      <x:c r="Z473" t="str">
        <x:f>IF(AND(U473="Open",Y473&gt;30),"STALE","OK")</x:f>
        <x:v>OK</x:v>
      </x:c>
      <x:c r="AA473" t="str">
        <x:f>TEXT(B473,"yyyy-mm")</x:f>
        <x:v>2026-01</x:v>
      </x:c>
      <x:c r="AB473" t="str">
        <x:f>IF(K473="","",TEXT(K473,"yyyy-mm"))</x:f>
        <x:v>2026-03</x:v>
      </x:c>
      <x:c r="AC473" t="str">
        <x:f>"Q"&amp;ROUNDUP(MONTH(B473)/3,0)&amp;"-"&amp;YEAR(B473)</x:f>
        <x:v>Q1-2026</x:v>
      </x:c>
      <x:c r="AD473" s="26" t="n">
        <x:f>MIN(100,IF(H473="Enterprise",30,IF(H473="Mid-Market",22,14))+IF(T473="Enterprise",25,IF(T473="Mid-Market",18,10))+IF(Q473="Referral",25,IF(Q473="Organic Search",20,IF(Q473="Email",18,14)))+IF(G473="Technology",10,5))</x:f>
        <x:v>85</x:v>
      </x:c>
      <x:c r="AE473" t="str">
        <x:f>IF(U473&lt;&gt;"Open",U473,IF(N473&gt;=0.8,"Commit",IF(N473&gt;=0.5,"Best Case","Pipeline")))</x:f>
        <x:v>Lost</x:v>
      </x:c>
    </x:row>
    <x:row r="474">
      <x:c r="A474" t="str">
        <x:v>L00473</x:v>
      </x:c>
      <x:c r="B474" s="10" t="n">
        <x:v>45716</x:v>
      </x:c>
      <x:c r="C474" t="str">
        <x:v>Duy Pham</x:v>
      </x:c>
      <x:c r="D474" t="str">
        <x:v>South</x:v>
      </x:c>
      <x:c r="E474" t="str">
        <x:v>SEO</x:v>
      </x:c>
      <x:c r="F474" t="str">
        <x:v>CRM-PRO</x:v>
      </x:c>
      <x:c r="G474" t="str">
        <x:v>Technology</x:v>
      </x:c>
      <x:c r="H474" t="str">
        <x:v>Mid-Market</x:v>
      </x:c>
      <x:c r="I474" t="str">
        <x:v>Negotiation</x:v>
      </x:c>
      <x:c r="J474" s="10" t="n">
        <x:v>46181</x:v>
      </x:c>
      <x:c r="K474" s="10"/>
      <x:c r="L474" s="22" t="n">
        <x:v>27400</x:v>
      </x:c>
      <x:c r="M474" s="24" t="n">
        <x:v>0</x:v>
      </x:c>
      <x:c r="N474" s="24" t="n">
        <x:v>0.85</x:v>
      </x:c>
      <x:c r="O474" t="str"/>
      <x:c r="P474" t="n">
        <x:v>5</x:v>
      </x:c>
      <x:c r="Q474" t="str">
        <x:f>IFERROR(XLOOKUP(E474,Lookups!$A$5:$A$24,Lookups!$B$5:$B$24),"Other")</x:f>
        <x:v>Organic Search</x:v>
      </x:c>
      <x:c r="R474" t="str">
        <x:f>IFERROR(XLOOKUP(F474,Lookups!$D$5:$D$10,Lookups!$E$5:$E$10),"Unknown Product")</x:f>
        <x:v>NexaCRM Pro</x:v>
      </x:c>
      <x:c r="S474" t="str">
        <x:f>IFERROR(XLOOKUP(F474,Lookups!$D$5:$D$10,Lookups!$F$5:$F$10),"Unknown")</x:f>
        <x:v>CRM</x:v>
      </x:c>
      <x:c r="T474" t="str">
        <x:f>IF(L474&gt;=50000,"Enterprise",IF(L474&gt;=20000,"Mid-Market","SMB"))</x:f>
        <x:v>Mid-Market</x:v>
      </x:c>
      <x:c r="U474" t="str">
        <x:f>IF(I474="Closed Won","Won",IF(I474="Closed Lost","Lost","Open"))</x:f>
        <x:v>Open</x:v>
      </x:c>
      <x:c r="V474" s="22" t="n">
        <x:f>IF(U474="Won",L474*(1-M474),0)</x:f>
        <x:v>0</x:v>
      </x:c>
      <x:c r="W474" s="22" t="n">
        <x:f>IF(U474="Open",L474*N474,0)</x:f>
        <x:v>23290</x:v>
      </x:c>
      <x:c r="X474" s="26" t="str">
        <x:f>IF(U474="Open","",IFERROR(K474-B474,""))</x:f>
      </x:c>
      <x:c r="Y474" s="26" t="n">
        <x:f>IF(U474="Open",Lookups!$B$2-B474,X474)</x:f>
        <x:v>550</x:v>
      </x:c>
      <x:c r="Z474" t="str">
        <x:f>IF(AND(U474="Open",Y474&gt;30),"STALE","OK")</x:f>
        <x:v>STALE</x:v>
      </x:c>
      <x:c r="AA474" t="str">
        <x:f>TEXT(B474,"yyyy-mm")</x:f>
        <x:v>2025-02</x:v>
      </x:c>
      <x:c r="AB474" t="str">
        <x:f>IF(K474="","",TEXT(K474,"yyyy-mm"))</x:f>
      </x:c>
      <x:c r="AC474" t="str">
        <x:f>"Q"&amp;ROUNDUP(MONTH(B474)/3,0)&amp;"-"&amp;YEAR(B474)</x:f>
        <x:v>Q1-2025</x:v>
      </x:c>
      <x:c r="AD474" s="26" t="n">
        <x:f>MIN(100,IF(H474="Enterprise",30,IF(H474="Mid-Market",22,14))+IF(T474="Enterprise",25,IF(T474="Mid-Market",18,10))+IF(Q474="Referral",25,IF(Q474="Organic Search",20,IF(Q474="Email",18,14)))+IF(G474="Technology",10,5))</x:f>
        <x:v>70</x:v>
      </x:c>
      <x:c r="AE474" t="str">
        <x:f>IF(U474&lt;&gt;"Open",U474,IF(N474&gt;=0.8,"Commit",IF(N474&gt;=0.5,"Best Case","Pipeline")))</x:f>
        <x:v>Commit</x:v>
      </x:c>
    </x:row>
    <x:row r="475">
      <x:c r="A475" t="str">
        <x:v>L00474</x:v>
      </x:c>
      <x:c r="B475" s="10" t="n">
        <x:v>45841</x:v>
      </x:c>
      <x:c r="C475" t="str">
        <x:v>Minh Do</x:v>
      </x:c>
      <x:c r="D475" t="str">
        <x:v>North</x:v>
      </x:c>
      <x:c r="E475" t="str">
        <x:v>LinkedIn Ads</x:v>
      </x:c>
      <x:c r="F475" t="str">
        <x:v>CRM-PRO</x:v>
      </x:c>
      <x:c r="G475" t="str">
        <x:v>Technology</x:v>
      </x:c>
      <x:c r="H475" t="str">
        <x:v>SMB</x:v>
      </x:c>
      <x:c r="I475" t="str">
        <x:v>Closed Won</x:v>
      </x:c>
      <x:c r="J475" s="10" t="n">
        <x:v>45900</x:v>
      </x:c>
      <x:c r="K475" s="10" t="n">
        <x:v>45900</x:v>
      </x:c>
      <x:c r="L475" s="22" t="n">
        <x:v>20800</x:v>
      </x:c>
      <x:c r="M475" s="24" t="n">
        <x:v>0.1</x:v>
      </x:c>
      <x:c r="N475" s="24" t="n">
        <x:v>1</x:v>
      </x:c>
      <x:c r="O475" t="str"/>
      <x:c r="P475" t="n">
        <x:v>6</x:v>
      </x:c>
      <x:c r="Q475" t="str">
        <x:f>IFERROR(XLOOKUP(E475,Lookups!$A$5:$A$24,Lookups!$B$5:$B$24),"Other")</x:f>
        <x:v>LinkedIn</x:v>
      </x:c>
      <x:c r="R475" t="str">
        <x:f>IFERROR(XLOOKUP(F475,Lookups!$D$5:$D$10,Lookups!$E$5:$E$10),"Unknown Product")</x:f>
        <x:v>NexaCRM Pro</x:v>
      </x:c>
      <x:c r="S475" t="str">
        <x:f>IFERROR(XLOOKUP(F475,Lookups!$D$5:$D$10,Lookups!$F$5:$F$10),"Unknown")</x:f>
        <x:v>CRM</x:v>
      </x:c>
      <x:c r="T475" t="str">
        <x:f>IF(L475&gt;=50000,"Enterprise",IF(L475&gt;=20000,"Mid-Market","SMB"))</x:f>
        <x:v>Mid-Market</x:v>
      </x:c>
      <x:c r="U475" t="str">
        <x:f>IF(I475="Closed Won","Won",IF(I475="Closed Lost","Lost","Open"))</x:f>
        <x:v>Won</x:v>
      </x:c>
      <x:c r="V475" s="22" t="n">
        <x:f>IF(U475="Won",L475*(1-M475),0)</x:f>
        <x:v>18720</x:v>
      </x:c>
      <x:c r="W475" s="22" t="n">
        <x:f>IF(U475="Open",L475*N475,0)</x:f>
        <x:v>0</x:v>
      </x:c>
      <x:c r="X475" s="26" t="n">
        <x:f>IF(U475="Open","",IFERROR(K475-B475,""))</x:f>
        <x:v>59</x:v>
      </x:c>
      <x:c r="Y475" s="26" t="n">
        <x:f>IF(U475="Open",Lookups!$B$2-B475,X475)</x:f>
        <x:v>59</x:v>
      </x:c>
      <x:c r="Z475" t="str">
        <x:f>IF(AND(U475="Open",Y475&gt;30),"STALE","OK")</x:f>
        <x:v>OK</x:v>
      </x:c>
      <x:c r="AA475" t="str">
        <x:f>TEXT(B475,"yyyy-mm")</x:f>
        <x:v>2025-07</x:v>
      </x:c>
      <x:c r="AB475" t="str">
        <x:f>IF(K475="","",TEXT(K475,"yyyy-mm"))</x:f>
        <x:v>2025-08</x:v>
      </x:c>
      <x:c r="AC475" t="str">
        <x:f>"Q"&amp;ROUNDUP(MONTH(B475)/3,0)&amp;"-"&amp;YEAR(B475)</x:f>
        <x:v>Q3-2025</x:v>
      </x:c>
      <x:c r="AD475" s="26" t="n">
        <x:f>MIN(100,IF(H475="Enterprise",30,IF(H475="Mid-Market",22,14))+IF(T475="Enterprise",25,IF(T475="Mid-Market",18,10))+IF(Q475="Referral",25,IF(Q475="Organic Search",20,IF(Q475="Email",18,14)))+IF(G475="Technology",10,5))</x:f>
        <x:v>56</x:v>
      </x:c>
      <x:c r="AE475" t="str">
        <x:f>IF(U475&lt;&gt;"Open",U475,IF(N475&gt;=0.8,"Commit",IF(N475&gt;=0.5,"Best Case","Pipeline")))</x:f>
        <x:v>Won</x:v>
      </x:c>
    </x:row>
    <x:row r="476">
      <x:c r="A476" t="str">
        <x:v>L00475</x:v>
      </x:c>
      <x:c r="B476" s="10" t="n">
        <x:v>45923</x:v>
      </x:c>
      <x:c r="C476" t="str">
        <x:v>Bao Tran</x:v>
      </x:c>
      <x:c r="D476" t="str">
        <x:v>South</x:v>
      </x:c>
      <x:c r="E476" t="str">
        <x:v>newsletter</x:v>
      </x:c>
      <x:c r="F476" t="str">
        <x:v>CS-CLOUD</x:v>
      </x:c>
      <x:c r="G476" t="str">
        <x:v>Education</x:v>
      </x:c>
      <x:c r="H476" t="str">
        <x:v>Enterprise</x:v>
      </x:c>
      <x:c r="I476" t="str">
        <x:v>Closed Lost</x:v>
      </x:c>
      <x:c r="J476" s="10" t="n">
        <x:v>45988</x:v>
      </x:c>
      <x:c r="K476" s="10" t="n">
        <x:v>45988</x:v>
      </x:c>
      <x:c r="L476" s="22" t="n">
        <x:v>74500</x:v>
      </x:c>
      <x:c r="M476" s="24" t="n">
        <x:v>0</x:v>
      </x:c>
      <x:c r="N476" s="24" t="n">
        <x:v>0</x:v>
      </x:c>
      <x:c r="O476" t="str">
        <x:v>Price</x:v>
      </x:c>
      <x:c r="P476" t="n">
        <x:v>3</x:v>
      </x:c>
      <x:c r="Q476" t="str">
        <x:f>IFERROR(XLOOKUP(E476,Lookups!$A$5:$A$24,Lookups!$B$5:$B$24),"Other")</x:f>
        <x:v>Email</x:v>
      </x:c>
      <x:c r="R476" t="str">
        <x:f>IFERROR(XLOOKUP(F476,Lookups!$D$5:$D$10,Lookups!$E$5:$E$10),"Unknown Product")</x:f>
        <x:v>Service Cloud</x:v>
      </x:c>
      <x:c r="S476" t="str">
        <x:f>IFERROR(XLOOKUP(F476,Lookups!$D$5:$D$10,Lookups!$F$5:$F$10),"Unknown")</x:f>
        <x:v>Customer Service</x:v>
      </x:c>
      <x:c r="T476" t="str">
        <x:f>IF(L476&gt;=50000,"Enterprise",IF(L476&gt;=20000,"Mid-Market","SMB"))</x:f>
        <x:v>Enterprise</x:v>
      </x:c>
      <x:c r="U476" t="str">
        <x:f>IF(I476="Closed Won","Won",IF(I476="Closed Lost","Lost","Open"))</x:f>
        <x:v>Lost</x:v>
      </x:c>
      <x:c r="V476" s="22" t="n">
        <x:f>IF(U476="Won",L476*(1-M476),0)</x:f>
        <x:v>0</x:v>
      </x:c>
      <x:c r="W476" s="22" t="n">
        <x:f>IF(U476="Open",L476*N476,0)</x:f>
        <x:v>0</x:v>
      </x:c>
      <x:c r="X476" s="26" t="n">
        <x:f>IF(U476="Open","",IFERROR(K476-B476,""))</x:f>
        <x:v>65</x:v>
      </x:c>
      <x:c r="Y476" s="26" t="n">
        <x:f>IF(U476="Open",Lookups!$B$2-B476,X476)</x:f>
        <x:v>65</x:v>
      </x:c>
      <x:c r="Z476" t="str">
        <x:f>IF(AND(U476="Open",Y476&gt;30),"STALE","OK")</x:f>
        <x:v>OK</x:v>
      </x:c>
      <x:c r="AA476" t="str">
        <x:f>TEXT(B476,"yyyy-mm")</x:f>
        <x:v>2025-09</x:v>
      </x:c>
      <x:c r="AB476" t="str">
        <x:f>IF(K476="","",TEXT(K476,"yyyy-mm"))</x:f>
        <x:v>2025-11</x:v>
      </x:c>
      <x:c r="AC476" t="str">
        <x:f>"Q"&amp;ROUNDUP(MONTH(B476)/3,0)&amp;"-"&amp;YEAR(B476)</x:f>
        <x:v>Q3-2025</x:v>
      </x:c>
      <x:c r="AD476" s="26" t="n">
        <x:f>MIN(100,IF(H476="Enterprise",30,IF(H476="Mid-Market",22,14))+IF(T476="Enterprise",25,IF(T476="Mid-Market",18,10))+IF(Q476="Referral",25,IF(Q476="Organic Search",20,IF(Q476="Email",18,14)))+IF(G476="Technology",10,5))</x:f>
        <x:v>78</x:v>
      </x:c>
      <x:c r="AE476" t="str">
        <x:f>IF(U476&lt;&gt;"Open",U476,IF(N476&gt;=0.8,"Commit",IF(N476&gt;=0.5,"Best Case","Pipeline")))</x:f>
        <x:v>Lost</x:v>
      </x:c>
    </x:row>
    <x:row r="477">
      <x:c r="A477" t="str">
        <x:v>L00476</x:v>
      </x:c>
      <x:c r="B477" s="10" t="n">
        <x:v>45869</x:v>
      </x:c>
      <x:c r="C477" t="str">
        <x:v>Quynh Vu</x:v>
      </x:c>
      <x:c r="D477" t="str">
        <x:v>North</x:v>
      </x:c>
      <x:c r="E477" t="str">
        <x:v>customer referral</x:v>
      </x:c>
      <x:c r="F477" t="str">
        <x:v>CRM-CORE</x:v>
      </x:c>
      <x:c r="G477" t="str">
        <x:v>Manufacturing</x:v>
      </x:c>
      <x:c r="H477" t="str">
        <x:v>Mid-Market</x:v>
      </x:c>
      <x:c r="I477" t="str">
        <x:v>Closed Lost</x:v>
      </x:c>
      <x:c r="J477" s="10" t="n">
        <x:v>45888</x:v>
      </x:c>
      <x:c r="K477" s="10" t="n">
        <x:v>45888</x:v>
      </x:c>
      <x:c r="L477" s="22" t="n">
        <x:v>11400</x:v>
      </x:c>
      <x:c r="M477" s="24" t="n">
        <x:v>0</x:v>
      </x:c>
      <x:c r="N477" s="24" t="n">
        <x:v>0</x:v>
      </x:c>
      <x:c r="O477" t="str">
        <x:v>Competitor</x:v>
      </x:c>
      <x:c r="P477" t="n">
        <x:v>2</x:v>
      </x:c>
      <x:c r="Q477" t="str">
        <x:f>IFERROR(XLOOKUP(E477,Lookups!$A$5:$A$24,Lookups!$B$5:$B$24),"Other")</x:f>
        <x:v>Referral</x:v>
      </x:c>
      <x:c r="R477" t="str">
        <x:f>IFERROR(XLOOKUP(F477,Lookups!$D$5:$D$10,Lookups!$E$5:$E$10),"Unknown Product")</x:f>
        <x:v>NexaCRM Core</x:v>
      </x:c>
      <x:c r="S477" t="str">
        <x:f>IFERROR(XLOOKUP(F477,Lookups!$D$5:$D$10,Lookups!$F$5:$F$10),"Unknown")</x:f>
        <x:v>CRM</x:v>
      </x:c>
      <x:c r="T477" t="str">
        <x:f>IF(L477&gt;=50000,"Enterprise",IF(L477&gt;=20000,"Mid-Market","SMB"))</x:f>
        <x:v>SMB</x:v>
      </x:c>
      <x:c r="U477" t="str">
        <x:f>IF(I477="Closed Won","Won",IF(I477="Closed Lost","Lost","Open"))</x:f>
        <x:v>Lost</x:v>
      </x:c>
      <x:c r="V477" s="22" t="n">
        <x:f>IF(U477="Won",L477*(1-M477),0)</x:f>
        <x:v>0</x:v>
      </x:c>
      <x:c r="W477" s="22" t="n">
        <x:f>IF(U477="Open",L477*N477,0)</x:f>
        <x:v>0</x:v>
      </x:c>
      <x:c r="X477" s="26" t="n">
        <x:f>IF(U477="Open","",IFERROR(K477-B477,""))</x:f>
        <x:v>19</x:v>
      </x:c>
      <x:c r="Y477" s="26" t="n">
        <x:f>IF(U477="Open",Lookups!$B$2-B477,X477)</x:f>
        <x:v>19</x:v>
      </x:c>
      <x:c r="Z477" t="str">
        <x:f>IF(AND(U477="Open",Y477&gt;30),"STALE","OK")</x:f>
        <x:v>OK</x:v>
      </x:c>
      <x:c r="AA477" t="str">
        <x:f>TEXT(B477,"yyyy-mm")</x:f>
        <x:v>2025-07</x:v>
      </x:c>
      <x:c r="AB477" t="str">
        <x:f>IF(K477="","",TEXT(K477,"yyyy-mm"))</x:f>
        <x:v>2025-08</x:v>
      </x:c>
      <x:c r="AC477" t="str">
        <x:f>"Q"&amp;ROUNDUP(MONTH(B477)/3,0)&amp;"-"&amp;YEAR(B477)</x:f>
        <x:v>Q3-2025</x:v>
      </x:c>
      <x:c r="AD477" s="26" t="n">
        <x:f>MIN(100,IF(H477="Enterprise",30,IF(H477="Mid-Market",22,14))+IF(T477="Enterprise",25,IF(T477="Mid-Market",18,10))+IF(Q477="Referral",25,IF(Q477="Organic Search",20,IF(Q477="Email",18,14)))+IF(G477="Technology",10,5))</x:f>
        <x:v>62</x:v>
      </x:c>
      <x:c r="AE477" t="str">
        <x:f>IF(U477&lt;&gt;"Open",U477,IF(N477&gt;=0.8,"Commit",IF(N477&gt;=0.5,"Best Case","Pipeline")))</x:f>
        <x:v>Lost</x:v>
      </x:c>
    </x:row>
    <x:row r="478">
      <x:c r="A478" t="str">
        <x:v>L00477</x:v>
      </x:c>
      <x:c r="B478" s="10" t="n">
        <x:v>45873</x:v>
      </x:c>
      <x:c r="C478" t="str">
        <x:v>Quynh Vu</x:v>
      </x:c>
      <x:c r="D478" t="str">
        <x:v>North</x:v>
      </x:c>
      <x:c r="E478" t="str">
        <x:v>linkedin</x:v>
      </x:c>
      <x:c r="F478" t="str">
        <x:v>CRM-PRO</x:v>
      </x:c>
      <x:c r="G478" t="str">
        <x:v>Technology</x:v>
      </x:c>
      <x:c r="H478" t="str">
        <x:v>SMB</x:v>
      </x:c>
      <x:c r="I478" t="str">
        <x:v>Closed Lost</x:v>
      </x:c>
      <x:c r="J478" s="10" t="n">
        <x:v>45913</x:v>
      </x:c>
      <x:c r="K478" s="10" t="n">
        <x:v>45913</x:v>
      </x:c>
      <x:c r="L478" s="22" t="n">
        <x:v>19200</x:v>
      </x:c>
      <x:c r="M478" s="24" t="n">
        <x:v>0</x:v>
      </x:c>
      <x:c r="N478" s="24" t="n">
        <x:v>0</x:v>
      </x:c>
      <x:c r="O478" t="str">
        <x:v>Timing</x:v>
      </x:c>
      <x:c r="P478" t="n">
        <x:v>2</x:v>
      </x:c>
      <x:c r="Q478" t="str">
        <x:f>IFERROR(XLOOKUP(E478,Lookups!$A$5:$A$24,Lookups!$B$5:$B$24),"Other")</x:f>
        <x:v>LinkedIn</x:v>
      </x:c>
      <x:c r="R478" t="str">
        <x:f>IFERROR(XLOOKUP(F478,Lookups!$D$5:$D$10,Lookups!$E$5:$E$10),"Unknown Product")</x:f>
        <x:v>NexaCRM Pro</x:v>
      </x:c>
      <x:c r="S478" t="str">
        <x:f>IFERROR(XLOOKUP(F478,Lookups!$D$5:$D$10,Lookups!$F$5:$F$10),"Unknown")</x:f>
        <x:v>CRM</x:v>
      </x:c>
      <x:c r="T478" t="str">
        <x:f>IF(L478&gt;=50000,"Enterprise",IF(L478&gt;=20000,"Mid-Market","SMB"))</x:f>
        <x:v>SMB</x:v>
      </x:c>
      <x:c r="U478" t="str">
        <x:f>IF(I478="Closed Won","Won",IF(I478="Closed Lost","Lost","Open"))</x:f>
        <x:v>Lost</x:v>
      </x:c>
      <x:c r="V478" s="22" t="n">
        <x:f>IF(U478="Won",L478*(1-M478),0)</x:f>
        <x:v>0</x:v>
      </x:c>
      <x:c r="W478" s="22" t="n">
        <x:f>IF(U478="Open",L478*N478,0)</x:f>
        <x:v>0</x:v>
      </x:c>
      <x:c r="X478" s="26" t="n">
        <x:f>IF(U478="Open","",IFERROR(K478-B478,""))</x:f>
        <x:v>40</x:v>
      </x:c>
      <x:c r="Y478" s="26" t="n">
        <x:f>IF(U478="Open",Lookups!$B$2-B478,X478)</x:f>
        <x:v>40</x:v>
      </x:c>
      <x:c r="Z478" t="str">
        <x:f>IF(AND(U478="Open",Y478&gt;30),"STALE","OK")</x:f>
        <x:v>OK</x:v>
      </x:c>
      <x:c r="AA478" t="str">
        <x:f>TEXT(B478,"yyyy-mm")</x:f>
        <x:v>2025-08</x:v>
      </x:c>
      <x:c r="AB478" t="str">
        <x:f>IF(K478="","",TEXT(K478,"yyyy-mm"))</x:f>
        <x:v>2025-09</x:v>
      </x:c>
      <x:c r="AC478" t="str">
        <x:f>"Q"&amp;ROUNDUP(MONTH(B478)/3,0)&amp;"-"&amp;YEAR(B478)</x:f>
        <x:v>Q3-2025</x:v>
      </x:c>
      <x:c r="AD478" s="26" t="n">
        <x:f>MIN(100,IF(H478="Enterprise",30,IF(H478="Mid-Market",22,14))+IF(T478="Enterprise",25,IF(T478="Mid-Market",18,10))+IF(Q478="Referral",25,IF(Q478="Organic Search",20,IF(Q478="Email",18,14)))+IF(G478="Technology",10,5))</x:f>
        <x:v>48</x:v>
      </x:c>
      <x:c r="AE478" t="str">
        <x:f>IF(U478&lt;&gt;"Open",U478,IF(N478&gt;=0.8,"Commit",IF(N478&gt;=0.5,"Best Case","Pipeline")))</x:f>
        <x:v>Lost</x:v>
      </x:c>
    </x:row>
    <x:row r="479">
      <x:c r="A479" t="str">
        <x:v>L00478</x:v>
      </x:c>
      <x:c r="B479" s="10" t="n">
        <x:v>45772</x:v>
      </x:c>
      <x:c r="C479" t="str">
        <x:v>Tuan Bui</x:v>
      </x:c>
      <x:c r="D479" t="str">
        <x:v>Central</x:v>
      </x:c>
      <x:c r="E479" t="str">
        <x:v>google cpc</x:v>
      </x:c>
      <x:c r="F479" t="str">
        <x:v>BI-PLUS</x:v>
      </x:c>
      <x:c r="G479" t="str">
        <x:v>Education</x:v>
      </x:c>
      <x:c r="H479" t="str">
        <x:v>Mid-Market</x:v>
      </x:c>
      <x:c r="I479" t="str">
        <x:v>Closed Lost</x:v>
      </x:c>
      <x:c r="J479" s="10" t="n">
        <x:v>45827</x:v>
      </x:c>
      <x:c r="K479" s="10" t="n">
        <x:v>45827</x:v>
      </x:c>
      <x:c r="L479" s="22" t="n">
        <x:v>53500</x:v>
      </x:c>
      <x:c r="M479" s="24" t="n">
        <x:v>0</x:v>
      </x:c>
      <x:c r="N479" s="24" t="n">
        <x:v>0</x:v>
      </x:c>
      <x:c r="O479" t="str">
        <x:v>Budget</x:v>
      </x:c>
      <x:c r="P479" t="n">
        <x:v>4</x:v>
      </x:c>
      <x:c r="Q479" t="str">
        <x:f>IFERROR(XLOOKUP(E479,Lookups!$A$5:$A$24,Lookups!$B$5:$B$24),"Other")</x:f>
        <x:v>Paid Search</x:v>
      </x:c>
      <x:c r="R479" t="str">
        <x:f>IFERROR(XLOOKUP(F479,Lookups!$D$5:$D$10,Lookups!$E$5:$E$10),"Unknown Product")</x:f>
        <x:v>Analytics Plus</x:v>
      </x:c>
      <x:c r="S479" t="str">
        <x:f>IFERROR(XLOOKUP(F479,Lookups!$D$5:$D$10,Lookups!$F$5:$F$10),"Unknown")</x:f>
        <x:v>Analytics</x:v>
      </x:c>
      <x:c r="T479" t="str">
        <x:f>IF(L479&gt;=50000,"Enterprise",IF(L479&gt;=20000,"Mid-Market","SMB"))</x:f>
        <x:v>Enterprise</x:v>
      </x:c>
      <x:c r="U479" t="str">
        <x:f>IF(I479="Closed Won","Won",IF(I479="Closed Lost","Lost","Open"))</x:f>
        <x:v>Lost</x:v>
      </x:c>
      <x:c r="V479" s="22" t="n">
        <x:f>IF(U479="Won",L479*(1-M479),0)</x:f>
        <x:v>0</x:v>
      </x:c>
      <x:c r="W479" s="22" t="n">
        <x:f>IF(U479="Open",L479*N479,0)</x:f>
        <x:v>0</x:v>
      </x:c>
      <x:c r="X479" s="26" t="n">
        <x:f>IF(U479="Open","",IFERROR(K479-B479,""))</x:f>
        <x:v>55</x:v>
      </x:c>
      <x:c r="Y479" s="26" t="n">
        <x:f>IF(U479="Open",Lookups!$B$2-B479,X479)</x:f>
        <x:v>55</x:v>
      </x:c>
      <x:c r="Z479" t="str">
        <x:f>IF(AND(U479="Open",Y479&gt;30),"STALE","OK")</x:f>
        <x:v>OK</x:v>
      </x:c>
      <x:c r="AA479" t="str">
        <x:f>TEXT(B479,"yyyy-mm")</x:f>
        <x:v>2025-04</x:v>
      </x:c>
      <x:c r="AB479" t="str">
        <x:f>IF(K479="","",TEXT(K479,"yyyy-mm"))</x:f>
        <x:v>2025-06</x:v>
      </x:c>
      <x:c r="AC479" t="str">
        <x:f>"Q"&amp;ROUNDUP(MONTH(B479)/3,0)&amp;"-"&amp;YEAR(B479)</x:f>
        <x:v>Q2-2025</x:v>
      </x:c>
      <x:c r="AD479" s="26" t="n">
        <x:f>MIN(100,IF(H479="Enterprise",30,IF(H479="Mid-Market",22,14))+IF(T479="Enterprise",25,IF(T479="Mid-Market",18,10))+IF(Q479="Referral",25,IF(Q479="Organic Search",20,IF(Q479="Email",18,14)))+IF(G479="Technology",10,5))</x:f>
        <x:v>66</x:v>
      </x:c>
      <x:c r="AE479" t="str">
        <x:f>IF(U479&lt;&gt;"Open",U479,IF(N479&gt;=0.8,"Commit",IF(N479&gt;=0.5,"Best Case","Pipeline")))</x:f>
        <x:v>Lost</x:v>
      </x:c>
    </x:row>
    <x:row r="480">
      <x:c r="A480" t="str">
        <x:v>L00479</x:v>
      </x:c>
      <x:c r="B480" s="10" t="n">
        <x:v>45754</x:v>
      </x:c>
      <x:c r="C480" t="str">
        <x:v>Tuan Bui</x:v>
      </x:c>
      <x:c r="D480" t="str">
        <x:v>Central</x:v>
      </x:c>
      <x:c r="E480" t="str">
        <x:v>SDR Outreach</x:v>
      </x:c>
      <x:c r="F480" t="str">
        <x:v>BI-PLUS</x:v>
      </x:c>
      <x:c r="G480" t="str">
        <x:v>Healthcare</x:v>
      </x:c>
      <x:c r="H480" t="str">
        <x:v>SMB</x:v>
      </x:c>
      <x:c r="I480" t="str">
        <x:v>Closed Won</x:v>
      </x:c>
      <x:c r="J480" s="10" t="n">
        <x:v>45795</x:v>
      </x:c>
      <x:c r="K480" s="10" t="n">
        <x:v>45795</x:v>
      </x:c>
      <x:c r="L480" s="22" t="n">
        <x:v>27400</x:v>
      </x:c>
      <x:c r="M480" s="24" t="n">
        <x:v>0.1</x:v>
      </x:c>
      <x:c r="N480" s="24" t="n">
        <x:v>1</x:v>
      </x:c>
      <x:c r="O480" t="str"/>
      <x:c r="P480" t="n">
        <x:v>6</x:v>
      </x:c>
      <x:c r="Q480" t="str">
        <x:f>IFERROR(XLOOKUP(E480,Lookups!$A$5:$A$24,Lookups!$B$5:$B$24),"Other")</x:f>
        <x:v>Outbound</x:v>
      </x:c>
      <x:c r="R480" t="str">
        <x:f>IFERROR(XLOOKUP(F480,Lookups!$D$5:$D$10,Lookups!$E$5:$E$10),"Unknown Product")</x:f>
        <x:v>Analytics Plus</x:v>
      </x:c>
      <x:c r="S480" t="str">
        <x:f>IFERROR(XLOOKUP(F480,Lookups!$D$5:$D$10,Lookups!$F$5:$F$10),"Unknown")</x:f>
        <x:v>Analytics</x:v>
      </x:c>
      <x:c r="T480" t="str">
        <x:f>IF(L480&gt;=50000,"Enterprise",IF(L480&gt;=20000,"Mid-Market","SMB"))</x:f>
        <x:v>Mid-Market</x:v>
      </x:c>
      <x:c r="U480" t="str">
        <x:f>IF(I480="Closed Won","Won",IF(I480="Closed Lost","Lost","Open"))</x:f>
        <x:v>Won</x:v>
      </x:c>
      <x:c r="V480" s="22" t="n">
        <x:f>IF(U480="Won",L480*(1-M480),0)</x:f>
        <x:v>24660</x:v>
      </x:c>
      <x:c r="W480" s="22" t="n">
        <x:f>IF(U480="Open",L480*N480,0)</x:f>
        <x:v>0</x:v>
      </x:c>
      <x:c r="X480" s="26" t="n">
        <x:f>IF(U480="Open","",IFERROR(K480-B480,""))</x:f>
        <x:v>41</x:v>
      </x:c>
      <x:c r="Y480" s="26" t="n">
        <x:f>IF(U480="Open",Lookups!$B$2-B480,X480)</x:f>
        <x:v>41</x:v>
      </x:c>
      <x:c r="Z480" t="str">
        <x:f>IF(AND(U480="Open",Y480&gt;30),"STALE","OK")</x:f>
        <x:v>OK</x:v>
      </x:c>
      <x:c r="AA480" t="str">
        <x:f>TEXT(B480,"yyyy-mm")</x:f>
        <x:v>2025-04</x:v>
      </x:c>
      <x:c r="AB480" t="str">
        <x:f>IF(K480="","",TEXT(K480,"yyyy-mm"))</x:f>
        <x:v>2025-05</x:v>
      </x:c>
      <x:c r="AC480" t="str">
        <x:f>"Q"&amp;ROUNDUP(MONTH(B480)/3,0)&amp;"-"&amp;YEAR(B480)</x:f>
        <x:v>Q2-2025</x:v>
      </x:c>
      <x:c r="AD480" s="26" t="n">
        <x:f>MIN(100,IF(H480="Enterprise",30,IF(H480="Mid-Market",22,14))+IF(T480="Enterprise",25,IF(T480="Mid-Market",18,10))+IF(Q480="Referral",25,IF(Q480="Organic Search",20,IF(Q480="Email",18,14)))+IF(G480="Technology",10,5))</x:f>
        <x:v>51</x:v>
      </x:c>
      <x:c r="AE480" t="str">
        <x:f>IF(U480&lt;&gt;"Open",U480,IF(N480&gt;=0.8,"Commit",IF(N480&gt;=0.5,"Best Case","Pipeline")))</x:f>
        <x:v>Won</x:v>
      </x:c>
    </x:row>
    <x:row r="481">
      <x:c r="A481" t="str">
        <x:v>L00480</x:v>
      </x:c>
      <x:c r="B481" s="10" t="n">
        <x:v>45782</x:v>
      </x:c>
      <x:c r="C481" t="str">
        <x:v>Tuan Bui</x:v>
      </x:c>
      <x:c r="D481" t="str">
        <x:v>Central</x:v>
      </x:c>
      <x:c r="E481" t="str">
        <x:v>Google Organic</x:v>
      </x:c>
      <x:c r="F481" t="str">
        <x:v>CRM-CORE</x:v>
      </x:c>
      <x:c r="G481" t="str">
        <x:v>Professional Services</x:v>
      </x:c>
      <x:c r="H481" t="str">
        <x:v>Mid-Market</x:v>
      </x:c>
      <x:c r="I481" t="str">
        <x:v>Closed Won</x:v>
      </x:c>
      <x:c r="J481" s="10" t="n">
        <x:v>45839</x:v>
      </x:c>
      <x:c r="K481" s="10" t="n">
        <x:v>45839</x:v>
      </x:c>
      <x:c r="L481" s="22" t="n">
        <x:v>15700</x:v>
      </x:c>
      <x:c r="M481" s="24" t="n">
        <x:v>0.08</x:v>
      </x:c>
      <x:c r="N481" s="24" t="n">
        <x:v>1</x:v>
      </x:c>
      <x:c r="O481" t="str"/>
      <x:c r="P481" t="n">
        <x:v>6</x:v>
      </x:c>
      <x:c r="Q481" t="str">
        <x:f>IFERROR(XLOOKUP(E481,Lookups!$A$5:$A$24,Lookups!$B$5:$B$24),"Other")</x:f>
        <x:v>Organic Search</x:v>
      </x:c>
      <x:c r="R481" t="str">
        <x:f>IFERROR(XLOOKUP(F481,Lookups!$D$5:$D$10,Lookups!$E$5:$E$10),"Unknown Product")</x:f>
        <x:v>NexaCRM Core</x:v>
      </x:c>
      <x:c r="S481" t="str">
        <x:f>IFERROR(XLOOKUP(F481,Lookups!$D$5:$D$10,Lookups!$F$5:$F$10),"Unknown")</x:f>
        <x:v>CRM</x:v>
      </x:c>
      <x:c r="T481" t="str">
        <x:f>IF(L481&gt;=50000,"Enterprise",IF(L481&gt;=20000,"Mid-Market","SMB"))</x:f>
        <x:v>SMB</x:v>
      </x:c>
      <x:c r="U481" t="str">
        <x:f>IF(I481="Closed Won","Won",IF(I481="Closed Lost","Lost","Open"))</x:f>
        <x:v>Won</x:v>
      </x:c>
      <x:c r="V481" s="22" t="n">
        <x:f>IF(U481="Won",L481*(1-M481),0)</x:f>
        <x:v>14444</x:v>
      </x:c>
      <x:c r="W481" s="22" t="n">
        <x:f>IF(U481="Open",L481*N481,0)</x:f>
        <x:v>0</x:v>
      </x:c>
      <x:c r="X481" s="26" t="n">
        <x:f>IF(U481="Open","",IFERROR(K481-B481,""))</x:f>
        <x:v>57</x:v>
      </x:c>
      <x:c r="Y481" s="26" t="n">
        <x:f>IF(U481="Open",Lookups!$B$2-B481,X481)</x:f>
        <x:v>57</x:v>
      </x:c>
      <x:c r="Z481" t="str">
        <x:f>IF(AND(U481="Open",Y481&gt;30),"STALE","OK")</x:f>
        <x:v>OK</x:v>
      </x:c>
      <x:c r="AA481" t="str">
        <x:f>TEXT(B481,"yyyy-mm")</x:f>
        <x:v>2025-05</x:v>
      </x:c>
      <x:c r="AB481" t="str">
        <x:f>IF(K481="","",TEXT(K481,"yyyy-mm"))</x:f>
        <x:v>2025-07</x:v>
      </x:c>
      <x:c r="AC481" t="str">
        <x:f>"Q"&amp;ROUNDUP(MONTH(B481)/3,0)&amp;"-"&amp;YEAR(B481)</x:f>
        <x:v>Q2-2025</x:v>
      </x:c>
      <x:c r="AD481" s="26" t="n">
        <x:f>MIN(100,IF(H481="Enterprise",30,IF(H481="Mid-Market",22,14))+IF(T481="Enterprise",25,IF(T481="Mid-Market",18,10))+IF(Q481="Referral",25,IF(Q481="Organic Search",20,IF(Q481="Email",18,14)))+IF(G481="Technology",10,5))</x:f>
        <x:v>57</x:v>
      </x:c>
      <x:c r="AE481" t="str">
        <x:f>IF(U481&lt;&gt;"Open",U481,IF(N481&gt;=0.8,"Commit",IF(N481&gt;=0.5,"Best Case","Pipeline")))</x:f>
        <x:v>Won</x:v>
      </x:c>
    </x:row>
    <x:row r="482">
      <x:c r="A482" t="str">
        <x:v>L00481</x:v>
      </x:c>
      <x:c r="B482" s="10" t="n">
        <x:v>46182</x:v>
      </x:c>
      <x:c r="C482" t="str">
        <x:v>Tuan Bui</x:v>
      </x:c>
      <x:c r="D482" t="str">
        <x:v>Central</x:v>
      </x:c>
      <x:c r="E482" t="str">
        <x:v>virtual event</x:v>
      </x:c>
      <x:c r="F482" t="str">
        <x:v>CS-CLOUD</x:v>
      </x:c>
      <x:c r="G482" t="str">
        <x:v>Professional Services</x:v>
      </x:c>
      <x:c r="H482" t="str">
        <x:v>SMB</x:v>
      </x:c>
      <x:c r="I482" t="str">
        <x:v>Closed Lost</x:v>
      </x:c>
      <x:c r="J482" s="10" t="n">
        <x:v>46237</x:v>
      </x:c>
      <x:c r="K482" s="10" t="n">
        <x:v>46237</x:v>
      </x:c>
      <x:c r="L482" s="22" t="n">
        <x:v>24400</x:v>
      </x:c>
      <x:c r="M482" s="24" t="n">
        <x:v>0</x:v>
      </x:c>
      <x:c r="N482" s="24" t="n">
        <x:v>0</x:v>
      </x:c>
      <x:c r="O482" t="str">
        <x:v>Competitor</x:v>
      </x:c>
      <x:c r="P482" t="n">
        <x:v>4</x:v>
      </x:c>
      <x:c r="Q482" t="str">
        <x:f>IFERROR(XLOOKUP(E482,Lookups!$A$5:$A$24,Lookups!$B$5:$B$24),"Other")</x:f>
        <x:v>Webinar</x:v>
      </x:c>
      <x:c r="R482" t="str">
        <x:f>IFERROR(XLOOKUP(F482,Lookups!$D$5:$D$10,Lookups!$E$5:$E$10),"Unknown Product")</x:f>
        <x:v>Service Cloud</x:v>
      </x:c>
      <x:c r="S482" t="str">
        <x:f>IFERROR(XLOOKUP(F482,Lookups!$D$5:$D$10,Lookups!$F$5:$F$10),"Unknown")</x:f>
        <x:v>Customer Service</x:v>
      </x:c>
      <x:c r="T482" t="str">
        <x:f>IF(L482&gt;=50000,"Enterprise",IF(L482&gt;=20000,"Mid-Market","SMB"))</x:f>
        <x:v>Mid-Market</x:v>
      </x:c>
      <x:c r="U482" t="str">
        <x:f>IF(I482="Closed Won","Won",IF(I482="Closed Lost","Lost","Open"))</x:f>
        <x:v>Lost</x:v>
      </x:c>
      <x:c r="V482" s="22" t="n">
        <x:f>IF(U482="Won",L482*(1-M482),0)</x:f>
        <x:v>0</x:v>
      </x:c>
      <x:c r="W482" s="22" t="n">
        <x:f>IF(U482="Open",L482*N482,0)</x:f>
        <x:v>0</x:v>
      </x:c>
      <x:c r="X482" s="26" t="n">
        <x:f>IF(U482="Open","",IFERROR(K482-B482,""))</x:f>
        <x:v>55</x:v>
      </x:c>
      <x:c r="Y482" s="26" t="n">
        <x:f>IF(U482="Open",Lookups!$B$2-B482,X482)</x:f>
        <x:v>55</x:v>
      </x:c>
      <x:c r="Z482" t="str">
        <x:f>IF(AND(U482="Open",Y482&gt;30),"STALE","OK")</x:f>
        <x:v>OK</x:v>
      </x:c>
      <x:c r="AA482" t="str">
        <x:f>TEXT(B482,"yyyy-mm")</x:f>
        <x:v>2026-06</x:v>
      </x:c>
      <x:c r="AB482" t="str">
        <x:f>IF(K482="","",TEXT(K482,"yyyy-mm"))</x:f>
        <x:v>2026-08</x:v>
      </x:c>
      <x:c r="AC482" t="str">
        <x:f>"Q"&amp;ROUNDUP(MONTH(B482)/3,0)&amp;"-"&amp;YEAR(B482)</x:f>
        <x:v>Q2-2026</x:v>
      </x:c>
      <x:c r="AD482" s="26" t="n">
        <x:f>MIN(100,IF(H482="Enterprise",30,IF(H482="Mid-Market",22,14))+IF(T482="Enterprise",25,IF(T482="Mid-Market",18,10))+IF(Q482="Referral",25,IF(Q482="Organic Search",20,IF(Q482="Email",18,14)))+IF(G482="Technology",10,5))</x:f>
        <x:v>51</x:v>
      </x:c>
      <x:c r="AE482" t="str">
        <x:f>IF(U482&lt;&gt;"Open",U482,IF(N482&gt;=0.8,"Commit",IF(N482&gt;=0.5,"Best Case","Pipeline")))</x:f>
        <x:v>Lost</x:v>
      </x:c>
    </x:row>
    <x:row r="483">
      <x:c r="A483" t="str">
        <x:v>L00482</x:v>
      </x:c>
      <x:c r="B483" s="10" t="n">
        <x:v>45929</x:v>
      </x:c>
      <x:c r="C483" t="str">
        <x:v>Ha Vo</x:v>
      </x:c>
      <x:c r="D483" t="str">
        <x:v>North</x:v>
      </x:c>
      <x:c r="E483" t="str">
        <x:v>linkedin</x:v>
      </x:c>
      <x:c r="F483" t="str">
        <x:v>BI-PLUS</x:v>
      </x:c>
      <x:c r="G483" t="str">
        <x:v>Professional Services</x:v>
      </x:c>
      <x:c r="H483" t="str">
        <x:v>SMB</x:v>
      </x:c>
      <x:c r="I483" t="str">
        <x:v>Closed Won</x:v>
      </x:c>
      <x:c r="J483" s="10" t="n">
        <x:v>45991</x:v>
      </x:c>
      <x:c r="K483" s="10" t="n">
        <x:v>45991</x:v>
      </x:c>
      <x:c r="L483" s="22" t="n">
        <x:v>19900</x:v>
      </x:c>
      <x:c r="M483" s="24" t="n">
        <x:v>0.1</x:v>
      </x:c>
      <x:c r="N483" s="24" t="n">
        <x:v>1</x:v>
      </x:c>
      <x:c r="O483" t="str"/>
      <x:c r="P483" t="n">
        <x:v>6</x:v>
      </x:c>
      <x:c r="Q483" t="str">
        <x:f>IFERROR(XLOOKUP(E483,Lookups!$A$5:$A$24,Lookups!$B$5:$B$24),"Other")</x:f>
        <x:v>LinkedIn</x:v>
      </x:c>
      <x:c r="R483" t="str">
        <x:f>IFERROR(XLOOKUP(F483,Lookups!$D$5:$D$10,Lookups!$E$5:$E$10),"Unknown Product")</x:f>
        <x:v>Analytics Plus</x:v>
      </x:c>
      <x:c r="S483" t="str">
        <x:f>IFERROR(XLOOKUP(F483,Lookups!$D$5:$D$10,Lookups!$F$5:$F$10),"Unknown")</x:f>
        <x:v>Analytics</x:v>
      </x:c>
      <x:c r="T483" t="str">
        <x:f>IF(L483&gt;=50000,"Enterprise",IF(L483&gt;=20000,"Mid-Market","SMB"))</x:f>
        <x:v>SMB</x:v>
      </x:c>
      <x:c r="U483" t="str">
        <x:f>IF(I483="Closed Won","Won",IF(I483="Closed Lost","Lost","Open"))</x:f>
        <x:v>Won</x:v>
      </x:c>
      <x:c r="V483" s="22" t="n">
        <x:f>IF(U483="Won",L483*(1-M483),0)</x:f>
        <x:v>17910</x:v>
      </x:c>
      <x:c r="W483" s="22" t="n">
        <x:f>IF(U483="Open",L483*N483,0)</x:f>
        <x:v>0</x:v>
      </x:c>
      <x:c r="X483" s="26" t="n">
        <x:f>IF(U483="Open","",IFERROR(K483-B483,""))</x:f>
        <x:v>62</x:v>
      </x:c>
      <x:c r="Y483" s="26" t="n">
        <x:f>IF(U483="Open",Lookups!$B$2-B483,X483)</x:f>
        <x:v>62</x:v>
      </x:c>
      <x:c r="Z483" t="str">
        <x:f>IF(AND(U483="Open",Y483&gt;30),"STALE","OK")</x:f>
        <x:v>OK</x:v>
      </x:c>
      <x:c r="AA483" t="str">
        <x:f>TEXT(B483,"yyyy-mm")</x:f>
        <x:v>2025-09</x:v>
      </x:c>
      <x:c r="AB483" t="str">
        <x:f>IF(K483="","",TEXT(K483,"yyyy-mm"))</x:f>
        <x:v>2025-11</x:v>
      </x:c>
      <x:c r="AC483" t="str">
        <x:f>"Q"&amp;ROUNDUP(MONTH(B483)/3,0)&amp;"-"&amp;YEAR(B483)</x:f>
        <x:v>Q3-2025</x:v>
      </x:c>
      <x:c r="AD483" s="26" t="n">
        <x:f>MIN(100,IF(H483="Enterprise",30,IF(H483="Mid-Market",22,14))+IF(T483="Enterprise",25,IF(T483="Mid-Market",18,10))+IF(Q483="Referral",25,IF(Q483="Organic Search",20,IF(Q483="Email",18,14)))+IF(G483="Technology",10,5))</x:f>
        <x:v>43</x:v>
      </x:c>
      <x:c r="AE483" t="str">
        <x:f>IF(U483&lt;&gt;"Open",U483,IF(N483&gt;=0.8,"Commit",IF(N483&gt;=0.5,"Best Case","Pipeline")))</x:f>
        <x:v>Won</x:v>
      </x:c>
    </x:row>
    <x:row r="484">
      <x:c r="A484" t="str">
        <x:v>L00483</x:v>
      </x:c>
      <x:c r="B484" s="10" t="n">
        <x:v>46265</x:v>
      </x:c>
      <x:c r="C484" t="str">
        <x:v>Bao Tran</x:v>
      </x:c>
      <x:c r="D484" t="str">
        <x:v>South</x:v>
      </x:c>
      <x:c r="E484" t="str">
        <x:v>google cpc</x:v>
      </x:c>
      <x:c r="F484" t="str">
        <x:v>CRM-PRO</x:v>
      </x:c>
      <x:c r="G484" t="str">
        <x:v>Retail</x:v>
      </x:c>
      <x:c r="H484" t="str">
        <x:v>Enterprise</x:v>
      </x:c>
      <x:c r="I484" t="str">
        <x:v>New</x:v>
      </x:c>
      <x:c r="J484" s="10" t="n">
        <x:v>46266</x:v>
      </x:c>
      <x:c r="K484" s="10"/>
      <x:c r="L484" s="22" t="n">
        <x:v>86000</x:v>
      </x:c>
      <x:c r="M484" s="24" t="n">
        <x:v>0.03</x:v>
      </x:c>
      <x:c r="N484" s="24" t="n">
        <x:v>0.05</x:v>
      </x:c>
      <x:c r="O484" t="str"/>
      <x:c r="P484" t="n">
        <x:v>1</x:v>
      </x:c>
      <x:c r="Q484" t="str">
        <x:f>IFERROR(XLOOKUP(E484,Lookups!$A$5:$A$24,Lookups!$B$5:$B$24),"Other")</x:f>
        <x:v>Paid Search</x:v>
      </x:c>
      <x:c r="R484" t="str">
        <x:f>IFERROR(XLOOKUP(F484,Lookups!$D$5:$D$10,Lookups!$E$5:$E$10),"Unknown Product")</x:f>
        <x:v>NexaCRM Pro</x:v>
      </x:c>
      <x:c r="S484" t="str">
        <x:f>IFERROR(XLOOKUP(F484,Lookups!$D$5:$D$10,Lookups!$F$5:$F$10),"Unknown")</x:f>
        <x:v>CRM</x:v>
      </x:c>
      <x:c r="T484" t="str">
        <x:f>IF(L484&gt;=50000,"Enterprise",IF(L484&gt;=20000,"Mid-Market","SMB"))</x:f>
        <x:v>Enterprise</x:v>
      </x:c>
      <x:c r="U484" t="str">
        <x:f>IF(I484="Closed Won","Won",IF(I484="Closed Lost","Lost","Open"))</x:f>
        <x:v>Open</x:v>
      </x:c>
      <x:c r="V484" s="22" t="n">
        <x:f>IF(U484="Won",L484*(1-M484),0)</x:f>
        <x:v>0</x:v>
      </x:c>
      <x:c r="W484" s="22" t="n">
        <x:f>IF(U484="Open",L484*N484,0)</x:f>
        <x:v>4300</x:v>
      </x:c>
      <x:c r="X484" s="26" t="str">
        <x:f>IF(U484="Open","",IFERROR(K484-B484,""))</x:f>
      </x:c>
      <x:c r="Y484" s="26" t="n">
        <x:f>IF(U484="Open",Lookups!$B$2-B484,X484)</x:f>
        <x:v>1</x:v>
      </x:c>
      <x:c r="Z484" t="str">
        <x:f>IF(AND(U484="Open",Y484&gt;30),"STALE","OK")</x:f>
        <x:v>OK</x:v>
      </x:c>
      <x:c r="AA484" t="str">
        <x:f>TEXT(B484,"yyyy-mm")</x:f>
        <x:v>2026-08</x:v>
      </x:c>
      <x:c r="AB484" t="str">
        <x:f>IF(K484="","",TEXT(K484,"yyyy-mm"))</x:f>
      </x:c>
      <x:c r="AC484" t="str">
        <x:f>"Q"&amp;ROUNDUP(MONTH(B484)/3,0)&amp;"-"&amp;YEAR(B484)</x:f>
        <x:v>Q3-2026</x:v>
      </x:c>
      <x:c r="AD484" s="26" t="n">
        <x:f>MIN(100,IF(H484="Enterprise",30,IF(H484="Mid-Market",22,14))+IF(T484="Enterprise",25,IF(T484="Mid-Market",18,10))+IF(Q484="Referral",25,IF(Q484="Organic Search",20,IF(Q484="Email",18,14)))+IF(G484="Technology",10,5))</x:f>
        <x:v>74</x:v>
      </x:c>
      <x:c r="AE484" t="str">
        <x:f>IF(U484&lt;&gt;"Open",U484,IF(N484&gt;=0.8,"Commit",IF(N484&gt;=0.5,"Best Case","Pipeline")))</x:f>
        <x:v>Pipeline</x:v>
      </x:c>
    </x:row>
    <x:row r="485">
      <x:c r="A485" t="str">
        <x:v>L00484</x:v>
      </x:c>
      <x:c r="B485" s="10" t="n">
        <x:v>45845</x:v>
      </x:c>
      <x:c r="C485" t="str">
        <x:v>An Nguyen</x:v>
      </x:c>
      <x:c r="D485" t="str">
        <x:v>South</x:v>
      </x:c>
      <x:c r="E485" t="str">
        <x:v>google cpc</x:v>
      </x:c>
      <x:c r="F485" t="str">
        <x:v>MKT-AUTO</x:v>
      </x:c>
      <x:c r="G485" t="str">
        <x:v>Healthcare</x:v>
      </x:c>
      <x:c r="H485" t="str">
        <x:v>Mid-Market</x:v>
      </x:c>
      <x:c r="I485" t="str">
        <x:v>Closed Lost</x:v>
      </x:c>
      <x:c r="J485" s="10" t="n">
        <x:v>45892</x:v>
      </x:c>
      <x:c r="K485" s="10" t="n">
        <x:v>45892</x:v>
      </x:c>
      <x:c r="L485" s="22" t="n">
        <x:v>23300</x:v>
      </x:c>
      <x:c r="M485" s="24" t="n">
        <x:v>0</x:v>
      </x:c>
      <x:c r="N485" s="24" t="n">
        <x:v>0</x:v>
      </x:c>
      <x:c r="O485" t="str">
        <x:v>Price</x:v>
      </x:c>
      <x:c r="P485" t="n">
        <x:v>4</x:v>
      </x:c>
      <x:c r="Q485" t="str">
        <x:f>IFERROR(XLOOKUP(E485,Lookups!$A$5:$A$24,Lookups!$B$5:$B$24),"Other")</x:f>
        <x:v>Paid Search</x:v>
      </x:c>
      <x:c r="R485" t="str">
        <x:f>IFERROR(XLOOKUP(F485,Lookups!$D$5:$D$10,Lookups!$E$5:$E$10),"Unknown Product")</x:f>
        <x:v>Marketing Automation</x:v>
      </x:c>
      <x:c r="S485" t="str">
        <x:f>IFERROR(XLOOKUP(F485,Lookups!$D$5:$D$10,Lookups!$F$5:$F$10),"Unknown")</x:f>
        <x:v>Marketing</x:v>
      </x:c>
      <x:c r="T485" t="str">
        <x:f>IF(L485&gt;=50000,"Enterprise",IF(L485&gt;=20000,"Mid-Market","SMB"))</x:f>
        <x:v>Mid-Market</x:v>
      </x:c>
      <x:c r="U485" t="str">
        <x:f>IF(I485="Closed Won","Won",IF(I485="Closed Lost","Lost","Open"))</x:f>
        <x:v>Lost</x:v>
      </x:c>
      <x:c r="V485" s="22" t="n">
        <x:f>IF(U485="Won",L485*(1-M485),0)</x:f>
        <x:v>0</x:v>
      </x:c>
      <x:c r="W485" s="22" t="n">
        <x:f>IF(U485="Open",L485*N485,0)</x:f>
        <x:v>0</x:v>
      </x:c>
      <x:c r="X485" s="26" t="n">
        <x:f>IF(U485="Open","",IFERROR(K485-B485,""))</x:f>
        <x:v>47</x:v>
      </x:c>
      <x:c r="Y485" s="26" t="n">
        <x:f>IF(U485="Open",Lookups!$B$2-B485,X485)</x:f>
        <x:v>47</x:v>
      </x:c>
      <x:c r="Z485" t="str">
        <x:f>IF(AND(U485="Open",Y485&gt;30),"STALE","OK")</x:f>
        <x:v>OK</x:v>
      </x:c>
      <x:c r="AA485" t="str">
        <x:f>TEXT(B485,"yyyy-mm")</x:f>
        <x:v>2025-07</x:v>
      </x:c>
      <x:c r="AB485" t="str">
        <x:f>IF(K485="","",TEXT(K485,"yyyy-mm"))</x:f>
        <x:v>2025-08</x:v>
      </x:c>
      <x:c r="AC485" t="str">
        <x:f>"Q"&amp;ROUNDUP(MONTH(B485)/3,0)&amp;"-"&amp;YEAR(B485)</x:f>
        <x:v>Q3-2025</x:v>
      </x:c>
      <x:c r="AD485" s="26" t="n">
        <x:f>MIN(100,IF(H485="Enterprise",30,IF(H485="Mid-Market",22,14))+IF(T485="Enterprise",25,IF(T485="Mid-Market",18,10))+IF(Q485="Referral",25,IF(Q485="Organic Search",20,IF(Q485="Email",18,14)))+IF(G485="Technology",10,5))</x:f>
        <x:v>59</x:v>
      </x:c>
      <x:c r="AE485" t="str">
        <x:f>IF(U485&lt;&gt;"Open",U485,IF(N485&gt;=0.8,"Commit",IF(N485&gt;=0.5,"Best Case","Pipeline")))</x:f>
        <x:v>Lost</x:v>
      </x:c>
    </x:row>
    <x:row r="486">
      <x:c r="A486" t="str">
        <x:v>L00485</x:v>
      </x:c>
      <x:c r="B486" s="10" t="n">
        <x:v>46100</x:v>
      </x:c>
      <x:c r="C486" t="str">
        <x:v>Ha Vo</x:v>
      </x:c>
      <x:c r="D486" t="str">
        <x:v>North</x:v>
      </x:c>
      <x:c r="E486" t="str">
        <x:v>google cpc</x:v>
      </x:c>
      <x:c r="F486" t="str">
        <x:v>CS-CLOUD</x:v>
      </x:c>
      <x:c r="G486" t="str">
        <x:v>Retail</x:v>
      </x:c>
      <x:c r="H486" t="str">
        <x:v>Enterprise</x:v>
      </x:c>
      <x:c r="I486" t="str">
        <x:v>Closed Lost</x:v>
      </x:c>
      <x:c r="J486" s="10" t="n">
        <x:v>46134</x:v>
      </x:c>
      <x:c r="K486" s="10" t="n">
        <x:v>46134</x:v>
      </x:c>
      <x:c r="L486" s="22" t="n">
        <x:v>85200</x:v>
      </x:c>
      <x:c r="M486" s="24" t="n">
        <x:v>0</x:v>
      </x:c>
      <x:c r="N486" s="24" t="n">
        <x:v>0</x:v>
      </x:c>
      <x:c r="O486" t="str">
        <x:v>Timing</x:v>
      </x:c>
      <x:c r="P486" t="n">
        <x:v>4</x:v>
      </x:c>
      <x:c r="Q486" t="str">
        <x:f>IFERROR(XLOOKUP(E486,Lookups!$A$5:$A$24,Lookups!$B$5:$B$24),"Other")</x:f>
        <x:v>Paid Search</x:v>
      </x:c>
      <x:c r="R486" t="str">
        <x:f>IFERROR(XLOOKUP(F486,Lookups!$D$5:$D$10,Lookups!$E$5:$E$10),"Unknown Product")</x:f>
        <x:v>Service Cloud</x:v>
      </x:c>
      <x:c r="S486" t="str">
        <x:f>IFERROR(XLOOKUP(F486,Lookups!$D$5:$D$10,Lookups!$F$5:$F$10),"Unknown")</x:f>
        <x:v>Customer Service</x:v>
      </x:c>
      <x:c r="T486" t="str">
        <x:f>IF(L486&gt;=50000,"Enterprise",IF(L486&gt;=20000,"Mid-Market","SMB"))</x:f>
        <x:v>Enterprise</x:v>
      </x:c>
      <x:c r="U486" t="str">
        <x:f>IF(I486="Closed Won","Won",IF(I486="Closed Lost","Lost","Open"))</x:f>
        <x:v>Lost</x:v>
      </x:c>
      <x:c r="V486" s="22" t="n">
        <x:f>IF(U486="Won",L486*(1-M486),0)</x:f>
        <x:v>0</x:v>
      </x:c>
      <x:c r="W486" s="22" t="n">
        <x:f>IF(U486="Open",L486*N486,0)</x:f>
        <x:v>0</x:v>
      </x:c>
      <x:c r="X486" s="26" t="n">
        <x:f>IF(U486="Open","",IFERROR(K486-B486,""))</x:f>
        <x:v>34</x:v>
      </x:c>
      <x:c r="Y486" s="26" t="n">
        <x:f>IF(U486="Open",Lookups!$B$2-B486,X486)</x:f>
        <x:v>34</x:v>
      </x:c>
      <x:c r="Z486" t="str">
        <x:f>IF(AND(U486="Open",Y486&gt;30),"STALE","OK")</x:f>
        <x:v>OK</x:v>
      </x:c>
      <x:c r="AA486" t="str">
        <x:f>TEXT(B486,"yyyy-mm")</x:f>
        <x:v>2026-03</x:v>
      </x:c>
      <x:c r="AB486" t="str">
        <x:f>IF(K486="","",TEXT(K486,"yyyy-mm"))</x:f>
        <x:v>2026-04</x:v>
      </x:c>
      <x:c r="AC486" t="str">
        <x:f>"Q"&amp;ROUNDUP(MONTH(B486)/3,0)&amp;"-"&amp;YEAR(B486)</x:f>
        <x:v>Q1-2026</x:v>
      </x:c>
      <x:c r="AD486" s="26" t="n">
        <x:f>MIN(100,IF(H486="Enterprise",30,IF(H486="Mid-Market",22,14))+IF(T486="Enterprise",25,IF(T486="Mid-Market",18,10))+IF(Q486="Referral",25,IF(Q486="Organic Search",20,IF(Q486="Email",18,14)))+IF(G486="Technology",10,5))</x:f>
        <x:v>74</x:v>
      </x:c>
      <x:c r="AE486" t="str">
        <x:f>IF(U486&lt;&gt;"Open",U486,IF(N486&gt;=0.8,"Commit",IF(N486&gt;=0.5,"Best Case","Pipeline")))</x:f>
        <x:v>Lost</x:v>
      </x:c>
    </x:row>
    <x:row r="487">
      <x:c r="A487" t="str">
        <x:v>L00486</x:v>
      </x:c>
      <x:c r="B487" s="10" t="n">
        <x:v>46107</x:v>
      </x:c>
      <x:c r="C487" t="str">
        <x:v>Tuan Bui</x:v>
      </x:c>
      <x:c r="D487" t="str">
        <x:v>Central</x:v>
      </x:c>
      <x:c r="E487" t="str">
        <x:v>SDR Outreach</x:v>
      </x:c>
      <x:c r="F487" t="str">
        <x:v>CRM-PRO</x:v>
      </x:c>
      <x:c r="G487" t="str">
        <x:v>Retail</x:v>
      </x:c>
      <x:c r="H487" t="str">
        <x:v>SMB</x:v>
      </x:c>
      <x:c r="I487" t="str">
        <x:v>Proposal</x:v>
      </x:c>
      <x:c r="J487" s="10" t="n">
        <x:v>46196</x:v>
      </x:c>
      <x:c r="K487" s="10"/>
      <x:c r="L487" s="22" t="n">
        <x:v>15600</x:v>
      </x:c>
      <x:c r="M487" s="24" t="n">
        <x:v>0.03</x:v>
      </x:c>
      <x:c r="N487" s="24" t="n">
        <x:v>0.65</x:v>
      </x:c>
      <x:c r="O487" t="str"/>
      <x:c r="P487" t="n">
        <x:v>4</x:v>
      </x:c>
      <x:c r="Q487" t="str">
        <x:f>IFERROR(XLOOKUP(E487,Lookups!$A$5:$A$24,Lookups!$B$5:$B$24),"Other")</x:f>
        <x:v>Outbound</x:v>
      </x:c>
      <x:c r="R487" t="str">
        <x:f>IFERROR(XLOOKUP(F487,Lookups!$D$5:$D$10,Lookups!$E$5:$E$10),"Unknown Product")</x:f>
        <x:v>NexaCRM Pro</x:v>
      </x:c>
      <x:c r="S487" t="str">
        <x:f>IFERROR(XLOOKUP(F487,Lookups!$D$5:$D$10,Lookups!$F$5:$F$10),"Unknown")</x:f>
        <x:v>CRM</x:v>
      </x:c>
      <x:c r="T487" t="str">
        <x:f>IF(L487&gt;=50000,"Enterprise",IF(L487&gt;=20000,"Mid-Market","SMB"))</x:f>
        <x:v>SMB</x:v>
      </x:c>
      <x:c r="U487" t="str">
        <x:f>IF(I487="Closed Won","Won",IF(I487="Closed Lost","Lost","Open"))</x:f>
        <x:v>Open</x:v>
      </x:c>
      <x:c r="V487" s="22" t="n">
        <x:f>IF(U487="Won",L487*(1-M487),0)</x:f>
        <x:v>0</x:v>
      </x:c>
      <x:c r="W487" s="22" t="n">
        <x:f>IF(U487="Open",L487*N487,0)</x:f>
        <x:v>10140</x:v>
      </x:c>
      <x:c r="X487" s="26" t="str">
        <x:f>IF(U487="Open","",IFERROR(K487-B487,""))</x:f>
      </x:c>
      <x:c r="Y487" s="26" t="n">
        <x:f>IF(U487="Open",Lookups!$B$2-B487,X487)</x:f>
        <x:v>159</x:v>
      </x:c>
      <x:c r="Z487" t="str">
        <x:f>IF(AND(U487="Open",Y487&gt;30),"STALE","OK")</x:f>
        <x:v>STALE</x:v>
      </x:c>
      <x:c r="AA487" t="str">
        <x:f>TEXT(B487,"yyyy-mm")</x:f>
        <x:v>2026-03</x:v>
      </x:c>
      <x:c r="AB487" t="str">
        <x:f>IF(K487="","",TEXT(K487,"yyyy-mm"))</x:f>
      </x:c>
      <x:c r="AC487" t="str">
        <x:f>"Q"&amp;ROUNDUP(MONTH(B487)/3,0)&amp;"-"&amp;YEAR(B487)</x:f>
        <x:v>Q1-2026</x:v>
      </x:c>
      <x:c r="AD487" s="26" t="n">
        <x:f>MIN(100,IF(H487="Enterprise",30,IF(H487="Mid-Market",22,14))+IF(T487="Enterprise",25,IF(T487="Mid-Market",18,10))+IF(Q487="Referral",25,IF(Q487="Organic Search",20,IF(Q487="Email",18,14)))+IF(G487="Technology",10,5))</x:f>
        <x:v>43</x:v>
      </x:c>
      <x:c r="AE487" t="str">
        <x:f>IF(U487&lt;&gt;"Open",U487,IF(N487&gt;=0.8,"Commit",IF(N487&gt;=0.5,"Best Case","Pipeline")))</x:f>
        <x:v>Best Case</x:v>
      </x:c>
    </x:row>
    <x:row r="488">
      <x:c r="A488" t="str">
        <x:v>L00487</x:v>
      </x:c>
      <x:c r="B488" s="10" t="n">
        <x:v>45794</x:v>
      </x:c>
      <x:c r="C488" t="str">
        <x:v>Tuan Bui</x:v>
      </x:c>
      <x:c r="D488" t="str">
        <x:v>Central</x:v>
      </x:c>
      <x:c r="E488" t="str">
        <x:v>Partner Referral</x:v>
      </x:c>
      <x:c r="F488" t="str">
        <x:v>BI-PLUS</x:v>
      </x:c>
      <x:c r="G488" t="str">
        <x:v>Technology</x:v>
      </x:c>
      <x:c r="H488" t="str">
        <x:v>SMB</x:v>
      </x:c>
      <x:c r="I488" t="str">
        <x:v>Closed Lost</x:v>
      </x:c>
      <x:c r="J488" s="10" t="n">
        <x:v>45823</x:v>
      </x:c>
      <x:c r="K488" s="10" t="n">
        <x:v>45823</x:v>
      </x:c>
      <x:c r="L488" s="22" t="n">
        <x:v>16900</x:v>
      </x:c>
      <x:c r="M488" s="24" t="n">
        <x:v>0</x:v>
      </x:c>
      <x:c r="N488" s="24" t="n">
        <x:v>0</x:v>
      </x:c>
      <x:c r="O488" t="str">
        <x:v>Competitor</x:v>
      </x:c>
      <x:c r="P488" t="n">
        <x:v>4</x:v>
      </x:c>
      <x:c r="Q488" t="str">
        <x:f>IFERROR(XLOOKUP(E488,Lookups!$A$5:$A$24,Lookups!$B$5:$B$24),"Other")</x:f>
        <x:v>Referral</x:v>
      </x:c>
      <x:c r="R488" t="str">
        <x:f>IFERROR(XLOOKUP(F488,Lookups!$D$5:$D$10,Lookups!$E$5:$E$10),"Unknown Product")</x:f>
        <x:v>Analytics Plus</x:v>
      </x:c>
      <x:c r="S488" t="str">
        <x:f>IFERROR(XLOOKUP(F488,Lookups!$D$5:$D$10,Lookups!$F$5:$F$10),"Unknown")</x:f>
        <x:v>Analytics</x:v>
      </x:c>
      <x:c r="T488" t="str">
        <x:f>IF(L488&gt;=50000,"Enterprise",IF(L488&gt;=20000,"Mid-Market","SMB"))</x:f>
        <x:v>SMB</x:v>
      </x:c>
      <x:c r="U488" t="str">
        <x:f>IF(I488="Closed Won","Won",IF(I488="Closed Lost","Lost","Open"))</x:f>
        <x:v>Lost</x:v>
      </x:c>
      <x:c r="V488" s="22" t="n">
        <x:f>IF(U488="Won",L488*(1-M488),0)</x:f>
        <x:v>0</x:v>
      </x:c>
      <x:c r="W488" s="22" t="n">
        <x:f>IF(U488="Open",L488*N488,0)</x:f>
        <x:v>0</x:v>
      </x:c>
      <x:c r="X488" s="26" t="n">
        <x:f>IF(U488="Open","",IFERROR(K488-B488,""))</x:f>
        <x:v>29</x:v>
      </x:c>
      <x:c r="Y488" s="26" t="n">
        <x:f>IF(U488="Open",Lookups!$B$2-B488,X488)</x:f>
        <x:v>29</x:v>
      </x:c>
      <x:c r="Z488" t="str">
        <x:f>IF(AND(U488="Open",Y488&gt;30),"STALE","OK")</x:f>
        <x:v>OK</x:v>
      </x:c>
      <x:c r="AA488" t="str">
        <x:f>TEXT(B488,"yyyy-mm")</x:f>
        <x:v>2025-05</x:v>
      </x:c>
      <x:c r="AB488" t="str">
        <x:f>IF(K488="","",TEXT(K488,"yyyy-mm"))</x:f>
        <x:v>2025-06</x:v>
      </x:c>
      <x:c r="AC488" t="str">
        <x:f>"Q"&amp;ROUNDUP(MONTH(B488)/3,0)&amp;"-"&amp;YEAR(B488)</x:f>
        <x:v>Q2-2025</x:v>
      </x:c>
      <x:c r="AD488" s="26" t="n">
        <x:f>MIN(100,IF(H488="Enterprise",30,IF(H488="Mid-Market",22,14))+IF(T488="Enterprise",25,IF(T488="Mid-Market",18,10))+IF(Q488="Referral",25,IF(Q488="Organic Search",20,IF(Q488="Email",18,14)))+IF(G488="Technology",10,5))</x:f>
        <x:v>59</x:v>
      </x:c>
      <x:c r="AE488" t="str">
        <x:f>IF(U488&lt;&gt;"Open",U488,IF(N488&gt;=0.8,"Commit",IF(N488&gt;=0.5,"Best Case","Pipeline")))</x:f>
        <x:v>Lost</x:v>
      </x:c>
    </x:row>
    <x:row r="489">
      <x:c r="A489" t="str">
        <x:v>L00488</x:v>
      </x:c>
      <x:c r="B489" s="10" t="n">
        <x:v>46050</x:v>
      </x:c>
      <x:c r="C489" t="str">
        <x:v>Bao Tran</x:v>
      </x:c>
      <x:c r="D489" t="str">
        <x:v>South</x:v>
      </x:c>
      <x:c r="E489" t="str">
        <x:v>google cpc</x:v>
      </x:c>
      <x:c r="F489" t="str">
        <x:v>CS-CLOUD</x:v>
      </x:c>
      <x:c r="G489" t="str">
        <x:v>Professional Services</x:v>
      </x:c>
      <x:c r="H489" t="str">
        <x:v>Mid-Market</x:v>
      </x:c>
      <x:c r="I489" t="str">
        <x:v>Closed Won</x:v>
      </x:c>
      <x:c r="J489" s="10" t="n">
        <x:v>46108</x:v>
      </x:c>
      <x:c r="K489" s="10" t="n">
        <x:v>46108</x:v>
      </x:c>
      <x:c r="L489" s="22" t="n">
        <x:v>25200</x:v>
      </x:c>
      <x:c r="M489" s="24" t="n">
        <x:v>0.03</x:v>
      </x:c>
      <x:c r="N489" s="24" t="n">
        <x:v>1</x:v>
      </x:c>
      <x:c r="O489" t="str"/>
      <x:c r="P489" t="n">
        <x:v>6</x:v>
      </x:c>
      <x:c r="Q489" t="str">
        <x:f>IFERROR(XLOOKUP(E489,Lookups!$A$5:$A$24,Lookups!$B$5:$B$24),"Other")</x:f>
        <x:v>Paid Search</x:v>
      </x:c>
      <x:c r="R489" t="str">
        <x:f>IFERROR(XLOOKUP(F489,Lookups!$D$5:$D$10,Lookups!$E$5:$E$10),"Unknown Product")</x:f>
        <x:v>Service Cloud</x:v>
      </x:c>
      <x:c r="S489" t="str">
        <x:f>IFERROR(XLOOKUP(F489,Lookups!$D$5:$D$10,Lookups!$F$5:$F$10),"Unknown")</x:f>
        <x:v>Customer Service</x:v>
      </x:c>
      <x:c r="T489" t="str">
        <x:f>IF(L489&gt;=50000,"Enterprise",IF(L489&gt;=20000,"Mid-Market","SMB"))</x:f>
        <x:v>Mid-Market</x:v>
      </x:c>
      <x:c r="U489" t="str">
        <x:f>IF(I489="Closed Won","Won",IF(I489="Closed Lost","Lost","Open"))</x:f>
        <x:v>Won</x:v>
      </x:c>
      <x:c r="V489" s="22" t="n">
        <x:f>IF(U489="Won",L489*(1-M489),0)</x:f>
        <x:v>24444</x:v>
      </x:c>
      <x:c r="W489" s="22" t="n">
        <x:f>IF(U489="Open",L489*N489,0)</x:f>
        <x:v>0</x:v>
      </x:c>
      <x:c r="X489" s="26" t="n">
        <x:f>IF(U489="Open","",IFERROR(K489-B489,""))</x:f>
        <x:v>58</x:v>
      </x:c>
      <x:c r="Y489" s="26" t="n">
        <x:f>IF(U489="Open",Lookups!$B$2-B489,X489)</x:f>
        <x:v>58</x:v>
      </x:c>
      <x:c r="Z489" t="str">
        <x:f>IF(AND(U489="Open",Y489&gt;30),"STALE","OK")</x:f>
        <x:v>OK</x:v>
      </x:c>
      <x:c r="AA489" t="str">
        <x:f>TEXT(B489,"yyyy-mm")</x:f>
        <x:v>2026-01</x:v>
      </x:c>
      <x:c r="AB489" t="str">
        <x:f>IF(K489="","",TEXT(K489,"yyyy-mm"))</x:f>
        <x:v>2026-03</x:v>
      </x:c>
      <x:c r="AC489" t="str">
        <x:f>"Q"&amp;ROUNDUP(MONTH(B489)/3,0)&amp;"-"&amp;YEAR(B489)</x:f>
        <x:v>Q1-2026</x:v>
      </x:c>
      <x:c r="AD489" s="26" t="n">
        <x:f>MIN(100,IF(H489="Enterprise",30,IF(H489="Mid-Market",22,14))+IF(T489="Enterprise",25,IF(T489="Mid-Market",18,10))+IF(Q489="Referral",25,IF(Q489="Organic Search",20,IF(Q489="Email",18,14)))+IF(G489="Technology",10,5))</x:f>
        <x:v>59</x:v>
      </x:c>
      <x:c r="AE489" t="str">
        <x:f>IF(U489&lt;&gt;"Open",U489,IF(N489&gt;=0.8,"Commit",IF(N489&gt;=0.5,"Best Case","Pipeline")))</x:f>
        <x:v>Won</x:v>
      </x:c>
    </x:row>
    <x:row r="490">
      <x:c r="A490" t="str">
        <x:v>L00489</x:v>
      </x:c>
      <x:c r="B490" s="10" t="n">
        <x:v>45671</x:v>
      </x:c>
      <x:c r="C490" t="str">
        <x:v>Duy Pham</x:v>
      </x:c>
      <x:c r="D490" t="str">
        <x:v>South</x:v>
      </x:c>
      <x:c r="E490" t="str">
        <x:v>customer referral</x:v>
      </x:c>
      <x:c r="F490" t="str">
        <x:v>BI-PLUS</x:v>
      </x:c>
      <x:c r="G490" t="str">
        <x:v>Education</x:v>
      </x:c>
      <x:c r="H490" t="str">
        <x:v>SMB</x:v>
      </x:c>
      <x:c r="I490" t="str">
        <x:v>Closed Lost</x:v>
      </x:c>
      <x:c r="J490" s="10" t="n">
        <x:v>45714</x:v>
      </x:c>
      <x:c r="K490" s="10" t="n">
        <x:v>45714</x:v>
      </x:c>
      <x:c r="L490" s="22" t="n">
        <x:v>24600</x:v>
      </x:c>
      <x:c r="M490" s="24" t="n">
        <x:v>0</x:v>
      </x:c>
      <x:c r="N490" s="24" t="n">
        <x:v>0</x:v>
      </x:c>
      <x:c r="O490" t="str">
        <x:v>Competitor</x:v>
      </x:c>
      <x:c r="P490" t="n">
        <x:v>5</x:v>
      </x:c>
      <x:c r="Q490" t="str">
        <x:f>IFERROR(XLOOKUP(E490,Lookups!$A$5:$A$24,Lookups!$B$5:$B$24),"Other")</x:f>
        <x:v>Referral</x:v>
      </x:c>
      <x:c r="R490" t="str">
        <x:f>IFERROR(XLOOKUP(F490,Lookups!$D$5:$D$10,Lookups!$E$5:$E$10),"Unknown Product")</x:f>
        <x:v>Analytics Plus</x:v>
      </x:c>
      <x:c r="S490" t="str">
        <x:f>IFERROR(XLOOKUP(F490,Lookups!$D$5:$D$10,Lookups!$F$5:$F$10),"Unknown")</x:f>
        <x:v>Analytics</x:v>
      </x:c>
      <x:c r="T490" t="str">
        <x:f>IF(L490&gt;=50000,"Enterprise",IF(L490&gt;=20000,"Mid-Market","SMB"))</x:f>
        <x:v>Mid-Market</x:v>
      </x:c>
      <x:c r="U490" t="str">
        <x:f>IF(I490="Closed Won","Won",IF(I490="Closed Lost","Lost","Open"))</x:f>
        <x:v>Lost</x:v>
      </x:c>
      <x:c r="V490" s="22" t="n">
        <x:f>IF(U490="Won",L490*(1-M490),0)</x:f>
        <x:v>0</x:v>
      </x:c>
      <x:c r="W490" s="22" t="n">
        <x:f>IF(U490="Open",L490*N490,0)</x:f>
        <x:v>0</x:v>
      </x:c>
      <x:c r="X490" s="26" t="n">
        <x:f>IF(U490="Open","",IFERROR(K490-B490,""))</x:f>
        <x:v>43</x:v>
      </x:c>
      <x:c r="Y490" s="26" t="n">
        <x:f>IF(U490="Open",Lookups!$B$2-B490,X490)</x:f>
        <x:v>43</x:v>
      </x:c>
      <x:c r="Z490" t="str">
        <x:f>IF(AND(U490="Open",Y490&gt;30),"STALE","OK")</x:f>
        <x:v>OK</x:v>
      </x:c>
      <x:c r="AA490" t="str">
        <x:f>TEXT(B490,"yyyy-mm")</x:f>
        <x:v>2025-01</x:v>
      </x:c>
      <x:c r="AB490" t="str">
        <x:f>IF(K490="","",TEXT(K490,"yyyy-mm"))</x:f>
        <x:v>2025-02</x:v>
      </x:c>
      <x:c r="AC490" t="str">
        <x:f>"Q"&amp;ROUNDUP(MONTH(B490)/3,0)&amp;"-"&amp;YEAR(B490)</x:f>
        <x:v>Q1-2025</x:v>
      </x:c>
      <x:c r="AD490" s="26" t="n">
        <x:f>MIN(100,IF(H490="Enterprise",30,IF(H490="Mid-Market",22,14))+IF(T490="Enterprise",25,IF(T490="Mid-Market",18,10))+IF(Q490="Referral",25,IF(Q490="Organic Search",20,IF(Q490="Email",18,14)))+IF(G490="Technology",10,5))</x:f>
        <x:v>62</x:v>
      </x:c>
      <x:c r="AE490" t="str">
        <x:f>IF(U490&lt;&gt;"Open",U490,IF(N490&gt;=0.8,"Commit",IF(N490&gt;=0.5,"Best Case","Pipeline")))</x:f>
        <x:v>Lost</x:v>
      </x:c>
    </x:row>
    <x:row r="491">
      <x:c r="A491" t="str">
        <x:v>L00490</x:v>
      </x:c>
      <x:c r="B491" s="10" t="n">
        <x:v>46173</x:v>
      </x:c>
      <x:c r="C491" t="str">
        <x:v>Duy Pham</x:v>
      </x:c>
      <x:c r="D491" t="str">
        <x:v>South</x:v>
      </x:c>
      <x:c r="E491" t="str">
        <x:v>google cpc</x:v>
      </x:c>
      <x:c r="F491" t="str">
        <x:v>CRM-CORE</x:v>
      </x:c>
      <x:c r="G491" t="str">
        <x:v>Education</x:v>
      </x:c>
      <x:c r="H491" t="str">
        <x:v>Mid-Market</x:v>
      </x:c>
      <x:c r="I491" t="str">
        <x:v>Demo / Meeting</x:v>
      </x:c>
      <x:c r="J491" s="10" t="n">
        <x:v>46230</x:v>
      </x:c>
      <x:c r="K491" s="10"/>
      <x:c r="L491" s="22" t="n">
        <x:v>14800</x:v>
      </x:c>
      <x:c r="M491" s="24" t="n">
        <x:v>0</x:v>
      </x:c>
      <x:c r="N491" s="24" t="n">
        <x:v>0.4</x:v>
      </x:c>
      <x:c r="O491" t="str"/>
      <x:c r="P491" t="n">
        <x:v>3</x:v>
      </x:c>
      <x:c r="Q491" t="str">
        <x:f>IFERROR(XLOOKUP(E491,Lookups!$A$5:$A$24,Lookups!$B$5:$B$24),"Other")</x:f>
        <x:v>Paid Search</x:v>
      </x:c>
      <x:c r="R491" t="str">
        <x:f>IFERROR(XLOOKUP(F491,Lookups!$D$5:$D$10,Lookups!$E$5:$E$10),"Unknown Product")</x:f>
        <x:v>NexaCRM Core</x:v>
      </x:c>
      <x:c r="S491" t="str">
        <x:f>IFERROR(XLOOKUP(F491,Lookups!$D$5:$D$10,Lookups!$F$5:$F$10),"Unknown")</x:f>
        <x:v>CRM</x:v>
      </x:c>
      <x:c r="T491" t="str">
        <x:f>IF(L491&gt;=50000,"Enterprise",IF(L491&gt;=20000,"Mid-Market","SMB"))</x:f>
        <x:v>SMB</x:v>
      </x:c>
      <x:c r="U491" t="str">
        <x:f>IF(I491="Closed Won","Won",IF(I491="Closed Lost","Lost","Open"))</x:f>
        <x:v>Open</x:v>
      </x:c>
      <x:c r="V491" s="22" t="n">
        <x:f>IF(U491="Won",L491*(1-M491),0)</x:f>
        <x:v>0</x:v>
      </x:c>
      <x:c r="W491" s="22" t="n">
        <x:f>IF(U491="Open",L491*N491,0)</x:f>
        <x:v>5920</x:v>
      </x:c>
      <x:c r="X491" s="26" t="str">
        <x:f>IF(U491="Open","",IFERROR(K491-B491,""))</x:f>
      </x:c>
      <x:c r="Y491" s="26" t="n">
        <x:f>IF(U491="Open",Lookups!$B$2-B491,X491)</x:f>
        <x:v>93</x:v>
      </x:c>
      <x:c r="Z491" t="str">
        <x:f>IF(AND(U491="Open",Y491&gt;30),"STALE","OK")</x:f>
        <x:v>STALE</x:v>
      </x:c>
      <x:c r="AA491" t="str">
        <x:f>TEXT(B491,"yyyy-mm")</x:f>
        <x:v>2026-05</x:v>
      </x:c>
      <x:c r="AB491" t="str">
        <x:f>IF(K491="","",TEXT(K491,"yyyy-mm"))</x:f>
      </x:c>
      <x:c r="AC491" t="str">
        <x:f>"Q"&amp;ROUNDUP(MONTH(B491)/3,0)&amp;"-"&amp;YEAR(B491)</x:f>
        <x:v>Q2-2026</x:v>
      </x:c>
      <x:c r="AD491" s="26" t="n">
        <x:f>MIN(100,IF(H491="Enterprise",30,IF(H491="Mid-Market",22,14))+IF(T491="Enterprise",25,IF(T491="Mid-Market",18,10))+IF(Q491="Referral",25,IF(Q491="Organic Search",20,IF(Q491="Email",18,14)))+IF(G491="Technology",10,5))</x:f>
        <x:v>51</x:v>
      </x:c>
      <x:c r="AE491" t="str">
        <x:f>IF(U491&lt;&gt;"Open",U491,IF(N491&gt;=0.8,"Commit",IF(N491&gt;=0.5,"Best Case","Pipeline")))</x:f>
        <x:v>Pipeline</x:v>
      </x:c>
    </x:row>
    <x:row r="492">
      <x:c r="A492" t="str">
        <x:v>L00491</x:v>
      </x:c>
      <x:c r="B492" s="10" t="n">
        <x:v>45845</x:v>
      </x:c>
      <x:c r="C492" t="str">
        <x:v>Ha Vo</x:v>
      </x:c>
      <x:c r="D492" t="str">
        <x:v>North</x:v>
      </x:c>
      <x:c r="E492" t="str">
        <x:v>newsletter</x:v>
      </x:c>
      <x:c r="F492" t="str">
        <x:v>CRM-PRO</x:v>
      </x:c>
      <x:c r="G492" t="str">
        <x:v>Financial Services</x:v>
      </x:c>
      <x:c r="H492" t="str">
        <x:v>SMB</x:v>
      </x:c>
      <x:c r="I492" t="str">
        <x:v>Closed Lost</x:v>
      </x:c>
      <x:c r="J492" s="10" t="n">
        <x:v>45883</x:v>
      </x:c>
      <x:c r="K492" s="10" t="n">
        <x:v>45883</x:v>
      </x:c>
      <x:c r="L492" s="22" t="n">
        <x:v>13000</x:v>
      </x:c>
      <x:c r="M492" s="24" t="n">
        <x:v>0</x:v>
      </x:c>
      <x:c r="N492" s="24" t="n">
        <x:v>0</x:v>
      </x:c>
      <x:c r="O492" t="str">
        <x:v>Price</x:v>
      </x:c>
      <x:c r="P492" t="n">
        <x:v>3</x:v>
      </x:c>
      <x:c r="Q492" t="str">
        <x:f>IFERROR(XLOOKUP(E492,Lookups!$A$5:$A$24,Lookups!$B$5:$B$24),"Other")</x:f>
        <x:v>Email</x:v>
      </x:c>
      <x:c r="R492" t="str">
        <x:f>IFERROR(XLOOKUP(F492,Lookups!$D$5:$D$10,Lookups!$E$5:$E$10),"Unknown Product")</x:f>
        <x:v>NexaCRM Pro</x:v>
      </x:c>
      <x:c r="S492" t="str">
        <x:f>IFERROR(XLOOKUP(F492,Lookups!$D$5:$D$10,Lookups!$F$5:$F$10),"Unknown")</x:f>
        <x:v>CRM</x:v>
      </x:c>
      <x:c r="T492" t="str">
        <x:f>IF(L492&gt;=50000,"Enterprise",IF(L492&gt;=20000,"Mid-Market","SMB"))</x:f>
        <x:v>SMB</x:v>
      </x:c>
      <x:c r="U492" t="str">
        <x:f>IF(I492="Closed Won","Won",IF(I492="Closed Lost","Lost","Open"))</x:f>
        <x:v>Lost</x:v>
      </x:c>
      <x:c r="V492" s="22" t="n">
        <x:f>IF(U492="Won",L492*(1-M492),0)</x:f>
        <x:v>0</x:v>
      </x:c>
      <x:c r="W492" s="22" t="n">
        <x:f>IF(U492="Open",L492*N492,0)</x:f>
        <x:v>0</x:v>
      </x:c>
      <x:c r="X492" s="26" t="n">
        <x:f>IF(U492="Open","",IFERROR(K492-B492,""))</x:f>
        <x:v>38</x:v>
      </x:c>
      <x:c r="Y492" s="26" t="n">
        <x:f>IF(U492="Open",Lookups!$B$2-B492,X492)</x:f>
        <x:v>38</x:v>
      </x:c>
      <x:c r="Z492" t="str">
        <x:f>IF(AND(U492="Open",Y492&gt;30),"STALE","OK")</x:f>
        <x:v>OK</x:v>
      </x:c>
      <x:c r="AA492" t="str">
        <x:f>TEXT(B492,"yyyy-mm")</x:f>
        <x:v>2025-07</x:v>
      </x:c>
      <x:c r="AB492" t="str">
        <x:f>IF(K492="","",TEXT(K492,"yyyy-mm"))</x:f>
        <x:v>2025-08</x:v>
      </x:c>
      <x:c r="AC492" t="str">
        <x:f>"Q"&amp;ROUNDUP(MONTH(B492)/3,0)&amp;"-"&amp;YEAR(B492)</x:f>
        <x:v>Q3-2025</x:v>
      </x:c>
      <x:c r="AD492" s="26" t="n">
        <x:f>MIN(100,IF(H492="Enterprise",30,IF(H492="Mid-Market",22,14))+IF(T492="Enterprise",25,IF(T492="Mid-Market",18,10))+IF(Q492="Referral",25,IF(Q492="Organic Search",20,IF(Q492="Email",18,14)))+IF(G492="Technology",10,5))</x:f>
        <x:v>47</x:v>
      </x:c>
      <x:c r="AE492" t="str">
        <x:f>IF(U492&lt;&gt;"Open",U492,IF(N492&gt;=0.8,"Commit",IF(N492&gt;=0.5,"Best Case","Pipeline")))</x:f>
        <x:v>Lost</x:v>
      </x:c>
    </x:row>
    <x:row r="493">
      <x:c r="A493" t="str">
        <x:v>L00492</x:v>
      </x:c>
      <x:c r="B493" s="10" t="n">
        <x:v>46245</x:v>
      </x:c>
      <x:c r="C493" t="str">
        <x:v>Chi Le</x:v>
      </x:c>
      <x:c r="D493" t="str">
        <x:v>South</x:v>
      </x:c>
      <x:c r="E493" t="str">
        <x:v>Email Campaign</x:v>
      </x:c>
      <x:c r="F493" t="str">
        <x:v>CRM-CORE</x:v>
      </x:c>
      <x:c r="G493" t="str">
        <x:v>Retail</x:v>
      </x:c>
      <x:c r="H493" t="str">
        <x:v>SMB</x:v>
      </x:c>
      <x:c r="I493" t="str">
        <x:v>Closed Lost</x:v>
      </x:c>
      <x:c r="J493" s="10" t="n">
        <x:v>46266</x:v>
      </x:c>
      <x:c r="K493" s="10" t="n">
        <x:v>46266</x:v>
      </x:c>
      <x:c r="L493" s="22" t="n">
        <x:v>9400</x:v>
      </x:c>
      <x:c r="M493" s="24" t="n">
        <x:v>0</x:v>
      </x:c>
      <x:c r="N493" s="24" t="n">
        <x:v>0</x:v>
      </x:c>
      <x:c r="O493" t="str">
        <x:v>Price</x:v>
      </x:c>
      <x:c r="P493" t="n">
        <x:v>3</x:v>
      </x:c>
      <x:c r="Q493" t="str">
        <x:f>IFERROR(XLOOKUP(E493,Lookups!$A$5:$A$24,Lookups!$B$5:$B$24),"Other")</x:f>
        <x:v>Email</x:v>
      </x:c>
      <x:c r="R493" t="str">
        <x:f>IFERROR(XLOOKUP(F493,Lookups!$D$5:$D$10,Lookups!$E$5:$E$10),"Unknown Product")</x:f>
        <x:v>NexaCRM Core</x:v>
      </x:c>
      <x:c r="S493" t="str">
        <x:f>IFERROR(XLOOKUP(F493,Lookups!$D$5:$D$10,Lookups!$F$5:$F$10),"Unknown")</x:f>
        <x:v>CRM</x:v>
      </x:c>
      <x:c r="T493" t="str">
        <x:f>IF(L493&gt;=50000,"Enterprise",IF(L493&gt;=20000,"Mid-Market","SMB"))</x:f>
        <x:v>SMB</x:v>
      </x:c>
      <x:c r="U493" t="str">
        <x:f>IF(I493="Closed Won","Won",IF(I493="Closed Lost","Lost","Open"))</x:f>
        <x:v>Lost</x:v>
      </x:c>
      <x:c r="V493" s="22" t="n">
        <x:f>IF(U493="Won",L493*(1-M493),0)</x:f>
        <x:v>0</x:v>
      </x:c>
      <x:c r="W493" s="22" t="n">
        <x:f>IF(U493="Open",L493*N493,0)</x:f>
        <x:v>0</x:v>
      </x:c>
      <x:c r="X493" s="26" t="n">
        <x:f>IF(U493="Open","",IFERROR(K493-B493,""))</x:f>
        <x:v>21</x:v>
      </x:c>
      <x:c r="Y493" s="26" t="n">
        <x:f>IF(U493="Open",Lookups!$B$2-B493,X493)</x:f>
        <x:v>21</x:v>
      </x:c>
      <x:c r="Z493" t="str">
        <x:f>IF(AND(U493="Open",Y493&gt;30),"STALE","OK")</x:f>
        <x:v>OK</x:v>
      </x:c>
      <x:c r="AA493" t="str">
        <x:f>TEXT(B493,"yyyy-mm")</x:f>
        <x:v>2026-08</x:v>
      </x:c>
      <x:c r="AB493" t="str">
        <x:f>IF(K493="","",TEXT(K493,"yyyy-mm"))</x:f>
        <x:v>2026-09</x:v>
      </x:c>
      <x:c r="AC493" t="str">
        <x:f>"Q"&amp;ROUNDUP(MONTH(B493)/3,0)&amp;"-"&amp;YEAR(B493)</x:f>
        <x:v>Q3-2026</x:v>
      </x:c>
      <x:c r="AD493" s="26" t="n">
        <x:f>MIN(100,IF(H493="Enterprise",30,IF(H493="Mid-Market",22,14))+IF(T493="Enterprise",25,IF(T493="Mid-Market",18,10))+IF(Q493="Referral",25,IF(Q493="Organic Search",20,IF(Q493="Email",18,14)))+IF(G493="Technology",10,5))</x:f>
        <x:v>47</x:v>
      </x:c>
      <x:c r="AE493" t="str">
        <x:f>IF(U493&lt;&gt;"Open",U493,IF(N493&gt;=0.8,"Commit",IF(N493&gt;=0.5,"Best Case","Pipeline")))</x:f>
        <x:v>Lost</x:v>
      </x:c>
    </x:row>
    <x:row r="494">
      <x:c r="A494" t="str">
        <x:v>L00493</x:v>
      </x:c>
      <x:c r="B494" s="10" t="n">
        <x:v>46171</x:v>
      </x:c>
      <x:c r="C494" t="str">
        <x:v>Duy Pham</x:v>
      </x:c>
      <x:c r="D494" t="str">
        <x:v>South</x:v>
      </x:c>
      <x:c r="E494" t="str">
        <x:v>Outbound</x:v>
      </x:c>
      <x:c r="F494" t="str">
        <x:v>CRM-PRO</x:v>
      </x:c>
      <x:c r="G494" t="str">
        <x:v>Retail</x:v>
      </x:c>
      <x:c r="H494" t="str">
        <x:v>Enterprise</x:v>
      </x:c>
      <x:c r="I494" t="str">
        <x:v>Demo / Meeting</x:v>
      </x:c>
      <x:c r="J494" s="10" t="n">
        <x:v>46228</x:v>
      </x:c>
      <x:c r="K494" s="10"/>
      <x:c r="L494" s="22" t="n">
        <x:v>39300</x:v>
      </x:c>
      <x:c r="M494" s="24" t="n">
        <x:v>0</x:v>
      </x:c>
      <x:c r="N494" s="24" t="n">
        <x:v>0.4</x:v>
      </x:c>
      <x:c r="O494" t="str"/>
      <x:c r="P494" t="n">
        <x:v>3</x:v>
      </x:c>
      <x:c r="Q494" t="str">
        <x:f>IFERROR(XLOOKUP(E494,Lookups!$A$5:$A$24,Lookups!$B$5:$B$24),"Other")</x:f>
        <x:v>Outbound</x:v>
      </x:c>
      <x:c r="R494" t="str">
        <x:f>IFERROR(XLOOKUP(F494,Lookups!$D$5:$D$10,Lookups!$E$5:$E$10),"Unknown Product")</x:f>
        <x:v>NexaCRM Pro</x:v>
      </x:c>
      <x:c r="S494" t="str">
        <x:f>IFERROR(XLOOKUP(F494,Lookups!$D$5:$D$10,Lookups!$F$5:$F$10),"Unknown")</x:f>
        <x:v>CRM</x:v>
      </x:c>
      <x:c r="T494" t="str">
        <x:f>IF(L494&gt;=50000,"Enterprise",IF(L494&gt;=20000,"Mid-Market","SMB"))</x:f>
        <x:v>Mid-Market</x:v>
      </x:c>
      <x:c r="U494" t="str">
        <x:f>IF(I494="Closed Won","Won",IF(I494="Closed Lost","Lost","Open"))</x:f>
        <x:v>Open</x:v>
      </x:c>
      <x:c r="V494" s="22" t="n">
        <x:f>IF(U494="Won",L494*(1-M494),0)</x:f>
        <x:v>0</x:v>
      </x:c>
      <x:c r="W494" s="22" t="n">
        <x:f>IF(U494="Open",L494*N494,0)</x:f>
        <x:v>15720</x:v>
      </x:c>
      <x:c r="X494" s="26" t="str">
        <x:f>IF(U494="Open","",IFERROR(K494-B494,""))</x:f>
      </x:c>
      <x:c r="Y494" s="26" t="n">
        <x:f>IF(U494="Open",Lookups!$B$2-B494,X494)</x:f>
        <x:v>95</x:v>
      </x:c>
      <x:c r="Z494" t="str">
        <x:f>IF(AND(U494="Open",Y494&gt;30),"STALE","OK")</x:f>
        <x:v>STALE</x:v>
      </x:c>
      <x:c r="AA494" t="str">
        <x:f>TEXT(B494,"yyyy-mm")</x:f>
        <x:v>2026-05</x:v>
      </x:c>
      <x:c r="AB494" t="str">
        <x:f>IF(K494="","",TEXT(K494,"yyyy-mm"))</x:f>
      </x:c>
      <x:c r="AC494" t="str">
        <x:f>"Q"&amp;ROUNDUP(MONTH(B494)/3,0)&amp;"-"&amp;YEAR(B494)</x:f>
        <x:v>Q2-2026</x:v>
      </x:c>
      <x:c r="AD494" s="26" t="n">
        <x:f>MIN(100,IF(H494="Enterprise",30,IF(H494="Mid-Market",22,14))+IF(T494="Enterprise",25,IF(T494="Mid-Market",18,10))+IF(Q494="Referral",25,IF(Q494="Organic Search",20,IF(Q494="Email",18,14)))+IF(G494="Technology",10,5))</x:f>
        <x:v>67</x:v>
      </x:c>
      <x:c r="AE494" t="str">
        <x:f>IF(U494&lt;&gt;"Open",U494,IF(N494&gt;=0.8,"Commit",IF(N494&gt;=0.5,"Best Case","Pipeline")))</x:f>
        <x:v>Pipeline</x:v>
      </x:c>
    </x:row>
    <x:row r="495">
      <x:c r="A495" t="str">
        <x:v>L00494</x:v>
      </x:c>
      <x:c r="B495" s="10" t="n">
        <x:v>46244</x:v>
      </x:c>
      <x:c r="C495" t="str">
        <x:v>Minh Do</x:v>
      </x:c>
      <x:c r="D495" t="str">
        <x:v>North</x:v>
      </x:c>
      <x:c r="E495" t="str">
        <x:v>SEO</x:v>
      </x:c>
      <x:c r="F495" t="str">
        <x:v>CRM-CORE</x:v>
      </x:c>
      <x:c r="G495" t="str">
        <x:v>Technology</x:v>
      </x:c>
      <x:c r="H495" t="str">
        <x:v>Mid-Market</x:v>
      </x:c>
      <x:c r="I495" t="str">
        <x:v>New</x:v>
      </x:c>
      <x:c r="J495" s="10" t="n">
        <x:v>46259</x:v>
      </x:c>
      <x:c r="K495" s="10"/>
      <x:c r="L495" s="22" t="n">
        <x:v>15700</x:v>
      </x:c>
      <x:c r="M495" s="24" t="n">
        <x:v>0.05</x:v>
      </x:c>
      <x:c r="N495" s="24" t="n">
        <x:v>0.05</x:v>
      </x:c>
      <x:c r="O495" t="str"/>
      <x:c r="P495" t="n">
        <x:v>1</x:v>
      </x:c>
      <x:c r="Q495" t="str">
        <x:f>IFERROR(XLOOKUP(E495,Lookups!$A$5:$A$24,Lookups!$B$5:$B$24),"Other")</x:f>
        <x:v>Organic Search</x:v>
      </x:c>
      <x:c r="R495" t="str">
        <x:f>IFERROR(XLOOKUP(F495,Lookups!$D$5:$D$10,Lookups!$E$5:$E$10),"Unknown Product")</x:f>
        <x:v>NexaCRM Core</x:v>
      </x:c>
      <x:c r="S495" t="str">
        <x:f>IFERROR(XLOOKUP(F495,Lookups!$D$5:$D$10,Lookups!$F$5:$F$10),"Unknown")</x:f>
        <x:v>CRM</x:v>
      </x:c>
      <x:c r="T495" t="str">
        <x:f>IF(L495&gt;=50000,"Enterprise",IF(L495&gt;=20000,"Mid-Market","SMB"))</x:f>
        <x:v>SMB</x:v>
      </x:c>
      <x:c r="U495" t="str">
        <x:f>IF(I495="Closed Won","Won",IF(I495="Closed Lost","Lost","Open"))</x:f>
        <x:v>Open</x:v>
      </x:c>
      <x:c r="V495" s="22" t="n">
        <x:f>IF(U495="Won",L495*(1-M495),0)</x:f>
        <x:v>0</x:v>
      </x:c>
      <x:c r="W495" s="22" t="n">
        <x:f>IF(U495="Open",L495*N495,0)</x:f>
        <x:v>785</x:v>
      </x:c>
      <x:c r="X495" s="26" t="str">
        <x:f>IF(U495="Open","",IFERROR(K495-B495,""))</x:f>
      </x:c>
      <x:c r="Y495" s="26" t="n">
        <x:f>IF(U495="Open",Lookups!$B$2-B495,X495)</x:f>
        <x:v>22</x:v>
      </x:c>
      <x:c r="Z495" t="str">
        <x:f>IF(AND(U495="Open",Y495&gt;30),"STALE","OK")</x:f>
        <x:v>OK</x:v>
      </x:c>
      <x:c r="AA495" t="str">
        <x:f>TEXT(B495,"yyyy-mm")</x:f>
        <x:v>2026-08</x:v>
      </x:c>
      <x:c r="AB495" t="str">
        <x:f>IF(K495="","",TEXT(K495,"yyyy-mm"))</x:f>
      </x:c>
      <x:c r="AC495" t="str">
        <x:f>"Q"&amp;ROUNDUP(MONTH(B495)/3,0)&amp;"-"&amp;YEAR(B495)</x:f>
        <x:v>Q3-2026</x:v>
      </x:c>
      <x:c r="AD495" s="26" t="n">
        <x:f>MIN(100,IF(H495="Enterprise",30,IF(H495="Mid-Market",22,14))+IF(T495="Enterprise",25,IF(T495="Mid-Market",18,10))+IF(Q495="Referral",25,IF(Q495="Organic Search",20,IF(Q495="Email",18,14)))+IF(G495="Technology",10,5))</x:f>
        <x:v>62</x:v>
      </x:c>
      <x:c r="AE495" t="str">
        <x:f>IF(U495&lt;&gt;"Open",U495,IF(N495&gt;=0.8,"Commit",IF(N495&gt;=0.5,"Best Case","Pipeline")))</x:f>
        <x:v>Pipeline</x:v>
      </x:c>
    </x:row>
    <x:row r="496">
      <x:c r="A496" t="str">
        <x:v>L00495</x:v>
      </x:c>
      <x:c r="B496" s="10" t="n">
        <x:v>46063</x:v>
      </x:c>
      <x:c r="C496" t="str">
        <x:v>Duy Pham</x:v>
      </x:c>
      <x:c r="D496" t="str">
        <x:v>South</x:v>
      </x:c>
      <x:c r="E496" t="str">
        <x:v>google cpc</x:v>
      </x:c>
      <x:c r="F496" t="str">
        <x:v>MKT-AUTO</x:v>
      </x:c>
      <x:c r="G496" t="str">
        <x:v>Healthcare</x:v>
      </x:c>
      <x:c r="H496" t="str">
        <x:v>Enterprise</x:v>
      </x:c>
      <x:c r="I496" t="str">
        <x:v>Closed Lost</x:v>
      </x:c>
      <x:c r="J496" s="10" t="n">
        <x:v>46095</x:v>
      </x:c>
      <x:c r="K496" s="10" t="n">
        <x:v>46095</x:v>
      </x:c>
      <x:c r="L496" s="22" t="n">
        <x:v>33900</x:v>
      </x:c>
      <x:c r="M496" s="24" t="n">
        <x:v>0</x:v>
      </x:c>
      <x:c r="N496" s="24" t="n">
        <x:v>0</x:v>
      </x:c>
      <x:c r="O496" t="str">
        <x:v>Competitor</x:v>
      </x:c>
      <x:c r="P496" t="n">
        <x:v>2</x:v>
      </x:c>
      <x:c r="Q496" t="str">
        <x:f>IFERROR(XLOOKUP(E496,Lookups!$A$5:$A$24,Lookups!$B$5:$B$24),"Other")</x:f>
        <x:v>Paid Search</x:v>
      </x:c>
      <x:c r="R496" t="str">
        <x:f>IFERROR(XLOOKUP(F496,Lookups!$D$5:$D$10,Lookups!$E$5:$E$10),"Unknown Product")</x:f>
        <x:v>Marketing Automation</x:v>
      </x:c>
      <x:c r="S496" t="str">
        <x:f>IFERROR(XLOOKUP(F496,Lookups!$D$5:$D$10,Lookups!$F$5:$F$10),"Unknown")</x:f>
        <x:v>Marketing</x:v>
      </x:c>
      <x:c r="T496" t="str">
        <x:f>IF(L496&gt;=50000,"Enterprise",IF(L496&gt;=20000,"Mid-Market","SMB"))</x:f>
        <x:v>Mid-Market</x:v>
      </x:c>
      <x:c r="U496" t="str">
        <x:f>IF(I496="Closed Won","Won",IF(I496="Closed Lost","Lost","Open"))</x:f>
        <x:v>Lost</x:v>
      </x:c>
      <x:c r="V496" s="22" t="n">
        <x:f>IF(U496="Won",L496*(1-M496),0)</x:f>
        <x:v>0</x:v>
      </x:c>
      <x:c r="W496" s="22" t="n">
        <x:f>IF(U496="Open",L496*N496,0)</x:f>
        <x:v>0</x:v>
      </x:c>
      <x:c r="X496" s="26" t="n">
        <x:f>IF(U496="Open","",IFERROR(K496-B496,""))</x:f>
        <x:v>32</x:v>
      </x:c>
      <x:c r="Y496" s="26" t="n">
        <x:f>IF(U496="Open",Lookups!$B$2-B496,X496)</x:f>
        <x:v>32</x:v>
      </x:c>
      <x:c r="Z496" t="str">
        <x:f>IF(AND(U496="Open",Y496&gt;30),"STALE","OK")</x:f>
        <x:v>OK</x:v>
      </x:c>
      <x:c r="AA496" t="str">
        <x:f>TEXT(B496,"yyyy-mm")</x:f>
        <x:v>2026-02</x:v>
      </x:c>
      <x:c r="AB496" t="str">
        <x:f>IF(K496="","",TEXT(K496,"yyyy-mm"))</x:f>
        <x:v>2026-03</x:v>
      </x:c>
      <x:c r="AC496" t="str">
        <x:f>"Q"&amp;ROUNDUP(MONTH(B496)/3,0)&amp;"-"&amp;YEAR(B496)</x:f>
        <x:v>Q1-2026</x:v>
      </x:c>
      <x:c r="AD496" s="26" t="n">
        <x:f>MIN(100,IF(H496="Enterprise",30,IF(H496="Mid-Market",22,14))+IF(T496="Enterprise",25,IF(T496="Mid-Market",18,10))+IF(Q496="Referral",25,IF(Q496="Organic Search",20,IF(Q496="Email",18,14)))+IF(G496="Technology",10,5))</x:f>
        <x:v>67</x:v>
      </x:c>
      <x:c r="AE496" t="str">
        <x:f>IF(U496&lt;&gt;"Open",U496,IF(N496&gt;=0.8,"Commit",IF(N496&gt;=0.5,"Best Case","Pipeline")))</x:f>
        <x:v>Lost</x:v>
      </x:c>
    </x:row>
    <x:row r="497">
      <x:c r="A497" t="str">
        <x:v>L00496</x:v>
      </x:c>
      <x:c r="B497" s="10" t="n">
        <x:v>45789</x:v>
      </x:c>
      <x:c r="C497" t="str">
        <x:v>Quynh Vu</x:v>
      </x:c>
      <x:c r="D497" t="str">
        <x:v>North</x:v>
      </x:c>
      <x:c r="E497" t="str">
        <x:v>Google Ads</x:v>
      </x:c>
      <x:c r="F497" t="str">
        <x:v>REV-OPS</x:v>
      </x:c>
      <x:c r="G497" t="str">
        <x:v>Financial Services</x:v>
      </x:c>
      <x:c r="H497" t="str">
        <x:v>SMB</x:v>
      </x:c>
      <x:c r="I497" t="str">
        <x:v>Negotiation</x:v>
      </x:c>
      <x:c r="J497" s="10" t="n">
        <x:v>46084</x:v>
      </x:c>
      <x:c r="K497" s="10"/>
      <x:c r="L497" s="22" t="n">
        <x:v>35900</x:v>
      </x:c>
      <x:c r="M497" s="24" t="n">
        <x:v>0.05</x:v>
      </x:c>
      <x:c r="N497" s="24" t="n">
        <x:v>0.85</x:v>
      </x:c>
      <x:c r="O497" t="str"/>
      <x:c r="P497" t="n">
        <x:v>5</x:v>
      </x:c>
      <x:c r="Q497" t="str">
        <x:f>IFERROR(XLOOKUP(E497,Lookups!$A$5:$A$24,Lookups!$B$5:$B$24),"Other")</x:f>
        <x:v>Paid Search</x:v>
      </x:c>
      <x:c r="R497" t="str">
        <x:f>IFERROR(XLOOKUP(F497,Lookups!$D$5:$D$10,Lookups!$E$5:$E$10),"Unknown Product")</x:f>
        <x:v>Revenue Operations Suite</x:v>
      </x:c>
      <x:c r="S497" t="str">
        <x:f>IFERROR(XLOOKUP(F497,Lookups!$D$5:$D$10,Lookups!$F$5:$F$10),"Unknown")</x:f>
        <x:v>Revenue Ops</x:v>
      </x:c>
      <x:c r="T497" t="str">
        <x:f>IF(L497&gt;=50000,"Enterprise",IF(L497&gt;=20000,"Mid-Market","SMB"))</x:f>
        <x:v>Mid-Market</x:v>
      </x:c>
      <x:c r="U497" t="str">
        <x:f>IF(I497="Closed Won","Won",IF(I497="Closed Lost","Lost","Open"))</x:f>
        <x:v>Open</x:v>
      </x:c>
      <x:c r="V497" s="22" t="n">
        <x:f>IF(U497="Won",L497*(1-M497),0)</x:f>
        <x:v>0</x:v>
      </x:c>
      <x:c r="W497" s="22" t="n">
        <x:f>IF(U497="Open",L497*N497,0)</x:f>
        <x:v>30515</x:v>
      </x:c>
      <x:c r="X497" s="26" t="str">
        <x:f>IF(U497="Open","",IFERROR(K497-B497,""))</x:f>
      </x:c>
      <x:c r="Y497" s="26" t="n">
        <x:f>IF(U497="Open",Lookups!$B$2-B497,X497)</x:f>
        <x:v>477</x:v>
      </x:c>
      <x:c r="Z497" t="str">
        <x:f>IF(AND(U497="Open",Y497&gt;30),"STALE","OK")</x:f>
        <x:v>STALE</x:v>
      </x:c>
      <x:c r="AA497" t="str">
        <x:f>TEXT(B497,"yyyy-mm")</x:f>
        <x:v>2025-05</x:v>
      </x:c>
      <x:c r="AB497" t="str">
        <x:f>IF(K497="","",TEXT(K497,"yyyy-mm"))</x:f>
      </x:c>
      <x:c r="AC497" t="str">
        <x:f>"Q"&amp;ROUNDUP(MONTH(B497)/3,0)&amp;"-"&amp;YEAR(B497)</x:f>
        <x:v>Q2-2025</x:v>
      </x:c>
      <x:c r="AD497" s="26" t="n">
        <x:f>MIN(100,IF(H497="Enterprise",30,IF(H497="Mid-Market",22,14))+IF(T497="Enterprise",25,IF(T497="Mid-Market",18,10))+IF(Q497="Referral",25,IF(Q497="Organic Search",20,IF(Q497="Email",18,14)))+IF(G497="Technology",10,5))</x:f>
        <x:v>51</x:v>
      </x:c>
      <x:c r="AE497" t="str">
        <x:f>IF(U497&lt;&gt;"Open",U497,IF(N497&gt;=0.8,"Commit",IF(N497&gt;=0.5,"Best Case","Pipeline")))</x:f>
        <x:v>Commit</x:v>
      </x:c>
    </x:row>
    <x:row r="498">
      <x:c r="A498" t="str">
        <x:v>L00497</x:v>
      </x:c>
      <x:c r="B498" s="10" t="n">
        <x:v>45989</x:v>
      </x:c>
      <x:c r="C498" t="str">
        <x:v>Minh Do</x:v>
      </x:c>
      <x:c r="D498" t="str">
        <x:v>North</x:v>
      </x:c>
      <x:c r="E498" t="str">
        <x:v>virtual event</x:v>
      </x:c>
      <x:c r="F498" t="str">
        <x:v>BI-PLUS</x:v>
      </x:c>
      <x:c r="G498" t="str">
        <x:v>Professional Services</x:v>
      </x:c>
      <x:c r="H498" t="str">
        <x:v>Mid-Market</x:v>
      </x:c>
      <x:c r="I498" t="str">
        <x:v>Closed Lost</x:v>
      </x:c>
      <x:c r="J498" s="10" t="n">
        <x:v>46019</x:v>
      </x:c>
      <x:c r="K498" s="10" t="n">
        <x:v>46019</x:v>
      </x:c>
      <x:c r="L498" s="22" t="n">
        <x:v>45500</x:v>
      </x:c>
      <x:c r="M498" s="24" t="n">
        <x:v>0</x:v>
      </x:c>
      <x:c r="N498" s="24" t="n">
        <x:v>0</x:v>
      </x:c>
      <x:c r="O498" t="str">
        <x:v>Budget</x:v>
      </x:c>
      <x:c r="P498" t="n">
        <x:v>5</x:v>
      </x:c>
      <x:c r="Q498" t="str">
        <x:f>IFERROR(XLOOKUP(E498,Lookups!$A$5:$A$24,Lookups!$B$5:$B$24),"Other")</x:f>
        <x:v>Webinar</x:v>
      </x:c>
      <x:c r="R498" t="str">
        <x:f>IFERROR(XLOOKUP(F498,Lookups!$D$5:$D$10,Lookups!$E$5:$E$10),"Unknown Product")</x:f>
        <x:v>Analytics Plus</x:v>
      </x:c>
      <x:c r="S498" t="str">
        <x:f>IFERROR(XLOOKUP(F498,Lookups!$D$5:$D$10,Lookups!$F$5:$F$10),"Unknown")</x:f>
        <x:v>Analytics</x:v>
      </x:c>
      <x:c r="T498" t="str">
        <x:f>IF(L498&gt;=50000,"Enterprise",IF(L498&gt;=20000,"Mid-Market","SMB"))</x:f>
        <x:v>Mid-Market</x:v>
      </x:c>
      <x:c r="U498" t="str">
        <x:f>IF(I498="Closed Won","Won",IF(I498="Closed Lost","Lost","Open"))</x:f>
        <x:v>Lost</x:v>
      </x:c>
      <x:c r="V498" s="22" t="n">
        <x:f>IF(U498="Won",L498*(1-M498),0)</x:f>
        <x:v>0</x:v>
      </x:c>
      <x:c r="W498" s="22" t="n">
        <x:f>IF(U498="Open",L498*N498,0)</x:f>
        <x:v>0</x:v>
      </x:c>
      <x:c r="X498" s="26" t="n">
        <x:f>IF(U498="Open","",IFERROR(K498-B498,""))</x:f>
        <x:v>30</x:v>
      </x:c>
      <x:c r="Y498" s="26" t="n">
        <x:f>IF(U498="Open",Lookups!$B$2-B498,X498)</x:f>
        <x:v>30</x:v>
      </x:c>
      <x:c r="Z498" t="str">
        <x:f>IF(AND(U498="Open",Y498&gt;30),"STALE","OK")</x:f>
        <x:v>OK</x:v>
      </x:c>
      <x:c r="AA498" t="str">
        <x:f>TEXT(B498,"yyyy-mm")</x:f>
        <x:v>2025-11</x:v>
      </x:c>
      <x:c r="AB498" t="str">
        <x:f>IF(K498="","",TEXT(K498,"yyyy-mm"))</x:f>
        <x:v>2025-12</x:v>
      </x:c>
      <x:c r="AC498" t="str">
        <x:f>"Q"&amp;ROUNDUP(MONTH(B498)/3,0)&amp;"-"&amp;YEAR(B498)</x:f>
        <x:v>Q4-2025</x:v>
      </x:c>
      <x:c r="AD498" s="26" t="n">
        <x:f>MIN(100,IF(H498="Enterprise",30,IF(H498="Mid-Market",22,14))+IF(T498="Enterprise",25,IF(T498="Mid-Market",18,10))+IF(Q498="Referral",25,IF(Q498="Organic Search",20,IF(Q498="Email",18,14)))+IF(G498="Technology",10,5))</x:f>
        <x:v>59</x:v>
      </x:c>
      <x:c r="AE498" t="str">
        <x:f>IF(U498&lt;&gt;"Open",U498,IF(N498&gt;=0.8,"Commit",IF(N498&gt;=0.5,"Best Case","Pipeline")))</x:f>
        <x:v>Lost</x:v>
      </x:c>
    </x:row>
    <x:row r="499">
      <x:c r="A499" t="str">
        <x:v>L00498</x:v>
      </x:c>
      <x:c r="B499" s="10" t="n">
        <x:v>45756</x:v>
      </x:c>
      <x:c r="C499" t="str">
        <x:v>Bao Tran</x:v>
      </x:c>
      <x:c r="D499" t="str">
        <x:v>South</x:v>
      </x:c>
      <x:c r="E499" t="str">
        <x:v>Cold Email</x:v>
      </x:c>
      <x:c r="F499" t="str">
        <x:v>REV-OPS</x:v>
      </x:c>
      <x:c r="G499" t="str">
        <x:v>Education</x:v>
      </x:c>
      <x:c r="H499" t="str">
        <x:v>SMB</x:v>
      </x:c>
      <x:c r="I499" t="str">
        <x:v>Closed Lost</x:v>
      </x:c>
      <x:c r="J499" s="10" t="n">
        <x:v>45773</x:v>
      </x:c>
      <x:c r="K499" s="10" t="n">
        <x:v>45773</x:v>
      </x:c>
      <x:c r="L499" s="22" t="n">
        <x:v>42700</x:v>
      </x:c>
      <x:c r="M499" s="24" t="n">
        <x:v>0</x:v>
      </x:c>
      <x:c r="N499" s="24" t="n">
        <x:v>0</x:v>
      </x:c>
      <x:c r="O499" t="str">
        <x:v>Timing</x:v>
      </x:c>
      <x:c r="P499" t="n">
        <x:v>4</x:v>
      </x:c>
      <x:c r="Q499" t="str">
        <x:f>IFERROR(XLOOKUP(E499,Lookups!$A$5:$A$24,Lookups!$B$5:$B$24),"Other")</x:f>
        <x:v>Outbound</x:v>
      </x:c>
      <x:c r="R499" t="str">
        <x:f>IFERROR(XLOOKUP(F499,Lookups!$D$5:$D$10,Lookups!$E$5:$E$10),"Unknown Product")</x:f>
        <x:v>Revenue Operations Suite</x:v>
      </x:c>
      <x:c r="S499" t="str">
        <x:f>IFERROR(XLOOKUP(F499,Lookups!$D$5:$D$10,Lookups!$F$5:$F$10),"Unknown")</x:f>
        <x:v>Revenue Ops</x:v>
      </x:c>
      <x:c r="T499" t="str">
        <x:f>IF(L499&gt;=50000,"Enterprise",IF(L499&gt;=20000,"Mid-Market","SMB"))</x:f>
        <x:v>Mid-Market</x:v>
      </x:c>
      <x:c r="U499" t="str">
        <x:f>IF(I499="Closed Won","Won",IF(I499="Closed Lost","Lost","Open"))</x:f>
        <x:v>Lost</x:v>
      </x:c>
      <x:c r="V499" s="22" t="n">
        <x:f>IF(U499="Won",L499*(1-M499),0)</x:f>
        <x:v>0</x:v>
      </x:c>
      <x:c r="W499" s="22" t="n">
        <x:f>IF(U499="Open",L499*N499,0)</x:f>
        <x:v>0</x:v>
      </x:c>
      <x:c r="X499" s="26" t="n">
        <x:f>IF(U499="Open","",IFERROR(K499-B499,""))</x:f>
        <x:v>17</x:v>
      </x:c>
      <x:c r="Y499" s="26" t="n">
        <x:f>IF(U499="Open",Lookups!$B$2-B499,X499)</x:f>
        <x:v>17</x:v>
      </x:c>
      <x:c r="Z499" t="str">
        <x:f>IF(AND(U499="Open",Y499&gt;30),"STALE","OK")</x:f>
        <x:v>OK</x:v>
      </x:c>
      <x:c r="AA499" t="str">
        <x:f>TEXT(B499,"yyyy-mm")</x:f>
        <x:v>2025-04</x:v>
      </x:c>
      <x:c r="AB499" t="str">
        <x:f>IF(K499="","",TEXT(K499,"yyyy-mm"))</x:f>
        <x:v>2025-04</x:v>
      </x:c>
      <x:c r="AC499" t="str">
        <x:f>"Q"&amp;ROUNDUP(MONTH(B499)/3,0)&amp;"-"&amp;YEAR(B499)</x:f>
        <x:v>Q2-2025</x:v>
      </x:c>
      <x:c r="AD499" s="26" t="n">
        <x:f>MIN(100,IF(H499="Enterprise",30,IF(H499="Mid-Market",22,14))+IF(T499="Enterprise",25,IF(T499="Mid-Market",18,10))+IF(Q499="Referral",25,IF(Q499="Organic Search",20,IF(Q499="Email",18,14)))+IF(G499="Technology",10,5))</x:f>
        <x:v>51</x:v>
      </x:c>
      <x:c r="AE499" t="str">
        <x:f>IF(U499&lt;&gt;"Open",U499,IF(N499&gt;=0.8,"Commit",IF(N499&gt;=0.5,"Best Case","Pipeline")))</x:f>
        <x:v>Lost</x:v>
      </x:c>
    </x:row>
    <x:row r="500">
      <x:c r="A500" t="str">
        <x:v>L00499</x:v>
      </x:c>
      <x:c r="B500" s="10" t="n">
        <x:v>46133</x:v>
      </x:c>
      <x:c r="C500" t="str">
        <x:v>An Nguyen</x:v>
      </x:c>
      <x:c r="D500" t="str">
        <x:v>South</x:v>
      </x:c>
      <x:c r="E500" t="str">
        <x:v>Google Ads</x:v>
      </x:c>
      <x:c r="F500" t="str">
        <x:v>CRM-PRO</x:v>
      </x:c>
      <x:c r="G500" t="str">
        <x:v>Education</x:v>
      </x:c>
      <x:c r="H500" t="str">
        <x:v>Enterprise</x:v>
      </x:c>
      <x:c r="I500" t="str">
        <x:v>Closed Lost</x:v>
      </x:c>
      <x:c r="J500" s="10" t="n">
        <x:v>46180</x:v>
      </x:c>
      <x:c r="K500" s="10" t="n">
        <x:v>46180</x:v>
      </x:c>
      <x:c r="L500" s="22" t="n">
        <x:v>74500</x:v>
      </x:c>
      <x:c r="M500" s="24" t="n">
        <x:v>0</x:v>
      </x:c>
      <x:c r="N500" s="24" t="n">
        <x:v>0</x:v>
      </x:c>
      <x:c r="O500" t="str">
        <x:v>Price</x:v>
      </x:c>
      <x:c r="P500" t="n">
        <x:v>3</x:v>
      </x:c>
      <x:c r="Q500" t="str">
        <x:f>IFERROR(XLOOKUP(E500,Lookups!$A$5:$A$24,Lookups!$B$5:$B$24),"Other")</x:f>
        <x:v>Paid Search</x:v>
      </x:c>
      <x:c r="R500" t="str">
        <x:f>IFERROR(XLOOKUP(F500,Lookups!$D$5:$D$10,Lookups!$E$5:$E$10),"Unknown Product")</x:f>
        <x:v>NexaCRM Pro</x:v>
      </x:c>
      <x:c r="S500" t="str">
        <x:f>IFERROR(XLOOKUP(F500,Lookups!$D$5:$D$10,Lookups!$F$5:$F$10),"Unknown")</x:f>
        <x:v>CRM</x:v>
      </x:c>
      <x:c r="T500" t="str">
        <x:f>IF(L500&gt;=50000,"Enterprise",IF(L500&gt;=20000,"Mid-Market","SMB"))</x:f>
        <x:v>Enterprise</x:v>
      </x:c>
      <x:c r="U500" t="str">
        <x:f>IF(I500="Closed Won","Won",IF(I500="Closed Lost","Lost","Open"))</x:f>
        <x:v>Lost</x:v>
      </x:c>
      <x:c r="V500" s="22" t="n">
        <x:f>IF(U500="Won",L500*(1-M500),0)</x:f>
        <x:v>0</x:v>
      </x:c>
      <x:c r="W500" s="22" t="n">
        <x:f>IF(U500="Open",L500*N500,0)</x:f>
        <x:v>0</x:v>
      </x:c>
      <x:c r="X500" s="26" t="n">
        <x:f>IF(U500="Open","",IFERROR(K500-B500,""))</x:f>
        <x:v>47</x:v>
      </x:c>
      <x:c r="Y500" s="26" t="n">
        <x:f>IF(U500="Open",Lookups!$B$2-B500,X500)</x:f>
        <x:v>47</x:v>
      </x:c>
      <x:c r="Z500" t="str">
        <x:f>IF(AND(U500="Open",Y500&gt;30),"STALE","OK")</x:f>
        <x:v>OK</x:v>
      </x:c>
      <x:c r="AA500" t="str">
        <x:f>TEXT(B500,"yyyy-mm")</x:f>
        <x:v>2026-04</x:v>
      </x:c>
      <x:c r="AB500" t="str">
        <x:f>IF(K500="","",TEXT(K500,"yyyy-mm"))</x:f>
        <x:v>2026-06</x:v>
      </x:c>
      <x:c r="AC500" t="str">
        <x:f>"Q"&amp;ROUNDUP(MONTH(B500)/3,0)&amp;"-"&amp;YEAR(B500)</x:f>
        <x:v>Q2-2026</x:v>
      </x:c>
      <x:c r="AD500" s="26" t="n">
        <x:f>MIN(100,IF(H500="Enterprise",30,IF(H500="Mid-Market",22,14))+IF(T500="Enterprise",25,IF(T500="Mid-Market",18,10))+IF(Q500="Referral",25,IF(Q500="Organic Search",20,IF(Q500="Email",18,14)))+IF(G500="Technology",10,5))</x:f>
        <x:v>74</x:v>
      </x:c>
      <x:c r="AE500" t="str">
        <x:f>IF(U500&lt;&gt;"Open",U500,IF(N500&gt;=0.8,"Commit",IF(N500&gt;=0.5,"Best Case","Pipeline")))</x:f>
        <x:v>Lost</x:v>
      </x:c>
    </x:row>
    <x:row r="501">
      <x:c r="A501" t="str">
        <x:v>L00500</x:v>
      </x:c>
      <x:c r="B501" s="10" t="n">
        <x:v>45990</x:v>
      </x:c>
      <x:c r="C501" t="str">
        <x:v>Chi Le</x:v>
      </x:c>
      <x:c r="D501" t="str">
        <x:v>South</x:v>
      </x:c>
      <x:c r="E501" t="str">
        <x:v>newsletter</x:v>
      </x:c>
      <x:c r="F501" t="str">
        <x:v>CRM-CORE</x:v>
      </x:c>
      <x:c r="G501" t="str">
        <x:v>Manufacturing</x:v>
      </x:c>
      <x:c r="H501" t="str">
        <x:v>SMB</x:v>
      </x:c>
      <x:c r="I501" t="str">
        <x:v>Negotiation</x:v>
      </x:c>
      <x:c r="J501" s="10" t="n">
        <x:v>46225</x:v>
      </x:c>
      <x:c r="K501" s="10"/>
      <x:c r="L501" s="22" t="n">
        <x:v>6400</x:v>
      </x:c>
      <x:c r="M501" s="24" t="n">
        <x:v>0.03</x:v>
      </x:c>
      <x:c r="N501" s="24" t="n">
        <x:v>0.85</x:v>
      </x:c>
      <x:c r="O501" t="str"/>
      <x:c r="P501" t="n">
        <x:v>5</x:v>
      </x:c>
      <x:c r="Q501" t="str">
        <x:f>IFERROR(XLOOKUP(E501,Lookups!$A$5:$A$24,Lookups!$B$5:$B$24),"Other")</x:f>
        <x:v>Email</x:v>
      </x:c>
      <x:c r="R501" t="str">
        <x:f>IFERROR(XLOOKUP(F501,Lookups!$D$5:$D$10,Lookups!$E$5:$E$10),"Unknown Product")</x:f>
        <x:v>NexaCRM Core</x:v>
      </x:c>
      <x:c r="S501" t="str">
        <x:f>IFERROR(XLOOKUP(F501,Lookups!$D$5:$D$10,Lookups!$F$5:$F$10),"Unknown")</x:f>
        <x:v>CRM</x:v>
      </x:c>
      <x:c r="T501" t="str">
        <x:f>IF(L501&gt;=50000,"Enterprise",IF(L501&gt;=20000,"Mid-Market","SMB"))</x:f>
        <x:v>SMB</x:v>
      </x:c>
      <x:c r="U501" t="str">
        <x:f>IF(I501="Closed Won","Won",IF(I501="Closed Lost","Lost","Open"))</x:f>
        <x:v>Open</x:v>
      </x:c>
      <x:c r="V501" s="22" t="n">
        <x:f>IF(U501="Won",L501*(1-M501),0)</x:f>
        <x:v>0</x:v>
      </x:c>
      <x:c r="W501" s="22" t="n">
        <x:f>IF(U501="Open",L501*N501,0)</x:f>
        <x:v>5440</x:v>
      </x:c>
      <x:c r="X501" s="26" t="str">
        <x:f>IF(U501="Open","",IFERROR(K501-B501,""))</x:f>
      </x:c>
      <x:c r="Y501" s="26" t="n">
        <x:f>IF(U501="Open",Lookups!$B$2-B501,X501)</x:f>
        <x:v>276</x:v>
      </x:c>
      <x:c r="Z501" t="str">
        <x:f>IF(AND(U501="Open",Y501&gt;30),"STALE","OK")</x:f>
        <x:v>STALE</x:v>
      </x:c>
      <x:c r="AA501" t="str">
        <x:f>TEXT(B501,"yyyy-mm")</x:f>
        <x:v>2025-11</x:v>
      </x:c>
      <x:c r="AB501" t="str">
        <x:f>IF(K501="","",TEXT(K501,"yyyy-mm"))</x:f>
      </x:c>
      <x:c r="AC501" t="str">
        <x:f>"Q"&amp;ROUNDUP(MONTH(B501)/3,0)&amp;"-"&amp;YEAR(B501)</x:f>
        <x:v>Q4-2025</x:v>
      </x:c>
      <x:c r="AD501" s="26" t="n">
        <x:f>MIN(100,IF(H501="Enterprise",30,IF(H501="Mid-Market",22,14))+IF(T501="Enterprise",25,IF(T501="Mid-Market",18,10))+IF(Q501="Referral",25,IF(Q501="Organic Search",20,IF(Q501="Email",18,14)))+IF(G501="Technology",10,5))</x:f>
        <x:v>47</x:v>
      </x:c>
      <x:c r="AE501" t="str">
        <x:f>IF(U501&lt;&gt;"Open",U501,IF(N501&gt;=0.8,"Commit",IF(N501&gt;=0.5,"Best Case","Pipeline")))</x:f>
        <x:v>Commit</x:v>
      </x:c>
    </x:row>
    <x:row r="502">
      <x:c r="A502" t="str">
        <x:v>L00501</x:v>
      </x:c>
      <x:c r="B502" s="10" t="n">
        <x:v>45764</x:v>
      </x:c>
      <x:c r="C502" t="str">
        <x:v>Tuan Bui</x:v>
      </x:c>
      <x:c r="D502" t="str">
        <x:v>Central</x:v>
      </x:c>
      <x:c r="E502" t="str">
        <x:v>linkedin</x:v>
      </x:c>
      <x:c r="F502" t="str">
        <x:v>MKT-AUTO</x:v>
      </x:c>
      <x:c r="G502" t="str">
        <x:v>Education</x:v>
      </x:c>
      <x:c r="H502" t="str">
        <x:v>Mid-Market</x:v>
      </x:c>
      <x:c r="I502" t="str">
        <x:v>Closed Lost</x:v>
      </x:c>
      <x:c r="J502" s="10" t="n">
        <x:v>45810</x:v>
      </x:c>
      <x:c r="K502" s="10" t="n">
        <x:v>45810</x:v>
      </x:c>
      <x:c r="L502" s="22" t="n">
        <x:v>25700</x:v>
      </x:c>
      <x:c r="M502" s="24" t="n">
        <x:v>0</x:v>
      </x:c>
      <x:c r="N502" s="24" t="n">
        <x:v>0</x:v>
      </x:c>
      <x:c r="O502" t="str">
        <x:v>No Decision</x:v>
      </x:c>
      <x:c r="P502" t="n">
        <x:v>3</x:v>
      </x:c>
      <x:c r="Q502" t="str">
        <x:f>IFERROR(XLOOKUP(E502,Lookups!$A$5:$A$24,Lookups!$B$5:$B$24),"Other")</x:f>
        <x:v>LinkedIn</x:v>
      </x:c>
      <x:c r="R502" t="str">
        <x:f>IFERROR(XLOOKUP(F502,Lookups!$D$5:$D$10,Lookups!$E$5:$E$10),"Unknown Product")</x:f>
        <x:v>Marketing Automation</x:v>
      </x:c>
      <x:c r="S502" t="str">
        <x:f>IFERROR(XLOOKUP(F502,Lookups!$D$5:$D$10,Lookups!$F$5:$F$10),"Unknown")</x:f>
        <x:v>Marketing</x:v>
      </x:c>
      <x:c r="T502" t="str">
        <x:f>IF(L502&gt;=50000,"Enterprise",IF(L502&gt;=20000,"Mid-Market","SMB"))</x:f>
        <x:v>Mid-Market</x:v>
      </x:c>
      <x:c r="U502" t="str">
        <x:f>IF(I502="Closed Won","Won",IF(I502="Closed Lost","Lost","Open"))</x:f>
        <x:v>Lost</x:v>
      </x:c>
      <x:c r="V502" s="22" t="n">
        <x:f>IF(U502="Won",L502*(1-M502),0)</x:f>
        <x:v>0</x:v>
      </x:c>
      <x:c r="W502" s="22" t="n">
        <x:f>IF(U502="Open",L502*N502,0)</x:f>
        <x:v>0</x:v>
      </x:c>
      <x:c r="X502" s="26" t="n">
        <x:f>IF(U502="Open","",IFERROR(K502-B502,""))</x:f>
        <x:v>46</x:v>
      </x:c>
      <x:c r="Y502" s="26" t="n">
        <x:f>IF(U502="Open",Lookups!$B$2-B502,X502)</x:f>
        <x:v>46</x:v>
      </x:c>
      <x:c r="Z502" t="str">
        <x:f>IF(AND(U502="Open",Y502&gt;30),"STALE","OK")</x:f>
        <x:v>OK</x:v>
      </x:c>
      <x:c r="AA502" t="str">
        <x:f>TEXT(B502,"yyyy-mm")</x:f>
        <x:v>2025-04</x:v>
      </x:c>
      <x:c r="AB502" t="str">
        <x:f>IF(K502="","",TEXT(K502,"yyyy-mm"))</x:f>
        <x:v>2025-06</x:v>
      </x:c>
      <x:c r="AC502" t="str">
        <x:f>"Q"&amp;ROUNDUP(MONTH(B502)/3,0)&amp;"-"&amp;YEAR(B502)</x:f>
        <x:v>Q2-2025</x:v>
      </x:c>
      <x:c r="AD502" s="26" t="n">
        <x:f>MIN(100,IF(H502="Enterprise",30,IF(H502="Mid-Market",22,14))+IF(T502="Enterprise",25,IF(T502="Mid-Market",18,10))+IF(Q502="Referral",25,IF(Q502="Organic Search",20,IF(Q502="Email",18,14)))+IF(G502="Technology",10,5))</x:f>
        <x:v>59</x:v>
      </x:c>
      <x:c r="AE502" t="str">
        <x:f>IF(U502&lt;&gt;"Open",U502,IF(N502&gt;=0.8,"Commit",IF(N502&gt;=0.5,"Best Case","Pipeline")))</x:f>
        <x:v>Lost</x:v>
      </x:c>
    </x:row>
    <x:row r="503">
      <x:c r="A503" t="str">
        <x:v>L00502</x:v>
      </x:c>
      <x:c r="B503" s="10" t="n">
        <x:v>46144</x:v>
      </x:c>
      <x:c r="C503" t="str">
        <x:v>Tuan Bui</x:v>
      </x:c>
      <x:c r="D503" t="str">
        <x:v>Central</x:v>
      </x:c>
      <x:c r="E503" t="str">
        <x:v>google cpc</x:v>
      </x:c>
      <x:c r="F503" t="str">
        <x:v>BI-PLUS</x:v>
      </x:c>
      <x:c r="G503" t="str">
        <x:v>Technology</x:v>
      </x:c>
      <x:c r="H503" t="str">
        <x:v>Mid-Market</x:v>
      </x:c>
      <x:c r="I503" t="str">
        <x:v>Closed Lost</x:v>
      </x:c>
      <x:c r="J503" s="10" t="n">
        <x:v>46163</x:v>
      </x:c>
      <x:c r="K503" s="10" t="n">
        <x:v>46163</x:v>
      </x:c>
      <x:c r="L503" s="22" t="n">
        <x:v>48500</x:v>
      </x:c>
      <x:c r="M503" s="24" t="n">
        <x:v>0</x:v>
      </x:c>
      <x:c r="N503" s="24" t="n">
        <x:v>0</x:v>
      </x:c>
      <x:c r="O503" t="str">
        <x:v>Timing</x:v>
      </x:c>
      <x:c r="P503" t="n">
        <x:v>3</x:v>
      </x:c>
      <x:c r="Q503" t="str">
        <x:f>IFERROR(XLOOKUP(E503,Lookups!$A$5:$A$24,Lookups!$B$5:$B$24),"Other")</x:f>
        <x:v>Paid Search</x:v>
      </x:c>
      <x:c r="R503" t="str">
        <x:f>IFERROR(XLOOKUP(F503,Lookups!$D$5:$D$10,Lookups!$E$5:$E$10),"Unknown Product")</x:f>
        <x:v>Analytics Plus</x:v>
      </x:c>
      <x:c r="S503" t="str">
        <x:f>IFERROR(XLOOKUP(F503,Lookups!$D$5:$D$10,Lookups!$F$5:$F$10),"Unknown")</x:f>
        <x:v>Analytics</x:v>
      </x:c>
      <x:c r="T503" t="str">
        <x:f>IF(L503&gt;=50000,"Enterprise",IF(L503&gt;=20000,"Mid-Market","SMB"))</x:f>
        <x:v>Mid-Market</x:v>
      </x:c>
      <x:c r="U503" t="str">
        <x:f>IF(I503="Closed Won","Won",IF(I503="Closed Lost","Lost","Open"))</x:f>
        <x:v>Lost</x:v>
      </x:c>
      <x:c r="V503" s="22" t="n">
        <x:f>IF(U503="Won",L503*(1-M503),0)</x:f>
        <x:v>0</x:v>
      </x:c>
      <x:c r="W503" s="22" t="n">
        <x:f>IF(U503="Open",L503*N503,0)</x:f>
        <x:v>0</x:v>
      </x:c>
      <x:c r="X503" s="26" t="n">
        <x:f>IF(U503="Open","",IFERROR(K503-B503,""))</x:f>
        <x:v>19</x:v>
      </x:c>
      <x:c r="Y503" s="26" t="n">
        <x:f>IF(U503="Open",Lookups!$B$2-B503,X503)</x:f>
        <x:v>19</x:v>
      </x:c>
      <x:c r="Z503" t="str">
        <x:f>IF(AND(U503="Open",Y503&gt;30),"STALE","OK")</x:f>
        <x:v>OK</x:v>
      </x:c>
      <x:c r="AA503" t="str">
        <x:f>TEXT(B503,"yyyy-mm")</x:f>
        <x:v>2026-05</x:v>
      </x:c>
      <x:c r="AB503" t="str">
        <x:f>IF(K503="","",TEXT(K503,"yyyy-mm"))</x:f>
        <x:v>2026-05</x:v>
      </x:c>
      <x:c r="AC503" t="str">
        <x:f>"Q"&amp;ROUNDUP(MONTH(B503)/3,0)&amp;"-"&amp;YEAR(B503)</x:f>
        <x:v>Q2-2026</x:v>
      </x:c>
      <x:c r="AD503" s="26" t="n">
        <x:f>MIN(100,IF(H503="Enterprise",30,IF(H503="Mid-Market",22,14))+IF(T503="Enterprise",25,IF(T503="Mid-Market",18,10))+IF(Q503="Referral",25,IF(Q503="Organic Search",20,IF(Q503="Email",18,14)))+IF(G503="Technology",10,5))</x:f>
        <x:v>64</x:v>
      </x:c>
      <x:c r="AE503" t="str">
        <x:f>IF(U503&lt;&gt;"Open",U503,IF(N503&gt;=0.8,"Commit",IF(N503&gt;=0.5,"Best Case","Pipeline")))</x:f>
        <x:v>Lost</x:v>
      </x:c>
    </x:row>
    <x:row r="504">
      <x:c r="A504" t="str">
        <x:v>L00503</x:v>
      </x:c>
      <x:c r="B504" s="10" t="n">
        <x:v>45739</x:v>
      </x:c>
      <x:c r="C504" t="str">
        <x:v>An Nguyen</x:v>
      </x:c>
      <x:c r="D504" t="str">
        <x:v>South</x:v>
      </x:c>
      <x:c r="E504" t="str">
        <x:v>SEM - Google</x:v>
      </x:c>
      <x:c r="F504" t="str">
        <x:v>BI-PLUS</x:v>
      </x:c>
      <x:c r="G504" t="str">
        <x:v>Technology</x:v>
      </x:c>
      <x:c r="H504" t="str">
        <x:v>Mid-Market</x:v>
      </x:c>
      <x:c r="I504" t="str">
        <x:v>Closed Won</x:v>
      </x:c>
      <x:c r="J504" s="10" t="n">
        <x:v>45782</x:v>
      </x:c>
      <x:c r="K504" s="10" t="n">
        <x:v>45782</x:v>
      </x:c>
      <x:c r="L504" s="22" t="n">
        <x:v>31800</x:v>
      </x:c>
      <x:c r="M504" s="24" t="n">
        <x:v>0.05</x:v>
      </x:c>
      <x:c r="N504" s="24" t="n">
        <x:v>1</x:v>
      </x:c>
      <x:c r="O504" t="str"/>
      <x:c r="P504" t="n">
        <x:v>6</x:v>
      </x:c>
      <x:c r="Q504" t="str">
        <x:f>IFERROR(XLOOKUP(E504,Lookups!$A$5:$A$24,Lookups!$B$5:$B$24),"Other")</x:f>
        <x:v>Paid Search</x:v>
      </x:c>
      <x:c r="R504" t="str">
        <x:f>IFERROR(XLOOKUP(F504,Lookups!$D$5:$D$10,Lookups!$E$5:$E$10),"Unknown Product")</x:f>
        <x:v>Analytics Plus</x:v>
      </x:c>
      <x:c r="S504" t="str">
        <x:f>IFERROR(XLOOKUP(F504,Lookups!$D$5:$D$10,Lookups!$F$5:$F$10),"Unknown")</x:f>
        <x:v>Analytics</x:v>
      </x:c>
      <x:c r="T504" t="str">
        <x:f>IF(L504&gt;=50000,"Enterprise",IF(L504&gt;=20000,"Mid-Market","SMB"))</x:f>
        <x:v>Mid-Market</x:v>
      </x:c>
      <x:c r="U504" t="str">
        <x:f>IF(I504="Closed Won","Won",IF(I504="Closed Lost","Lost","Open"))</x:f>
        <x:v>Won</x:v>
      </x:c>
      <x:c r="V504" s="22" t="n">
        <x:f>IF(U504="Won",L504*(1-M504),0)</x:f>
        <x:v>30210</x:v>
      </x:c>
      <x:c r="W504" s="22" t="n">
        <x:f>IF(U504="Open",L504*N504,0)</x:f>
        <x:v>0</x:v>
      </x:c>
      <x:c r="X504" s="26" t="n">
        <x:f>IF(U504="Open","",IFERROR(K504-B504,""))</x:f>
        <x:v>43</x:v>
      </x:c>
      <x:c r="Y504" s="26" t="n">
        <x:f>IF(U504="Open",Lookups!$B$2-B504,X504)</x:f>
        <x:v>43</x:v>
      </x:c>
      <x:c r="Z504" t="str">
        <x:f>IF(AND(U504="Open",Y504&gt;30),"STALE","OK")</x:f>
        <x:v>OK</x:v>
      </x:c>
      <x:c r="AA504" t="str">
        <x:f>TEXT(B504,"yyyy-mm")</x:f>
        <x:v>2025-03</x:v>
      </x:c>
      <x:c r="AB504" t="str">
        <x:f>IF(K504="","",TEXT(K504,"yyyy-mm"))</x:f>
        <x:v>2025-05</x:v>
      </x:c>
      <x:c r="AC504" t="str">
        <x:f>"Q"&amp;ROUNDUP(MONTH(B504)/3,0)&amp;"-"&amp;YEAR(B504)</x:f>
        <x:v>Q1-2025</x:v>
      </x:c>
      <x:c r="AD504" s="26" t="n">
        <x:f>MIN(100,IF(H504="Enterprise",30,IF(H504="Mid-Market",22,14))+IF(T504="Enterprise",25,IF(T504="Mid-Market",18,10))+IF(Q504="Referral",25,IF(Q504="Organic Search",20,IF(Q504="Email",18,14)))+IF(G504="Technology",10,5))</x:f>
        <x:v>64</x:v>
      </x:c>
      <x:c r="AE504" t="str">
        <x:f>IF(U504&lt;&gt;"Open",U504,IF(N504&gt;=0.8,"Commit",IF(N504&gt;=0.5,"Best Case","Pipeline")))</x:f>
        <x:v>Won</x:v>
      </x:c>
    </x:row>
    <x:row r="505">
      <x:c r="A505" t="str">
        <x:v>L00504</x:v>
      </x:c>
      <x:c r="B505" s="10" t="n">
        <x:v>45959</x:v>
      </x:c>
      <x:c r="C505" t="str">
        <x:v>Tuan Bui</x:v>
      </x:c>
      <x:c r="D505" t="str">
        <x:v>Central</x:v>
      </x:c>
      <x:c r="E505" t="str">
        <x:v>google cpc</x:v>
      </x:c>
      <x:c r="F505" t="str">
        <x:v>REV-OPS</x:v>
      </x:c>
      <x:c r="G505" t="str">
        <x:v>Manufacturing</x:v>
      </x:c>
      <x:c r="H505" t="str">
        <x:v>SMB</x:v>
      </x:c>
      <x:c r="I505" t="str">
        <x:v>Closed Lost</x:v>
      </x:c>
      <x:c r="J505" s="10" t="n">
        <x:v>45996</x:v>
      </x:c>
      <x:c r="K505" s="10" t="n">
        <x:v>45996</x:v>
      </x:c>
      <x:c r="L505" s="22" t="n">
        <x:v>39700</x:v>
      </x:c>
      <x:c r="M505" s="24" t="n">
        <x:v>0</x:v>
      </x:c>
      <x:c r="N505" s="24" t="n">
        <x:v>0</x:v>
      </x:c>
      <x:c r="O505" t="str">
        <x:v>Feature Gap</x:v>
      </x:c>
      <x:c r="P505" t="n">
        <x:v>5</x:v>
      </x:c>
      <x:c r="Q505" t="str">
        <x:f>IFERROR(XLOOKUP(E505,Lookups!$A$5:$A$24,Lookups!$B$5:$B$24),"Other")</x:f>
        <x:v>Paid Search</x:v>
      </x:c>
      <x:c r="R505" t="str">
        <x:f>IFERROR(XLOOKUP(F505,Lookups!$D$5:$D$10,Lookups!$E$5:$E$10),"Unknown Product")</x:f>
        <x:v>Revenue Operations Suite</x:v>
      </x:c>
      <x:c r="S505" t="str">
        <x:f>IFERROR(XLOOKUP(F505,Lookups!$D$5:$D$10,Lookups!$F$5:$F$10),"Unknown")</x:f>
        <x:v>Revenue Ops</x:v>
      </x:c>
      <x:c r="T505" t="str">
        <x:f>IF(L505&gt;=50000,"Enterprise",IF(L505&gt;=20000,"Mid-Market","SMB"))</x:f>
        <x:v>Mid-Market</x:v>
      </x:c>
      <x:c r="U505" t="str">
        <x:f>IF(I505="Closed Won","Won",IF(I505="Closed Lost","Lost","Open"))</x:f>
        <x:v>Lost</x:v>
      </x:c>
      <x:c r="V505" s="22" t="n">
        <x:f>IF(U505="Won",L505*(1-M505),0)</x:f>
        <x:v>0</x:v>
      </x:c>
      <x:c r="W505" s="22" t="n">
        <x:f>IF(U505="Open",L505*N505,0)</x:f>
        <x:v>0</x:v>
      </x:c>
      <x:c r="X505" s="26" t="n">
        <x:f>IF(U505="Open","",IFERROR(K505-B505,""))</x:f>
        <x:v>37</x:v>
      </x:c>
      <x:c r="Y505" s="26" t="n">
        <x:f>IF(U505="Open",Lookups!$B$2-B505,X505)</x:f>
        <x:v>37</x:v>
      </x:c>
      <x:c r="Z505" t="str">
        <x:f>IF(AND(U505="Open",Y505&gt;30),"STALE","OK")</x:f>
        <x:v>OK</x:v>
      </x:c>
      <x:c r="AA505" t="str">
        <x:f>TEXT(B505,"yyyy-mm")</x:f>
        <x:v>2025-10</x:v>
      </x:c>
      <x:c r="AB505" t="str">
        <x:f>IF(K505="","",TEXT(K505,"yyyy-mm"))</x:f>
        <x:v>2025-12</x:v>
      </x:c>
      <x:c r="AC505" t="str">
        <x:f>"Q"&amp;ROUNDUP(MONTH(B505)/3,0)&amp;"-"&amp;YEAR(B505)</x:f>
        <x:v>Q4-2025</x:v>
      </x:c>
      <x:c r="AD505" s="26" t="n">
        <x:f>MIN(100,IF(H505="Enterprise",30,IF(H505="Mid-Market",22,14))+IF(T505="Enterprise",25,IF(T505="Mid-Market",18,10))+IF(Q505="Referral",25,IF(Q505="Organic Search",20,IF(Q505="Email",18,14)))+IF(G505="Technology",10,5))</x:f>
        <x:v>51</x:v>
      </x:c>
      <x:c r="AE505" t="str">
        <x:f>IF(U505&lt;&gt;"Open",U505,IF(N505&gt;=0.8,"Commit",IF(N505&gt;=0.5,"Best Case","Pipeline")))</x:f>
        <x:v>Lost</x:v>
      </x:c>
    </x:row>
    <x:row r="506">
      <x:c r="A506" t="str">
        <x:v>L00505</x:v>
      </x:c>
      <x:c r="B506" s="10" t="n">
        <x:v>45954</x:v>
      </x:c>
      <x:c r="C506" t="str">
        <x:v>Duy Pham</x:v>
      </x:c>
      <x:c r="D506" t="str">
        <x:v>South</x:v>
      </x:c>
      <x:c r="E506" t="str">
        <x:v>Google Ads</x:v>
      </x:c>
      <x:c r="F506" t="str">
        <x:v>CRM-CORE</x:v>
      </x:c>
      <x:c r="G506" t="str">
        <x:v>Financial Services</x:v>
      </x:c>
      <x:c r="H506" t="str">
        <x:v>Mid-Market</x:v>
      </x:c>
      <x:c r="I506" t="str">
        <x:v>Closed Lost</x:v>
      </x:c>
      <x:c r="J506" s="10" t="n">
        <x:v>45986</x:v>
      </x:c>
      <x:c r="K506" s="10" t="n">
        <x:v>45986</x:v>
      </x:c>
      <x:c r="L506" s="22" t="n">
        <x:v>12700</x:v>
      </x:c>
      <x:c r="M506" s="24" t="n">
        <x:v>0</x:v>
      </x:c>
      <x:c r="N506" s="24" t="n">
        <x:v>0</x:v>
      </x:c>
      <x:c r="O506" t="str">
        <x:v>No Decision</x:v>
      </x:c>
      <x:c r="P506" t="n">
        <x:v>5</x:v>
      </x:c>
      <x:c r="Q506" t="str">
        <x:f>IFERROR(XLOOKUP(E506,Lookups!$A$5:$A$24,Lookups!$B$5:$B$24),"Other")</x:f>
        <x:v>Paid Search</x:v>
      </x:c>
      <x:c r="R506" t="str">
        <x:f>IFERROR(XLOOKUP(F506,Lookups!$D$5:$D$10,Lookups!$E$5:$E$10),"Unknown Product")</x:f>
        <x:v>NexaCRM Core</x:v>
      </x:c>
      <x:c r="S506" t="str">
        <x:f>IFERROR(XLOOKUP(F506,Lookups!$D$5:$D$10,Lookups!$F$5:$F$10),"Unknown")</x:f>
        <x:v>CRM</x:v>
      </x:c>
      <x:c r="T506" t="str">
        <x:f>IF(L506&gt;=50000,"Enterprise",IF(L506&gt;=20000,"Mid-Market","SMB"))</x:f>
        <x:v>SMB</x:v>
      </x:c>
      <x:c r="U506" t="str">
        <x:f>IF(I506="Closed Won","Won",IF(I506="Closed Lost","Lost","Open"))</x:f>
        <x:v>Lost</x:v>
      </x:c>
      <x:c r="V506" s="22" t="n">
        <x:f>IF(U506="Won",L506*(1-M506),0)</x:f>
        <x:v>0</x:v>
      </x:c>
      <x:c r="W506" s="22" t="n">
        <x:f>IF(U506="Open",L506*N506,0)</x:f>
        <x:v>0</x:v>
      </x:c>
      <x:c r="X506" s="26" t="n">
        <x:f>IF(U506="Open","",IFERROR(K506-B506,""))</x:f>
        <x:v>32</x:v>
      </x:c>
      <x:c r="Y506" s="26" t="n">
        <x:f>IF(U506="Open",Lookups!$B$2-B506,X506)</x:f>
        <x:v>32</x:v>
      </x:c>
      <x:c r="Z506" t="str">
        <x:f>IF(AND(U506="Open",Y506&gt;30),"STALE","OK")</x:f>
        <x:v>OK</x:v>
      </x:c>
      <x:c r="AA506" t="str">
        <x:f>TEXT(B506,"yyyy-mm")</x:f>
        <x:v>2025-10</x:v>
      </x:c>
      <x:c r="AB506" t="str">
        <x:f>IF(K506="","",TEXT(K506,"yyyy-mm"))</x:f>
        <x:v>2025-11</x:v>
      </x:c>
      <x:c r="AC506" t="str">
        <x:f>"Q"&amp;ROUNDUP(MONTH(B506)/3,0)&amp;"-"&amp;YEAR(B506)</x:f>
        <x:v>Q4-2025</x:v>
      </x:c>
      <x:c r="AD506" s="26" t="n">
        <x:f>MIN(100,IF(H506="Enterprise",30,IF(H506="Mid-Market",22,14))+IF(T506="Enterprise",25,IF(T506="Mid-Market",18,10))+IF(Q506="Referral",25,IF(Q506="Organic Search",20,IF(Q506="Email",18,14)))+IF(G506="Technology",10,5))</x:f>
        <x:v>51</x:v>
      </x:c>
      <x:c r="AE506" t="str">
        <x:f>IF(U506&lt;&gt;"Open",U506,IF(N506&gt;=0.8,"Commit",IF(N506&gt;=0.5,"Best Case","Pipeline")))</x:f>
        <x:v>Lost</x:v>
      </x:c>
    </x:row>
    <x:row r="507">
      <x:c r="A507" t="str">
        <x:v>L00506</x:v>
      </x:c>
      <x:c r="B507" s="10" t="n">
        <x:v>46225</x:v>
      </x:c>
      <x:c r="C507" t="str">
        <x:v>Minh Do</x:v>
      </x:c>
      <x:c r="D507" t="str">
        <x:v>North</x:v>
      </x:c>
      <x:c r="E507" t="str">
        <x:v>Email Campaign</x:v>
      </x:c>
      <x:c r="F507" t="str">
        <x:v>MKT-AUTO</x:v>
      </x:c>
      <x:c r="G507" t="str">
        <x:v>Professional Services</x:v>
      </x:c>
      <x:c r="H507" t="str">
        <x:v>Enterprise</x:v>
      </x:c>
      <x:c r="I507" t="str">
        <x:v>Closed Won</x:v>
      </x:c>
      <x:c r="J507" s="10" t="n">
        <x:v>46266</x:v>
      </x:c>
      <x:c r="K507" s="10" t="n">
        <x:v>46266</x:v>
      </x:c>
      <x:c r="L507" s="22" t="n">
        <x:v>45700</x:v>
      </x:c>
      <x:c r="M507" s="24" t="n">
        <x:v>0.12</x:v>
      </x:c>
      <x:c r="N507" s="24" t="n">
        <x:v>1</x:v>
      </x:c>
      <x:c r="O507" t="str"/>
      <x:c r="P507" t="n">
        <x:v>6</x:v>
      </x:c>
      <x:c r="Q507" t="str">
        <x:f>IFERROR(XLOOKUP(E507,Lookups!$A$5:$A$24,Lookups!$B$5:$B$24),"Other")</x:f>
        <x:v>Email</x:v>
      </x:c>
      <x:c r="R507" t="str">
        <x:f>IFERROR(XLOOKUP(F507,Lookups!$D$5:$D$10,Lookups!$E$5:$E$10),"Unknown Product")</x:f>
        <x:v>Marketing Automation</x:v>
      </x:c>
      <x:c r="S507" t="str">
        <x:f>IFERROR(XLOOKUP(F507,Lookups!$D$5:$D$10,Lookups!$F$5:$F$10),"Unknown")</x:f>
        <x:v>Marketing</x:v>
      </x:c>
      <x:c r="T507" t="str">
        <x:f>IF(L507&gt;=50000,"Enterprise",IF(L507&gt;=20000,"Mid-Market","SMB"))</x:f>
        <x:v>Mid-Market</x:v>
      </x:c>
      <x:c r="U507" t="str">
        <x:f>IF(I507="Closed Won","Won",IF(I507="Closed Lost","Lost","Open"))</x:f>
        <x:v>Won</x:v>
      </x:c>
      <x:c r="V507" s="22" t="n">
        <x:f>IF(U507="Won",L507*(1-M507),0)</x:f>
        <x:v>40216</x:v>
      </x:c>
      <x:c r="W507" s="22" t="n">
        <x:f>IF(U507="Open",L507*N507,0)</x:f>
        <x:v>0</x:v>
      </x:c>
      <x:c r="X507" s="26" t="n">
        <x:f>IF(U507="Open","",IFERROR(K507-B507,""))</x:f>
        <x:v>41</x:v>
      </x:c>
      <x:c r="Y507" s="26" t="n">
        <x:f>IF(U507="Open",Lookups!$B$2-B507,X507)</x:f>
        <x:v>41</x:v>
      </x:c>
      <x:c r="Z507" t="str">
        <x:f>IF(AND(U507="Open",Y507&gt;30),"STALE","OK")</x:f>
        <x:v>OK</x:v>
      </x:c>
      <x:c r="AA507" t="str">
        <x:f>TEXT(B507,"yyyy-mm")</x:f>
        <x:v>2026-07</x:v>
      </x:c>
      <x:c r="AB507" t="str">
        <x:f>IF(K507="","",TEXT(K507,"yyyy-mm"))</x:f>
        <x:v>2026-09</x:v>
      </x:c>
      <x:c r="AC507" t="str">
        <x:f>"Q"&amp;ROUNDUP(MONTH(B507)/3,0)&amp;"-"&amp;YEAR(B507)</x:f>
        <x:v>Q3-2026</x:v>
      </x:c>
      <x:c r="AD507" s="26" t="n">
        <x:f>MIN(100,IF(H507="Enterprise",30,IF(H507="Mid-Market",22,14))+IF(T507="Enterprise",25,IF(T507="Mid-Market",18,10))+IF(Q507="Referral",25,IF(Q507="Organic Search",20,IF(Q507="Email",18,14)))+IF(G507="Technology",10,5))</x:f>
        <x:v>71</x:v>
      </x:c>
      <x:c r="AE507" t="str">
        <x:f>IF(U507&lt;&gt;"Open",U507,IF(N507&gt;=0.8,"Commit",IF(N507&gt;=0.5,"Best Case","Pipeline")))</x:f>
        <x:v>Won</x:v>
      </x:c>
    </x:row>
    <x:row r="508">
      <x:c r="A508" t="str">
        <x:v>L00507</x:v>
      </x:c>
      <x:c r="B508" s="10" t="n">
        <x:v>45918</x:v>
      </x:c>
      <x:c r="C508" t="str">
        <x:v>Duy Pham</x:v>
      </x:c>
      <x:c r="D508" t="str">
        <x:v>South</x:v>
      </x:c>
      <x:c r="E508" t="str">
        <x:v>Google Organic</x:v>
      </x:c>
      <x:c r="F508" t="str">
        <x:v>BI-PLUS</x:v>
      </x:c>
      <x:c r="G508" t="str">
        <x:v>Manufacturing</x:v>
      </x:c>
      <x:c r="H508" t="str">
        <x:v>Enterprise</x:v>
      </x:c>
      <x:c r="I508" t="str">
        <x:v>Closed Lost</x:v>
      </x:c>
      <x:c r="J508" s="10" t="n">
        <x:v>46017</x:v>
      </x:c>
      <x:c r="K508" s="10" t="n">
        <x:v>46017</x:v>
      </x:c>
      <x:c r="L508" s="22" t="n">
        <x:v>50300</x:v>
      </x:c>
      <x:c r="M508" s="24" t="n">
        <x:v>0</x:v>
      </x:c>
      <x:c r="N508" s="24" t="n">
        <x:v>0</x:v>
      </x:c>
      <x:c r="O508" t="str">
        <x:v>Budget</x:v>
      </x:c>
      <x:c r="P508" t="n">
        <x:v>3</x:v>
      </x:c>
      <x:c r="Q508" t="str">
        <x:f>IFERROR(XLOOKUP(E508,Lookups!$A$5:$A$24,Lookups!$B$5:$B$24),"Other")</x:f>
        <x:v>Organic Search</x:v>
      </x:c>
      <x:c r="R508" t="str">
        <x:f>IFERROR(XLOOKUP(F508,Lookups!$D$5:$D$10,Lookups!$E$5:$E$10),"Unknown Product")</x:f>
        <x:v>Analytics Plus</x:v>
      </x:c>
      <x:c r="S508" t="str">
        <x:f>IFERROR(XLOOKUP(F508,Lookups!$D$5:$D$10,Lookups!$F$5:$F$10),"Unknown")</x:f>
        <x:v>Analytics</x:v>
      </x:c>
      <x:c r="T508" t="str">
        <x:f>IF(L508&gt;=50000,"Enterprise",IF(L508&gt;=20000,"Mid-Market","SMB"))</x:f>
        <x:v>Enterprise</x:v>
      </x:c>
      <x:c r="U508" t="str">
        <x:f>IF(I508="Closed Won","Won",IF(I508="Closed Lost","Lost","Open"))</x:f>
        <x:v>Lost</x:v>
      </x:c>
      <x:c r="V508" s="22" t="n">
        <x:f>IF(U508="Won",L508*(1-M508),0)</x:f>
        <x:v>0</x:v>
      </x:c>
      <x:c r="W508" s="22" t="n">
        <x:f>IF(U508="Open",L508*N508,0)</x:f>
        <x:v>0</x:v>
      </x:c>
      <x:c r="X508" s="26" t="n">
        <x:f>IF(U508="Open","",IFERROR(K508-B508,""))</x:f>
        <x:v>99</x:v>
      </x:c>
      <x:c r="Y508" s="26" t="n">
        <x:f>IF(U508="Open",Lookups!$B$2-B508,X508)</x:f>
        <x:v>99</x:v>
      </x:c>
      <x:c r="Z508" t="str">
        <x:f>IF(AND(U508="Open",Y508&gt;30),"STALE","OK")</x:f>
        <x:v>OK</x:v>
      </x:c>
      <x:c r="AA508" t="str">
        <x:f>TEXT(B508,"yyyy-mm")</x:f>
        <x:v>2025-09</x:v>
      </x:c>
      <x:c r="AB508" t="str">
        <x:f>IF(K508="","",TEXT(K508,"yyyy-mm"))</x:f>
        <x:v>2025-12</x:v>
      </x:c>
      <x:c r="AC508" t="str">
        <x:f>"Q"&amp;ROUNDUP(MONTH(B508)/3,0)&amp;"-"&amp;YEAR(B508)</x:f>
        <x:v>Q3-2025</x:v>
      </x:c>
      <x:c r="AD508" s="26" t="n">
        <x:f>MIN(100,IF(H508="Enterprise",30,IF(H508="Mid-Market",22,14))+IF(T508="Enterprise",25,IF(T508="Mid-Market",18,10))+IF(Q508="Referral",25,IF(Q508="Organic Search",20,IF(Q508="Email",18,14)))+IF(G508="Technology",10,5))</x:f>
        <x:v>80</x:v>
      </x:c>
      <x:c r="AE508" t="str">
        <x:f>IF(U508&lt;&gt;"Open",U508,IF(N508&gt;=0.8,"Commit",IF(N508&gt;=0.5,"Best Case","Pipeline")))</x:f>
        <x:v>Lost</x:v>
      </x:c>
    </x:row>
    <x:row r="509">
      <x:c r="A509" t="str">
        <x:v>L00508</x:v>
      </x:c>
      <x:c r="B509" s="10" t="n">
        <x:v>45830</x:v>
      </x:c>
      <x:c r="C509" t="str">
        <x:v>Chi Le</x:v>
      </x:c>
      <x:c r="D509" t="str">
        <x:v>South</x:v>
      </x:c>
      <x:c r="E509" t="str">
        <x:v>google cpc</x:v>
      </x:c>
      <x:c r="F509" t="str">
        <x:v>CRM-PRO</x:v>
      </x:c>
      <x:c r="G509" t="str">
        <x:v>Healthcare</x:v>
      </x:c>
      <x:c r="H509" t="str">
        <x:v>Mid-Market</x:v>
      </x:c>
      <x:c r="I509" t="str">
        <x:v>Closed Lost</x:v>
      </x:c>
      <x:c r="J509" s="10" t="n">
        <x:v>45874</x:v>
      </x:c>
      <x:c r="K509" s="10" t="n">
        <x:v>45874</x:v>
      </x:c>
      <x:c r="L509" s="22" t="n">
        <x:v>42300</x:v>
      </x:c>
      <x:c r="M509" s="24" t="n">
        <x:v>0</x:v>
      </x:c>
      <x:c r="N509" s="24" t="n">
        <x:v>0</x:v>
      </x:c>
      <x:c r="O509" t="str">
        <x:v>Price</x:v>
      </x:c>
      <x:c r="P509" t="n">
        <x:v>4</x:v>
      </x:c>
      <x:c r="Q509" t="str">
        <x:f>IFERROR(XLOOKUP(E509,Lookups!$A$5:$A$24,Lookups!$B$5:$B$24),"Other")</x:f>
        <x:v>Paid Search</x:v>
      </x:c>
      <x:c r="R509" t="str">
        <x:f>IFERROR(XLOOKUP(F509,Lookups!$D$5:$D$10,Lookups!$E$5:$E$10),"Unknown Product")</x:f>
        <x:v>NexaCRM Pro</x:v>
      </x:c>
      <x:c r="S509" t="str">
        <x:f>IFERROR(XLOOKUP(F509,Lookups!$D$5:$D$10,Lookups!$F$5:$F$10),"Unknown")</x:f>
        <x:v>CRM</x:v>
      </x:c>
      <x:c r="T509" t="str">
        <x:f>IF(L509&gt;=50000,"Enterprise",IF(L509&gt;=20000,"Mid-Market","SMB"))</x:f>
        <x:v>Mid-Market</x:v>
      </x:c>
      <x:c r="U509" t="str">
        <x:f>IF(I509="Closed Won","Won",IF(I509="Closed Lost","Lost","Open"))</x:f>
        <x:v>Lost</x:v>
      </x:c>
      <x:c r="V509" s="22" t="n">
        <x:f>IF(U509="Won",L509*(1-M509),0)</x:f>
        <x:v>0</x:v>
      </x:c>
      <x:c r="W509" s="22" t="n">
        <x:f>IF(U509="Open",L509*N509,0)</x:f>
        <x:v>0</x:v>
      </x:c>
      <x:c r="X509" s="26" t="n">
        <x:f>IF(U509="Open","",IFERROR(K509-B509,""))</x:f>
        <x:v>44</x:v>
      </x:c>
      <x:c r="Y509" s="26" t="n">
        <x:f>IF(U509="Open",Lookups!$B$2-B509,X509)</x:f>
        <x:v>44</x:v>
      </x:c>
      <x:c r="Z509" t="str">
        <x:f>IF(AND(U509="Open",Y509&gt;30),"STALE","OK")</x:f>
        <x:v>OK</x:v>
      </x:c>
      <x:c r="AA509" t="str">
        <x:f>TEXT(B509,"yyyy-mm")</x:f>
        <x:v>2025-06</x:v>
      </x:c>
      <x:c r="AB509" t="str">
        <x:f>IF(K509="","",TEXT(K509,"yyyy-mm"))</x:f>
        <x:v>2025-08</x:v>
      </x:c>
      <x:c r="AC509" t="str">
        <x:f>"Q"&amp;ROUNDUP(MONTH(B509)/3,0)&amp;"-"&amp;YEAR(B509)</x:f>
        <x:v>Q2-2025</x:v>
      </x:c>
      <x:c r="AD509" s="26" t="n">
        <x:f>MIN(100,IF(H509="Enterprise",30,IF(H509="Mid-Market",22,14))+IF(T509="Enterprise",25,IF(T509="Mid-Market",18,10))+IF(Q509="Referral",25,IF(Q509="Organic Search",20,IF(Q509="Email",18,14)))+IF(G509="Technology",10,5))</x:f>
        <x:v>59</x:v>
      </x:c>
      <x:c r="AE509" t="str">
        <x:f>IF(U509&lt;&gt;"Open",U509,IF(N509&gt;=0.8,"Commit",IF(N509&gt;=0.5,"Best Case","Pipeline")))</x:f>
        <x:v>Lost</x:v>
      </x:c>
    </x:row>
    <x:row r="510">
      <x:c r="A510" t="str">
        <x:v>L00509</x:v>
      </x:c>
      <x:c r="B510" s="10" t="n">
        <x:v>45864</x:v>
      </x:c>
      <x:c r="C510" t="str">
        <x:v>Minh Do</x:v>
      </x:c>
      <x:c r="D510" t="str">
        <x:v>North</x:v>
      </x:c>
      <x:c r="E510" t="str">
        <x:v>newsletter</x:v>
      </x:c>
      <x:c r="F510" t="str">
        <x:v>CRM-CORE</x:v>
      </x:c>
      <x:c r="G510" t="str">
        <x:v>Financial Services</x:v>
      </x:c>
      <x:c r="H510" t="str">
        <x:v>Mid-Market</x:v>
      </x:c>
      <x:c r="I510" t="str">
        <x:v>Closed Lost</x:v>
      </x:c>
      <x:c r="J510" s="10" t="n">
        <x:v>45905</x:v>
      </x:c>
      <x:c r="K510" s="10" t="n">
        <x:v>45905</x:v>
      </x:c>
      <x:c r="L510" s="22" t="n">
        <x:v>18600</x:v>
      </x:c>
      <x:c r="M510" s="24" t="n">
        <x:v>0</x:v>
      </x:c>
      <x:c r="N510" s="24" t="n">
        <x:v>0</x:v>
      </x:c>
      <x:c r="O510" t="str">
        <x:v>Feature Gap</x:v>
      </x:c>
      <x:c r="P510" t="n">
        <x:v>4</x:v>
      </x:c>
      <x:c r="Q510" t="str">
        <x:f>IFERROR(XLOOKUP(E510,Lookups!$A$5:$A$24,Lookups!$B$5:$B$24),"Other")</x:f>
        <x:v>Email</x:v>
      </x:c>
      <x:c r="R510" t="str">
        <x:f>IFERROR(XLOOKUP(F510,Lookups!$D$5:$D$10,Lookups!$E$5:$E$10),"Unknown Product")</x:f>
        <x:v>NexaCRM Core</x:v>
      </x:c>
      <x:c r="S510" t="str">
        <x:f>IFERROR(XLOOKUP(F510,Lookups!$D$5:$D$10,Lookups!$F$5:$F$10),"Unknown")</x:f>
        <x:v>CRM</x:v>
      </x:c>
      <x:c r="T510" t="str">
        <x:f>IF(L510&gt;=50000,"Enterprise",IF(L510&gt;=20000,"Mid-Market","SMB"))</x:f>
        <x:v>SMB</x:v>
      </x:c>
      <x:c r="U510" t="str">
        <x:f>IF(I510="Closed Won","Won",IF(I510="Closed Lost","Lost","Open"))</x:f>
        <x:v>Lost</x:v>
      </x:c>
      <x:c r="V510" s="22" t="n">
        <x:f>IF(U510="Won",L510*(1-M510),0)</x:f>
        <x:v>0</x:v>
      </x:c>
      <x:c r="W510" s="22" t="n">
        <x:f>IF(U510="Open",L510*N510,0)</x:f>
        <x:v>0</x:v>
      </x:c>
      <x:c r="X510" s="26" t="n">
        <x:f>IF(U510="Open","",IFERROR(K510-B510,""))</x:f>
        <x:v>41</x:v>
      </x:c>
      <x:c r="Y510" s="26" t="n">
        <x:f>IF(U510="Open",Lookups!$B$2-B510,X510)</x:f>
        <x:v>41</x:v>
      </x:c>
      <x:c r="Z510" t="str">
        <x:f>IF(AND(U510="Open",Y510&gt;30),"STALE","OK")</x:f>
        <x:v>OK</x:v>
      </x:c>
      <x:c r="AA510" t="str">
        <x:f>TEXT(B510,"yyyy-mm")</x:f>
        <x:v>2025-07</x:v>
      </x:c>
      <x:c r="AB510" t="str">
        <x:f>IF(K510="","",TEXT(K510,"yyyy-mm"))</x:f>
        <x:v>2025-09</x:v>
      </x:c>
      <x:c r="AC510" t="str">
        <x:f>"Q"&amp;ROUNDUP(MONTH(B510)/3,0)&amp;"-"&amp;YEAR(B510)</x:f>
        <x:v>Q3-2025</x:v>
      </x:c>
      <x:c r="AD510" s="26" t="n">
        <x:f>MIN(100,IF(H510="Enterprise",30,IF(H510="Mid-Market",22,14))+IF(T510="Enterprise",25,IF(T510="Mid-Market",18,10))+IF(Q510="Referral",25,IF(Q510="Organic Search",20,IF(Q510="Email",18,14)))+IF(G510="Technology",10,5))</x:f>
        <x:v>55</x:v>
      </x:c>
      <x:c r="AE510" t="str">
        <x:f>IF(U510&lt;&gt;"Open",U510,IF(N510&gt;=0.8,"Commit",IF(N510&gt;=0.5,"Best Case","Pipeline")))</x:f>
        <x:v>Lost</x:v>
      </x:c>
    </x:row>
    <x:row r="511">
      <x:c r="A511" t="str">
        <x:v>L00510</x:v>
      </x:c>
      <x:c r="B511" s="10" t="n">
        <x:v>46217</x:v>
      </x:c>
      <x:c r="C511" t="str">
        <x:v>Bao Tran</x:v>
      </x:c>
      <x:c r="D511" t="str">
        <x:v>South</x:v>
      </x:c>
      <x:c r="E511" t="str">
        <x:v>newsletter</x:v>
      </x:c>
      <x:c r="F511" t="str">
        <x:v>CS-CLOUD</x:v>
      </x:c>
      <x:c r="G511" t="str">
        <x:v>Professional Services</x:v>
      </x:c>
      <x:c r="H511" t="str">
        <x:v>SMB</x:v>
      </x:c>
      <x:c r="I511" t="str">
        <x:v>Closed Lost</x:v>
      </x:c>
      <x:c r="J511" s="10" t="n">
        <x:v>46266</x:v>
      </x:c>
      <x:c r="K511" s="10" t="n">
        <x:v>46266</x:v>
      </x:c>
      <x:c r="L511" s="22" t="n">
        <x:v>13000</x:v>
      </x:c>
      <x:c r="M511" s="24" t="n">
        <x:v>0</x:v>
      </x:c>
      <x:c r="N511" s="24" t="n">
        <x:v>0</x:v>
      </x:c>
      <x:c r="O511" t="str">
        <x:v>Price</x:v>
      </x:c>
      <x:c r="P511" t="n">
        <x:v>4</x:v>
      </x:c>
      <x:c r="Q511" t="str">
        <x:f>IFERROR(XLOOKUP(E511,Lookups!$A$5:$A$24,Lookups!$B$5:$B$24),"Other")</x:f>
        <x:v>Email</x:v>
      </x:c>
      <x:c r="R511" t="str">
        <x:f>IFERROR(XLOOKUP(F511,Lookups!$D$5:$D$10,Lookups!$E$5:$E$10),"Unknown Product")</x:f>
        <x:v>Service Cloud</x:v>
      </x:c>
      <x:c r="S511" t="str">
        <x:f>IFERROR(XLOOKUP(F511,Lookups!$D$5:$D$10,Lookups!$F$5:$F$10),"Unknown")</x:f>
        <x:v>Customer Service</x:v>
      </x:c>
      <x:c r="T511" t="str">
        <x:f>IF(L511&gt;=50000,"Enterprise",IF(L511&gt;=20000,"Mid-Market","SMB"))</x:f>
        <x:v>SMB</x:v>
      </x:c>
      <x:c r="U511" t="str">
        <x:f>IF(I511="Closed Won","Won",IF(I511="Closed Lost","Lost","Open"))</x:f>
        <x:v>Lost</x:v>
      </x:c>
      <x:c r="V511" s="22" t="n">
        <x:f>IF(U511="Won",L511*(1-M511),0)</x:f>
        <x:v>0</x:v>
      </x:c>
      <x:c r="W511" s="22" t="n">
        <x:f>IF(U511="Open",L511*N511,0)</x:f>
        <x:v>0</x:v>
      </x:c>
      <x:c r="X511" s="26" t="n">
        <x:f>IF(U511="Open","",IFERROR(K511-B511,""))</x:f>
        <x:v>49</x:v>
      </x:c>
      <x:c r="Y511" s="26" t="n">
        <x:f>IF(U511="Open",Lookups!$B$2-B511,X511)</x:f>
        <x:v>49</x:v>
      </x:c>
      <x:c r="Z511" t="str">
        <x:f>IF(AND(U511="Open",Y511&gt;30),"STALE","OK")</x:f>
        <x:v>OK</x:v>
      </x:c>
      <x:c r="AA511" t="str">
        <x:f>TEXT(B511,"yyyy-mm")</x:f>
        <x:v>2026-07</x:v>
      </x:c>
      <x:c r="AB511" t="str">
        <x:f>IF(K511="","",TEXT(K511,"yyyy-mm"))</x:f>
        <x:v>2026-09</x:v>
      </x:c>
      <x:c r="AC511" t="str">
        <x:f>"Q"&amp;ROUNDUP(MONTH(B511)/3,0)&amp;"-"&amp;YEAR(B511)</x:f>
        <x:v>Q3-2026</x:v>
      </x:c>
      <x:c r="AD511" s="26" t="n">
        <x:f>MIN(100,IF(H511="Enterprise",30,IF(H511="Mid-Market",22,14))+IF(T511="Enterprise",25,IF(T511="Mid-Market",18,10))+IF(Q511="Referral",25,IF(Q511="Organic Search",20,IF(Q511="Email",18,14)))+IF(G511="Technology",10,5))</x:f>
        <x:v>47</x:v>
      </x:c>
      <x:c r="AE511" t="str">
        <x:f>IF(U511&lt;&gt;"Open",U511,IF(N511&gt;=0.8,"Commit",IF(N511&gt;=0.5,"Best Case","Pipeline")))</x:f>
        <x:v>Lost</x:v>
      </x:c>
    </x:row>
    <x:row r="512">
      <x:c r="A512" t="str">
        <x:v>L00511</x:v>
      </x:c>
      <x:c r="B512" s="10" t="n">
        <x:v>46226</x:v>
      </x:c>
      <x:c r="C512" t="str">
        <x:v>Minh Do</x:v>
      </x:c>
      <x:c r="D512" t="str">
        <x:v>North</x:v>
      </x:c>
      <x:c r="E512" t="str">
        <x:v>SEO</x:v>
      </x:c>
      <x:c r="F512" t="str">
        <x:v>CRM-PRO</x:v>
      </x:c>
      <x:c r="G512" t="str">
        <x:v>Financial Services</x:v>
      </x:c>
      <x:c r="H512" t="str">
        <x:v>SMB</x:v>
      </x:c>
      <x:c r="I512" t="str">
        <x:v>Closed Lost</x:v>
      </x:c>
      <x:c r="J512" s="10" t="n">
        <x:v>46266</x:v>
      </x:c>
      <x:c r="K512" s="10" t="n">
        <x:v>46266</x:v>
      </x:c>
      <x:c r="L512" s="22" t="n">
        <x:v>16600</x:v>
      </x:c>
      <x:c r="M512" s="24" t="n">
        <x:v>0</x:v>
      </x:c>
      <x:c r="N512" s="24" t="n">
        <x:v>0</x:v>
      </x:c>
      <x:c r="O512" t="str">
        <x:v>Competitor</x:v>
      </x:c>
      <x:c r="P512" t="n">
        <x:v>4</x:v>
      </x:c>
      <x:c r="Q512" t="str">
        <x:f>IFERROR(XLOOKUP(E512,Lookups!$A$5:$A$24,Lookups!$B$5:$B$24),"Other")</x:f>
        <x:v>Organic Search</x:v>
      </x:c>
      <x:c r="R512" t="str">
        <x:f>IFERROR(XLOOKUP(F512,Lookups!$D$5:$D$10,Lookups!$E$5:$E$10),"Unknown Product")</x:f>
        <x:v>NexaCRM Pro</x:v>
      </x:c>
      <x:c r="S512" t="str">
        <x:f>IFERROR(XLOOKUP(F512,Lookups!$D$5:$D$10,Lookups!$F$5:$F$10),"Unknown")</x:f>
        <x:v>CRM</x:v>
      </x:c>
      <x:c r="T512" t="str">
        <x:f>IF(L512&gt;=50000,"Enterprise",IF(L512&gt;=20000,"Mid-Market","SMB"))</x:f>
        <x:v>SMB</x:v>
      </x:c>
      <x:c r="U512" t="str">
        <x:f>IF(I512="Closed Won","Won",IF(I512="Closed Lost","Lost","Open"))</x:f>
        <x:v>Lost</x:v>
      </x:c>
      <x:c r="V512" s="22" t="n">
        <x:f>IF(U512="Won",L512*(1-M512),0)</x:f>
        <x:v>0</x:v>
      </x:c>
      <x:c r="W512" s="22" t="n">
        <x:f>IF(U512="Open",L512*N512,0)</x:f>
        <x:v>0</x:v>
      </x:c>
      <x:c r="X512" s="26" t="n">
        <x:f>IF(U512="Open","",IFERROR(K512-B512,""))</x:f>
        <x:v>40</x:v>
      </x:c>
      <x:c r="Y512" s="26" t="n">
        <x:f>IF(U512="Open",Lookups!$B$2-B512,X512)</x:f>
        <x:v>40</x:v>
      </x:c>
      <x:c r="Z512" t="str">
        <x:f>IF(AND(U512="Open",Y512&gt;30),"STALE","OK")</x:f>
        <x:v>OK</x:v>
      </x:c>
      <x:c r="AA512" t="str">
        <x:f>TEXT(B512,"yyyy-mm")</x:f>
        <x:v>2026-07</x:v>
      </x:c>
      <x:c r="AB512" t="str">
        <x:f>IF(K512="","",TEXT(K512,"yyyy-mm"))</x:f>
        <x:v>2026-09</x:v>
      </x:c>
      <x:c r="AC512" t="str">
        <x:f>"Q"&amp;ROUNDUP(MONTH(B512)/3,0)&amp;"-"&amp;YEAR(B512)</x:f>
        <x:v>Q3-2026</x:v>
      </x:c>
      <x:c r="AD512" s="26" t="n">
        <x:f>MIN(100,IF(H512="Enterprise",30,IF(H512="Mid-Market",22,14))+IF(T512="Enterprise",25,IF(T512="Mid-Market",18,10))+IF(Q512="Referral",25,IF(Q512="Organic Search",20,IF(Q512="Email",18,14)))+IF(G512="Technology",10,5))</x:f>
        <x:v>49</x:v>
      </x:c>
      <x:c r="AE512" t="str">
        <x:f>IF(U512&lt;&gt;"Open",U512,IF(N512&gt;=0.8,"Commit",IF(N512&gt;=0.5,"Best Case","Pipeline")))</x:f>
        <x:v>Lost</x:v>
      </x:c>
    </x:row>
    <x:row r="513">
      <x:c r="A513" t="str">
        <x:v>L00512</x:v>
      </x:c>
      <x:c r="B513" s="10" t="n">
        <x:v>45765</x:v>
      </x:c>
      <x:c r="C513" t="str">
        <x:v>Minh Do</x:v>
      </x:c>
      <x:c r="D513" t="str">
        <x:v>North</x:v>
      </x:c>
      <x:c r="E513" t="str">
        <x:v>LinkedIn Ads</x:v>
      </x:c>
      <x:c r="F513" t="str">
        <x:v>REV-OPS</x:v>
      </x:c>
      <x:c r="G513" t="str">
        <x:v>Manufacturing</x:v>
      </x:c>
      <x:c r="H513" t="str">
        <x:v>Mid-Market</x:v>
      </x:c>
      <x:c r="I513" t="str">
        <x:v>Closed Won</x:v>
      </x:c>
      <x:c r="J513" s="10" t="n">
        <x:v>45783</x:v>
      </x:c>
      <x:c r="K513" s="10" t="n">
        <x:v>45783</x:v>
      </x:c>
      <x:c r="L513" s="22" t="n">
        <x:v>74500</x:v>
      </x:c>
      <x:c r="M513" s="24" t="n">
        <x:v>0.12</x:v>
      </x:c>
      <x:c r="N513" s="24" t="n">
        <x:v>1</x:v>
      </x:c>
      <x:c r="O513" t="str"/>
      <x:c r="P513" t="n">
        <x:v>6</x:v>
      </x:c>
      <x:c r="Q513" t="str">
        <x:f>IFERROR(XLOOKUP(E513,Lookups!$A$5:$A$24,Lookups!$B$5:$B$24),"Other")</x:f>
        <x:v>LinkedIn</x:v>
      </x:c>
      <x:c r="R513" t="str">
        <x:f>IFERROR(XLOOKUP(F513,Lookups!$D$5:$D$10,Lookups!$E$5:$E$10),"Unknown Product")</x:f>
        <x:v>Revenue Operations Suite</x:v>
      </x:c>
      <x:c r="S513" t="str">
        <x:f>IFERROR(XLOOKUP(F513,Lookups!$D$5:$D$10,Lookups!$F$5:$F$10),"Unknown")</x:f>
        <x:v>Revenue Ops</x:v>
      </x:c>
      <x:c r="T513" t="str">
        <x:f>IF(L513&gt;=50000,"Enterprise",IF(L513&gt;=20000,"Mid-Market","SMB"))</x:f>
        <x:v>Enterprise</x:v>
      </x:c>
      <x:c r="U513" t="str">
        <x:f>IF(I513="Closed Won","Won",IF(I513="Closed Lost","Lost","Open"))</x:f>
        <x:v>Won</x:v>
      </x:c>
      <x:c r="V513" s="22" t="n">
        <x:f>IF(U513="Won",L513*(1-M513),0)</x:f>
        <x:v>65560</x:v>
      </x:c>
      <x:c r="W513" s="22" t="n">
        <x:f>IF(U513="Open",L513*N513,0)</x:f>
        <x:v>0</x:v>
      </x:c>
      <x:c r="X513" s="26" t="n">
        <x:f>IF(U513="Open","",IFERROR(K513-B513,""))</x:f>
        <x:v>18</x:v>
      </x:c>
      <x:c r="Y513" s="26" t="n">
        <x:f>IF(U513="Open",Lookups!$B$2-B513,X513)</x:f>
        <x:v>18</x:v>
      </x:c>
      <x:c r="Z513" t="str">
        <x:f>IF(AND(U513="Open",Y513&gt;30),"STALE","OK")</x:f>
        <x:v>OK</x:v>
      </x:c>
      <x:c r="AA513" t="str">
        <x:f>TEXT(B513,"yyyy-mm")</x:f>
        <x:v>2025-04</x:v>
      </x:c>
      <x:c r="AB513" t="str">
        <x:f>IF(K513="","",TEXT(K513,"yyyy-mm"))</x:f>
        <x:v>2025-05</x:v>
      </x:c>
      <x:c r="AC513" t="str">
        <x:f>"Q"&amp;ROUNDUP(MONTH(B513)/3,0)&amp;"-"&amp;YEAR(B513)</x:f>
        <x:v>Q2-2025</x:v>
      </x:c>
      <x:c r="AD513" s="26" t="n">
        <x:f>MIN(100,IF(H513="Enterprise",30,IF(H513="Mid-Market",22,14))+IF(T513="Enterprise",25,IF(T513="Mid-Market",18,10))+IF(Q513="Referral",25,IF(Q513="Organic Search",20,IF(Q513="Email",18,14)))+IF(G513="Technology",10,5))</x:f>
        <x:v>66</x:v>
      </x:c>
      <x:c r="AE513" t="str">
        <x:f>IF(U513&lt;&gt;"Open",U513,IF(N513&gt;=0.8,"Commit",IF(N513&gt;=0.5,"Best Case","Pipeline")))</x:f>
        <x:v>Won</x:v>
      </x:c>
    </x:row>
    <x:row r="514">
      <x:c r="A514" t="str">
        <x:v>L00513</x:v>
      </x:c>
      <x:c r="B514" s="10" t="n">
        <x:v>46225</x:v>
      </x:c>
      <x:c r="C514" t="str">
        <x:v>An Nguyen</x:v>
      </x:c>
      <x:c r="D514" t="str">
        <x:v>South</x:v>
      </x:c>
      <x:c r="E514" t="str">
        <x:v>Referral</x:v>
      </x:c>
      <x:c r="F514" t="str">
        <x:v>MKT-AUTO</x:v>
      </x:c>
      <x:c r="G514" t="str">
        <x:v>Education</x:v>
      </x:c>
      <x:c r="H514" t="str">
        <x:v>Mid-Market</x:v>
      </x:c>
      <x:c r="I514" t="str">
        <x:v>Qualified</x:v>
      </x:c>
      <x:c r="J514" s="10" t="n">
        <x:v>46260</x:v>
      </x:c>
      <x:c r="K514" s="10"/>
      <x:c r="L514" s="22" t="n">
        <x:v>17000</x:v>
      </x:c>
      <x:c r="M514" s="24" t="n">
        <x:v>0</x:v>
      </x:c>
      <x:c r="N514" s="24" t="n">
        <x:v>0.2</x:v>
      </x:c>
      <x:c r="O514" t="str"/>
      <x:c r="P514" t="n">
        <x:v>2</x:v>
      </x:c>
      <x:c r="Q514" t="str">
        <x:f>IFERROR(XLOOKUP(E514,Lookups!$A$5:$A$24,Lookups!$B$5:$B$24),"Other")</x:f>
        <x:v>Referral</x:v>
      </x:c>
      <x:c r="R514" t="str">
        <x:f>IFERROR(XLOOKUP(F514,Lookups!$D$5:$D$10,Lookups!$E$5:$E$10),"Unknown Product")</x:f>
        <x:v>Marketing Automation</x:v>
      </x:c>
      <x:c r="S514" t="str">
        <x:f>IFERROR(XLOOKUP(F514,Lookups!$D$5:$D$10,Lookups!$F$5:$F$10),"Unknown")</x:f>
        <x:v>Marketing</x:v>
      </x:c>
      <x:c r="T514" t="str">
        <x:f>IF(L514&gt;=50000,"Enterprise",IF(L514&gt;=20000,"Mid-Market","SMB"))</x:f>
        <x:v>SMB</x:v>
      </x:c>
      <x:c r="U514" t="str">
        <x:f>IF(I514="Closed Won","Won",IF(I514="Closed Lost","Lost","Open"))</x:f>
        <x:v>Open</x:v>
      </x:c>
      <x:c r="V514" s="22" t="n">
        <x:f>IF(U514="Won",L514*(1-M514),0)</x:f>
        <x:v>0</x:v>
      </x:c>
      <x:c r="W514" s="22" t="n">
        <x:f>IF(U514="Open",L514*N514,0)</x:f>
        <x:v>3400</x:v>
      </x:c>
      <x:c r="X514" s="26" t="str">
        <x:f>IF(U514="Open","",IFERROR(K514-B514,""))</x:f>
      </x:c>
      <x:c r="Y514" s="26" t="n">
        <x:f>IF(U514="Open",Lookups!$B$2-B514,X514)</x:f>
        <x:v>41</x:v>
      </x:c>
      <x:c r="Z514" t="str">
        <x:f>IF(AND(U514="Open",Y514&gt;30),"STALE","OK")</x:f>
        <x:v>STALE</x:v>
      </x:c>
      <x:c r="AA514" t="str">
        <x:f>TEXT(B514,"yyyy-mm")</x:f>
        <x:v>2026-07</x:v>
      </x:c>
      <x:c r="AB514" t="str">
        <x:f>IF(K514="","",TEXT(K514,"yyyy-mm"))</x:f>
      </x:c>
      <x:c r="AC514" t="str">
        <x:f>"Q"&amp;ROUNDUP(MONTH(B514)/3,0)&amp;"-"&amp;YEAR(B514)</x:f>
        <x:v>Q3-2026</x:v>
      </x:c>
      <x:c r="AD514" s="26" t="n">
        <x:f>MIN(100,IF(H514="Enterprise",30,IF(H514="Mid-Market",22,14))+IF(T514="Enterprise",25,IF(T514="Mid-Market",18,10))+IF(Q514="Referral",25,IF(Q514="Organic Search",20,IF(Q514="Email",18,14)))+IF(G514="Technology",10,5))</x:f>
        <x:v>62</x:v>
      </x:c>
      <x:c r="AE514" t="str">
        <x:f>IF(U514&lt;&gt;"Open",U514,IF(N514&gt;=0.8,"Commit",IF(N514&gt;=0.5,"Best Case","Pipeline")))</x:f>
        <x:v>Pipeline</x:v>
      </x:c>
    </x:row>
    <x:row r="515">
      <x:c r="A515" t="str">
        <x:v>L00514</x:v>
      </x:c>
      <x:c r="B515" s="10" t="n">
        <x:v>45916</x:v>
      </x:c>
      <x:c r="C515" t="str">
        <x:v>Duy Pham</x:v>
      </x:c>
      <x:c r="D515" t="str">
        <x:v>South</x:v>
      </x:c>
      <x:c r="E515" t="str">
        <x:v>Google Ads</x:v>
      </x:c>
      <x:c r="F515" t="str">
        <x:v>MKT-AUTO</x:v>
      </x:c>
      <x:c r="G515" t="str">
        <x:v>Manufacturing</x:v>
      </x:c>
      <x:c r="H515" t="str">
        <x:v>SMB</x:v>
      </x:c>
      <x:c r="I515" t="str">
        <x:v>Closed Lost</x:v>
      </x:c>
      <x:c r="J515" s="10" t="n">
        <x:v>45996</x:v>
      </x:c>
      <x:c r="K515" s="10" t="n">
        <x:v>45996</x:v>
      </x:c>
      <x:c r="L515" s="22" t="n">
        <x:v>12600</x:v>
      </x:c>
      <x:c r="M515" s="24" t="n">
        <x:v>0</x:v>
      </x:c>
      <x:c r="N515" s="24" t="n">
        <x:v>0</x:v>
      </x:c>
      <x:c r="O515" t="str">
        <x:v>Competitor</x:v>
      </x:c>
      <x:c r="P515" t="n">
        <x:v>3</x:v>
      </x:c>
      <x:c r="Q515" t="str">
        <x:f>IFERROR(XLOOKUP(E515,Lookups!$A$5:$A$24,Lookups!$B$5:$B$24),"Other")</x:f>
        <x:v>Paid Search</x:v>
      </x:c>
      <x:c r="R515" t="str">
        <x:f>IFERROR(XLOOKUP(F515,Lookups!$D$5:$D$10,Lookups!$E$5:$E$10),"Unknown Product")</x:f>
        <x:v>Marketing Automation</x:v>
      </x:c>
      <x:c r="S515" t="str">
        <x:f>IFERROR(XLOOKUP(F515,Lookups!$D$5:$D$10,Lookups!$F$5:$F$10),"Unknown")</x:f>
        <x:v>Marketing</x:v>
      </x:c>
      <x:c r="T515" t="str">
        <x:f>IF(L515&gt;=50000,"Enterprise",IF(L515&gt;=20000,"Mid-Market","SMB"))</x:f>
        <x:v>SMB</x:v>
      </x:c>
      <x:c r="U515" t="str">
        <x:f>IF(I515="Closed Won","Won",IF(I515="Closed Lost","Lost","Open"))</x:f>
        <x:v>Lost</x:v>
      </x:c>
      <x:c r="V515" s="22" t="n">
        <x:f>IF(U515="Won",L515*(1-M515),0)</x:f>
        <x:v>0</x:v>
      </x:c>
      <x:c r="W515" s="22" t="n">
        <x:f>IF(U515="Open",L515*N515,0)</x:f>
        <x:v>0</x:v>
      </x:c>
      <x:c r="X515" s="26" t="n">
        <x:f>IF(U515="Open","",IFERROR(K515-B515,""))</x:f>
        <x:v>80</x:v>
      </x:c>
      <x:c r="Y515" s="26" t="n">
        <x:f>IF(U515="Open",Lookups!$B$2-B515,X515)</x:f>
        <x:v>80</x:v>
      </x:c>
      <x:c r="Z515" t="str">
        <x:f>IF(AND(U515="Open",Y515&gt;30),"STALE","OK")</x:f>
        <x:v>OK</x:v>
      </x:c>
      <x:c r="AA515" t="str">
        <x:f>TEXT(B515,"yyyy-mm")</x:f>
        <x:v>2025-09</x:v>
      </x:c>
      <x:c r="AB515" t="str">
        <x:f>IF(K515="","",TEXT(K515,"yyyy-mm"))</x:f>
        <x:v>2025-12</x:v>
      </x:c>
      <x:c r="AC515" t="str">
        <x:f>"Q"&amp;ROUNDUP(MONTH(B515)/3,0)&amp;"-"&amp;YEAR(B515)</x:f>
        <x:v>Q3-2025</x:v>
      </x:c>
      <x:c r="AD515" s="26" t="n">
        <x:f>MIN(100,IF(H515="Enterprise",30,IF(H515="Mid-Market",22,14))+IF(T515="Enterprise",25,IF(T515="Mid-Market",18,10))+IF(Q515="Referral",25,IF(Q515="Organic Search",20,IF(Q515="Email",18,14)))+IF(G515="Technology",10,5))</x:f>
        <x:v>43</x:v>
      </x:c>
      <x:c r="AE515" t="str">
        <x:f>IF(U515&lt;&gt;"Open",U515,IF(N515&gt;=0.8,"Commit",IF(N515&gt;=0.5,"Best Case","Pipeline")))</x:f>
        <x:v>Lost</x:v>
      </x:c>
    </x:row>
    <x:row r="516">
      <x:c r="A516" t="str">
        <x:v>L00515</x:v>
      </x:c>
      <x:c r="B516" s="10" t="n">
        <x:v>46106</x:v>
      </x:c>
      <x:c r="C516" t="str">
        <x:v>Quynh Vu</x:v>
      </x:c>
      <x:c r="D516" t="str">
        <x:v>North</x:v>
      </x:c>
      <x:c r="E516" t="str">
        <x:v>Partner Referral</x:v>
      </x:c>
      <x:c r="F516" t="str">
        <x:v>CRM-CORE</x:v>
      </x:c>
      <x:c r="G516" t="str">
        <x:v>Manufacturing</x:v>
      </x:c>
      <x:c r="H516" t="str">
        <x:v>SMB</x:v>
      </x:c>
      <x:c r="I516" t="str">
        <x:v>Closed Lost</x:v>
      </x:c>
      <x:c r="J516" s="10" t="n">
        <x:v>46119</x:v>
      </x:c>
      <x:c r="K516" s="10" t="n">
        <x:v>46119</x:v>
      </x:c>
      <x:c r="L516" s="22" t="n">
        <x:v>5000</x:v>
      </x:c>
      <x:c r="M516" s="24" t="n">
        <x:v>0</x:v>
      </x:c>
      <x:c r="N516" s="24" t="n">
        <x:v>0</x:v>
      </x:c>
      <x:c r="O516" t="str">
        <x:v>No Decision</x:v>
      </x:c>
      <x:c r="P516" t="n">
        <x:v>2</x:v>
      </x:c>
      <x:c r="Q516" t="str">
        <x:f>IFERROR(XLOOKUP(E516,Lookups!$A$5:$A$24,Lookups!$B$5:$B$24),"Other")</x:f>
        <x:v>Referral</x:v>
      </x:c>
      <x:c r="R516" t="str">
        <x:f>IFERROR(XLOOKUP(F516,Lookups!$D$5:$D$10,Lookups!$E$5:$E$10),"Unknown Product")</x:f>
        <x:v>NexaCRM Core</x:v>
      </x:c>
      <x:c r="S516" t="str">
        <x:f>IFERROR(XLOOKUP(F516,Lookups!$D$5:$D$10,Lookups!$F$5:$F$10),"Unknown")</x:f>
        <x:v>CRM</x:v>
      </x:c>
      <x:c r="T516" t="str">
        <x:f>IF(L516&gt;=50000,"Enterprise",IF(L516&gt;=20000,"Mid-Market","SMB"))</x:f>
        <x:v>SMB</x:v>
      </x:c>
      <x:c r="U516" t="str">
        <x:f>IF(I516="Closed Won","Won",IF(I516="Closed Lost","Lost","Open"))</x:f>
        <x:v>Lost</x:v>
      </x:c>
      <x:c r="V516" s="22" t="n">
        <x:f>IF(U516="Won",L516*(1-M516),0)</x:f>
        <x:v>0</x:v>
      </x:c>
      <x:c r="W516" s="22" t="n">
        <x:f>IF(U516="Open",L516*N516,0)</x:f>
        <x:v>0</x:v>
      </x:c>
      <x:c r="X516" s="26" t="n">
        <x:f>IF(U516="Open","",IFERROR(K516-B516,""))</x:f>
        <x:v>13</x:v>
      </x:c>
      <x:c r="Y516" s="26" t="n">
        <x:f>IF(U516="Open",Lookups!$B$2-B516,X516)</x:f>
        <x:v>13</x:v>
      </x:c>
      <x:c r="Z516" t="str">
        <x:f>IF(AND(U516="Open",Y516&gt;30),"STALE","OK")</x:f>
        <x:v>OK</x:v>
      </x:c>
      <x:c r="AA516" t="str">
        <x:f>TEXT(B516,"yyyy-mm")</x:f>
        <x:v>2026-03</x:v>
      </x:c>
      <x:c r="AB516" t="str">
        <x:f>IF(K516="","",TEXT(K516,"yyyy-mm"))</x:f>
        <x:v>2026-04</x:v>
      </x:c>
      <x:c r="AC516" t="str">
        <x:f>"Q"&amp;ROUNDUP(MONTH(B516)/3,0)&amp;"-"&amp;YEAR(B516)</x:f>
        <x:v>Q1-2026</x:v>
      </x:c>
      <x:c r="AD516" s="26" t="n">
        <x:f>MIN(100,IF(H516="Enterprise",30,IF(H516="Mid-Market",22,14))+IF(T516="Enterprise",25,IF(T516="Mid-Market",18,10))+IF(Q516="Referral",25,IF(Q516="Organic Search",20,IF(Q516="Email",18,14)))+IF(G516="Technology",10,5))</x:f>
        <x:v>54</x:v>
      </x:c>
      <x:c r="AE516" t="str">
        <x:f>IF(U516&lt;&gt;"Open",U516,IF(N516&gt;=0.8,"Commit",IF(N516&gt;=0.5,"Best Case","Pipeline")))</x:f>
        <x:v>Lost</x:v>
      </x:c>
    </x:row>
    <x:row r="517">
      <x:c r="A517" t="str">
        <x:v>L00516</x:v>
      </x:c>
      <x:c r="B517" s="10" t="n">
        <x:v>46196</x:v>
      </x:c>
      <x:c r="C517" t="str">
        <x:v>Bao Tran</x:v>
      </x:c>
      <x:c r="D517" t="str">
        <x:v>South</x:v>
      </x:c>
      <x:c r="E517" t="str">
        <x:v>customer referral</x:v>
      </x:c>
      <x:c r="F517" t="str">
        <x:v>CS-CLOUD</x:v>
      </x:c>
      <x:c r="G517" t="str">
        <x:v>Financial Services</x:v>
      </x:c>
      <x:c r="H517" t="str">
        <x:v>SMB</x:v>
      </x:c>
      <x:c r="I517" t="str">
        <x:v>Demo / Meeting</x:v>
      </x:c>
      <x:c r="J517" s="10" t="n">
        <x:v>46253</x:v>
      </x:c>
      <x:c r="K517" s="10"/>
      <x:c r="L517" s="22" t="n">
        <x:v>13600</x:v>
      </x:c>
      <x:c r="M517" s="24" t="n">
        <x:v>0</x:v>
      </x:c>
      <x:c r="N517" s="24" t="n">
        <x:v>0.4</x:v>
      </x:c>
      <x:c r="O517" t="str"/>
      <x:c r="P517" t="n">
        <x:v>3</x:v>
      </x:c>
      <x:c r="Q517" t="str">
        <x:f>IFERROR(XLOOKUP(E517,Lookups!$A$5:$A$24,Lookups!$B$5:$B$24),"Other")</x:f>
        <x:v>Referral</x:v>
      </x:c>
      <x:c r="R517" t="str">
        <x:f>IFERROR(XLOOKUP(F517,Lookups!$D$5:$D$10,Lookups!$E$5:$E$10),"Unknown Product")</x:f>
        <x:v>Service Cloud</x:v>
      </x:c>
      <x:c r="S517" t="str">
        <x:f>IFERROR(XLOOKUP(F517,Lookups!$D$5:$D$10,Lookups!$F$5:$F$10),"Unknown")</x:f>
        <x:v>Customer Service</x:v>
      </x:c>
      <x:c r="T517" t="str">
        <x:f>IF(L517&gt;=50000,"Enterprise",IF(L517&gt;=20000,"Mid-Market","SMB"))</x:f>
        <x:v>SMB</x:v>
      </x:c>
      <x:c r="U517" t="str">
        <x:f>IF(I517="Closed Won","Won",IF(I517="Closed Lost","Lost","Open"))</x:f>
        <x:v>Open</x:v>
      </x:c>
      <x:c r="V517" s="22" t="n">
        <x:f>IF(U517="Won",L517*(1-M517),0)</x:f>
        <x:v>0</x:v>
      </x:c>
      <x:c r="W517" s="22" t="n">
        <x:f>IF(U517="Open",L517*N517,0)</x:f>
        <x:v>5440</x:v>
      </x:c>
      <x:c r="X517" s="26" t="str">
        <x:f>IF(U517="Open","",IFERROR(K517-B517,""))</x:f>
      </x:c>
      <x:c r="Y517" s="26" t="n">
        <x:f>IF(U517="Open",Lookups!$B$2-B517,X517)</x:f>
        <x:v>70</x:v>
      </x:c>
      <x:c r="Z517" t="str">
        <x:f>IF(AND(U517="Open",Y517&gt;30),"STALE","OK")</x:f>
        <x:v>STALE</x:v>
      </x:c>
      <x:c r="AA517" t="str">
        <x:f>TEXT(B517,"yyyy-mm")</x:f>
        <x:v>2026-06</x:v>
      </x:c>
      <x:c r="AB517" t="str">
        <x:f>IF(K517="","",TEXT(K517,"yyyy-mm"))</x:f>
      </x:c>
      <x:c r="AC517" t="str">
        <x:f>"Q"&amp;ROUNDUP(MONTH(B517)/3,0)&amp;"-"&amp;YEAR(B517)</x:f>
        <x:v>Q2-2026</x:v>
      </x:c>
      <x:c r="AD517" s="26" t="n">
        <x:f>MIN(100,IF(H517="Enterprise",30,IF(H517="Mid-Market",22,14))+IF(T517="Enterprise",25,IF(T517="Mid-Market",18,10))+IF(Q517="Referral",25,IF(Q517="Organic Search",20,IF(Q517="Email",18,14)))+IF(G517="Technology",10,5))</x:f>
        <x:v>54</x:v>
      </x:c>
      <x:c r="AE517" t="str">
        <x:f>IF(U517&lt;&gt;"Open",U517,IF(N517&gt;=0.8,"Commit",IF(N517&gt;=0.5,"Best Case","Pipeline")))</x:f>
        <x:v>Pipeline</x:v>
      </x:c>
    </x:row>
    <x:row r="518">
      <x:c r="A518" t="str">
        <x:v>L00517</x:v>
      </x:c>
      <x:c r="B518" s="10" t="n">
        <x:v>46068</x:v>
      </x:c>
      <x:c r="C518" t="str">
        <x:v>Chi Le</x:v>
      </x:c>
      <x:c r="D518" t="str">
        <x:v>South</x:v>
      </x:c>
      <x:c r="E518" t="str">
        <x:v>virtual event</x:v>
      </x:c>
      <x:c r="F518" t="str">
        <x:v>REV-OPS</x:v>
      </x:c>
      <x:c r="G518" t="str">
        <x:v>Education</x:v>
      </x:c>
      <x:c r="H518" t="str">
        <x:v>SMB</x:v>
      </x:c>
      <x:c r="I518" t="str">
        <x:v>Closed Lost</x:v>
      </x:c>
      <x:c r="J518" s="10" t="n">
        <x:v>46088</x:v>
      </x:c>
      <x:c r="K518" s="10" t="n">
        <x:v>46088</x:v>
      </x:c>
      <x:c r="L518" s="22" t="n">
        <x:v>42000</x:v>
      </x:c>
      <x:c r="M518" s="24" t="n">
        <x:v>0</x:v>
      </x:c>
      <x:c r="N518" s="24" t="n">
        <x:v>0</x:v>
      </x:c>
      <x:c r="O518" t="str">
        <x:v>Competitor</x:v>
      </x:c>
      <x:c r="P518" t="n">
        <x:v>4</x:v>
      </x:c>
      <x:c r="Q518" t="str">
        <x:f>IFERROR(XLOOKUP(E518,Lookups!$A$5:$A$24,Lookups!$B$5:$B$24),"Other")</x:f>
        <x:v>Webinar</x:v>
      </x:c>
      <x:c r="R518" t="str">
        <x:f>IFERROR(XLOOKUP(F518,Lookups!$D$5:$D$10,Lookups!$E$5:$E$10),"Unknown Product")</x:f>
        <x:v>Revenue Operations Suite</x:v>
      </x:c>
      <x:c r="S518" t="str">
        <x:f>IFERROR(XLOOKUP(F518,Lookups!$D$5:$D$10,Lookups!$F$5:$F$10),"Unknown")</x:f>
        <x:v>Revenue Ops</x:v>
      </x:c>
      <x:c r="T518" t="str">
        <x:f>IF(L518&gt;=50000,"Enterprise",IF(L518&gt;=20000,"Mid-Market","SMB"))</x:f>
        <x:v>Mid-Market</x:v>
      </x:c>
      <x:c r="U518" t="str">
        <x:f>IF(I518="Closed Won","Won",IF(I518="Closed Lost","Lost","Open"))</x:f>
        <x:v>Lost</x:v>
      </x:c>
      <x:c r="V518" s="22" t="n">
        <x:f>IF(U518="Won",L518*(1-M518),0)</x:f>
        <x:v>0</x:v>
      </x:c>
      <x:c r="W518" s="22" t="n">
        <x:f>IF(U518="Open",L518*N518,0)</x:f>
        <x:v>0</x:v>
      </x:c>
      <x:c r="X518" s="26" t="n">
        <x:f>IF(U518="Open","",IFERROR(K518-B518,""))</x:f>
        <x:v>20</x:v>
      </x:c>
      <x:c r="Y518" s="26" t="n">
        <x:f>IF(U518="Open",Lookups!$B$2-B518,X518)</x:f>
        <x:v>20</x:v>
      </x:c>
      <x:c r="Z518" t="str">
        <x:f>IF(AND(U518="Open",Y518&gt;30),"STALE","OK")</x:f>
        <x:v>OK</x:v>
      </x:c>
      <x:c r="AA518" t="str">
        <x:f>TEXT(B518,"yyyy-mm")</x:f>
        <x:v>2026-02</x:v>
      </x:c>
      <x:c r="AB518" t="str">
        <x:f>IF(K518="","",TEXT(K518,"yyyy-mm"))</x:f>
        <x:v>2026-03</x:v>
      </x:c>
      <x:c r="AC518" t="str">
        <x:f>"Q"&amp;ROUNDUP(MONTH(B518)/3,0)&amp;"-"&amp;YEAR(B518)</x:f>
        <x:v>Q1-2026</x:v>
      </x:c>
      <x:c r="AD518" s="26" t="n">
        <x:f>MIN(100,IF(H518="Enterprise",30,IF(H518="Mid-Market",22,14))+IF(T518="Enterprise",25,IF(T518="Mid-Market",18,10))+IF(Q518="Referral",25,IF(Q518="Organic Search",20,IF(Q518="Email",18,14)))+IF(G518="Technology",10,5))</x:f>
        <x:v>51</x:v>
      </x:c>
      <x:c r="AE518" t="str">
        <x:f>IF(U518&lt;&gt;"Open",U518,IF(N518&gt;=0.8,"Commit",IF(N518&gt;=0.5,"Best Case","Pipeline")))</x:f>
        <x:v>Lost</x:v>
      </x:c>
    </x:row>
    <x:row r="519">
      <x:c r="A519" t="str">
        <x:v>L00518</x:v>
      </x:c>
      <x:c r="B519" s="10" t="n">
        <x:v>45782</x:v>
      </x:c>
      <x:c r="C519" t="str">
        <x:v>Bao Tran</x:v>
      </x:c>
      <x:c r="D519" t="str">
        <x:v>South</x:v>
      </x:c>
      <x:c r="E519" t="str">
        <x:v>LI Ads</x:v>
      </x:c>
      <x:c r="F519" t="str">
        <x:v>CRM-CORE</x:v>
      </x:c>
      <x:c r="G519" t="str">
        <x:v>Education</x:v>
      </x:c>
      <x:c r="H519" t="str">
        <x:v>Mid-Market</x:v>
      </x:c>
      <x:c r="I519" t="str">
        <x:v>Closed Lost</x:v>
      </x:c>
      <x:c r="J519" s="10" t="n">
        <x:v>45807</x:v>
      </x:c>
      <x:c r="K519" s="10" t="n">
        <x:v>45807</x:v>
      </x:c>
      <x:c r="L519" s="22" t="n">
        <x:v>9800</x:v>
      </x:c>
      <x:c r="M519" s="24" t="n">
        <x:v>0</x:v>
      </x:c>
      <x:c r="N519" s="24" t="n">
        <x:v>0</x:v>
      </x:c>
      <x:c r="O519" t="str">
        <x:v>Competitor</x:v>
      </x:c>
      <x:c r="P519" t="n">
        <x:v>4</x:v>
      </x:c>
      <x:c r="Q519" t="str">
        <x:f>IFERROR(XLOOKUP(E519,Lookups!$A$5:$A$24,Lookups!$B$5:$B$24),"Other")</x:f>
        <x:v>LinkedIn</x:v>
      </x:c>
      <x:c r="R519" t="str">
        <x:f>IFERROR(XLOOKUP(F519,Lookups!$D$5:$D$10,Lookups!$E$5:$E$10),"Unknown Product")</x:f>
        <x:v>NexaCRM Core</x:v>
      </x:c>
      <x:c r="S519" t="str">
        <x:f>IFERROR(XLOOKUP(F519,Lookups!$D$5:$D$10,Lookups!$F$5:$F$10),"Unknown")</x:f>
        <x:v>CRM</x:v>
      </x:c>
      <x:c r="T519" t="str">
        <x:f>IF(L519&gt;=50000,"Enterprise",IF(L519&gt;=20000,"Mid-Market","SMB"))</x:f>
        <x:v>SMB</x:v>
      </x:c>
      <x:c r="U519" t="str">
        <x:f>IF(I519="Closed Won","Won",IF(I519="Closed Lost","Lost","Open"))</x:f>
        <x:v>Lost</x:v>
      </x:c>
      <x:c r="V519" s="22" t="n">
        <x:f>IF(U519="Won",L519*(1-M519),0)</x:f>
        <x:v>0</x:v>
      </x:c>
      <x:c r="W519" s="22" t="n">
        <x:f>IF(U519="Open",L519*N519,0)</x:f>
        <x:v>0</x:v>
      </x:c>
      <x:c r="X519" s="26" t="n">
        <x:f>IF(U519="Open","",IFERROR(K519-B519,""))</x:f>
        <x:v>25</x:v>
      </x:c>
      <x:c r="Y519" s="26" t="n">
        <x:f>IF(U519="Open",Lookups!$B$2-B519,X519)</x:f>
        <x:v>25</x:v>
      </x:c>
      <x:c r="Z519" t="str">
        <x:f>IF(AND(U519="Open",Y519&gt;30),"STALE","OK")</x:f>
        <x:v>OK</x:v>
      </x:c>
      <x:c r="AA519" t="str">
        <x:f>TEXT(B519,"yyyy-mm")</x:f>
        <x:v>2025-05</x:v>
      </x:c>
      <x:c r="AB519" t="str">
        <x:f>IF(K519="","",TEXT(K519,"yyyy-mm"))</x:f>
        <x:v>2025-05</x:v>
      </x:c>
      <x:c r="AC519" t="str">
        <x:f>"Q"&amp;ROUNDUP(MONTH(B519)/3,0)&amp;"-"&amp;YEAR(B519)</x:f>
        <x:v>Q2-2025</x:v>
      </x:c>
      <x:c r="AD519" s="26" t="n">
        <x:f>MIN(100,IF(H519="Enterprise",30,IF(H519="Mid-Market",22,14))+IF(T519="Enterprise",25,IF(T519="Mid-Market",18,10))+IF(Q519="Referral",25,IF(Q519="Organic Search",20,IF(Q519="Email",18,14)))+IF(G519="Technology",10,5))</x:f>
        <x:v>51</x:v>
      </x:c>
      <x:c r="AE519" t="str">
        <x:f>IF(U519&lt;&gt;"Open",U519,IF(N519&gt;=0.8,"Commit",IF(N519&gt;=0.5,"Best Case","Pipeline")))</x:f>
        <x:v>Lost</x:v>
      </x:c>
    </x:row>
    <x:row r="520">
      <x:c r="A520" t="str">
        <x:v>L00519</x:v>
      </x:c>
      <x:c r="B520" s="10" t="n">
        <x:v>46014</x:v>
      </x:c>
      <x:c r="C520" t="str">
        <x:v>An Nguyen</x:v>
      </x:c>
      <x:c r="D520" t="str">
        <x:v>South</x:v>
      </x:c>
      <x:c r="E520" t="str">
        <x:v>SEO</x:v>
      </x:c>
      <x:c r="F520" t="str">
        <x:v>MKT-AUTO</x:v>
      </x:c>
      <x:c r="G520" t="str">
        <x:v>Financial Services</x:v>
      </x:c>
      <x:c r="H520" t="str">
        <x:v>SMB</x:v>
      </x:c>
      <x:c r="I520" t="str">
        <x:v>Negotiation</x:v>
      </x:c>
      <x:c r="J520" s="10" t="n">
        <x:v>46120</x:v>
      </x:c>
      <x:c r="K520" s="10"/>
      <x:c r="L520" s="22" t="n">
        <x:v>13400</x:v>
      </x:c>
      <x:c r="M520" s="24" t="n">
        <x:v>0.05</x:v>
      </x:c>
      <x:c r="N520" s="24" t="n">
        <x:v>0.85</x:v>
      </x:c>
      <x:c r="O520" t="str"/>
      <x:c r="P520" t="n">
        <x:v>5</x:v>
      </x:c>
      <x:c r="Q520" t="str">
        <x:f>IFERROR(XLOOKUP(E520,Lookups!$A$5:$A$24,Lookups!$B$5:$B$24),"Other")</x:f>
        <x:v>Organic Search</x:v>
      </x:c>
      <x:c r="R520" t="str">
        <x:f>IFERROR(XLOOKUP(F520,Lookups!$D$5:$D$10,Lookups!$E$5:$E$10),"Unknown Product")</x:f>
        <x:v>Marketing Automation</x:v>
      </x:c>
      <x:c r="S520" t="str">
        <x:f>IFERROR(XLOOKUP(F520,Lookups!$D$5:$D$10,Lookups!$F$5:$F$10),"Unknown")</x:f>
        <x:v>Marketing</x:v>
      </x:c>
      <x:c r="T520" t="str">
        <x:f>IF(L520&gt;=50000,"Enterprise",IF(L520&gt;=20000,"Mid-Market","SMB"))</x:f>
        <x:v>SMB</x:v>
      </x:c>
      <x:c r="U520" t="str">
        <x:f>IF(I520="Closed Won","Won",IF(I520="Closed Lost","Lost","Open"))</x:f>
        <x:v>Open</x:v>
      </x:c>
      <x:c r="V520" s="22" t="n">
        <x:f>IF(U520="Won",L520*(1-M520),0)</x:f>
        <x:v>0</x:v>
      </x:c>
      <x:c r="W520" s="22" t="n">
        <x:f>IF(U520="Open",L520*N520,0)</x:f>
        <x:v>11390</x:v>
      </x:c>
      <x:c r="X520" s="26" t="str">
        <x:f>IF(U520="Open","",IFERROR(K520-B520,""))</x:f>
      </x:c>
      <x:c r="Y520" s="26" t="n">
        <x:f>IF(U520="Open",Lookups!$B$2-B520,X520)</x:f>
        <x:v>252</x:v>
      </x:c>
      <x:c r="Z520" t="str">
        <x:f>IF(AND(U520="Open",Y520&gt;30),"STALE","OK")</x:f>
        <x:v>STALE</x:v>
      </x:c>
      <x:c r="AA520" t="str">
        <x:f>TEXT(B520,"yyyy-mm")</x:f>
        <x:v>2025-12</x:v>
      </x:c>
      <x:c r="AB520" t="str">
        <x:f>IF(K520="","",TEXT(K520,"yyyy-mm"))</x:f>
      </x:c>
      <x:c r="AC520" t="str">
        <x:f>"Q"&amp;ROUNDUP(MONTH(B520)/3,0)&amp;"-"&amp;YEAR(B520)</x:f>
        <x:v>Q4-2025</x:v>
      </x:c>
      <x:c r="AD520" s="26" t="n">
        <x:f>MIN(100,IF(H520="Enterprise",30,IF(H520="Mid-Market",22,14))+IF(T520="Enterprise",25,IF(T520="Mid-Market",18,10))+IF(Q520="Referral",25,IF(Q520="Organic Search",20,IF(Q520="Email",18,14)))+IF(G520="Technology",10,5))</x:f>
        <x:v>49</x:v>
      </x:c>
      <x:c r="AE520" t="str">
        <x:f>IF(U520&lt;&gt;"Open",U520,IF(N520&gt;=0.8,"Commit",IF(N520&gt;=0.5,"Best Case","Pipeline")))</x:f>
        <x:v>Commit</x:v>
      </x:c>
    </x:row>
    <x:row r="521">
      <x:c r="A521" t="str">
        <x:v>L00520</x:v>
      </x:c>
      <x:c r="B521" s="10" t="n">
        <x:v>46071</x:v>
      </x:c>
      <x:c r="C521" t="str">
        <x:v>Minh Do</x:v>
      </x:c>
      <x:c r="D521" t="str">
        <x:v>North</x:v>
      </x:c>
      <x:c r="E521" t="str">
        <x:v>LI Ads</x:v>
      </x:c>
      <x:c r="F521" t="str">
        <x:v>CRM-PRO</x:v>
      </x:c>
      <x:c r="G521" t="str">
        <x:v>Professional Services</x:v>
      </x:c>
      <x:c r="H521" t="str">
        <x:v>SMB</x:v>
      </x:c>
      <x:c r="I521" t="str">
        <x:v>Closed Won</x:v>
      </x:c>
      <x:c r="J521" s="10" t="n">
        <x:v>46122</x:v>
      </x:c>
      <x:c r="K521" s="10" t="n">
        <x:v>46122</x:v>
      </x:c>
      <x:c r="L521" s="22" t="n">
        <x:v>14800</x:v>
      </x:c>
      <x:c r="M521" s="24" t="n">
        <x:v>0.05</x:v>
      </x:c>
      <x:c r="N521" s="24" t="n">
        <x:v>1</x:v>
      </x:c>
      <x:c r="O521" t="str"/>
      <x:c r="P521" t="n">
        <x:v>6</x:v>
      </x:c>
      <x:c r="Q521" t="str">
        <x:f>IFERROR(XLOOKUP(E521,Lookups!$A$5:$A$24,Lookups!$B$5:$B$24),"Other")</x:f>
        <x:v>LinkedIn</x:v>
      </x:c>
      <x:c r="R521" t="str">
        <x:f>IFERROR(XLOOKUP(F521,Lookups!$D$5:$D$10,Lookups!$E$5:$E$10),"Unknown Product")</x:f>
        <x:v>NexaCRM Pro</x:v>
      </x:c>
      <x:c r="S521" t="str">
        <x:f>IFERROR(XLOOKUP(F521,Lookups!$D$5:$D$10,Lookups!$F$5:$F$10),"Unknown")</x:f>
        <x:v>CRM</x:v>
      </x:c>
      <x:c r="T521" t="str">
        <x:f>IF(L521&gt;=50000,"Enterprise",IF(L521&gt;=20000,"Mid-Market","SMB"))</x:f>
        <x:v>SMB</x:v>
      </x:c>
      <x:c r="U521" t="str">
        <x:f>IF(I521="Closed Won","Won",IF(I521="Closed Lost","Lost","Open"))</x:f>
        <x:v>Won</x:v>
      </x:c>
      <x:c r="V521" s="22" t="n">
        <x:f>IF(U521="Won",L521*(1-M521),0)</x:f>
        <x:v>14060</x:v>
      </x:c>
      <x:c r="W521" s="22" t="n">
        <x:f>IF(U521="Open",L521*N521,0)</x:f>
        <x:v>0</x:v>
      </x:c>
      <x:c r="X521" s="26" t="n">
        <x:f>IF(U521="Open","",IFERROR(K521-B521,""))</x:f>
        <x:v>51</x:v>
      </x:c>
      <x:c r="Y521" s="26" t="n">
        <x:f>IF(U521="Open",Lookups!$B$2-B521,X521)</x:f>
        <x:v>51</x:v>
      </x:c>
      <x:c r="Z521" t="str">
        <x:f>IF(AND(U521="Open",Y521&gt;30),"STALE","OK")</x:f>
        <x:v>OK</x:v>
      </x:c>
      <x:c r="AA521" t="str">
        <x:f>TEXT(B521,"yyyy-mm")</x:f>
        <x:v>2026-02</x:v>
      </x:c>
      <x:c r="AB521" t="str">
        <x:f>IF(K521="","",TEXT(K521,"yyyy-mm"))</x:f>
        <x:v>2026-04</x:v>
      </x:c>
      <x:c r="AC521" t="str">
        <x:f>"Q"&amp;ROUNDUP(MONTH(B521)/3,0)&amp;"-"&amp;YEAR(B521)</x:f>
        <x:v>Q1-2026</x:v>
      </x:c>
      <x:c r="AD521" s="26" t="n">
        <x:f>MIN(100,IF(H521="Enterprise",30,IF(H521="Mid-Market",22,14))+IF(T521="Enterprise",25,IF(T521="Mid-Market",18,10))+IF(Q521="Referral",25,IF(Q521="Organic Search",20,IF(Q521="Email",18,14)))+IF(G521="Technology",10,5))</x:f>
        <x:v>43</x:v>
      </x:c>
      <x:c r="AE521" t="str">
        <x:f>IF(U521&lt;&gt;"Open",U521,IF(N521&gt;=0.8,"Commit",IF(N521&gt;=0.5,"Best Case","Pipeline")))</x:f>
        <x:v>Won</x:v>
      </x:c>
    </x:row>
    <x:row r="522">
      <x:c r="A522" t="str">
        <x:v>L00521</x:v>
      </x:c>
      <x:c r="B522" s="10" t="n">
        <x:v>45915</x:v>
      </x:c>
      <x:c r="C522" t="str">
        <x:v>Bao Tran</x:v>
      </x:c>
      <x:c r="D522" t="str">
        <x:v>South</x:v>
      </x:c>
      <x:c r="E522" t="str">
        <x:v>Partner Referral</x:v>
      </x:c>
      <x:c r="F522" t="str">
        <x:v>MKT-AUTO</x:v>
      </x:c>
      <x:c r="G522" t="str">
        <x:v>Retail</x:v>
      </x:c>
      <x:c r="H522" t="str">
        <x:v>SMB</x:v>
      </x:c>
      <x:c r="I522" t="str">
        <x:v>Closed Won</x:v>
      </x:c>
      <x:c r="J522" s="10" t="n">
        <x:v>45954</x:v>
      </x:c>
      <x:c r="K522" s="10" t="n">
        <x:v>45954</x:v>
      </x:c>
      <x:c r="L522" s="22" t="n">
        <x:v>14800</x:v>
      </x:c>
      <x:c r="M522" s="24" t="n">
        <x:v>0</x:v>
      </x:c>
      <x:c r="N522" s="24" t="n">
        <x:v>1</x:v>
      </x:c>
      <x:c r="O522" t="str"/>
      <x:c r="P522" t="n">
        <x:v>6</x:v>
      </x:c>
      <x:c r="Q522" t="str">
        <x:f>IFERROR(XLOOKUP(E522,Lookups!$A$5:$A$24,Lookups!$B$5:$B$24),"Other")</x:f>
        <x:v>Referral</x:v>
      </x:c>
      <x:c r="R522" t="str">
        <x:f>IFERROR(XLOOKUP(F522,Lookups!$D$5:$D$10,Lookups!$E$5:$E$10),"Unknown Product")</x:f>
        <x:v>Marketing Automation</x:v>
      </x:c>
      <x:c r="S522" t="str">
        <x:f>IFERROR(XLOOKUP(F522,Lookups!$D$5:$D$10,Lookups!$F$5:$F$10),"Unknown")</x:f>
        <x:v>Marketing</x:v>
      </x:c>
      <x:c r="T522" t="str">
        <x:f>IF(L522&gt;=50000,"Enterprise",IF(L522&gt;=20000,"Mid-Market","SMB"))</x:f>
        <x:v>SMB</x:v>
      </x:c>
      <x:c r="U522" t="str">
        <x:f>IF(I522="Closed Won","Won",IF(I522="Closed Lost","Lost","Open"))</x:f>
        <x:v>Won</x:v>
      </x:c>
      <x:c r="V522" s="22" t="n">
        <x:f>IF(U522="Won",L522*(1-M522),0)</x:f>
        <x:v>14800</x:v>
      </x:c>
      <x:c r="W522" s="22" t="n">
        <x:f>IF(U522="Open",L522*N522,0)</x:f>
        <x:v>0</x:v>
      </x:c>
      <x:c r="X522" s="26" t="n">
        <x:f>IF(U522="Open","",IFERROR(K522-B522,""))</x:f>
        <x:v>39</x:v>
      </x:c>
      <x:c r="Y522" s="26" t="n">
        <x:f>IF(U522="Open",Lookups!$B$2-B522,X522)</x:f>
        <x:v>39</x:v>
      </x:c>
      <x:c r="Z522" t="str">
        <x:f>IF(AND(U522="Open",Y522&gt;30),"STALE","OK")</x:f>
        <x:v>OK</x:v>
      </x:c>
      <x:c r="AA522" t="str">
        <x:f>TEXT(B522,"yyyy-mm")</x:f>
        <x:v>2025-09</x:v>
      </x:c>
      <x:c r="AB522" t="str">
        <x:f>IF(K522="","",TEXT(K522,"yyyy-mm"))</x:f>
        <x:v>2025-10</x:v>
      </x:c>
      <x:c r="AC522" t="str">
        <x:f>"Q"&amp;ROUNDUP(MONTH(B522)/3,0)&amp;"-"&amp;YEAR(B522)</x:f>
        <x:v>Q3-2025</x:v>
      </x:c>
      <x:c r="AD522" s="26" t="n">
        <x:f>MIN(100,IF(H522="Enterprise",30,IF(H522="Mid-Market",22,14))+IF(T522="Enterprise",25,IF(T522="Mid-Market",18,10))+IF(Q522="Referral",25,IF(Q522="Organic Search",20,IF(Q522="Email",18,14)))+IF(G522="Technology",10,5))</x:f>
        <x:v>54</x:v>
      </x:c>
      <x:c r="AE522" t="str">
        <x:f>IF(U522&lt;&gt;"Open",U522,IF(N522&gt;=0.8,"Commit",IF(N522&gt;=0.5,"Best Case","Pipeline")))</x:f>
        <x:v>Won</x:v>
      </x:c>
    </x:row>
    <x:row r="523">
      <x:c r="A523" t="str">
        <x:v>L00522</x:v>
      </x:c>
      <x:c r="B523" s="10" t="n">
        <x:v>46233</x:v>
      </x:c>
      <x:c r="C523" t="str">
        <x:v>Quynh Vu</x:v>
      </x:c>
      <x:c r="D523" t="str">
        <x:v>North</x:v>
      </x:c>
      <x:c r="E523" t="str">
        <x:v>Google Organic</x:v>
      </x:c>
      <x:c r="F523" t="str">
        <x:v>CS-CLOUD</x:v>
      </x:c>
      <x:c r="G523" t="str">
        <x:v>Manufacturing</x:v>
      </x:c>
      <x:c r="H523" t="str">
        <x:v>Mid-Market</x:v>
      </x:c>
      <x:c r="I523" t="str">
        <x:v>Qualified</x:v>
      </x:c>
      <x:c r="J523" s="10" t="n">
        <x:v>46256</x:v>
      </x:c>
      <x:c r="K523" s="10"/>
      <x:c r="L523" s="22" t="n">
        <x:v>37900</x:v>
      </x:c>
      <x:c r="M523" s="24" t="n">
        <x:v>0.03</x:v>
      </x:c>
      <x:c r="N523" s="24" t="n">
        <x:v>0.2</x:v>
      </x:c>
      <x:c r="O523" t="str"/>
      <x:c r="P523" t="n">
        <x:v>2</x:v>
      </x:c>
      <x:c r="Q523" t="str">
        <x:f>IFERROR(XLOOKUP(E523,Lookups!$A$5:$A$24,Lookups!$B$5:$B$24),"Other")</x:f>
        <x:v>Organic Search</x:v>
      </x:c>
      <x:c r="R523" t="str">
        <x:f>IFERROR(XLOOKUP(F523,Lookups!$D$5:$D$10,Lookups!$E$5:$E$10),"Unknown Product")</x:f>
        <x:v>Service Cloud</x:v>
      </x:c>
      <x:c r="S523" t="str">
        <x:f>IFERROR(XLOOKUP(F523,Lookups!$D$5:$D$10,Lookups!$F$5:$F$10),"Unknown")</x:f>
        <x:v>Customer Service</x:v>
      </x:c>
      <x:c r="T523" t="str">
        <x:f>IF(L523&gt;=50000,"Enterprise",IF(L523&gt;=20000,"Mid-Market","SMB"))</x:f>
        <x:v>Mid-Market</x:v>
      </x:c>
      <x:c r="U523" t="str">
        <x:f>IF(I523="Closed Won","Won",IF(I523="Closed Lost","Lost","Open"))</x:f>
        <x:v>Open</x:v>
      </x:c>
      <x:c r="V523" s="22" t="n">
        <x:f>IF(U523="Won",L523*(1-M523),0)</x:f>
        <x:v>0</x:v>
      </x:c>
      <x:c r="W523" s="22" t="n">
        <x:f>IF(U523="Open",L523*N523,0)</x:f>
        <x:v>7580</x:v>
      </x:c>
      <x:c r="X523" s="26" t="str">
        <x:f>IF(U523="Open","",IFERROR(K523-B523,""))</x:f>
      </x:c>
      <x:c r="Y523" s="26" t="n">
        <x:f>IF(U523="Open",Lookups!$B$2-B523,X523)</x:f>
        <x:v>33</x:v>
      </x:c>
      <x:c r="Z523" t="str">
        <x:f>IF(AND(U523="Open",Y523&gt;30),"STALE","OK")</x:f>
        <x:v>STALE</x:v>
      </x:c>
      <x:c r="AA523" t="str">
        <x:f>TEXT(B523,"yyyy-mm")</x:f>
        <x:v>2026-07</x:v>
      </x:c>
      <x:c r="AB523" t="str">
        <x:f>IF(K523="","",TEXT(K523,"yyyy-mm"))</x:f>
      </x:c>
      <x:c r="AC523" t="str">
        <x:f>"Q"&amp;ROUNDUP(MONTH(B523)/3,0)&amp;"-"&amp;YEAR(B523)</x:f>
        <x:v>Q3-2026</x:v>
      </x:c>
      <x:c r="AD523" s="26" t="n">
        <x:f>MIN(100,IF(H523="Enterprise",30,IF(H523="Mid-Market",22,14))+IF(T523="Enterprise",25,IF(T523="Mid-Market",18,10))+IF(Q523="Referral",25,IF(Q523="Organic Search",20,IF(Q523="Email",18,14)))+IF(G523="Technology",10,5))</x:f>
        <x:v>65</x:v>
      </x:c>
      <x:c r="AE523" t="str">
        <x:f>IF(U523&lt;&gt;"Open",U523,IF(N523&gt;=0.8,"Commit",IF(N523&gt;=0.5,"Best Case","Pipeline")))</x:f>
        <x:v>Pipeline</x:v>
      </x:c>
    </x:row>
    <x:row r="524">
      <x:c r="A524" t="str">
        <x:v>L00523</x:v>
      </x:c>
      <x:c r="B524" s="10" t="n">
        <x:v>46108</x:v>
      </x:c>
      <x:c r="C524" t="str">
        <x:v>Bao Tran</x:v>
      </x:c>
      <x:c r="D524" t="str">
        <x:v>South</x:v>
      </x:c>
      <x:c r="E524" t="str">
        <x:v>LinkedIn Ads</x:v>
      </x:c>
      <x:c r="F524" t="str">
        <x:v>REV-OPS</x:v>
      </x:c>
      <x:c r="G524" t="str">
        <x:v>Professional Services</x:v>
      </x:c>
      <x:c r="H524" t="str">
        <x:v>Mid-Market</x:v>
      </x:c>
      <x:c r="I524" t="str">
        <x:v>Closed Lost</x:v>
      </x:c>
      <x:c r="J524" s="10" t="n">
        <x:v>46133</x:v>
      </x:c>
      <x:c r="K524" s="10" t="n">
        <x:v>46133</x:v>
      </x:c>
      <x:c r="L524" s="22" t="n">
        <x:v>82900</x:v>
      </x:c>
      <x:c r="M524" s="24" t="n">
        <x:v>0</x:v>
      </x:c>
      <x:c r="N524" s="24" t="n">
        <x:v>0</x:v>
      </x:c>
      <x:c r="O524" t="str">
        <x:v>Timing</x:v>
      </x:c>
      <x:c r="P524" t="n">
        <x:v>2</x:v>
      </x:c>
      <x:c r="Q524" t="str">
        <x:f>IFERROR(XLOOKUP(E524,Lookups!$A$5:$A$24,Lookups!$B$5:$B$24),"Other")</x:f>
        <x:v>LinkedIn</x:v>
      </x:c>
      <x:c r="R524" t="str">
        <x:f>IFERROR(XLOOKUP(F524,Lookups!$D$5:$D$10,Lookups!$E$5:$E$10),"Unknown Product")</x:f>
        <x:v>Revenue Operations Suite</x:v>
      </x:c>
      <x:c r="S524" t="str">
        <x:f>IFERROR(XLOOKUP(F524,Lookups!$D$5:$D$10,Lookups!$F$5:$F$10),"Unknown")</x:f>
        <x:v>Revenue Ops</x:v>
      </x:c>
      <x:c r="T524" t="str">
        <x:f>IF(L524&gt;=50000,"Enterprise",IF(L524&gt;=20000,"Mid-Market","SMB"))</x:f>
        <x:v>Enterprise</x:v>
      </x:c>
      <x:c r="U524" t="str">
        <x:f>IF(I524="Closed Won","Won",IF(I524="Closed Lost","Lost","Open"))</x:f>
        <x:v>Lost</x:v>
      </x:c>
      <x:c r="V524" s="22" t="n">
        <x:f>IF(U524="Won",L524*(1-M524),0)</x:f>
        <x:v>0</x:v>
      </x:c>
      <x:c r="W524" s="22" t="n">
        <x:f>IF(U524="Open",L524*N524,0)</x:f>
        <x:v>0</x:v>
      </x:c>
      <x:c r="X524" s="26" t="n">
        <x:f>IF(U524="Open","",IFERROR(K524-B524,""))</x:f>
        <x:v>25</x:v>
      </x:c>
      <x:c r="Y524" s="26" t="n">
        <x:f>IF(U524="Open",Lookups!$B$2-B524,X524)</x:f>
        <x:v>25</x:v>
      </x:c>
      <x:c r="Z524" t="str">
        <x:f>IF(AND(U524="Open",Y524&gt;30),"STALE","OK")</x:f>
        <x:v>OK</x:v>
      </x:c>
      <x:c r="AA524" t="str">
        <x:f>TEXT(B524,"yyyy-mm")</x:f>
        <x:v>2026-03</x:v>
      </x:c>
      <x:c r="AB524" t="str">
        <x:f>IF(K524="","",TEXT(K524,"yyyy-mm"))</x:f>
        <x:v>2026-04</x:v>
      </x:c>
      <x:c r="AC524" t="str">
        <x:f>"Q"&amp;ROUNDUP(MONTH(B524)/3,0)&amp;"-"&amp;YEAR(B524)</x:f>
        <x:v>Q1-2026</x:v>
      </x:c>
      <x:c r="AD524" s="26" t="n">
        <x:f>MIN(100,IF(H524="Enterprise",30,IF(H524="Mid-Market",22,14))+IF(T524="Enterprise",25,IF(T524="Mid-Market",18,10))+IF(Q524="Referral",25,IF(Q524="Organic Search",20,IF(Q524="Email",18,14)))+IF(G524="Technology",10,5))</x:f>
        <x:v>66</x:v>
      </x:c>
      <x:c r="AE524" t="str">
        <x:f>IF(U524&lt;&gt;"Open",U524,IF(N524&gt;=0.8,"Commit",IF(N524&gt;=0.5,"Best Case","Pipeline")))</x:f>
        <x:v>Lost</x:v>
      </x:c>
    </x:row>
    <x:row r="525">
      <x:c r="A525" t="str">
        <x:v>L00524</x:v>
      </x:c>
      <x:c r="B525" s="10" t="n">
        <x:v>45802</x:v>
      </x:c>
      <x:c r="C525" t="str">
        <x:v>Chi Le</x:v>
      </x:c>
      <x:c r="D525" t="str">
        <x:v>South</x:v>
      </x:c>
      <x:c r="E525" t="str">
        <x:v>Cold Email</x:v>
      </x:c>
      <x:c r="F525" t="str">
        <x:v>REV-OPS</x:v>
      </x:c>
      <x:c r="G525" t="str">
        <x:v>Professional Services</x:v>
      </x:c>
      <x:c r="H525" t="str">
        <x:v>SMB</x:v>
      </x:c>
      <x:c r="I525" t="str">
        <x:v>Closed Won</x:v>
      </x:c>
      <x:c r="J525" s="10" t="n">
        <x:v>45863</x:v>
      </x:c>
      <x:c r="K525" s="10" t="n">
        <x:v>45863</x:v>
      </x:c>
      <x:c r="L525" s="22" t="n">
        <x:v>20900</x:v>
      </x:c>
      <x:c r="M525" s="24" t="n">
        <x:v>0.03</x:v>
      </x:c>
      <x:c r="N525" s="24" t="n">
        <x:v>1</x:v>
      </x:c>
      <x:c r="O525" t="str"/>
      <x:c r="P525" t="n">
        <x:v>6</x:v>
      </x:c>
      <x:c r="Q525" t="str">
        <x:f>IFERROR(XLOOKUP(E525,Lookups!$A$5:$A$24,Lookups!$B$5:$B$24),"Other")</x:f>
        <x:v>Outbound</x:v>
      </x:c>
      <x:c r="R525" t="str">
        <x:f>IFERROR(XLOOKUP(F525,Lookups!$D$5:$D$10,Lookups!$E$5:$E$10),"Unknown Product")</x:f>
        <x:v>Revenue Operations Suite</x:v>
      </x:c>
      <x:c r="S525" t="str">
        <x:f>IFERROR(XLOOKUP(F525,Lookups!$D$5:$D$10,Lookups!$F$5:$F$10),"Unknown")</x:f>
        <x:v>Revenue Ops</x:v>
      </x:c>
      <x:c r="T525" t="str">
        <x:f>IF(L525&gt;=50000,"Enterprise",IF(L525&gt;=20000,"Mid-Market","SMB"))</x:f>
        <x:v>Mid-Market</x:v>
      </x:c>
      <x:c r="U525" t="str">
        <x:f>IF(I525="Closed Won","Won",IF(I525="Closed Lost","Lost","Open"))</x:f>
        <x:v>Won</x:v>
      </x:c>
      <x:c r="V525" s="22" t="n">
        <x:f>IF(U525="Won",L525*(1-M525),0)</x:f>
        <x:v>20273</x:v>
      </x:c>
      <x:c r="W525" s="22" t="n">
        <x:f>IF(U525="Open",L525*N525,0)</x:f>
        <x:v>0</x:v>
      </x:c>
      <x:c r="X525" s="26" t="n">
        <x:f>IF(U525="Open","",IFERROR(K525-B525,""))</x:f>
        <x:v>61</x:v>
      </x:c>
      <x:c r="Y525" s="26" t="n">
        <x:f>IF(U525="Open",Lookups!$B$2-B525,X525)</x:f>
        <x:v>61</x:v>
      </x:c>
      <x:c r="Z525" t="str">
        <x:f>IF(AND(U525="Open",Y525&gt;30),"STALE","OK")</x:f>
        <x:v>OK</x:v>
      </x:c>
      <x:c r="AA525" t="str">
        <x:f>TEXT(B525,"yyyy-mm")</x:f>
        <x:v>2025-05</x:v>
      </x:c>
      <x:c r="AB525" t="str">
        <x:f>IF(K525="","",TEXT(K525,"yyyy-mm"))</x:f>
        <x:v>2025-07</x:v>
      </x:c>
      <x:c r="AC525" t="str">
        <x:f>"Q"&amp;ROUNDUP(MONTH(B525)/3,0)&amp;"-"&amp;YEAR(B525)</x:f>
        <x:v>Q2-2025</x:v>
      </x:c>
      <x:c r="AD525" s="26" t="n">
        <x:f>MIN(100,IF(H525="Enterprise",30,IF(H525="Mid-Market",22,14))+IF(T525="Enterprise",25,IF(T525="Mid-Market",18,10))+IF(Q525="Referral",25,IF(Q525="Organic Search",20,IF(Q525="Email",18,14)))+IF(G525="Technology",10,5))</x:f>
        <x:v>51</x:v>
      </x:c>
      <x:c r="AE525" t="str">
        <x:f>IF(U525&lt;&gt;"Open",U525,IF(N525&gt;=0.8,"Commit",IF(N525&gt;=0.5,"Best Case","Pipeline")))</x:f>
        <x:v>Won</x:v>
      </x:c>
    </x:row>
    <x:row r="526">
      <x:c r="A526" t="str">
        <x:v>L00525</x:v>
      </x:c>
      <x:c r="B526" s="10" t="n">
        <x:v>45924</x:v>
      </x:c>
      <x:c r="C526" t="str">
        <x:v>Chi Le</x:v>
      </x:c>
      <x:c r="D526" t="str">
        <x:v>South</x:v>
      </x:c>
      <x:c r="E526" t="str">
        <x:v>customer referral</x:v>
      </x:c>
      <x:c r="F526" t="str">
        <x:v>CRM-CORE</x:v>
      </x:c>
      <x:c r="G526" t="str">
        <x:v>Professional Services</x:v>
      </x:c>
      <x:c r="H526" t="str">
        <x:v>SMB</x:v>
      </x:c>
      <x:c r="I526" t="str">
        <x:v>Closed Lost</x:v>
      </x:c>
      <x:c r="J526" s="10" t="n">
        <x:v>45965</x:v>
      </x:c>
      <x:c r="K526" s="10" t="n">
        <x:v>45965</x:v>
      </x:c>
      <x:c r="L526" s="22" t="n">
        <x:v>8600</x:v>
      </x:c>
      <x:c r="M526" s="24" t="n">
        <x:v>0</x:v>
      </x:c>
      <x:c r="N526" s="24" t="n">
        <x:v>0</x:v>
      </x:c>
      <x:c r="O526" t="str">
        <x:v>Price</x:v>
      </x:c>
      <x:c r="P526" t="n">
        <x:v>3</x:v>
      </x:c>
      <x:c r="Q526" t="str">
        <x:f>IFERROR(XLOOKUP(E526,Lookups!$A$5:$A$24,Lookups!$B$5:$B$24),"Other")</x:f>
        <x:v>Referral</x:v>
      </x:c>
      <x:c r="R526" t="str">
        <x:f>IFERROR(XLOOKUP(F526,Lookups!$D$5:$D$10,Lookups!$E$5:$E$10),"Unknown Product")</x:f>
        <x:v>NexaCRM Core</x:v>
      </x:c>
      <x:c r="S526" t="str">
        <x:f>IFERROR(XLOOKUP(F526,Lookups!$D$5:$D$10,Lookups!$F$5:$F$10),"Unknown")</x:f>
        <x:v>CRM</x:v>
      </x:c>
      <x:c r="T526" t="str">
        <x:f>IF(L526&gt;=50000,"Enterprise",IF(L526&gt;=20000,"Mid-Market","SMB"))</x:f>
        <x:v>SMB</x:v>
      </x:c>
      <x:c r="U526" t="str">
        <x:f>IF(I526="Closed Won","Won",IF(I526="Closed Lost","Lost","Open"))</x:f>
        <x:v>Lost</x:v>
      </x:c>
      <x:c r="V526" s="22" t="n">
        <x:f>IF(U526="Won",L526*(1-M526),0)</x:f>
        <x:v>0</x:v>
      </x:c>
      <x:c r="W526" s="22" t="n">
        <x:f>IF(U526="Open",L526*N526,0)</x:f>
        <x:v>0</x:v>
      </x:c>
      <x:c r="X526" s="26" t="n">
        <x:f>IF(U526="Open","",IFERROR(K526-B526,""))</x:f>
        <x:v>41</x:v>
      </x:c>
      <x:c r="Y526" s="26" t="n">
        <x:f>IF(U526="Open",Lookups!$B$2-B526,X526)</x:f>
        <x:v>41</x:v>
      </x:c>
      <x:c r="Z526" t="str">
        <x:f>IF(AND(U526="Open",Y526&gt;30),"STALE","OK")</x:f>
        <x:v>OK</x:v>
      </x:c>
      <x:c r="AA526" t="str">
        <x:f>TEXT(B526,"yyyy-mm")</x:f>
        <x:v>2025-09</x:v>
      </x:c>
      <x:c r="AB526" t="str">
        <x:f>IF(K526="","",TEXT(K526,"yyyy-mm"))</x:f>
        <x:v>2025-11</x:v>
      </x:c>
      <x:c r="AC526" t="str">
        <x:f>"Q"&amp;ROUNDUP(MONTH(B526)/3,0)&amp;"-"&amp;YEAR(B526)</x:f>
        <x:v>Q3-2025</x:v>
      </x:c>
      <x:c r="AD526" s="26" t="n">
        <x:f>MIN(100,IF(H526="Enterprise",30,IF(H526="Mid-Market",22,14))+IF(T526="Enterprise",25,IF(T526="Mid-Market",18,10))+IF(Q526="Referral",25,IF(Q526="Organic Search",20,IF(Q526="Email",18,14)))+IF(G526="Technology",10,5))</x:f>
        <x:v>54</x:v>
      </x:c>
      <x:c r="AE526" t="str">
        <x:f>IF(U526&lt;&gt;"Open",U526,IF(N526&gt;=0.8,"Commit",IF(N526&gt;=0.5,"Best Case","Pipeline")))</x:f>
        <x:v>Lost</x:v>
      </x:c>
    </x:row>
    <x:row r="527">
      <x:c r="A527" t="str">
        <x:v>L00526</x:v>
      </x:c>
      <x:c r="B527" s="10" t="n">
        <x:v>46206</x:v>
      </x:c>
      <x:c r="C527" t="str">
        <x:v>Minh Do</x:v>
      </x:c>
      <x:c r="D527" t="str">
        <x:v>North</x:v>
      </x:c>
      <x:c r="E527" t="str">
        <x:v>LI Ads</x:v>
      </x:c>
      <x:c r="F527" t="str">
        <x:v>CRM-PRO</x:v>
      </x:c>
      <x:c r="G527" t="str">
        <x:v>Professional Services</x:v>
      </x:c>
      <x:c r="H527" t="str">
        <x:v>SMB</x:v>
      </x:c>
      <x:c r="I527" t="str">
        <x:v>Closed Lost</x:v>
      </x:c>
      <x:c r="J527" s="10" t="n">
        <x:v>46235</x:v>
      </x:c>
      <x:c r="K527" s="10" t="n">
        <x:v>46235</x:v>
      </x:c>
      <x:c r="L527" s="22" t="n">
        <x:v>11200</x:v>
      </x:c>
      <x:c r="M527" s="24" t="n">
        <x:v>0</x:v>
      </x:c>
      <x:c r="N527" s="24" t="n">
        <x:v>0</x:v>
      </x:c>
      <x:c r="O527" t="str">
        <x:v>Timing</x:v>
      </x:c>
      <x:c r="P527" t="n">
        <x:v>3</x:v>
      </x:c>
      <x:c r="Q527" t="str">
        <x:f>IFERROR(XLOOKUP(E527,Lookups!$A$5:$A$24,Lookups!$B$5:$B$24),"Other")</x:f>
        <x:v>LinkedIn</x:v>
      </x:c>
      <x:c r="R527" t="str">
        <x:f>IFERROR(XLOOKUP(F527,Lookups!$D$5:$D$10,Lookups!$E$5:$E$10),"Unknown Product")</x:f>
        <x:v>NexaCRM Pro</x:v>
      </x:c>
      <x:c r="S527" t="str">
        <x:f>IFERROR(XLOOKUP(F527,Lookups!$D$5:$D$10,Lookups!$F$5:$F$10),"Unknown")</x:f>
        <x:v>CRM</x:v>
      </x:c>
      <x:c r="T527" t="str">
        <x:f>IF(L527&gt;=50000,"Enterprise",IF(L527&gt;=20000,"Mid-Market","SMB"))</x:f>
        <x:v>SMB</x:v>
      </x:c>
      <x:c r="U527" t="str">
        <x:f>IF(I527="Closed Won","Won",IF(I527="Closed Lost","Lost","Open"))</x:f>
        <x:v>Lost</x:v>
      </x:c>
      <x:c r="V527" s="22" t="n">
        <x:f>IF(U527="Won",L527*(1-M527),0)</x:f>
        <x:v>0</x:v>
      </x:c>
      <x:c r="W527" s="22" t="n">
        <x:f>IF(U527="Open",L527*N527,0)</x:f>
        <x:v>0</x:v>
      </x:c>
      <x:c r="X527" s="26" t="n">
        <x:f>IF(U527="Open","",IFERROR(K527-B527,""))</x:f>
        <x:v>29</x:v>
      </x:c>
      <x:c r="Y527" s="26" t="n">
        <x:f>IF(U527="Open",Lookups!$B$2-B527,X527)</x:f>
        <x:v>29</x:v>
      </x:c>
      <x:c r="Z527" t="str">
        <x:f>IF(AND(U527="Open",Y527&gt;30),"STALE","OK")</x:f>
        <x:v>OK</x:v>
      </x:c>
      <x:c r="AA527" t="str">
        <x:f>TEXT(B527,"yyyy-mm")</x:f>
        <x:v>2026-07</x:v>
      </x:c>
      <x:c r="AB527" t="str">
        <x:f>IF(K527="","",TEXT(K527,"yyyy-mm"))</x:f>
        <x:v>2026-08</x:v>
      </x:c>
      <x:c r="AC527" t="str">
        <x:f>"Q"&amp;ROUNDUP(MONTH(B527)/3,0)&amp;"-"&amp;YEAR(B527)</x:f>
        <x:v>Q3-2026</x:v>
      </x:c>
      <x:c r="AD527" s="26" t="n">
        <x:f>MIN(100,IF(H527="Enterprise",30,IF(H527="Mid-Market",22,14))+IF(T527="Enterprise",25,IF(T527="Mid-Market",18,10))+IF(Q527="Referral",25,IF(Q527="Organic Search",20,IF(Q527="Email",18,14)))+IF(G527="Technology",10,5))</x:f>
        <x:v>43</x:v>
      </x:c>
      <x:c r="AE527" t="str">
        <x:f>IF(U527&lt;&gt;"Open",U527,IF(N527&gt;=0.8,"Commit",IF(N527&gt;=0.5,"Best Case","Pipeline")))</x:f>
        <x:v>Lost</x:v>
      </x:c>
    </x:row>
    <x:row r="528">
      <x:c r="A528" t="str">
        <x:v>L00527</x:v>
      </x:c>
      <x:c r="B528" s="10" t="n">
        <x:v>45789</x:v>
      </x:c>
      <x:c r="C528" t="str">
        <x:v>Duy Pham</x:v>
      </x:c>
      <x:c r="D528" t="str">
        <x:v>South</x:v>
      </x:c>
      <x:c r="E528" t="str">
        <x:v>Conference Scan</x:v>
      </x:c>
      <x:c r="F528" t="str">
        <x:v>MKT-AUTO</x:v>
      </x:c>
      <x:c r="G528" t="str">
        <x:v>Healthcare</x:v>
      </x:c>
      <x:c r="H528" t="str">
        <x:v>Mid-Market</x:v>
      </x:c>
      <x:c r="I528" t="str">
        <x:v>Closed Lost</x:v>
      </x:c>
      <x:c r="J528" s="10" t="n">
        <x:v>45841</x:v>
      </x:c>
      <x:c r="K528" s="10" t="n">
        <x:v>45841</x:v>
      </x:c>
      <x:c r="L528" s="22" t="n">
        <x:v>36100</x:v>
      </x:c>
      <x:c r="M528" s="24" t="n">
        <x:v>0</x:v>
      </x:c>
      <x:c r="N528" s="24" t="n">
        <x:v>0</x:v>
      </x:c>
      <x:c r="O528" t="str">
        <x:v>Budget</x:v>
      </x:c>
      <x:c r="P528" t="n">
        <x:v>4</x:v>
      </x:c>
      <x:c r="Q528" t="str">
        <x:f>IFERROR(XLOOKUP(E528,Lookups!$A$5:$A$24,Lookups!$B$5:$B$24),"Other")</x:f>
        <x:v>Other</x:v>
      </x:c>
      <x:c r="R528" t="str">
        <x:f>IFERROR(XLOOKUP(F528,Lookups!$D$5:$D$10,Lookups!$E$5:$E$10),"Unknown Product")</x:f>
        <x:v>Marketing Automation</x:v>
      </x:c>
      <x:c r="S528" t="str">
        <x:f>IFERROR(XLOOKUP(F528,Lookups!$D$5:$D$10,Lookups!$F$5:$F$10),"Unknown")</x:f>
        <x:v>Marketing</x:v>
      </x:c>
      <x:c r="T528" t="str">
        <x:f>IF(L528&gt;=50000,"Enterprise",IF(L528&gt;=20000,"Mid-Market","SMB"))</x:f>
        <x:v>Mid-Market</x:v>
      </x:c>
      <x:c r="U528" t="str">
        <x:f>IF(I528="Closed Won","Won",IF(I528="Closed Lost","Lost","Open"))</x:f>
        <x:v>Lost</x:v>
      </x:c>
      <x:c r="V528" s="22" t="n">
        <x:f>IF(U528="Won",L528*(1-M528),0)</x:f>
        <x:v>0</x:v>
      </x:c>
      <x:c r="W528" s="22" t="n">
        <x:f>IF(U528="Open",L528*N528,0)</x:f>
        <x:v>0</x:v>
      </x:c>
      <x:c r="X528" s="26" t="n">
        <x:f>IF(U528="Open","",IFERROR(K528-B528,""))</x:f>
        <x:v>52</x:v>
      </x:c>
      <x:c r="Y528" s="26" t="n">
        <x:f>IF(U528="Open",Lookups!$B$2-B528,X528)</x:f>
        <x:v>52</x:v>
      </x:c>
      <x:c r="Z528" t="str">
        <x:f>IF(AND(U528="Open",Y528&gt;30),"STALE","OK")</x:f>
        <x:v>OK</x:v>
      </x:c>
      <x:c r="AA528" t="str">
        <x:f>TEXT(B528,"yyyy-mm")</x:f>
        <x:v>2025-05</x:v>
      </x:c>
      <x:c r="AB528" t="str">
        <x:f>IF(K528="","",TEXT(K528,"yyyy-mm"))</x:f>
        <x:v>2025-07</x:v>
      </x:c>
      <x:c r="AC528" t="str">
        <x:f>"Q"&amp;ROUNDUP(MONTH(B528)/3,0)&amp;"-"&amp;YEAR(B528)</x:f>
        <x:v>Q2-2025</x:v>
      </x:c>
      <x:c r="AD528" s="26" t="n">
        <x:f>MIN(100,IF(H528="Enterprise",30,IF(H528="Mid-Market",22,14))+IF(T528="Enterprise",25,IF(T528="Mid-Market",18,10))+IF(Q528="Referral",25,IF(Q528="Organic Search",20,IF(Q528="Email",18,14)))+IF(G528="Technology",10,5))</x:f>
        <x:v>59</x:v>
      </x:c>
      <x:c r="AE528" t="str">
        <x:f>IF(U528&lt;&gt;"Open",U528,IF(N528&gt;=0.8,"Commit",IF(N528&gt;=0.5,"Best Case","Pipeline")))</x:f>
        <x:v>Lost</x:v>
      </x:c>
    </x:row>
    <x:row r="529">
      <x:c r="A529" t="str">
        <x:v>L00528</x:v>
      </x:c>
      <x:c r="B529" s="10" t="n">
        <x:v>45773</x:v>
      </x:c>
      <x:c r="C529" t="str">
        <x:v>Bao Tran</x:v>
      </x:c>
      <x:c r="D529" t="str">
        <x:v>South</x:v>
      </x:c>
      <x:c r="E529" t="str">
        <x:v>SEM - Google</x:v>
      </x:c>
      <x:c r="F529" t="str">
        <x:v>BI-PLUS</x:v>
      </x:c>
      <x:c r="G529" t="str">
        <x:v>Professional Services</x:v>
      </x:c>
      <x:c r="H529" t="str">
        <x:v>Enterprise</x:v>
      </x:c>
      <x:c r="I529" t="str">
        <x:v>Closed Lost</x:v>
      </x:c>
      <x:c r="J529" s="10" t="n">
        <x:v>45828</x:v>
      </x:c>
      <x:c r="K529" s="10" t="n">
        <x:v>45828</x:v>
      </x:c>
      <x:c r="L529" s="22" t="n">
        <x:v>82600</x:v>
      </x:c>
      <x:c r="M529" s="24" t="n">
        <x:v>0</x:v>
      </x:c>
      <x:c r="N529" s="24" t="n">
        <x:v>0</x:v>
      </x:c>
      <x:c r="O529" t="str">
        <x:v>Price</x:v>
      </x:c>
      <x:c r="P529" t="n">
        <x:v>2</x:v>
      </x:c>
      <x:c r="Q529" t="str">
        <x:f>IFERROR(XLOOKUP(E529,Lookups!$A$5:$A$24,Lookups!$B$5:$B$24),"Other")</x:f>
        <x:v>Paid Search</x:v>
      </x:c>
      <x:c r="R529" t="str">
        <x:f>IFERROR(XLOOKUP(F529,Lookups!$D$5:$D$10,Lookups!$E$5:$E$10),"Unknown Product")</x:f>
        <x:v>Analytics Plus</x:v>
      </x:c>
      <x:c r="S529" t="str">
        <x:f>IFERROR(XLOOKUP(F529,Lookups!$D$5:$D$10,Lookups!$F$5:$F$10),"Unknown")</x:f>
        <x:v>Analytics</x:v>
      </x:c>
      <x:c r="T529" t="str">
        <x:f>IF(L529&gt;=50000,"Enterprise",IF(L529&gt;=20000,"Mid-Market","SMB"))</x:f>
        <x:v>Enterprise</x:v>
      </x:c>
      <x:c r="U529" t="str">
        <x:f>IF(I529="Closed Won","Won",IF(I529="Closed Lost","Lost","Open"))</x:f>
        <x:v>Lost</x:v>
      </x:c>
      <x:c r="V529" s="22" t="n">
        <x:f>IF(U529="Won",L529*(1-M529),0)</x:f>
        <x:v>0</x:v>
      </x:c>
      <x:c r="W529" s="22" t="n">
        <x:f>IF(U529="Open",L529*N529,0)</x:f>
        <x:v>0</x:v>
      </x:c>
      <x:c r="X529" s="26" t="n">
        <x:f>IF(U529="Open","",IFERROR(K529-B529,""))</x:f>
        <x:v>55</x:v>
      </x:c>
      <x:c r="Y529" s="26" t="n">
        <x:f>IF(U529="Open",Lookups!$B$2-B529,X529)</x:f>
        <x:v>55</x:v>
      </x:c>
      <x:c r="Z529" t="str">
        <x:f>IF(AND(U529="Open",Y529&gt;30),"STALE","OK")</x:f>
        <x:v>OK</x:v>
      </x:c>
      <x:c r="AA529" t="str">
        <x:f>TEXT(B529,"yyyy-mm")</x:f>
        <x:v>2025-04</x:v>
      </x:c>
      <x:c r="AB529" t="str">
        <x:f>IF(K529="","",TEXT(K529,"yyyy-mm"))</x:f>
        <x:v>2025-06</x:v>
      </x:c>
      <x:c r="AC529" t="str">
        <x:f>"Q"&amp;ROUNDUP(MONTH(B529)/3,0)&amp;"-"&amp;YEAR(B529)</x:f>
        <x:v>Q2-2025</x:v>
      </x:c>
      <x:c r="AD529" s="26" t="n">
        <x:f>MIN(100,IF(H529="Enterprise",30,IF(H529="Mid-Market",22,14))+IF(T529="Enterprise",25,IF(T529="Mid-Market",18,10))+IF(Q529="Referral",25,IF(Q529="Organic Search",20,IF(Q529="Email",18,14)))+IF(G529="Technology",10,5))</x:f>
        <x:v>74</x:v>
      </x:c>
      <x:c r="AE529" t="str">
        <x:f>IF(U529&lt;&gt;"Open",U529,IF(N529&gt;=0.8,"Commit",IF(N529&gt;=0.5,"Best Case","Pipeline")))</x:f>
        <x:v>Lost</x:v>
      </x:c>
    </x:row>
    <x:row r="530">
      <x:c r="A530" t="str">
        <x:v>L00529</x:v>
      </x:c>
      <x:c r="B530" s="10" t="n">
        <x:v>45730</x:v>
      </x:c>
      <x:c r="C530" t="str">
        <x:v>Duy Pham</x:v>
      </x:c>
      <x:c r="D530" t="str">
        <x:v>South</x:v>
      </x:c>
      <x:c r="E530" t="str">
        <x:v>Email Campaign</x:v>
      </x:c>
      <x:c r="F530" t="str">
        <x:v>MKT-AUTO</x:v>
      </x:c>
      <x:c r="G530" t="str">
        <x:v>Healthcare</x:v>
      </x:c>
      <x:c r="H530" t="str">
        <x:v>SMB</x:v>
      </x:c>
      <x:c r="I530" t="str">
        <x:v>Closed Won</x:v>
      </x:c>
      <x:c r="J530" s="10" t="n">
        <x:v>45742</x:v>
      </x:c>
      <x:c r="K530" s="10" t="n">
        <x:v>45742</x:v>
      </x:c>
      <x:c r="L530" s="22" t="n">
        <x:v>8800</x:v>
      </x:c>
      <x:c r="M530" s="24" t="n">
        <x:v>0.05</x:v>
      </x:c>
      <x:c r="N530" s="24" t="n">
        <x:v>1</x:v>
      </x:c>
      <x:c r="O530" t="str"/>
      <x:c r="P530" t="n">
        <x:v>6</x:v>
      </x:c>
      <x:c r="Q530" t="str">
        <x:f>IFERROR(XLOOKUP(E530,Lookups!$A$5:$A$24,Lookups!$B$5:$B$24),"Other")</x:f>
        <x:v>Email</x:v>
      </x:c>
      <x:c r="R530" t="str">
        <x:f>IFERROR(XLOOKUP(F530,Lookups!$D$5:$D$10,Lookups!$E$5:$E$10),"Unknown Product")</x:f>
        <x:v>Marketing Automation</x:v>
      </x:c>
      <x:c r="S530" t="str">
        <x:f>IFERROR(XLOOKUP(F530,Lookups!$D$5:$D$10,Lookups!$F$5:$F$10),"Unknown")</x:f>
        <x:v>Marketing</x:v>
      </x:c>
      <x:c r="T530" t="str">
        <x:f>IF(L530&gt;=50000,"Enterprise",IF(L530&gt;=20000,"Mid-Market","SMB"))</x:f>
        <x:v>SMB</x:v>
      </x:c>
      <x:c r="U530" t="str">
        <x:f>IF(I530="Closed Won","Won",IF(I530="Closed Lost","Lost","Open"))</x:f>
        <x:v>Won</x:v>
      </x:c>
      <x:c r="V530" s="22" t="n">
        <x:f>IF(U530="Won",L530*(1-M530),0)</x:f>
        <x:v>8360</x:v>
      </x:c>
      <x:c r="W530" s="22" t="n">
        <x:f>IF(U530="Open",L530*N530,0)</x:f>
        <x:v>0</x:v>
      </x:c>
      <x:c r="X530" s="26" t="n">
        <x:f>IF(U530="Open","",IFERROR(K530-B530,""))</x:f>
        <x:v>12</x:v>
      </x:c>
      <x:c r="Y530" s="26" t="n">
        <x:f>IF(U530="Open",Lookups!$B$2-B530,X530)</x:f>
        <x:v>12</x:v>
      </x:c>
      <x:c r="Z530" t="str">
        <x:f>IF(AND(U530="Open",Y530&gt;30),"STALE","OK")</x:f>
        <x:v>OK</x:v>
      </x:c>
      <x:c r="AA530" t="str">
        <x:f>TEXT(B530,"yyyy-mm")</x:f>
        <x:v>2025-03</x:v>
      </x:c>
      <x:c r="AB530" t="str">
        <x:f>IF(K530="","",TEXT(K530,"yyyy-mm"))</x:f>
        <x:v>2025-03</x:v>
      </x:c>
      <x:c r="AC530" t="str">
        <x:f>"Q"&amp;ROUNDUP(MONTH(B530)/3,0)&amp;"-"&amp;YEAR(B530)</x:f>
        <x:v>Q1-2025</x:v>
      </x:c>
      <x:c r="AD530" s="26" t="n">
        <x:f>MIN(100,IF(H530="Enterprise",30,IF(H530="Mid-Market",22,14))+IF(T530="Enterprise",25,IF(T530="Mid-Market",18,10))+IF(Q530="Referral",25,IF(Q530="Organic Search",20,IF(Q530="Email",18,14)))+IF(G530="Technology",10,5))</x:f>
        <x:v>47</x:v>
      </x:c>
      <x:c r="AE530" t="str">
        <x:f>IF(U530&lt;&gt;"Open",U530,IF(N530&gt;=0.8,"Commit",IF(N530&gt;=0.5,"Best Case","Pipeline")))</x:f>
        <x:v>Won</x:v>
      </x:c>
    </x:row>
    <x:row r="531">
      <x:c r="A531" t="str">
        <x:v>L00530</x:v>
      </x:c>
      <x:c r="B531" s="10" t="n">
        <x:v>45723</x:v>
      </x:c>
      <x:c r="C531" t="str">
        <x:v>Tuan Bui</x:v>
      </x:c>
      <x:c r="D531" t="str">
        <x:v>Central</x:v>
      </x:c>
      <x:c r="E531" t="str">
        <x:v>email nurture</x:v>
      </x:c>
      <x:c r="F531" t="str">
        <x:v>CS-CLOUD</x:v>
      </x:c>
      <x:c r="G531" t="str">
        <x:v>Manufacturing</x:v>
      </x:c>
      <x:c r="H531" t="str">
        <x:v>SMB</x:v>
      </x:c>
      <x:c r="I531" t="str">
        <x:v>Negotiation</x:v>
      </x:c>
      <x:c r="J531" s="10" t="n">
        <x:v>45966</x:v>
      </x:c>
      <x:c r="K531" s="10"/>
      <x:c r="L531" s="22" t="n">
        <x:v>11900</x:v>
      </x:c>
      <x:c r="M531" s="24" t="n">
        <x:v>0.05</x:v>
      </x:c>
      <x:c r="N531" s="24" t="n">
        <x:v>0.85</x:v>
      </x:c>
      <x:c r="O531" t="str"/>
      <x:c r="P531" t="n">
        <x:v>5</x:v>
      </x:c>
      <x:c r="Q531" t="str">
        <x:f>IFERROR(XLOOKUP(E531,Lookups!$A$5:$A$24,Lookups!$B$5:$B$24),"Other")</x:f>
        <x:v>Email</x:v>
      </x:c>
      <x:c r="R531" t="str">
        <x:f>IFERROR(XLOOKUP(F531,Lookups!$D$5:$D$10,Lookups!$E$5:$E$10),"Unknown Product")</x:f>
        <x:v>Service Cloud</x:v>
      </x:c>
      <x:c r="S531" t="str">
        <x:f>IFERROR(XLOOKUP(F531,Lookups!$D$5:$D$10,Lookups!$F$5:$F$10),"Unknown")</x:f>
        <x:v>Customer Service</x:v>
      </x:c>
      <x:c r="T531" t="str">
        <x:f>IF(L531&gt;=50000,"Enterprise",IF(L531&gt;=20000,"Mid-Market","SMB"))</x:f>
        <x:v>SMB</x:v>
      </x:c>
      <x:c r="U531" t="str">
        <x:f>IF(I531="Closed Won","Won",IF(I531="Closed Lost","Lost","Open"))</x:f>
        <x:v>Open</x:v>
      </x:c>
      <x:c r="V531" s="22" t="n">
        <x:f>IF(U531="Won",L531*(1-M531),0)</x:f>
        <x:v>0</x:v>
      </x:c>
      <x:c r="W531" s="22" t="n">
        <x:f>IF(U531="Open",L531*N531,0)</x:f>
        <x:v>10115</x:v>
      </x:c>
      <x:c r="X531" s="26" t="str">
        <x:f>IF(U531="Open","",IFERROR(K531-B531,""))</x:f>
      </x:c>
      <x:c r="Y531" s="26" t="n">
        <x:f>IF(U531="Open",Lookups!$B$2-B531,X531)</x:f>
        <x:v>543</x:v>
      </x:c>
      <x:c r="Z531" t="str">
        <x:f>IF(AND(U531="Open",Y531&gt;30),"STALE","OK")</x:f>
        <x:v>STALE</x:v>
      </x:c>
      <x:c r="AA531" t="str">
        <x:f>TEXT(B531,"yyyy-mm")</x:f>
        <x:v>2025-03</x:v>
      </x:c>
      <x:c r="AB531" t="str">
        <x:f>IF(K531="","",TEXT(K531,"yyyy-mm"))</x:f>
      </x:c>
      <x:c r="AC531" t="str">
        <x:f>"Q"&amp;ROUNDUP(MONTH(B531)/3,0)&amp;"-"&amp;YEAR(B531)</x:f>
        <x:v>Q1-2025</x:v>
      </x:c>
      <x:c r="AD531" s="26" t="n">
        <x:f>MIN(100,IF(H531="Enterprise",30,IF(H531="Mid-Market",22,14))+IF(T531="Enterprise",25,IF(T531="Mid-Market",18,10))+IF(Q531="Referral",25,IF(Q531="Organic Search",20,IF(Q531="Email",18,14)))+IF(G531="Technology",10,5))</x:f>
        <x:v>47</x:v>
      </x:c>
      <x:c r="AE531" t="str">
        <x:f>IF(U531&lt;&gt;"Open",U531,IF(N531&gt;=0.8,"Commit",IF(N531&gt;=0.5,"Best Case","Pipeline")))</x:f>
        <x:v>Commit</x:v>
      </x:c>
    </x:row>
    <x:row r="532">
      <x:c r="A532" t="str">
        <x:v>L00531</x:v>
      </x:c>
      <x:c r="B532" s="10" t="n">
        <x:v>45768</x:v>
      </x:c>
      <x:c r="C532" t="str">
        <x:v>Chi Le</x:v>
      </x:c>
      <x:c r="D532" t="str">
        <x:v>South</x:v>
      </x:c>
      <x:c r="E532" t="str">
        <x:v>Webinar</x:v>
      </x:c>
      <x:c r="F532" t="str">
        <x:v>REV-OPS</x:v>
      </x:c>
      <x:c r="G532" t="str">
        <x:v>Education</x:v>
      </x:c>
      <x:c r="H532" t="str">
        <x:v>SMB</x:v>
      </x:c>
      <x:c r="I532" t="str">
        <x:v>Closed Lost</x:v>
      </x:c>
      <x:c r="J532" s="10" t="n">
        <x:v>45800</x:v>
      </x:c>
      <x:c r="K532" s="10" t="n">
        <x:v>45800</x:v>
      </x:c>
      <x:c r="L532" s="22" t="n">
        <x:v>38400</x:v>
      </x:c>
      <x:c r="M532" s="24" t="n">
        <x:v>0</x:v>
      </x:c>
      <x:c r="N532" s="24" t="n">
        <x:v>0</x:v>
      </x:c>
      <x:c r="O532" t="str">
        <x:v>Timing</x:v>
      </x:c>
      <x:c r="P532" t="n">
        <x:v>4</x:v>
      </x:c>
      <x:c r="Q532" t="str">
        <x:f>IFERROR(XLOOKUP(E532,Lookups!$A$5:$A$24,Lookups!$B$5:$B$24),"Other")</x:f>
        <x:v>Webinar</x:v>
      </x:c>
      <x:c r="R532" t="str">
        <x:f>IFERROR(XLOOKUP(F532,Lookups!$D$5:$D$10,Lookups!$E$5:$E$10),"Unknown Product")</x:f>
        <x:v>Revenue Operations Suite</x:v>
      </x:c>
      <x:c r="S532" t="str">
        <x:f>IFERROR(XLOOKUP(F532,Lookups!$D$5:$D$10,Lookups!$F$5:$F$10),"Unknown")</x:f>
        <x:v>Revenue Ops</x:v>
      </x:c>
      <x:c r="T532" t="str">
        <x:f>IF(L532&gt;=50000,"Enterprise",IF(L532&gt;=20000,"Mid-Market","SMB"))</x:f>
        <x:v>Mid-Market</x:v>
      </x:c>
      <x:c r="U532" t="str">
        <x:f>IF(I532="Closed Won","Won",IF(I532="Closed Lost","Lost","Open"))</x:f>
        <x:v>Lost</x:v>
      </x:c>
      <x:c r="V532" s="22" t="n">
        <x:f>IF(U532="Won",L532*(1-M532),0)</x:f>
        <x:v>0</x:v>
      </x:c>
      <x:c r="W532" s="22" t="n">
        <x:f>IF(U532="Open",L532*N532,0)</x:f>
        <x:v>0</x:v>
      </x:c>
      <x:c r="X532" s="26" t="n">
        <x:f>IF(U532="Open","",IFERROR(K532-B532,""))</x:f>
        <x:v>32</x:v>
      </x:c>
      <x:c r="Y532" s="26" t="n">
        <x:f>IF(U532="Open",Lookups!$B$2-B532,X532)</x:f>
        <x:v>32</x:v>
      </x:c>
      <x:c r="Z532" t="str">
        <x:f>IF(AND(U532="Open",Y532&gt;30),"STALE","OK")</x:f>
        <x:v>OK</x:v>
      </x:c>
      <x:c r="AA532" t="str">
        <x:f>TEXT(B532,"yyyy-mm")</x:f>
        <x:v>2025-04</x:v>
      </x:c>
      <x:c r="AB532" t="str">
        <x:f>IF(K532="","",TEXT(K532,"yyyy-mm"))</x:f>
        <x:v>2025-05</x:v>
      </x:c>
      <x:c r="AC532" t="str">
        <x:f>"Q"&amp;ROUNDUP(MONTH(B532)/3,0)&amp;"-"&amp;YEAR(B532)</x:f>
        <x:v>Q2-2025</x:v>
      </x:c>
      <x:c r="AD532" s="26" t="n">
        <x:f>MIN(100,IF(H532="Enterprise",30,IF(H532="Mid-Market",22,14))+IF(T532="Enterprise",25,IF(T532="Mid-Market",18,10))+IF(Q532="Referral",25,IF(Q532="Organic Search",20,IF(Q532="Email",18,14)))+IF(G532="Technology",10,5))</x:f>
        <x:v>51</x:v>
      </x:c>
      <x:c r="AE532" t="str">
        <x:f>IF(U532&lt;&gt;"Open",U532,IF(N532&gt;=0.8,"Commit",IF(N532&gt;=0.5,"Best Case","Pipeline")))</x:f>
        <x:v>Lost</x:v>
      </x:c>
    </x:row>
    <x:row r="533">
      <x:c r="A533" t="str">
        <x:v>L00532</x:v>
      </x:c>
      <x:c r="B533" s="10" t="n">
        <x:v>45748</x:v>
      </x:c>
      <x:c r="C533" t="str">
        <x:v>Ha Vo</x:v>
      </x:c>
      <x:c r="D533" t="str">
        <x:v>North</x:v>
      </x:c>
      <x:c r="E533" t="str">
        <x:v>newsletter</x:v>
      </x:c>
      <x:c r="F533" t="str">
        <x:v>MKT-AUTO</x:v>
      </x:c>
      <x:c r="G533" t="str">
        <x:v>Manufacturing</x:v>
      </x:c>
      <x:c r="H533" t="str">
        <x:v>Enterprise</x:v>
      </x:c>
      <x:c r="I533" t="str">
        <x:v>Closed Lost</x:v>
      </x:c>
      <x:c r="J533" s="10" t="n">
        <x:v>45824</x:v>
      </x:c>
      <x:c r="K533" s="10" t="n">
        <x:v>45824</x:v>
      </x:c>
      <x:c r="L533" s="22" t="n">
        <x:v>61300</x:v>
      </x:c>
      <x:c r="M533" s="24" t="n">
        <x:v>0</x:v>
      </x:c>
      <x:c r="N533" s="24" t="n">
        <x:v>0</x:v>
      </x:c>
      <x:c r="O533" t="str">
        <x:v>No Decision</x:v>
      </x:c>
      <x:c r="P533" t="n">
        <x:v>5</x:v>
      </x:c>
      <x:c r="Q533" t="str">
        <x:f>IFERROR(XLOOKUP(E533,Lookups!$A$5:$A$24,Lookups!$B$5:$B$24),"Other")</x:f>
        <x:v>Email</x:v>
      </x:c>
      <x:c r="R533" t="str">
        <x:f>IFERROR(XLOOKUP(F533,Lookups!$D$5:$D$10,Lookups!$E$5:$E$10),"Unknown Product")</x:f>
        <x:v>Marketing Automation</x:v>
      </x:c>
      <x:c r="S533" t="str">
        <x:f>IFERROR(XLOOKUP(F533,Lookups!$D$5:$D$10,Lookups!$F$5:$F$10),"Unknown")</x:f>
        <x:v>Marketing</x:v>
      </x:c>
      <x:c r="T533" t="str">
        <x:f>IF(L533&gt;=50000,"Enterprise",IF(L533&gt;=20000,"Mid-Market","SMB"))</x:f>
        <x:v>Enterprise</x:v>
      </x:c>
      <x:c r="U533" t="str">
        <x:f>IF(I533="Closed Won","Won",IF(I533="Closed Lost","Lost","Open"))</x:f>
        <x:v>Lost</x:v>
      </x:c>
      <x:c r="V533" s="22" t="n">
        <x:f>IF(U533="Won",L533*(1-M533),0)</x:f>
        <x:v>0</x:v>
      </x:c>
      <x:c r="W533" s="22" t="n">
        <x:f>IF(U533="Open",L533*N533,0)</x:f>
        <x:v>0</x:v>
      </x:c>
      <x:c r="X533" s="26" t="n">
        <x:f>IF(U533="Open","",IFERROR(K533-B533,""))</x:f>
        <x:v>76</x:v>
      </x:c>
      <x:c r="Y533" s="26" t="n">
        <x:f>IF(U533="Open",Lookups!$B$2-B533,X533)</x:f>
        <x:v>76</x:v>
      </x:c>
      <x:c r="Z533" t="str">
        <x:f>IF(AND(U533="Open",Y533&gt;30),"STALE","OK")</x:f>
        <x:v>OK</x:v>
      </x:c>
      <x:c r="AA533" t="str">
        <x:f>TEXT(B533,"yyyy-mm")</x:f>
        <x:v>2025-04</x:v>
      </x:c>
      <x:c r="AB533" t="str">
        <x:f>IF(K533="","",TEXT(K533,"yyyy-mm"))</x:f>
        <x:v>2025-06</x:v>
      </x:c>
      <x:c r="AC533" t="str">
        <x:f>"Q"&amp;ROUNDUP(MONTH(B533)/3,0)&amp;"-"&amp;YEAR(B533)</x:f>
        <x:v>Q2-2025</x:v>
      </x:c>
      <x:c r="AD533" s="26" t="n">
        <x:f>MIN(100,IF(H533="Enterprise",30,IF(H533="Mid-Market",22,14))+IF(T533="Enterprise",25,IF(T533="Mid-Market",18,10))+IF(Q533="Referral",25,IF(Q533="Organic Search",20,IF(Q533="Email",18,14)))+IF(G533="Technology",10,5))</x:f>
        <x:v>78</x:v>
      </x:c>
      <x:c r="AE533" t="str">
        <x:f>IF(U533&lt;&gt;"Open",U533,IF(N533&gt;=0.8,"Commit",IF(N533&gt;=0.5,"Best Case","Pipeline")))</x:f>
        <x:v>Lost</x:v>
      </x:c>
    </x:row>
    <x:row r="534">
      <x:c r="A534" t="str">
        <x:v>L00533</x:v>
      </x:c>
      <x:c r="B534" s="10" t="n">
        <x:v>45814</x:v>
      </x:c>
      <x:c r="C534" t="str">
        <x:v>Duy Pham</x:v>
      </x:c>
      <x:c r="D534" t="str">
        <x:v>South</x:v>
      </x:c>
      <x:c r="E534" t="str">
        <x:v>SEM - Google</x:v>
      </x:c>
      <x:c r="F534" t="str">
        <x:v>BI-PLUS</x:v>
      </x:c>
      <x:c r="G534" t="str">
        <x:v>Technology</x:v>
      </x:c>
      <x:c r="H534" t="str">
        <x:v>SMB</x:v>
      </x:c>
      <x:c r="I534" t="str">
        <x:v>Negotiation</x:v>
      </x:c>
      <x:c r="J534" s="10" t="n">
        <x:v>46155</x:v>
      </x:c>
      <x:c r="K534" s="10"/>
      <x:c r="L534" s="22" t="n">
        <x:v>20100</x:v>
      </x:c>
      <x:c r="M534" s="24" t="n">
        <x:v>0.03</x:v>
      </x:c>
      <x:c r="N534" s="24" t="n">
        <x:v>0.85</x:v>
      </x:c>
      <x:c r="O534" t="str"/>
      <x:c r="P534" t="n">
        <x:v>5</x:v>
      </x:c>
      <x:c r="Q534" t="str">
        <x:f>IFERROR(XLOOKUP(E534,Lookups!$A$5:$A$24,Lookups!$B$5:$B$24),"Other")</x:f>
        <x:v>Paid Search</x:v>
      </x:c>
      <x:c r="R534" t="str">
        <x:f>IFERROR(XLOOKUP(F534,Lookups!$D$5:$D$10,Lookups!$E$5:$E$10),"Unknown Product")</x:f>
        <x:v>Analytics Plus</x:v>
      </x:c>
      <x:c r="S534" t="str">
        <x:f>IFERROR(XLOOKUP(F534,Lookups!$D$5:$D$10,Lookups!$F$5:$F$10),"Unknown")</x:f>
        <x:v>Analytics</x:v>
      </x:c>
      <x:c r="T534" t="str">
        <x:f>IF(L534&gt;=50000,"Enterprise",IF(L534&gt;=20000,"Mid-Market","SMB"))</x:f>
        <x:v>Mid-Market</x:v>
      </x:c>
      <x:c r="U534" t="str">
        <x:f>IF(I534="Closed Won","Won",IF(I534="Closed Lost","Lost","Open"))</x:f>
        <x:v>Open</x:v>
      </x:c>
      <x:c r="V534" s="22" t="n">
        <x:f>IF(U534="Won",L534*(1-M534),0)</x:f>
        <x:v>0</x:v>
      </x:c>
      <x:c r="W534" s="22" t="n">
        <x:f>IF(U534="Open",L534*N534,0)</x:f>
        <x:v>17085</x:v>
      </x:c>
      <x:c r="X534" s="26" t="str">
        <x:f>IF(U534="Open","",IFERROR(K534-B534,""))</x:f>
      </x:c>
      <x:c r="Y534" s="26" t="n">
        <x:f>IF(U534="Open",Lookups!$B$2-B534,X534)</x:f>
        <x:v>452</x:v>
      </x:c>
      <x:c r="Z534" t="str">
        <x:f>IF(AND(U534="Open",Y534&gt;30),"STALE","OK")</x:f>
        <x:v>STALE</x:v>
      </x:c>
      <x:c r="AA534" t="str">
        <x:f>TEXT(B534,"yyyy-mm")</x:f>
        <x:v>2025-06</x:v>
      </x:c>
      <x:c r="AB534" t="str">
        <x:f>IF(K534="","",TEXT(K534,"yyyy-mm"))</x:f>
      </x:c>
      <x:c r="AC534" t="str">
        <x:f>"Q"&amp;ROUNDUP(MONTH(B534)/3,0)&amp;"-"&amp;YEAR(B534)</x:f>
        <x:v>Q2-2025</x:v>
      </x:c>
      <x:c r="AD534" s="26" t="n">
        <x:f>MIN(100,IF(H534="Enterprise",30,IF(H534="Mid-Market",22,14))+IF(T534="Enterprise",25,IF(T534="Mid-Market",18,10))+IF(Q534="Referral",25,IF(Q534="Organic Search",20,IF(Q534="Email",18,14)))+IF(G534="Technology",10,5))</x:f>
        <x:v>56</x:v>
      </x:c>
      <x:c r="AE534" t="str">
        <x:f>IF(U534&lt;&gt;"Open",U534,IF(N534&gt;=0.8,"Commit",IF(N534&gt;=0.5,"Best Case","Pipeline")))</x:f>
        <x:v>Commit</x:v>
      </x:c>
    </x:row>
    <x:row r="535">
      <x:c r="A535" t="str">
        <x:v>L00534</x:v>
      </x:c>
      <x:c r="B535" s="10" t="n">
        <x:v>45757</x:v>
      </x:c>
      <x:c r="C535" t="str">
        <x:v>Chi Le</x:v>
      </x:c>
      <x:c r="D535" t="str">
        <x:v>South</x:v>
      </x:c>
      <x:c r="E535" t="str">
        <x:v>organic search</x:v>
      </x:c>
      <x:c r="F535" t="str">
        <x:v>MKT-AUTO</x:v>
      </x:c>
      <x:c r="G535" t="str">
        <x:v>Manufacturing</x:v>
      </x:c>
      <x:c r="H535" t="str">
        <x:v>Mid-Market</x:v>
      </x:c>
      <x:c r="I535" t="str">
        <x:v>Closed Lost</x:v>
      </x:c>
      <x:c r="J535" s="10" t="n">
        <x:v>45813</x:v>
      </x:c>
      <x:c r="K535" s="10" t="n">
        <x:v>45813</x:v>
      </x:c>
      <x:c r="L535" s="22" t="n">
        <x:v>37500</x:v>
      </x:c>
      <x:c r="M535" s="24" t="n">
        <x:v>0</x:v>
      </x:c>
      <x:c r="N535" s="24" t="n">
        <x:v>0</x:v>
      </x:c>
      <x:c r="O535" t="str">
        <x:v>Budget</x:v>
      </x:c>
      <x:c r="P535" t="n">
        <x:v>3</x:v>
      </x:c>
      <x:c r="Q535" t="str">
        <x:f>IFERROR(XLOOKUP(E535,Lookups!$A$5:$A$24,Lookups!$B$5:$B$24),"Other")</x:f>
        <x:v>Organic Search</x:v>
      </x:c>
      <x:c r="R535" t="str">
        <x:f>IFERROR(XLOOKUP(F535,Lookups!$D$5:$D$10,Lookups!$E$5:$E$10),"Unknown Product")</x:f>
        <x:v>Marketing Automation</x:v>
      </x:c>
      <x:c r="S535" t="str">
        <x:f>IFERROR(XLOOKUP(F535,Lookups!$D$5:$D$10,Lookups!$F$5:$F$10),"Unknown")</x:f>
        <x:v>Marketing</x:v>
      </x:c>
      <x:c r="T535" t="str">
        <x:f>IF(L535&gt;=50000,"Enterprise",IF(L535&gt;=20000,"Mid-Market","SMB"))</x:f>
        <x:v>Mid-Market</x:v>
      </x:c>
      <x:c r="U535" t="str">
        <x:f>IF(I535="Closed Won","Won",IF(I535="Closed Lost","Lost","Open"))</x:f>
        <x:v>Lost</x:v>
      </x:c>
      <x:c r="V535" s="22" t="n">
        <x:f>IF(U535="Won",L535*(1-M535),0)</x:f>
        <x:v>0</x:v>
      </x:c>
      <x:c r="W535" s="22" t="n">
        <x:f>IF(U535="Open",L535*N535,0)</x:f>
        <x:v>0</x:v>
      </x:c>
      <x:c r="X535" s="26" t="n">
        <x:f>IF(U535="Open","",IFERROR(K535-B535,""))</x:f>
        <x:v>56</x:v>
      </x:c>
      <x:c r="Y535" s="26" t="n">
        <x:f>IF(U535="Open",Lookups!$B$2-B535,X535)</x:f>
        <x:v>56</x:v>
      </x:c>
      <x:c r="Z535" t="str">
        <x:f>IF(AND(U535="Open",Y535&gt;30),"STALE","OK")</x:f>
        <x:v>OK</x:v>
      </x:c>
      <x:c r="AA535" t="str">
        <x:f>TEXT(B535,"yyyy-mm")</x:f>
        <x:v>2025-04</x:v>
      </x:c>
      <x:c r="AB535" t="str">
        <x:f>IF(K535="","",TEXT(K535,"yyyy-mm"))</x:f>
        <x:v>2025-06</x:v>
      </x:c>
      <x:c r="AC535" t="str">
        <x:f>"Q"&amp;ROUNDUP(MONTH(B535)/3,0)&amp;"-"&amp;YEAR(B535)</x:f>
        <x:v>Q2-2025</x:v>
      </x:c>
      <x:c r="AD535" s="26" t="n">
        <x:f>MIN(100,IF(H535="Enterprise",30,IF(H535="Mid-Market",22,14))+IF(T535="Enterprise",25,IF(T535="Mid-Market",18,10))+IF(Q535="Referral",25,IF(Q535="Organic Search",20,IF(Q535="Email",18,14)))+IF(G535="Technology",10,5))</x:f>
        <x:v>65</x:v>
      </x:c>
      <x:c r="AE535" t="str">
        <x:f>IF(U535&lt;&gt;"Open",U535,IF(N535&gt;=0.8,"Commit",IF(N535&gt;=0.5,"Best Case","Pipeline")))</x:f>
        <x:v>Lost</x:v>
      </x:c>
    </x:row>
    <x:row r="536">
      <x:c r="A536" t="str">
        <x:v>L00535</x:v>
      </x:c>
      <x:c r="B536" s="10" t="n">
        <x:v>46158</x:v>
      </x:c>
      <x:c r="C536" t="str">
        <x:v>Tuan Bui</x:v>
      </x:c>
      <x:c r="D536" t="str">
        <x:v>Central</x:v>
      </x:c>
      <x:c r="E536" t="str">
        <x:v>LI Ads</x:v>
      </x:c>
      <x:c r="F536" t="str">
        <x:v>REV-OPS</x:v>
      </x:c>
      <x:c r="G536" t="str">
        <x:v>Financial Services</x:v>
      </x:c>
      <x:c r="H536" t="str">
        <x:v>SMB</x:v>
      </x:c>
      <x:c r="I536" t="str">
        <x:v>Closed Won</x:v>
      </x:c>
      <x:c r="J536" s="10" t="n">
        <x:v>46227</x:v>
      </x:c>
      <x:c r="K536" s="10" t="n">
        <x:v>46227</x:v>
      </x:c>
      <x:c r="L536" s="22" t="n">
        <x:v>29700</x:v>
      </x:c>
      <x:c r="M536" s="24" t="n">
        <x:v>0.05</x:v>
      </x:c>
      <x:c r="N536" s="24" t="n">
        <x:v>1</x:v>
      </x:c>
      <x:c r="O536" t="str"/>
      <x:c r="P536" t="n">
        <x:v>6</x:v>
      </x:c>
      <x:c r="Q536" t="str">
        <x:f>IFERROR(XLOOKUP(E536,Lookups!$A$5:$A$24,Lookups!$B$5:$B$24),"Other")</x:f>
        <x:v>LinkedIn</x:v>
      </x:c>
      <x:c r="R536" t="str">
        <x:f>IFERROR(XLOOKUP(F536,Lookups!$D$5:$D$10,Lookups!$E$5:$E$10),"Unknown Product")</x:f>
        <x:v>Revenue Operations Suite</x:v>
      </x:c>
      <x:c r="S536" t="str">
        <x:f>IFERROR(XLOOKUP(F536,Lookups!$D$5:$D$10,Lookups!$F$5:$F$10),"Unknown")</x:f>
        <x:v>Revenue Ops</x:v>
      </x:c>
      <x:c r="T536" t="str">
        <x:f>IF(L536&gt;=50000,"Enterprise",IF(L536&gt;=20000,"Mid-Market","SMB"))</x:f>
        <x:v>Mid-Market</x:v>
      </x:c>
      <x:c r="U536" t="str">
        <x:f>IF(I536="Closed Won","Won",IF(I536="Closed Lost","Lost","Open"))</x:f>
        <x:v>Won</x:v>
      </x:c>
      <x:c r="V536" s="22" t="n">
        <x:f>IF(U536="Won",L536*(1-M536),0)</x:f>
        <x:v>28215</x:v>
      </x:c>
      <x:c r="W536" s="22" t="n">
        <x:f>IF(U536="Open",L536*N536,0)</x:f>
        <x:v>0</x:v>
      </x:c>
      <x:c r="X536" s="26" t="n">
        <x:f>IF(U536="Open","",IFERROR(K536-B536,""))</x:f>
        <x:v>69</x:v>
      </x:c>
      <x:c r="Y536" s="26" t="n">
        <x:f>IF(U536="Open",Lookups!$B$2-B536,X536)</x:f>
        <x:v>69</x:v>
      </x:c>
      <x:c r="Z536" t="str">
        <x:f>IF(AND(U536="Open",Y536&gt;30),"STALE","OK")</x:f>
        <x:v>OK</x:v>
      </x:c>
      <x:c r="AA536" t="str">
        <x:f>TEXT(B536,"yyyy-mm")</x:f>
        <x:v>2026-05</x:v>
      </x:c>
      <x:c r="AB536" t="str">
        <x:f>IF(K536="","",TEXT(K536,"yyyy-mm"))</x:f>
        <x:v>2026-07</x:v>
      </x:c>
      <x:c r="AC536" t="str">
        <x:f>"Q"&amp;ROUNDUP(MONTH(B536)/3,0)&amp;"-"&amp;YEAR(B536)</x:f>
        <x:v>Q2-2026</x:v>
      </x:c>
      <x:c r="AD536" s="26" t="n">
        <x:f>MIN(100,IF(H536="Enterprise",30,IF(H536="Mid-Market",22,14))+IF(T536="Enterprise",25,IF(T536="Mid-Market",18,10))+IF(Q536="Referral",25,IF(Q536="Organic Search",20,IF(Q536="Email",18,14)))+IF(G536="Technology",10,5))</x:f>
        <x:v>51</x:v>
      </x:c>
      <x:c r="AE536" t="str">
        <x:f>IF(U536&lt;&gt;"Open",U536,IF(N536&gt;=0.8,"Commit",IF(N536&gt;=0.5,"Best Case","Pipeline")))</x:f>
        <x:v>Won</x:v>
      </x:c>
    </x:row>
    <x:row r="537">
      <x:c r="A537" t="str">
        <x:v>L00536</x:v>
      </x:c>
      <x:c r="B537" s="10" t="n">
        <x:v>45808</x:v>
      </x:c>
      <x:c r="C537" t="str">
        <x:v>Chi Le</x:v>
      </x:c>
      <x:c r="D537" t="str">
        <x:v>South</x:v>
      </x:c>
      <x:c r="E537" t="str">
        <x:v>linkedin</x:v>
      </x:c>
      <x:c r="F537" t="str">
        <x:v>CRM-CORE</x:v>
      </x:c>
      <x:c r="G537" t="str">
        <x:v>Education</x:v>
      </x:c>
      <x:c r="H537" t="str">
        <x:v>Mid-Market</x:v>
      </x:c>
      <x:c r="I537" t="str">
        <x:v>Closed Lost</x:v>
      </x:c>
      <x:c r="J537" s="10" t="n">
        <x:v>45864</x:v>
      </x:c>
      <x:c r="K537" s="10" t="n">
        <x:v>45864</x:v>
      </x:c>
      <x:c r="L537" s="22" t="n">
        <x:v>13800</x:v>
      </x:c>
      <x:c r="M537" s="24" t="n">
        <x:v>0</x:v>
      </x:c>
      <x:c r="N537" s="24" t="n">
        <x:v>0</x:v>
      </x:c>
      <x:c r="O537" t="str">
        <x:v>No Decision</x:v>
      </x:c>
      <x:c r="P537" t="n">
        <x:v>2</x:v>
      </x:c>
      <x:c r="Q537" t="str">
        <x:f>IFERROR(XLOOKUP(E537,Lookups!$A$5:$A$24,Lookups!$B$5:$B$24),"Other")</x:f>
        <x:v>LinkedIn</x:v>
      </x:c>
      <x:c r="R537" t="str">
        <x:f>IFERROR(XLOOKUP(F537,Lookups!$D$5:$D$10,Lookups!$E$5:$E$10),"Unknown Product")</x:f>
        <x:v>NexaCRM Core</x:v>
      </x:c>
      <x:c r="S537" t="str">
        <x:f>IFERROR(XLOOKUP(F537,Lookups!$D$5:$D$10,Lookups!$F$5:$F$10),"Unknown")</x:f>
        <x:v>CRM</x:v>
      </x:c>
      <x:c r="T537" t="str">
        <x:f>IF(L537&gt;=50000,"Enterprise",IF(L537&gt;=20000,"Mid-Market","SMB"))</x:f>
        <x:v>SMB</x:v>
      </x:c>
      <x:c r="U537" t="str">
        <x:f>IF(I537="Closed Won","Won",IF(I537="Closed Lost","Lost","Open"))</x:f>
        <x:v>Lost</x:v>
      </x:c>
      <x:c r="V537" s="22" t="n">
        <x:f>IF(U537="Won",L537*(1-M537),0)</x:f>
        <x:v>0</x:v>
      </x:c>
      <x:c r="W537" s="22" t="n">
        <x:f>IF(U537="Open",L537*N537,0)</x:f>
        <x:v>0</x:v>
      </x:c>
      <x:c r="X537" s="26" t="n">
        <x:f>IF(U537="Open","",IFERROR(K537-B537,""))</x:f>
        <x:v>56</x:v>
      </x:c>
      <x:c r="Y537" s="26" t="n">
        <x:f>IF(U537="Open",Lookups!$B$2-B537,X537)</x:f>
        <x:v>56</x:v>
      </x:c>
      <x:c r="Z537" t="str">
        <x:f>IF(AND(U537="Open",Y537&gt;30),"STALE","OK")</x:f>
        <x:v>OK</x:v>
      </x:c>
      <x:c r="AA537" t="str">
        <x:f>TEXT(B537,"yyyy-mm")</x:f>
        <x:v>2025-05</x:v>
      </x:c>
      <x:c r="AB537" t="str">
        <x:f>IF(K537="","",TEXT(K537,"yyyy-mm"))</x:f>
        <x:v>2025-07</x:v>
      </x:c>
      <x:c r="AC537" t="str">
        <x:f>"Q"&amp;ROUNDUP(MONTH(B537)/3,0)&amp;"-"&amp;YEAR(B537)</x:f>
        <x:v>Q2-2025</x:v>
      </x:c>
      <x:c r="AD537" s="26" t="n">
        <x:f>MIN(100,IF(H537="Enterprise",30,IF(H537="Mid-Market",22,14))+IF(T537="Enterprise",25,IF(T537="Mid-Market",18,10))+IF(Q537="Referral",25,IF(Q537="Organic Search",20,IF(Q537="Email",18,14)))+IF(G537="Technology",10,5))</x:f>
        <x:v>51</x:v>
      </x:c>
      <x:c r="AE537" t="str">
        <x:f>IF(U537&lt;&gt;"Open",U537,IF(N537&gt;=0.8,"Commit",IF(N537&gt;=0.5,"Best Case","Pipeline")))</x:f>
        <x:v>Lost</x:v>
      </x:c>
    </x:row>
    <x:row r="538">
      <x:c r="A538" t="str">
        <x:v>L00537</x:v>
      </x:c>
      <x:c r="B538" s="10" t="n">
        <x:v>46217</x:v>
      </x:c>
      <x:c r="C538" t="str">
        <x:v>Minh Do</x:v>
      </x:c>
      <x:c r="D538" t="str">
        <x:v>North</x:v>
      </x:c>
      <x:c r="E538" t="str">
        <x:v>Partner Referral</x:v>
      </x:c>
      <x:c r="F538" t="str">
        <x:v>CRM-PRO</x:v>
      </x:c>
      <x:c r="G538" t="str">
        <x:v>Healthcare</x:v>
      </x:c>
      <x:c r="H538" t="str">
        <x:v>SMB</x:v>
      </x:c>
      <x:c r="I538" t="str">
        <x:v>Closed Won</x:v>
      </x:c>
      <x:c r="J538" s="10" t="n">
        <x:v>46241</x:v>
      </x:c>
      <x:c r="K538" s="10" t="n">
        <x:v>46241</x:v>
      </x:c>
      <x:c r="L538" s="22" t="n">
        <x:v>13400</x:v>
      </x:c>
      <x:c r="M538" s="24" t="n">
        <x:v>0.05</x:v>
      </x:c>
      <x:c r="N538" s="24" t="n">
        <x:v>1</x:v>
      </x:c>
      <x:c r="O538" t="str"/>
      <x:c r="P538" t="n">
        <x:v>6</x:v>
      </x:c>
      <x:c r="Q538" t="str">
        <x:f>IFERROR(XLOOKUP(E538,Lookups!$A$5:$A$24,Lookups!$B$5:$B$24),"Other")</x:f>
        <x:v>Referral</x:v>
      </x:c>
      <x:c r="R538" t="str">
        <x:f>IFERROR(XLOOKUP(F538,Lookups!$D$5:$D$10,Lookups!$E$5:$E$10),"Unknown Product")</x:f>
        <x:v>NexaCRM Pro</x:v>
      </x:c>
      <x:c r="S538" t="str">
        <x:f>IFERROR(XLOOKUP(F538,Lookups!$D$5:$D$10,Lookups!$F$5:$F$10),"Unknown")</x:f>
        <x:v>CRM</x:v>
      </x:c>
      <x:c r="T538" t="str">
        <x:f>IF(L538&gt;=50000,"Enterprise",IF(L538&gt;=20000,"Mid-Market","SMB"))</x:f>
        <x:v>SMB</x:v>
      </x:c>
      <x:c r="U538" t="str">
        <x:f>IF(I538="Closed Won","Won",IF(I538="Closed Lost","Lost","Open"))</x:f>
        <x:v>Won</x:v>
      </x:c>
      <x:c r="V538" s="22" t="n">
        <x:f>IF(U538="Won",L538*(1-M538),0)</x:f>
        <x:v>12730</x:v>
      </x:c>
      <x:c r="W538" s="22" t="n">
        <x:f>IF(U538="Open",L538*N538,0)</x:f>
        <x:v>0</x:v>
      </x:c>
      <x:c r="X538" s="26" t="n">
        <x:f>IF(U538="Open","",IFERROR(K538-B538,""))</x:f>
        <x:v>24</x:v>
      </x:c>
      <x:c r="Y538" s="26" t="n">
        <x:f>IF(U538="Open",Lookups!$B$2-B538,X538)</x:f>
        <x:v>24</x:v>
      </x:c>
      <x:c r="Z538" t="str">
        <x:f>IF(AND(U538="Open",Y538&gt;30),"STALE","OK")</x:f>
        <x:v>OK</x:v>
      </x:c>
      <x:c r="AA538" t="str">
        <x:f>TEXT(B538,"yyyy-mm")</x:f>
        <x:v>2026-07</x:v>
      </x:c>
      <x:c r="AB538" t="str">
        <x:f>IF(K538="","",TEXT(K538,"yyyy-mm"))</x:f>
        <x:v>2026-08</x:v>
      </x:c>
      <x:c r="AC538" t="str">
        <x:f>"Q"&amp;ROUNDUP(MONTH(B538)/3,0)&amp;"-"&amp;YEAR(B538)</x:f>
        <x:v>Q3-2026</x:v>
      </x:c>
      <x:c r="AD538" s="26" t="n">
        <x:f>MIN(100,IF(H538="Enterprise",30,IF(H538="Mid-Market",22,14))+IF(T538="Enterprise",25,IF(T538="Mid-Market",18,10))+IF(Q538="Referral",25,IF(Q538="Organic Search",20,IF(Q538="Email",18,14)))+IF(G538="Technology",10,5))</x:f>
        <x:v>54</x:v>
      </x:c>
      <x:c r="AE538" t="str">
        <x:f>IF(U538&lt;&gt;"Open",U538,IF(N538&gt;=0.8,"Commit",IF(N538&gt;=0.5,"Best Case","Pipeline")))</x:f>
        <x:v>Won</x:v>
      </x:c>
    </x:row>
    <x:row r="539">
      <x:c r="A539" t="str">
        <x:v>L00538</x:v>
      </x:c>
      <x:c r="B539" s="10" t="n">
        <x:v>45923</x:v>
      </x:c>
      <x:c r="C539" t="str">
        <x:v>Tuan Bui</x:v>
      </x:c>
      <x:c r="D539" t="str">
        <x:v>Central</x:v>
      </x:c>
      <x:c r="E539" t="str">
        <x:v>Email Campaign</x:v>
      </x:c>
      <x:c r="F539" t="str">
        <x:v>MKT-AUTO</x:v>
      </x:c>
      <x:c r="G539" t="str">
        <x:v>Healthcare</x:v>
      </x:c>
      <x:c r="H539" t="str">
        <x:v>Enterprise</x:v>
      </x:c>
      <x:c r="I539" t="str">
        <x:v>Closed Lost</x:v>
      </x:c>
      <x:c r="J539" s="10" t="n">
        <x:v>45987</x:v>
      </x:c>
      <x:c r="K539" s="10" t="n">
        <x:v>45987</x:v>
      </x:c>
      <x:c r="L539" s="22" t="n">
        <x:v>70300</x:v>
      </x:c>
      <x:c r="M539" s="24" t="n">
        <x:v>0</x:v>
      </x:c>
      <x:c r="N539" s="24" t="n">
        <x:v>0</x:v>
      </x:c>
      <x:c r="O539" t="str">
        <x:v>Price</x:v>
      </x:c>
      <x:c r="P539" t="n">
        <x:v>2</x:v>
      </x:c>
      <x:c r="Q539" t="str">
        <x:f>IFERROR(XLOOKUP(E539,Lookups!$A$5:$A$24,Lookups!$B$5:$B$24),"Other")</x:f>
        <x:v>Email</x:v>
      </x:c>
      <x:c r="R539" t="str">
        <x:f>IFERROR(XLOOKUP(F539,Lookups!$D$5:$D$10,Lookups!$E$5:$E$10),"Unknown Product")</x:f>
        <x:v>Marketing Automation</x:v>
      </x:c>
      <x:c r="S539" t="str">
        <x:f>IFERROR(XLOOKUP(F539,Lookups!$D$5:$D$10,Lookups!$F$5:$F$10),"Unknown")</x:f>
        <x:v>Marketing</x:v>
      </x:c>
      <x:c r="T539" t="str">
        <x:f>IF(L539&gt;=50000,"Enterprise",IF(L539&gt;=20000,"Mid-Market","SMB"))</x:f>
        <x:v>Enterprise</x:v>
      </x:c>
      <x:c r="U539" t="str">
        <x:f>IF(I539="Closed Won","Won",IF(I539="Closed Lost","Lost","Open"))</x:f>
        <x:v>Lost</x:v>
      </x:c>
      <x:c r="V539" s="22" t="n">
        <x:f>IF(U539="Won",L539*(1-M539),0)</x:f>
        <x:v>0</x:v>
      </x:c>
      <x:c r="W539" s="22" t="n">
        <x:f>IF(U539="Open",L539*N539,0)</x:f>
        <x:v>0</x:v>
      </x:c>
      <x:c r="X539" s="26" t="n">
        <x:f>IF(U539="Open","",IFERROR(K539-B539,""))</x:f>
        <x:v>64</x:v>
      </x:c>
      <x:c r="Y539" s="26" t="n">
        <x:f>IF(U539="Open",Lookups!$B$2-B539,X539)</x:f>
        <x:v>64</x:v>
      </x:c>
      <x:c r="Z539" t="str">
        <x:f>IF(AND(U539="Open",Y539&gt;30),"STALE","OK")</x:f>
        <x:v>OK</x:v>
      </x:c>
      <x:c r="AA539" t="str">
        <x:f>TEXT(B539,"yyyy-mm")</x:f>
        <x:v>2025-09</x:v>
      </x:c>
      <x:c r="AB539" t="str">
        <x:f>IF(K539="","",TEXT(K539,"yyyy-mm"))</x:f>
        <x:v>2025-11</x:v>
      </x:c>
      <x:c r="AC539" t="str">
        <x:f>"Q"&amp;ROUNDUP(MONTH(B539)/3,0)&amp;"-"&amp;YEAR(B539)</x:f>
        <x:v>Q3-2025</x:v>
      </x:c>
      <x:c r="AD539" s="26" t="n">
        <x:f>MIN(100,IF(H539="Enterprise",30,IF(H539="Mid-Market",22,14))+IF(T539="Enterprise",25,IF(T539="Mid-Market",18,10))+IF(Q539="Referral",25,IF(Q539="Organic Search",20,IF(Q539="Email",18,14)))+IF(G539="Technology",10,5))</x:f>
        <x:v>78</x:v>
      </x:c>
      <x:c r="AE539" t="str">
        <x:f>IF(U539&lt;&gt;"Open",U539,IF(N539&gt;=0.8,"Commit",IF(N539&gt;=0.5,"Best Case","Pipeline")))</x:f>
        <x:v>Lost</x:v>
      </x:c>
    </x:row>
    <x:row r="540">
      <x:c r="A540" t="str">
        <x:v>L00539</x:v>
      </x:c>
      <x:c r="B540" s="10" t="n">
        <x:v>46058</x:v>
      </x:c>
      <x:c r="C540" t="str">
        <x:v>Chi Le</x:v>
      </x:c>
      <x:c r="D540" t="str">
        <x:v>South</x:v>
      </x:c>
      <x:c r="E540" t="str">
        <x:v>LinkedIn Ads</x:v>
      </x:c>
      <x:c r="F540" t="str">
        <x:v>BI-PLUS</x:v>
      </x:c>
      <x:c r="G540" t="str">
        <x:v>Retail</x:v>
      </x:c>
      <x:c r="H540" t="str">
        <x:v>Mid-Market</x:v>
      </x:c>
      <x:c r="I540" t="str">
        <x:v>Closed Lost</x:v>
      </x:c>
      <x:c r="J540" s="10" t="n">
        <x:v>46093</x:v>
      </x:c>
      <x:c r="K540" s="10" t="n">
        <x:v>46093</x:v>
      </x:c>
      <x:c r="L540" s="22" t="n">
        <x:v>33200</x:v>
      </x:c>
      <x:c r="M540" s="24" t="n">
        <x:v>0</x:v>
      </x:c>
      <x:c r="N540" s="24" t="n">
        <x:v>0</x:v>
      </x:c>
      <x:c r="O540" t="str">
        <x:v>Price</x:v>
      </x:c>
      <x:c r="P540" t="n">
        <x:v>3</x:v>
      </x:c>
      <x:c r="Q540" t="str">
        <x:f>IFERROR(XLOOKUP(E540,Lookups!$A$5:$A$24,Lookups!$B$5:$B$24),"Other")</x:f>
        <x:v>LinkedIn</x:v>
      </x:c>
      <x:c r="R540" t="str">
        <x:f>IFERROR(XLOOKUP(F540,Lookups!$D$5:$D$10,Lookups!$E$5:$E$10),"Unknown Product")</x:f>
        <x:v>Analytics Plus</x:v>
      </x:c>
      <x:c r="S540" t="str">
        <x:f>IFERROR(XLOOKUP(F540,Lookups!$D$5:$D$10,Lookups!$F$5:$F$10),"Unknown")</x:f>
        <x:v>Analytics</x:v>
      </x:c>
      <x:c r="T540" t="str">
        <x:f>IF(L540&gt;=50000,"Enterprise",IF(L540&gt;=20000,"Mid-Market","SMB"))</x:f>
        <x:v>Mid-Market</x:v>
      </x:c>
      <x:c r="U540" t="str">
        <x:f>IF(I540="Closed Won","Won",IF(I540="Closed Lost","Lost","Open"))</x:f>
        <x:v>Lost</x:v>
      </x:c>
      <x:c r="V540" s="22" t="n">
        <x:f>IF(U540="Won",L540*(1-M540),0)</x:f>
        <x:v>0</x:v>
      </x:c>
      <x:c r="W540" s="22" t="n">
        <x:f>IF(U540="Open",L540*N540,0)</x:f>
        <x:v>0</x:v>
      </x:c>
      <x:c r="X540" s="26" t="n">
        <x:f>IF(U540="Open","",IFERROR(K540-B540,""))</x:f>
        <x:v>35</x:v>
      </x:c>
      <x:c r="Y540" s="26" t="n">
        <x:f>IF(U540="Open",Lookups!$B$2-B540,X540)</x:f>
        <x:v>35</x:v>
      </x:c>
      <x:c r="Z540" t="str">
        <x:f>IF(AND(U540="Open",Y540&gt;30),"STALE","OK")</x:f>
        <x:v>OK</x:v>
      </x:c>
      <x:c r="AA540" t="str">
        <x:f>TEXT(B540,"yyyy-mm")</x:f>
        <x:v>2026-02</x:v>
      </x:c>
      <x:c r="AB540" t="str">
        <x:f>IF(K540="","",TEXT(K540,"yyyy-mm"))</x:f>
        <x:v>2026-03</x:v>
      </x:c>
      <x:c r="AC540" t="str">
        <x:f>"Q"&amp;ROUNDUP(MONTH(B540)/3,0)&amp;"-"&amp;YEAR(B540)</x:f>
        <x:v>Q1-2026</x:v>
      </x:c>
      <x:c r="AD540" s="26" t="n">
        <x:f>MIN(100,IF(H540="Enterprise",30,IF(H540="Mid-Market",22,14))+IF(T540="Enterprise",25,IF(T540="Mid-Market",18,10))+IF(Q540="Referral",25,IF(Q540="Organic Search",20,IF(Q540="Email",18,14)))+IF(G540="Technology",10,5))</x:f>
        <x:v>59</x:v>
      </x:c>
      <x:c r="AE540" t="str">
        <x:f>IF(U540&lt;&gt;"Open",U540,IF(N540&gt;=0.8,"Commit",IF(N540&gt;=0.5,"Best Case","Pipeline")))</x:f>
        <x:v>Lost</x:v>
      </x:c>
    </x:row>
    <x:row r="541">
      <x:c r="A541" t="str">
        <x:v>L00540</x:v>
      </x:c>
      <x:c r="B541" s="10" t="n">
        <x:v>46081</x:v>
      </x:c>
      <x:c r="C541" t="str">
        <x:v>Quynh Vu</x:v>
      </x:c>
      <x:c r="D541" t="str">
        <x:v>North</x:v>
      </x:c>
      <x:c r="E541" t="str">
        <x:v>google cpc</x:v>
      </x:c>
      <x:c r="F541" t="str">
        <x:v>REV-OPS</x:v>
      </x:c>
      <x:c r="G541" t="str">
        <x:v>Professional Services</x:v>
      </x:c>
      <x:c r="H541" t="str">
        <x:v>SMB</x:v>
      </x:c>
      <x:c r="I541" t="str">
        <x:v>Negotiation</x:v>
      </x:c>
      <x:c r="J541" s="10" t="n">
        <x:v>46230</x:v>
      </x:c>
      <x:c r="K541" s="10"/>
      <x:c r="L541" s="22" t="n">
        <x:v>35500</x:v>
      </x:c>
      <x:c r="M541" s="24" t="n">
        <x:v>0.05</x:v>
      </x:c>
      <x:c r="N541" s="24" t="n">
        <x:v>0.85</x:v>
      </x:c>
      <x:c r="O541" t="str"/>
      <x:c r="P541" t="n">
        <x:v>5</x:v>
      </x:c>
      <x:c r="Q541" t="str">
        <x:f>IFERROR(XLOOKUP(E541,Lookups!$A$5:$A$24,Lookups!$B$5:$B$24),"Other")</x:f>
        <x:v>Paid Search</x:v>
      </x:c>
      <x:c r="R541" t="str">
        <x:f>IFERROR(XLOOKUP(F541,Lookups!$D$5:$D$10,Lookups!$E$5:$E$10),"Unknown Product")</x:f>
        <x:v>Revenue Operations Suite</x:v>
      </x:c>
      <x:c r="S541" t="str">
        <x:f>IFERROR(XLOOKUP(F541,Lookups!$D$5:$D$10,Lookups!$F$5:$F$10),"Unknown")</x:f>
        <x:v>Revenue Ops</x:v>
      </x:c>
      <x:c r="T541" t="str">
        <x:f>IF(L541&gt;=50000,"Enterprise",IF(L541&gt;=20000,"Mid-Market","SMB"))</x:f>
        <x:v>Mid-Market</x:v>
      </x:c>
      <x:c r="U541" t="str">
        <x:f>IF(I541="Closed Won","Won",IF(I541="Closed Lost","Lost","Open"))</x:f>
        <x:v>Open</x:v>
      </x:c>
      <x:c r="V541" s="22" t="n">
        <x:f>IF(U541="Won",L541*(1-M541),0)</x:f>
        <x:v>0</x:v>
      </x:c>
      <x:c r="W541" s="22" t="n">
        <x:f>IF(U541="Open",L541*N541,0)</x:f>
        <x:v>30175</x:v>
      </x:c>
      <x:c r="X541" s="26" t="str">
        <x:f>IF(U541="Open","",IFERROR(K541-B541,""))</x:f>
      </x:c>
      <x:c r="Y541" s="26" t="n">
        <x:f>IF(U541="Open",Lookups!$B$2-B541,X541)</x:f>
        <x:v>185</x:v>
      </x:c>
      <x:c r="Z541" t="str">
        <x:f>IF(AND(U541="Open",Y541&gt;30),"STALE","OK")</x:f>
        <x:v>STALE</x:v>
      </x:c>
      <x:c r="AA541" t="str">
        <x:f>TEXT(B541,"yyyy-mm")</x:f>
        <x:v>2026-02</x:v>
      </x:c>
      <x:c r="AB541" t="str">
        <x:f>IF(K541="","",TEXT(K541,"yyyy-mm"))</x:f>
      </x:c>
      <x:c r="AC541" t="str">
        <x:f>"Q"&amp;ROUNDUP(MONTH(B541)/3,0)&amp;"-"&amp;YEAR(B541)</x:f>
        <x:v>Q1-2026</x:v>
      </x:c>
      <x:c r="AD541" s="26" t="n">
        <x:f>MIN(100,IF(H541="Enterprise",30,IF(H541="Mid-Market",22,14))+IF(T541="Enterprise",25,IF(T541="Mid-Market",18,10))+IF(Q541="Referral",25,IF(Q541="Organic Search",20,IF(Q541="Email",18,14)))+IF(G541="Technology",10,5))</x:f>
        <x:v>51</x:v>
      </x:c>
      <x:c r="AE541" t="str">
        <x:f>IF(U541&lt;&gt;"Open",U541,IF(N541&gt;=0.8,"Commit",IF(N541&gt;=0.5,"Best Case","Pipeline")))</x:f>
        <x:v>Commit</x:v>
      </x:c>
    </x:row>
    <x:row r="542">
      <x:c r="A542" t="str">
        <x:v>L00541</x:v>
      </x:c>
      <x:c r="B542" s="10" t="n">
        <x:v>45937</x:v>
      </x:c>
      <x:c r="C542" t="str">
        <x:v>An Nguyen</x:v>
      </x:c>
      <x:c r="D542" t="str">
        <x:v>South</x:v>
      </x:c>
      <x:c r="E542" t="str">
        <x:v>virtual event</x:v>
      </x:c>
      <x:c r="F542" t="str">
        <x:v>CRM-PRO</x:v>
      </x:c>
      <x:c r="G542" t="str">
        <x:v>Technology</x:v>
      </x:c>
      <x:c r="H542" t="str">
        <x:v>SMB</x:v>
      </x:c>
      <x:c r="I542" t="str">
        <x:v>Closed Won</x:v>
      </x:c>
      <x:c r="J542" s="10" t="n">
        <x:v>45981</x:v>
      </x:c>
      <x:c r="K542" s="10" t="n">
        <x:v>45981</x:v>
      </x:c>
      <x:c r="L542" s="22" t="n">
        <x:v>17900</x:v>
      </x:c>
      <x:c r="M542" s="24" t="n">
        <x:v>0.05</x:v>
      </x:c>
      <x:c r="N542" s="24" t="n">
        <x:v>1</x:v>
      </x:c>
      <x:c r="O542" t="str"/>
      <x:c r="P542" t="n">
        <x:v>6</x:v>
      </x:c>
      <x:c r="Q542" t="str">
        <x:f>IFERROR(XLOOKUP(E542,Lookups!$A$5:$A$24,Lookups!$B$5:$B$24),"Other")</x:f>
        <x:v>Webinar</x:v>
      </x:c>
      <x:c r="R542" t="str">
        <x:f>IFERROR(XLOOKUP(F542,Lookups!$D$5:$D$10,Lookups!$E$5:$E$10),"Unknown Product")</x:f>
        <x:v>NexaCRM Pro</x:v>
      </x:c>
      <x:c r="S542" t="str">
        <x:f>IFERROR(XLOOKUP(F542,Lookups!$D$5:$D$10,Lookups!$F$5:$F$10),"Unknown")</x:f>
        <x:v>CRM</x:v>
      </x:c>
      <x:c r="T542" t="str">
        <x:f>IF(L542&gt;=50000,"Enterprise",IF(L542&gt;=20000,"Mid-Market","SMB"))</x:f>
        <x:v>SMB</x:v>
      </x:c>
      <x:c r="U542" t="str">
        <x:f>IF(I542="Closed Won","Won",IF(I542="Closed Lost","Lost","Open"))</x:f>
        <x:v>Won</x:v>
      </x:c>
      <x:c r="V542" s="22" t="n">
        <x:f>IF(U542="Won",L542*(1-M542),0)</x:f>
        <x:v>17005</x:v>
      </x:c>
      <x:c r="W542" s="22" t="n">
        <x:f>IF(U542="Open",L542*N542,0)</x:f>
        <x:v>0</x:v>
      </x:c>
      <x:c r="X542" s="26" t="n">
        <x:f>IF(U542="Open","",IFERROR(K542-B542,""))</x:f>
        <x:v>44</x:v>
      </x:c>
      <x:c r="Y542" s="26" t="n">
        <x:f>IF(U542="Open",Lookups!$B$2-B542,X542)</x:f>
        <x:v>44</x:v>
      </x:c>
      <x:c r="Z542" t="str">
        <x:f>IF(AND(U542="Open",Y542&gt;30),"STALE","OK")</x:f>
        <x:v>OK</x:v>
      </x:c>
      <x:c r="AA542" t="str">
        <x:f>TEXT(B542,"yyyy-mm")</x:f>
        <x:v>2025-10</x:v>
      </x:c>
      <x:c r="AB542" t="str">
        <x:f>IF(K542="","",TEXT(K542,"yyyy-mm"))</x:f>
        <x:v>2025-11</x:v>
      </x:c>
      <x:c r="AC542" t="str">
        <x:f>"Q"&amp;ROUNDUP(MONTH(B542)/3,0)&amp;"-"&amp;YEAR(B542)</x:f>
        <x:v>Q4-2025</x:v>
      </x:c>
      <x:c r="AD542" s="26" t="n">
        <x:f>MIN(100,IF(H542="Enterprise",30,IF(H542="Mid-Market",22,14))+IF(T542="Enterprise",25,IF(T542="Mid-Market",18,10))+IF(Q542="Referral",25,IF(Q542="Organic Search",20,IF(Q542="Email",18,14)))+IF(G542="Technology",10,5))</x:f>
        <x:v>48</x:v>
      </x:c>
      <x:c r="AE542" t="str">
        <x:f>IF(U542&lt;&gt;"Open",U542,IF(N542&gt;=0.8,"Commit",IF(N542&gt;=0.5,"Best Case","Pipeline")))</x:f>
        <x:v>Won</x:v>
      </x:c>
    </x:row>
    <x:row r="543">
      <x:c r="A543" t="str">
        <x:v>L00542</x:v>
      </x:c>
      <x:c r="B543" s="10" t="n">
        <x:v>46114</x:v>
      </x:c>
      <x:c r="C543" t="str">
        <x:v>Bao Tran</x:v>
      </x:c>
      <x:c r="D543" t="str">
        <x:v>South</x:v>
      </x:c>
      <x:c r="E543" t="str">
        <x:v>Conference Scan</x:v>
      </x:c>
      <x:c r="F543" t="str">
        <x:v>CRM-PRO</x:v>
      </x:c>
      <x:c r="G543" t="str">
        <x:v>Financial Services</x:v>
      </x:c>
      <x:c r="H543" t="str">
        <x:v>SMB</x:v>
      </x:c>
      <x:c r="I543" t="str">
        <x:v>Closed Won</x:v>
      </x:c>
      <x:c r="J543" s="10" t="n">
        <x:v>46145</x:v>
      </x:c>
      <x:c r="K543" s="10" t="n">
        <x:v>46145</x:v>
      </x:c>
      <x:c r="L543" s="22" t="n">
        <x:v>17200</x:v>
      </x:c>
      <x:c r="M543" s="24" t="n">
        <x:v>0.1</x:v>
      </x:c>
      <x:c r="N543" s="24" t="n">
        <x:v>1</x:v>
      </x:c>
      <x:c r="O543" t="str"/>
      <x:c r="P543" t="n">
        <x:v>6</x:v>
      </x:c>
      <x:c r="Q543" t="str">
        <x:f>IFERROR(XLOOKUP(E543,Lookups!$A$5:$A$24,Lookups!$B$5:$B$24),"Other")</x:f>
        <x:v>Other</x:v>
      </x:c>
      <x:c r="R543" t="str">
        <x:f>IFERROR(XLOOKUP(F543,Lookups!$D$5:$D$10,Lookups!$E$5:$E$10),"Unknown Product")</x:f>
        <x:v>NexaCRM Pro</x:v>
      </x:c>
      <x:c r="S543" t="str">
        <x:f>IFERROR(XLOOKUP(F543,Lookups!$D$5:$D$10,Lookups!$F$5:$F$10),"Unknown")</x:f>
        <x:v>CRM</x:v>
      </x:c>
      <x:c r="T543" t="str">
        <x:f>IF(L543&gt;=50000,"Enterprise",IF(L543&gt;=20000,"Mid-Market","SMB"))</x:f>
        <x:v>SMB</x:v>
      </x:c>
      <x:c r="U543" t="str">
        <x:f>IF(I543="Closed Won","Won",IF(I543="Closed Lost","Lost","Open"))</x:f>
        <x:v>Won</x:v>
      </x:c>
      <x:c r="V543" s="22" t="n">
        <x:f>IF(U543="Won",L543*(1-M543),0)</x:f>
        <x:v>15480</x:v>
      </x:c>
      <x:c r="W543" s="22" t="n">
        <x:f>IF(U543="Open",L543*N543,0)</x:f>
        <x:v>0</x:v>
      </x:c>
      <x:c r="X543" s="26" t="n">
        <x:f>IF(U543="Open","",IFERROR(K543-B543,""))</x:f>
        <x:v>31</x:v>
      </x:c>
      <x:c r="Y543" s="26" t="n">
        <x:f>IF(U543="Open",Lookups!$B$2-B543,X543)</x:f>
        <x:v>31</x:v>
      </x:c>
      <x:c r="Z543" t="str">
        <x:f>IF(AND(U543="Open",Y543&gt;30),"STALE","OK")</x:f>
        <x:v>OK</x:v>
      </x:c>
      <x:c r="AA543" t="str">
        <x:f>TEXT(B543,"yyyy-mm")</x:f>
        <x:v>2026-04</x:v>
      </x:c>
      <x:c r="AB543" t="str">
        <x:f>IF(K543="","",TEXT(K543,"yyyy-mm"))</x:f>
        <x:v>2026-05</x:v>
      </x:c>
      <x:c r="AC543" t="str">
        <x:f>"Q"&amp;ROUNDUP(MONTH(B543)/3,0)&amp;"-"&amp;YEAR(B543)</x:f>
        <x:v>Q2-2026</x:v>
      </x:c>
      <x:c r="AD543" s="26" t="n">
        <x:f>MIN(100,IF(H543="Enterprise",30,IF(H543="Mid-Market",22,14))+IF(T543="Enterprise",25,IF(T543="Mid-Market",18,10))+IF(Q543="Referral",25,IF(Q543="Organic Search",20,IF(Q543="Email",18,14)))+IF(G543="Technology",10,5))</x:f>
        <x:v>43</x:v>
      </x:c>
      <x:c r="AE543" t="str">
        <x:f>IF(U543&lt;&gt;"Open",U543,IF(N543&gt;=0.8,"Commit",IF(N543&gt;=0.5,"Best Case","Pipeline")))</x:f>
        <x:v>Won</x:v>
      </x:c>
    </x:row>
    <x:row r="544">
      <x:c r="A544" t="str">
        <x:v>L00543</x:v>
      </x:c>
      <x:c r="B544" s="10" t="n">
        <x:v>46093</x:v>
      </x:c>
      <x:c r="C544" t="str">
        <x:v>Minh Do</x:v>
      </x:c>
      <x:c r="D544" t="str">
        <x:v>North</x:v>
      </x:c>
      <x:c r="E544" t="str">
        <x:v>Cold Email</x:v>
      </x:c>
      <x:c r="F544" t="str">
        <x:v>CRM-PRO</x:v>
      </x:c>
      <x:c r="G544" t="str">
        <x:v>Professional Services</x:v>
      </x:c>
      <x:c r="H544" t="str">
        <x:v>SMB</x:v>
      </x:c>
      <x:c r="I544" t="str">
        <x:v>Closed Lost</x:v>
      </x:c>
      <x:c r="J544" s="10" t="n">
        <x:v>46139</x:v>
      </x:c>
      <x:c r="K544" s="10" t="n">
        <x:v>46139</x:v>
      </x:c>
      <x:c r="L544" s="22" t="n">
        <x:v>15500</x:v>
      </x:c>
      <x:c r="M544" s="24" t="n">
        <x:v>0</x:v>
      </x:c>
      <x:c r="N544" s="24" t="n">
        <x:v>0</x:v>
      </x:c>
      <x:c r="O544" t="str">
        <x:v>Budget</x:v>
      </x:c>
      <x:c r="P544" t="n">
        <x:v>4</x:v>
      </x:c>
      <x:c r="Q544" t="str">
        <x:f>IFERROR(XLOOKUP(E544,Lookups!$A$5:$A$24,Lookups!$B$5:$B$24),"Other")</x:f>
        <x:v>Outbound</x:v>
      </x:c>
      <x:c r="R544" t="str">
        <x:f>IFERROR(XLOOKUP(F544,Lookups!$D$5:$D$10,Lookups!$E$5:$E$10),"Unknown Product")</x:f>
        <x:v>NexaCRM Pro</x:v>
      </x:c>
      <x:c r="S544" t="str">
        <x:f>IFERROR(XLOOKUP(F544,Lookups!$D$5:$D$10,Lookups!$F$5:$F$10),"Unknown")</x:f>
        <x:v>CRM</x:v>
      </x:c>
      <x:c r="T544" t="str">
        <x:f>IF(L544&gt;=50000,"Enterprise",IF(L544&gt;=20000,"Mid-Market","SMB"))</x:f>
        <x:v>SMB</x:v>
      </x:c>
      <x:c r="U544" t="str">
        <x:f>IF(I544="Closed Won","Won",IF(I544="Closed Lost","Lost","Open"))</x:f>
        <x:v>Lost</x:v>
      </x:c>
      <x:c r="V544" s="22" t="n">
        <x:f>IF(U544="Won",L544*(1-M544),0)</x:f>
        <x:v>0</x:v>
      </x:c>
      <x:c r="W544" s="22" t="n">
        <x:f>IF(U544="Open",L544*N544,0)</x:f>
        <x:v>0</x:v>
      </x:c>
      <x:c r="X544" s="26" t="n">
        <x:f>IF(U544="Open","",IFERROR(K544-B544,""))</x:f>
        <x:v>46</x:v>
      </x:c>
      <x:c r="Y544" s="26" t="n">
        <x:f>IF(U544="Open",Lookups!$B$2-B544,X544)</x:f>
        <x:v>46</x:v>
      </x:c>
      <x:c r="Z544" t="str">
        <x:f>IF(AND(U544="Open",Y544&gt;30),"STALE","OK")</x:f>
        <x:v>OK</x:v>
      </x:c>
      <x:c r="AA544" t="str">
        <x:f>TEXT(B544,"yyyy-mm")</x:f>
        <x:v>2026-03</x:v>
      </x:c>
      <x:c r="AB544" t="str">
        <x:f>IF(K544="","",TEXT(K544,"yyyy-mm"))</x:f>
        <x:v>2026-04</x:v>
      </x:c>
      <x:c r="AC544" t="str">
        <x:f>"Q"&amp;ROUNDUP(MONTH(B544)/3,0)&amp;"-"&amp;YEAR(B544)</x:f>
        <x:v>Q1-2026</x:v>
      </x:c>
      <x:c r="AD544" s="26" t="n">
        <x:f>MIN(100,IF(H544="Enterprise",30,IF(H544="Mid-Market",22,14))+IF(T544="Enterprise",25,IF(T544="Mid-Market",18,10))+IF(Q544="Referral",25,IF(Q544="Organic Search",20,IF(Q544="Email",18,14)))+IF(G544="Technology",10,5))</x:f>
        <x:v>43</x:v>
      </x:c>
      <x:c r="AE544" t="str">
        <x:f>IF(U544&lt;&gt;"Open",U544,IF(N544&gt;=0.8,"Commit",IF(N544&gt;=0.5,"Best Case","Pipeline")))</x:f>
        <x:v>Lost</x:v>
      </x:c>
    </x:row>
    <x:row r="545">
      <x:c r="A545" t="str">
        <x:v>L00544</x:v>
      </x:c>
      <x:c r="B545" s="10" t="n">
        <x:v>45683</x:v>
      </x:c>
      <x:c r="C545" t="str">
        <x:v>Tuan Bui</x:v>
      </x:c>
      <x:c r="D545" t="str">
        <x:v>Central</x:v>
      </x:c>
      <x:c r="E545" t="str">
        <x:v>Conference Scan</x:v>
      </x:c>
      <x:c r="F545" t="str">
        <x:v>REV-OPS</x:v>
      </x:c>
      <x:c r="G545" t="str">
        <x:v>Education</x:v>
      </x:c>
      <x:c r="H545" t="str">
        <x:v>Enterprise</x:v>
      </x:c>
      <x:c r="I545" t="str">
        <x:v>Closed Lost</x:v>
      </x:c>
      <x:c r="J545" s="10" t="n">
        <x:v>45704</x:v>
      </x:c>
      <x:c r="K545" s="10" t="n">
        <x:v>45704</x:v>
      </x:c>
      <x:c r="L545" s="22" t="n">
        <x:v>77800</x:v>
      </x:c>
      <x:c r="M545" s="24" t="n">
        <x:v>0</x:v>
      </x:c>
      <x:c r="N545" s="24" t="n">
        <x:v>0</x:v>
      </x:c>
      <x:c r="O545" t="str">
        <x:v>Competitor</x:v>
      </x:c>
      <x:c r="P545" t="n">
        <x:v>5</x:v>
      </x:c>
      <x:c r="Q545" t="str">
        <x:f>IFERROR(XLOOKUP(E545,Lookups!$A$5:$A$24,Lookups!$B$5:$B$24),"Other")</x:f>
        <x:v>Other</x:v>
      </x:c>
      <x:c r="R545" t="str">
        <x:f>IFERROR(XLOOKUP(F545,Lookups!$D$5:$D$10,Lookups!$E$5:$E$10),"Unknown Product")</x:f>
        <x:v>Revenue Operations Suite</x:v>
      </x:c>
      <x:c r="S545" t="str">
        <x:f>IFERROR(XLOOKUP(F545,Lookups!$D$5:$D$10,Lookups!$F$5:$F$10),"Unknown")</x:f>
        <x:v>Revenue Ops</x:v>
      </x:c>
      <x:c r="T545" t="str">
        <x:f>IF(L545&gt;=50000,"Enterprise",IF(L545&gt;=20000,"Mid-Market","SMB"))</x:f>
        <x:v>Enterprise</x:v>
      </x:c>
      <x:c r="U545" t="str">
        <x:f>IF(I545="Closed Won","Won",IF(I545="Closed Lost","Lost","Open"))</x:f>
        <x:v>Lost</x:v>
      </x:c>
      <x:c r="V545" s="22" t="n">
        <x:f>IF(U545="Won",L545*(1-M545),0)</x:f>
        <x:v>0</x:v>
      </x:c>
      <x:c r="W545" s="22" t="n">
        <x:f>IF(U545="Open",L545*N545,0)</x:f>
        <x:v>0</x:v>
      </x:c>
      <x:c r="X545" s="26" t="n">
        <x:f>IF(U545="Open","",IFERROR(K545-B545,""))</x:f>
        <x:v>21</x:v>
      </x:c>
      <x:c r="Y545" s="26" t="n">
        <x:f>IF(U545="Open",Lookups!$B$2-B545,X545)</x:f>
        <x:v>21</x:v>
      </x:c>
      <x:c r="Z545" t="str">
        <x:f>IF(AND(U545="Open",Y545&gt;30),"STALE","OK")</x:f>
        <x:v>OK</x:v>
      </x:c>
      <x:c r="AA545" t="str">
        <x:f>TEXT(B545,"yyyy-mm")</x:f>
        <x:v>2025-01</x:v>
      </x:c>
      <x:c r="AB545" t="str">
        <x:f>IF(K545="","",TEXT(K545,"yyyy-mm"))</x:f>
        <x:v>2025-02</x:v>
      </x:c>
      <x:c r="AC545" t="str">
        <x:f>"Q"&amp;ROUNDUP(MONTH(B545)/3,0)&amp;"-"&amp;YEAR(B545)</x:f>
        <x:v>Q1-2025</x:v>
      </x:c>
      <x:c r="AD545" s="26" t="n">
        <x:f>MIN(100,IF(H545="Enterprise",30,IF(H545="Mid-Market",22,14))+IF(T545="Enterprise",25,IF(T545="Mid-Market",18,10))+IF(Q545="Referral",25,IF(Q545="Organic Search",20,IF(Q545="Email",18,14)))+IF(G545="Technology",10,5))</x:f>
        <x:v>74</x:v>
      </x:c>
      <x:c r="AE545" t="str">
        <x:f>IF(U545&lt;&gt;"Open",U545,IF(N545&gt;=0.8,"Commit",IF(N545&gt;=0.5,"Best Case","Pipeline")))</x:f>
        <x:v>Lost</x:v>
      </x:c>
    </x:row>
    <x:row r="546">
      <x:c r="A546" t="str">
        <x:v>L00545</x:v>
      </x:c>
      <x:c r="B546" s="10" t="n">
        <x:v>45889</x:v>
      </x:c>
      <x:c r="C546" t="str">
        <x:v>Minh Do</x:v>
      </x:c>
      <x:c r="D546" t="str">
        <x:v>North</x:v>
      </x:c>
      <x:c r="E546" t="str">
        <x:v>Google Ads</x:v>
      </x:c>
      <x:c r="F546" t="str">
        <x:v>CRM-CORE</x:v>
      </x:c>
      <x:c r="G546" t="str">
        <x:v>Healthcare</x:v>
      </x:c>
      <x:c r="H546" t="str">
        <x:v>Enterprise</x:v>
      </x:c>
      <x:c r="I546" t="str">
        <x:v>Closed Lost</x:v>
      </x:c>
      <x:c r="J546" s="10" t="n">
        <x:v>45915</x:v>
      </x:c>
      <x:c r="K546" s="10" t="n">
        <x:v>45915</x:v>
      </x:c>
      <x:c r="L546" s="22" t="n">
        <x:v>34400</x:v>
      </x:c>
      <x:c r="M546" s="24" t="n">
        <x:v>0</x:v>
      </x:c>
      <x:c r="N546" s="24" t="n">
        <x:v>0</x:v>
      </x:c>
      <x:c r="O546" t="str">
        <x:v>Feature Gap</x:v>
      </x:c>
      <x:c r="P546" t="n">
        <x:v>4</x:v>
      </x:c>
      <x:c r="Q546" t="str">
        <x:f>IFERROR(XLOOKUP(E546,Lookups!$A$5:$A$24,Lookups!$B$5:$B$24),"Other")</x:f>
        <x:v>Paid Search</x:v>
      </x:c>
      <x:c r="R546" t="str">
        <x:f>IFERROR(XLOOKUP(F546,Lookups!$D$5:$D$10,Lookups!$E$5:$E$10),"Unknown Product")</x:f>
        <x:v>NexaCRM Core</x:v>
      </x:c>
      <x:c r="S546" t="str">
        <x:f>IFERROR(XLOOKUP(F546,Lookups!$D$5:$D$10,Lookups!$F$5:$F$10),"Unknown")</x:f>
        <x:v>CRM</x:v>
      </x:c>
      <x:c r="T546" t="str">
        <x:f>IF(L546&gt;=50000,"Enterprise",IF(L546&gt;=20000,"Mid-Market","SMB"))</x:f>
        <x:v>Mid-Market</x:v>
      </x:c>
      <x:c r="U546" t="str">
        <x:f>IF(I546="Closed Won","Won",IF(I546="Closed Lost","Lost","Open"))</x:f>
        <x:v>Lost</x:v>
      </x:c>
      <x:c r="V546" s="22" t="n">
        <x:f>IF(U546="Won",L546*(1-M546),0)</x:f>
        <x:v>0</x:v>
      </x:c>
      <x:c r="W546" s="22" t="n">
        <x:f>IF(U546="Open",L546*N546,0)</x:f>
        <x:v>0</x:v>
      </x:c>
      <x:c r="X546" s="26" t="n">
        <x:f>IF(U546="Open","",IFERROR(K546-B546,""))</x:f>
        <x:v>26</x:v>
      </x:c>
      <x:c r="Y546" s="26" t="n">
        <x:f>IF(U546="Open",Lookups!$B$2-B546,X546)</x:f>
        <x:v>26</x:v>
      </x:c>
      <x:c r="Z546" t="str">
        <x:f>IF(AND(U546="Open",Y546&gt;30),"STALE","OK")</x:f>
        <x:v>OK</x:v>
      </x:c>
      <x:c r="AA546" t="str">
        <x:f>TEXT(B546,"yyyy-mm")</x:f>
        <x:v>2025-08</x:v>
      </x:c>
      <x:c r="AB546" t="str">
        <x:f>IF(K546="","",TEXT(K546,"yyyy-mm"))</x:f>
        <x:v>2025-09</x:v>
      </x:c>
      <x:c r="AC546" t="str">
        <x:f>"Q"&amp;ROUNDUP(MONTH(B546)/3,0)&amp;"-"&amp;YEAR(B546)</x:f>
        <x:v>Q3-2025</x:v>
      </x:c>
      <x:c r="AD546" s="26" t="n">
        <x:f>MIN(100,IF(H546="Enterprise",30,IF(H546="Mid-Market",22,14))+IF(T546="Enterprise",25,IF(T546="Mid-Market",18,10))+IF(Q546="Referral",25,IF(Q546="Organic Search",20,IF(Q546="Email",18,14)))+IF(G546="Technology",10,5))</x:f>
        <x:v>67</x:v>
      </x:c>
      <x:c r="AE546" t="str">
        <x:f>IF(U546&lt;&gt;"Open",U546,IF(N546&gt;=0.8,"Commit",IF(N546&gt;=0.5,"Best Case","Pipeline")))</x:f>
        <x:v>Lost</x:v>
      </x:c>
    </x:row>
    <x:row r="547">
      <x:c r="A547" t="str">
        <x:v>L00546</x:v>
      </x:c>
      <x:c r="B547" s="10" t="n">
        <x:v>46166</x:v>
      </x:c>
      <x:c r="C547" t="str">
        <x:v>Bao Tran</x:v>
      </x:c>
      <x:c r="D547" t="str">
        <x:v>South</x:v>
      </x:c>
      <x:c r="E547" t="str">
        <x:v>Google Ads</x:v>
      </x:c>
      <x:c r="F547" t="str">
        <x:v>CS-CLOUD</x:v>
      </x:c>
      <x:c r="G547" t="str">
        <x:v>Education</x:v>
      </x:c>
      <x:c r="H547" t="str">
        <x:v>SMB</x:v>
      </x:c>
      <x:c r="I547" t="str">
        <x:v>Closed Lost</x:v>
      </x:c>
      <x:c r="J547" s="10" t="n">
        <x:v>46189</x:v>
      </x:c>
      <x:c r="K547" s="10" t="n">
        <x:v>46189</x:v>
      </x:c>
      <x:c r="L547" s="22" t="n">
        <x:v>22600</x:v>
      </x:c>
      <x:c r="M547" s="24" t="n">
        <x:v>0</x:v>
      </x:c>
      <x:c r="N547" s="24" t="n">
        <x:v>0</x:v>
      </x:c>
      <x:c r="O547" t="str">
        <x:v>Competitor</x:v>
      </x:c>
      <x:c r="P547" t="n">
        <x:v>3</x:v>
      </x:c>
      <x:c r="Q547" t="str">
        <x:f>IFERROR(XLOOKUP(E547,Lookups!$A$5:$A$24,Lookups!$B$5:$B$24),"Other")</x:f>
        <x:v>Paid Search</x:v>
      </x:c>
      <x:c r="R547" t="str">
        <x:f>IFERROR(XLOOKUP(F547,Lookups!$D$5:$D$10,Lookups!$E$5:$E$10),"Unknown Product")</x:f>
        <x:v>Service Cloud</x:v>
      </x:c>
      <x:c r="S547" t="str">
        <x:f>IFERROR(XLOOKUP(F547,Lookups!$D$5:$D$10,Lookups!$F$5:$F$10),"Unknown")</x:f>
        <x:v>Customer Service</x:v>
      </x:c>
      <x:c r="T547" t="str">
        <x:f>IF(L547&gt;=50000,"Enterprise",IF(L547&gt;=20000,"Mid-Market","SMB"))</x:f>
        <x:v>Mid-Market</x:v>
      </x:c>
      <x:c r="U547" t="str">
        <x:f>IF(I547="Closed Won","Won",IF(I547="Closed Lost","Lost","Open"))</x:f>
        <x:v>Lost</x:v>
      </x:c>
      <x:c r="V547" s="22" t="n">
        <x:f>IF(U547="Won",L547*(1-M547),0)</x:f>
        <x:v>0</x:v>
      </x:c>
      <x:c r="W547" s="22" t="n">
        <x:f>IF(U547="Open",L547*N547,0)</x:f>
        <x:v>0</x:v>
      </x:c>
      <x:c r="X547" s="26" t="n">
        <x:f>IF(U547="Open","",IFERROR(K547-B547,""))</x:f>
        <x:v>23</x:v>
      </x:c>
      <x:c r="Y547" s="26" t="n">
        <x:f>IF(U547="Open",Lookups!$B$2-B547,X547)</x:f>
        <x:v>23</x:v>
      </x:c>
      <x:c r="Z547" t="str">
        <x:f>IF(AND(U547="Open",Y547&gt;30),"STALE","OK")</x:f>
        <x:v>OK</x:v>
      </x:c>
      <x:c r="AA547" t="str">
        <x:f>TEXT(B547,"yyyy-mm")</x:f>
        <x:v>2026-05</x:v>
      </x:c>
      <x:c r="AB547" t="str">
        <x:f>IF(K547="","",TEXT(K547,"yyyy-mm"))</x:f>
        <x:v>2026-06</x:v>
      </x:c>
      <x:c r="AC547" t="str">
        <x:f>"Q"&amp;ROUNDUP(MONTH(B547)/3,0)&amp;"-"&amp;YEAR(B547)</x:f>
        <x:v>Q2-2026</x:v>
      </x:c>
      <x:c r="AD547" s="26" t="n">
        <x:f>MIN(100,IF(H547="Enterprise",30,IF(H547="Mid-Market",22,14))+IF(T547="Enterprise",25,IF(T547="Mid-Market",18,10))+IF(Q547="Referral",25,IF(Q547="Organic Search",20,IF(Q547="Email",18,14)))+IF(G547="Technology",10,5))</x:f>
        <x:v>51</x:v>
      </x:c>
      <x:c r="AE547" t="str">
        <x:f>IF(U547&lt;&gt;"Open",U547,IF(N547&gt;=0.8,"Commit",IF(N547&gt;=0.5,"Best Case","Pipeline")))</x:f>
        <x:v>Lost</x:v>
      </x:c>
    </x:row>
    <x:row r="548">
      <x:c r="A548" t="str">
        <x:v>L00547</x:v>
      </x:c>
      <x:c r="B548" s="10" t="n">
        <x:v>46171</x:v>
      </x:c>
      <x:c r="C548" t="str">
        <x:v>Ha Vo</x:v>
      </x:c>
      <x:c r="D548" t="str">
        <x:v>North</x:v>
      </x:c>
      <x:c r="E548" t="str">
        <x:v>Referral</x:v>
      </x:c>
      <x:c r="F548" t="str">
        <x:v>CRM-PRO</x:v>
      </x:c>
      <x:c r="G548" t="str">
        <x:v>Professional Services</x:v>
      </x:c>
      <x:c r="H548" t="str">
        <x:v>SMB</x:v>
      </x:c>
      <x:c r="I548" t="str">
        <x:v>Demo / Meeting</x:v>
      </x:c>
      <x:c r="J548" s="10" t="n">
        <x:v>46238</x:v>
      </x:c>
      <x:c r="K548" s="10"/>
      <x:c r="L548" s="22" t="n">
        <x:v>19800</x:v>
      </x:c>
      <x:c r="M548" s="24" t="n">
        <x:v>0</x:v>
      </x:c>
      <x:c r="N548" s="24" t="n">
        <x:v>0.4</x:v>
      </x:c>
      <x:c r="O548" t="str"/>
      <x:c r="P548" t="n">
        <x:v>3</x:v>
      </x:c>
      <x:c r="Q548" t="str">
        <x:f>IFERROR(XLOOKUP(E548,Lookups!$A$5:$A$24,Lookups!$B$5:$B$24),"Other")</x:f>
        <x:v>Referral</x:v>
      </x:c>
      <x:c r="R548" t="str">
        <x:f>IFERROR(XLOOKUP(F548,Lookups!$D$5:$D$10,Lookups!$E$5:$E$10),"Unknown Product")</x:f>
        <x:v>NexaCRM Pro</x:v>
      </x:c>
      <x:c r="S548" t="str">
        <x:f>IFERROR(XLOOKUP(F548,Lookups!$D$5:$D$10,Lookups!$F$5:$F$10),"Unknown")</x:f>
        <x:v>CRM</x:v>
      </x:c>
      <x:c r="T548" t="str">
        <x:f>IF(L548&gt;=50000,"Enterprise",IF(L548&gt;=20000,"Mid-Market","SMB"))</x:f>
        <x:v>SMB</x:v>
      </x:c>
      <x:c r="U548" t="str">
        <x:f>IF(I548="Closed Won","Won",IF(I548="Closed Lost","Lost","Open"))</x:f>
        <x:v>Open</x:v>
      </x:c>
      <x:c r="V548" s="22" t="n">
        <x:f>IF(U548="Won",L548*(1-M548),0)</x:f>
        <x:v>0</x:v>
      </x:c>
      <x:c r="W548" s="22" t="n">
        <x:f>IF(U548="Open",L548*N548,0)</x:f>
        <x:v>7920</x:v>
      </x:c>
      <x:c r="X548" s="26" t="str">
        <x:f>IF(U548="Open","",IFERROR(K548-B548,""))</x:f>
      </x:c>
      <x:c r="Y548" s="26" t="n">
        <x:f>IF(U548="Open",Lookups!$B$2-B548,X548)</x:f>
        <x:v>95</x:v>
      </x:c>
      <x:c r="Z548" t="str">
        <x:f>IF(AND(U548="Open",Y548&gt;30),"STALE","OK")</x:f>
        <x:v>STALE</x:v>
      </x:c>
      <x:c r="AA548" t="str">
        <x:f>TEXT(B548,"yyyy-mm")</x:f>
        <x:v>2026-05</x:v>
      </x:c>
      <x:c r="AB548" t="str">
        <x:f>IF(K548="","",TEXT(K548,"yyyy-mm"))</x:f>
      </x:c>
      <x:c r="AC548" t="str">
        <x:f>"Q"&amp;ROUNDUP(MONTH(B548)/3,0)&amp;"-"&amp;YEAR(B548)</x:f>
        <x:v>Q2-2026</x:v>
      </x:c>
      <x:c r="AD548" s="26" t="n">
        <x:f>MIN(100,IF(H548="Enterprise",30,IF(H548="Mid-Market",22,14))+IF(T548="Enterprise",25,IF(T548="Mid-Market",18,10))+IF(Q548="Referral",25,IF(Q548="Organic Search",20,IF(Q548="Email",18,14)))+IF(G548="Technology",10,5))</x:f>
        <x:v>54</x:v>
      </x:c>
      <x:c r="AE548" t="str">
        <x:f>IF(U548&lt;&gt;"Open",U548,IF(N548&gt;=0.8,"Commit",IF(N548&gt;=0.5,"Best Case","Pipeline")))</x:f>
        <x:v>Pipeline</x:v>
      </x:c>
    </x:row>
    <x:row r="549">
      <x:c r="A549" t="str">
        <x:v>L00548</x:v>
      </x:c>
      <x:c r="B549" s="10" t="n">
        <x:v>45841</x:v>
      </x:c>
      <x:c r="C549" t="str">
        <x:v>Chi Le</x:v>
      </x:c>
      <x:c r="D549" t="str">
        <x:v>South</x:v>
      </x:c>
      <x:c r="E549" t="str">
        <x:v>Partner Referral</x:v>
      </x:c>
      <x:c r="F549" t="str">
        <x:v>CRM-PRO</x:v>
      </x:c>
      <x:c r="G549" t="str">
        <x:v>Financial Services</x:v>
      </x:c>
      <x:c r="H549" t="str">
        <x:v>Enterprise</x:v>
      </x:c>
      <x:c r="I549" t="str">
        <x:v>Closed Won</x:v>
      </x:c>
      <x:c r="J549" s="10" t="n">
        <x:v>45903</x:v>
      </x:c>
      <x:c r="K549" s="10" t="n">
        <x:v>45903</x:v>
      </x:c>
      <x:c r="L549" s="22" t="n">
        <x:v>80800</x:v>
      </x:c>
      <x:c r="M549" s="24" t="n">
        <x:v>0.08</x:v>
      </x:c>
      <x:c r="N549" s="24" t="n">
        <x:v>1</x:v>
      </x:c>
      <x:c r="O549" t="str"/>
      <x:c r="P549" t="n">
        <x:v>6</x:v>
      </x:c>
      <x:c r="Q549" t="str">
        <x:f>IFERROR(XLOOKUP(E549,Lookups!$A$5:$A$24,Lookups!$B$5:$B$24),"Other")</x:f>
        <x:v>Referral</x:v>
      </x:c>
      <x:c r="R549" t="str">
        <x:f>IFERROR(XLOOKUP(F549,Lookups!$D$5:$D$10,Lookups!$E$5:$E$10),"Unknown Product")</x:f>
        <x:v>NexaCRM Pro</x:v>
      </x:c>
      <x:c r="S549" t="str">
        <x:f>IFERROR(XLOOKUP(F549,Lookups!$D$5:$D$10,Lookups!$F$5:$F$10),"Unknown")</x:f>
        <x:v>CRM</x:v>
      </x:c>
      <x:c r="T549" t="str">
        <x:f>IF(L549&gt;=50000,"Enterprise",IF(L549&gt;=20000,"Mid-Market","SMB"))</x:f>
        <x:v>Enterprise</x:v>
      </x:c>
      <x:c r="U549" t="str">
        <x:f>IF(I549="Closed Won","Won",IF(I549="Closed Lost","Lost","Open"))</x:f>
        <x:v>Won</x:v>
      </x:c>
      <x:c r="V549" s="22" t="n">
        <x:f>IF(U549="Won",L549*(1-M549),0)</x:f>
        <x:v>74336</x:v>
      </x:c>
      <x:c r="W549" s="22" t="n">
        <x:f>IF(U549="Open",L549*N549,0)</x:f>
        <x:v>0</x:v>
      </x:c>
      <x:c r="X549" s="26" t="n">
        <x:f>IF(U549="Open","",IFERROR(K549-B549,""))</x:f>
        <x:v>62</x:v>
      </x:c>
      <x:c r="Y549" s="26" t="n">
        <x:f>IF(U549="Open",Lookups!$B$2-B549,X549)</x:f>
        <x:v>62</x:v>
      </x:c>
      <x:c r="Z549" t="str">
        <x:f>IF(AND(U549="Open",Y549&gt;30),"STALE","OK")</x:f>
        <x:v>OK</x:v>
      </x:c>
      <x:c r="AA549" t="str">
        <x:f>TEXT(B549,"yyyy-mm")</x:f>
        <x:v>2025-07</x:v>
      </x:c>
      <x:c r="AB549" t="str">
        <x:f>IF(K549="","",TEXT(K549,"yyyy-mm"))</x:f>
        <x:v>2025-09</x:v>
      </x:c>
      <x:c r="AC549" t="str">
        <x:f>"Q"&amp;ROUNDUP(MONTH(B549)/3,0)&amp;"-"&amp;YEAR(B549)</x:f>
        <x:v>Q3-2025</x:v>
      </x:c>
      <x:c r="AD549" s="26" t="n">
        <x:f>MIN(100,IF(H549="Enterprise",30,IF(H549="Mid-Market",22,14))+IF(T549="Enterprise",25,IF(T549="Mid-Market",18,10))+IF(Q549="Referral",25,IF(Q549="Organic Search",20,IF(Q549="Email",18,14)))+IF(G549="Technology",10,5))</x:f>
        <x:v>85</x:v>
      </x:c>
      <x:c r="AE549" t="str">
        <x:f>IF(U549&lt;&gt;"Open",U549,IF(N549&gt;=0.8,"Commit",IF(N549&gt;=0.5,"Best Case","Pipeline")))</x:f>
        <x:v>Won</x:v>
      </x:c>
    </x:row>
    <x:row r="550">
      <x:c r="A550" t="str">
        <x:v>L00549</x:v>
      </x:c>
      <x:c r="B550" s="10" t="n">
        <x:v>45706</x:v>
      </x:c>
      <x:c r="C550" t="str">
        <x:v>Duy Pham</x:v>
      </x:c>
      <x:c r="D550" t="str">
        <x:v>South</x:v>
      </x:c>
      <x:c r="E550" t="str">
        <x:v>newsletter</x:v>
      </x:c>
      <x:c r="F550" t="str">
        <x:v>REV-OPS</x:v>
      </x:c>
      <x:c r="G550" t="str">
        <x:v>Healthcare</x:v>
      </x:c>
      <x:c r="H550" t="str">
        <x:v>SMB</x:v>
      </x:c>
      <x:c r="I550" t="str">
        <x:v>Closed Lost</x:v>
      </x:c>
      <x:c r="J550" s="10" t="n">
        <x:v>45714</x:v>
      </x:c>
      <x:c r="K550" s="10" t="n">
        <x:v>45714</x:v>
      </x:c>
      <x:c r="L550" s="22" t="n">
        <x:v>20900</x:v>
      </x:c>
      <x:c r="M550" s="24" t="n">
        <x:v>0</x:v>
      </x:c>
      <x:c r="N550" s="24" t="n">
        <x:v>0</x:v>
      </x:c>
      <x:c r="O550" t="str">
        <x:v>Price</x:v>
      </x:c>
      <x:c r="P550" t="n">
        <x:v>3</x:v>
      </x:c>
      <x:c r="Q550" t="str">
        <x:f>IFERROR(XLOOKUP(E550,Lookups!$A$5:$A$24,Lookups!$B$5:$B$24),"Other")</x:f>
        <x:v>Email</x:v>
      </x:c>
      <x:c r="R550" t="str">
        <x:f>IFERROR(XLOOKUP(F550,Lookups!$D$5:$D$10,Lookups!$E$5:$E$10),"Unknown Product")</x:f>
        <x:v>Revenue Operations Suite</x:v>
      </x:c>
      <x:c r="S550" t="str">
        <x:f>IFERROR(XLOOKUP(F550,Lookups!$D$5:$D$10,Lookups!$F$5:$F$10),"Unknown")</x:f>
        <x:v>Revenue Ops</x:v>
      </x:c>
      <x:c r="T550" t="str">
        <x:f>IF(L550&gt;=50000,"Enterprise",IF(L550&gt;=20000,"Mid-Market","SMB"))</x:f>
        <x:v>Mid-Market</x:v>
      </x:c>
      <x:c r="U550" t="str">
        <x:f>IF(I550="Closed Won","Won",IF(I550="Closed Lost","Lost","Open"))</x:f>
        <x:v>Lost</x:v>
      </x:c>
      <x:c r="V550" s="22" t="n">
        <x:f>IF(U550="Won",L550*(1-M550),0)</x:f>
        <x:v>0</x:v>
      </x:c>
      <x:c r="W550" s="22" t="n">
        <x:f>IF(U550="Open",L550*N550,0)</x:f>
        <x:v>0</x:v>
      </x:c>
      <x:c r="X550" s="26" t="n">
        <x:f>IF(U550="Open","",IFERROR(K550-B550,""))</x:f>
        <x:v>8</x:v>
      </x:c>
      <x:c r="Y550" s="26" t="n">
        <x:f>IF(U550="Open",Lookups!$B$2-B550,X550)</x:f>
        <x:v>8</x:v>
      </x:c>
      <x:c r="Z550" t="str">
        <x:f>IF(AND(U550="Open",Y550&gt;30),"STALE","OK")</x:f>
        <x:v>OK</x:v>
      </x:c>
      <x:c r="AA550" t="str">
        <x:f>TEXT(B550,"yyyy-mm")</x:f>
        <x:v>2025-02</x:v>
      </x:c>
      <x:c r="AB550" t="str">
        <x:f>IF(K550="","",TEXT(K550,"yyyy-mm"))</x:f>
        <x:v>2025-02</x:v>
      </x:c>
      <x:c r="AC550" t="str">
        <x:f>"Q"&amp;ROUNDUP(MONTH(B550)/3,0)&amp;"-"&amp;YEAR(B550)</x:f>
        <x:v>Q1-2025</x:v>
      </x:c>
      <x:c r="AD550" s="26" t="n">
        <x:f>MIN(100,IF(H550="Enterprise",30,IF(H550="Mid-Market",22,14))+IF(T550="Enterprise",25,IF(T550="Mid-Market",18,10))+IF(Q550="Referral",25,IF(Q550="Organic Search",20,IF(Q550="Email",18,14)))+IF(G550="Technology",10,5))</x:f>
        <x:v>55</x:v>
      </x:c>
      <x:c r="AE550" t="str">
        <x:f>IF(U550&lt;&gt;"Open",U550,IF(N550&gt;=0.8,"Commit",IF(N550&gt;=0.5,"Best Case","Pipeline")))</x:f>
        <x:v>Lost</x:v>
      </x:c>
    </x:row>
    <x:row r="551">
      <x:c r="A551" t="str">
        <x:v>L00550</x:v>
      </x:c>
      <x:c r="B551" s="10" t="n">
        <x:v>46144</x:v>
      </x:c>
      <x:c r="C551" t="str">
        <x:v>Minh Do</x:v>
      </x:c>
      <x:c r="D551" t="str">
        <x:v>North</x:v>
      </x:c>
      <x:c r="E551" t="str">
        <x:v>linkedin</x:v>
      </x:c>
      <x:c r="F551" t="str">
        <x:v>CRM-PRO</x:v>
      </x:c>
      <x:c r="G551" t="str">
        <x:v>Healthcare</x:v>
      </x:c>
      <x:c r="H551" t="str">
        <x:v>Mid-Market</x:v>
      </x:c>
      <x:c r="I551" t="str">
        <x:v>Closed Lost</x:v>
      </x:c>
      <x:c r="J551" s="10" t="n">
        <x:v>46227</x:v>
      </x:c>
      <x:c r="K551" s="10" t="n">
        <x:v>46227</x:v>
      </x:c>
      <x:c r="L551" s="22" t="n">
        <x:v>43200</x:v>
      </x:c>
      <x:c r="M551" s="24" t="n">
        <x:v>0</x:v>
      </x:c>
      <x:c r="N551" s="24" t="n">
        <x:v>0</x:v>
      </x:c>
      <x:c r="O551" t="str">
        <x:v>Price</x:v>
      </x:c>
      <x:c r="P551" t="n">
        <x:v>4</x:v>
      </x:c>
      <x:c r="Q551" t="str">
        <x:f>IFERROR(XLOOKUP(E551,Lookups!$A$5:$A$24,Lookups!$B$5:$B$24),"Other")</x:f>
        <x:v>LinkedIn</x:v>
      </x:c>
      <x:c r="R551" t="str">
        <x:f>IFERROR(XLOOKUP(F551,Lookups!$D$5:$D$10,Lookups!$E$5:$E$10),"Unknown Product")</x:f>
        <x:v>NexaCRM Pro</x:v>
      </x:c>
      <x:c r="S551" t="str">
        <x:f>IFERROR(XLOOKUP(F551,Lookups!$D$5:$D$10,Lookups!$F$5:$F$10),"Unknown")</x:f>
        <x:v>CRM</x:v>
      </x:c>
      <x:c r="T551" t="str">
        <x:f>IF(L551&gt;=50000,"Enterprise",IF(L551&gt;=20000,"Mid-Market","SMB"))</x:f>
        <x:v>Mid-Market</x:v>
      </x:c>
      <x:c r="U551" t="str">
        <x:f>IF(I551="Closed Won","Won",IF(I551="Closed Lost","Lost","Open"))</x:f>
        <x:v>Lost</x:v>
      </x:c>
      <x:c r="V551" s="22" t="n">
        <x:f>IF(U551="Won",L551*(1-M551),0)</x:f>
        <x:v>0</x:v>
      </x:c>
      <x:c r="W551" s="22" t="n">
        <x:f>IF(U551="Open",L551*N551,0)</x:f>
        <x:v>0</x:v>
      </x:c>
      <x:c r="X551" s="26" t="n">
        <x:f>IF(U551="Open","",IFERROR(K551-B551,""))</x:f>
        <x:v>83</x:v>
      </x:c>
      <x:c r="Y551" s="26" t="n">
        <x:f>IF(U551="Open",Lookups!$B$2-B551,X551)</x:f>
        <x:v>83</x:v>
      </x:c>
      <x:c r="Z551" t="str">
        <x:f>IF(AND(U551="Open",Y551&gt;30),"STALE","OK")</x:f>
        <x:v>OK</x:v>
      </x:c>
      <x:c r="AA551" t="str">
        <x:f>TEXT(B551,"yyyy-mm")</x:f>
        <x:v>2026-05</x:v>
      </x:c>
      <x:c r="AB551" t="str">
        <x:f>IF(K551="","",TEXT(K551,"yyyy-mm"))</x:f>
        <x:v>2026-07</x:v>
      </x:c>
      <x:c r="AC551" t="str">
        <x:f>"Q"&amp;ROUNDUP(MONTH(B551)/3,0)&amp;"-"&amp;YEAR(B551)</x:f>
        <x:v>Q2-2026</x:v>
      </x:c>
      <x:c r="AD551" s="26" t="n">
        <x:f>MIN(100,IF(H551="Enterprise",30,IF(H551="Mid-Market",22,14))+IF(T551="Enterprise",25,IF(T551="Mid-Market",18,10))+IF(Q551="Referral",25,IF(Q551="Organic Search",20,IF(Q551="Email",18,14)))+IF(G551="Technology",10,5))</x:f>
        <x:v>59</x:v>
      </x:c>
      <x:c r="AE551" t="str">
        <x:f>IF(U551&lt;&gt;"Open",U551,IF(N551&gt;=0.8,"Commit",IF(N551&gt;=0.5,"Best Case","Pipeline")))</x:f>
        <x:v>Lost</x:v>
      </x:c>
    </x:row>
    <x:row r="552">
      <x:c r="A552" t="str">
        <x:v>L00551</x:v>
      </x:c>
      <x:c r="B552" s="10" t="n">
        <x:v>46183</x:v>
      </x:c>
      <x:c r="C552" t="str">
        <x:v>Tuan Bui</x:v>
      </x:c>
      <x:c r="D552" t="str">
        <x:v>Central</x:v>
      </x:c>
      <x:c r="E552" t="str">
        <x:v>Google Ads</x:v>
      </x:c>
      <x:c r="F552" t="str">
        <x:v>CRM-CORE</x:v>
      </x:c>
      <x:c r="G552" t="str">
        <x:v>Professional Services</x:v>
      </x:c>
      <x:c r="H552" t="str">
        <x:v>SMB</x:v>
      </x:c>
      <x:c r="I552" t="str">
        <x:v>Qualified</x:v>
      </x:c>
      <x:c r="J552" s="10" t="n">
        <x:v>46237</x:v>
      </x:c>
      <x:c r="K552" s="10"/>
      <x:c r="L552" s="22" t="n">
        <x:v>7100</x:v>
      </x:c>
      <x:c r="M552" s="24" t="n">
        <x:v>0.03</x:v>
      </x:c>
      <x:c r="N552" s="24" t="n">
        <x:v>0.2</x:v>
      </x:c>
      <x:c r="O552" t="str"/>
      <x:c r="P552" t="n">
        <x:v>2</x:v>
      </x:c>
      <x:c r="Q552" t="str">
        <x:f>IFERROR(XLOOKUP(E552,Lookups!$A$5:$A$24,Lookups!$B$5:$B$24),"Other")</x:f>
        <x:v>Paid Search</x:v>
      </x:c>
      <x:c r="R552" t="str">
        <x:f>IFERROR(XLOOKUP(F552,Lookups!$D$5:$D$10,Lookups!$E$5:$E$10),"Unknown Product")</x:f>
        <x:v>NexaCRM Core</x:v>
      </x:c>
      <x:c r="S552" t="str">
        <x:f>IFERROR(XLOOKUP(F552,Lookups!$D$5:$D$10,Lookups!$F$5:$F$10),"Unknown")</x:f>
        <x:v>CRM</x:v>
      </x:c>
      <x:c r="T552" t="str">
        <x:f>IF(L552&gt;=50000,"Enterprise",IF(L552&gt;=20000,"Mid-Market","SMB"))</x:f>
        <x:v>SMB</x:v>
      </x:c>
      <x:c r="U552" t="str">
        <x:f>IF(I552="Closed Won","Won",IF(I552="Closed Lost","Lost","Open"))</x:f>
        <x:v>Open</x:v>
      </x:c>
      <x:c r="V552" s="22" t="n">
        <x:f>IF(U552="Won",L552*(1-M552),0)</x:f>
        <x:v>0</x:v>
      </x:c>
      <x:c r="W552" s="22" t="n">
        <x:f>IF(U552="Open",L552*N552,0)</x:f>
        <x:v>1420</x:v>
      </x:c>
      <x:c r="X552" s="26" t="str">
        <x:f>IF(U552="Open","",IFERROR(K552-B552,""))</x:f>
      </x:c>
      <x:c r="Y552" s="26" t="n">
        <x:f>IF(U552="Open",Lookups!$B$2-B552,X552)</x:f>
        <x:v>83</x:v>
      </x:c>
      <x:c r="Z552" t="str">
        <x:f>IF(AND(U552="Open",Y552&gt;30),"STALE","OK")</x:f>
        <x:v>STALE</x:v>
      </x:c>
      <x:c r="AA552" t="str">
        <x:f>TEXT(B552,"yyyy-mm")</x:f>
        <x:v>2026-06</x:v>
      </x:c>
      <x:c r="AB552" t="str">
        <x:f>IF(K552="","",TEXT(K552,"yyyy-mm"))</x:f>
      </x:c>
      <x:c r="AC552" t="str">
        <x:f>"Q"&amp;ROUNDUP(MONTH(B552)/3,0)&amp;"-"&amp;YEAR(B552)</x:f>
        <x:v>Q2-2026</x:v>
      </x:c>
      <x:c r="AD552" s="26" t="n">
        <x:f>MIN(100,IF(H552="Enterprise",30,IF(H552="Mid-Market",22,14))+IF(T552="Enterprise",25,IF(T552="Mid-Market",18,10))+IF(Q552="Referral",25,IF(Q552="Organic Search",20,IF(Q552="Email",18,14)))+IF(G552="Technology",10,5))</x:f>
        <x:v>43</x:v>
      </x:c>
      <x:c r="AE552" t="str">
        <x:f>IF(U552&lt;&gt;"Open",U552,IF(N552&gt;=0.8,"Commit",IF(N552&gt;=0.5,"Best Case","Pipeline")))</x:f>
        <x:v>Pipeline</x:v>
      </x:c>
    </x:row>
    <x:row r="553">
      <x:c r="A553" t="str">
        <x:v>L00552</x:v>
      </x:c>
      <x:c r="B553" s="10" t="n">
        <x:v>46180</x:v>
      </x:c>
      <x:c r="C553" t="str">
        <x:v>Minh Do</x:v>
      </x:c>
      <x:c r="D553" t="str">
        <x:v>North</x:v>
      </x:c>
      <x:c r="E553" t="str">
        <x:v>SEO</x:v>
      </x:c>
      <x:c r="F553" t="str">
        <x:v>CRM-CORE</x:v>
      </x:c>
      <x:c r="G553" t="str">
        <x:v>Technology</x:v>
      </x:c>
      <x:c r="H553" t="str">
        <x:v>Mid-Market</x:v>
      </x:c>
      <x:c r="I553" t="str">
        <x:v>Closed Lost</x:v>
      </x:c>
      <x:c r="J553" s="10" t="n">
        <x:v>46226</x:v>
      </x:c>
      <x:c r="K553" s="10" t="n">
        <x:v>46226</x:v>
      </x:c>
      <x:c r="L553" s="22" t="n">
        <x:v>16000</x:v>
      </x:c>
      <x:c r="M553" s="24" t="n">
        <x:v>0</x:v>
      </x:c>
      <x:c r="N553" s="24" t="n">
        <x:v>0</x:v>
      </x:c>
      <x:c r="O553" t="str">
        <x:v>Competitor</x:v>
      </x:c>
      <x:c r="P553" t="n">
        <x:v>3</x:v>
      </x:c>
      <x:c r="Q553" t="str">
        <x:f>IFERROR(XLOOKUP(E553,Lookups!$A$5:$A$24,Lookups!$B$5:$B$24),"Other")</x:f>
        <x:v>Organic Search</x:v>
      </x:c>
      <x:c r="R553" t="str">
        <x:f>IFERROR(XLOOKUP(F553,Lookups!$D$5:$D$10,Lookups!$E$5:$E$10),"Unknown Product")</x:f>
        <x:v>NexaCRM Core</x:v>
      </x:c>
      <x:c r="S553" t="str">
        <x:f>IFERROR(XLOOKUP(F553,Lookups!$D$5:$D$10,Lookups!$F$5:$F$10),"Unknown")</x:f>
        <x:v>CRM</x:v>
      </x:c>
      <x:c r="T553" t="str">
        <x:f>IF(L553&gt;=50000,"Enterprise",IF(L553&gt;=20000,"Mid-Market","SMB"))</x:f>
        <x:v>SMB</x:v>
      </x:c>
      <x:c r="U553" t="str">
        <x:f>IF(I553="Closed Won","Won",IF(I553="Closed Lost","Lost","Open"))</x:f>
        <x:v>Lost</x:v>
      </x:c>
      <x:c r="V553" s="22" t="n">
        <x:f>IF(U553="Won",L553*(1-M553),0)</x:f>
        <x:v>0</x:v>
      </x:c>
      <x:c r="W553" s="22" t="n">
        <x:f>IF(U553="Open",L553*N553,0)</x:f>
        <x:v>0</x:v>
      </x:c>
      <x:c r="X553" s="26" t="n">
        <x:f>IF(U553="Open","",IFERROR(K553-B553,""))</x:f>
        <x:v>46</x:v>
      </x:c>
      <x:c r="Y553" s="26" t="n">
        <x:f>IF(U553="Open",Lookups!$B$2-B553,X553)</x:f>
        <x:v>46</x:v>
      </x:c>
      <x:c r="Z553" t="str">
        <x:f>IF(AND(U553="Open",Y553&gt;30),"STALE","OK")</x:f>
        <x:v>OK</x:v>
      </x:c>
      <x:c r="AA553" t="str">
        <x:f>TEXT(B553,"yyyy-mm")</x:f>
        <x:v>2026-06</x:v>
      </x:c>
      <x:c r="AB553" t="str">
        <x:f>IF(K553="","",TEXT(K553,"yyyy-mm"))</x:f>
        <x:v>2026-07</x:v>
      </x:c>
      <x:c r="AC553" t="str">
        <x:f>"Q"&amp;ROUNDUP(MONTH(B553)/3,0)&amp;"-"&amp;YEAR(B553)</x:f>
        <x:v>Q2-2026</x:v>
      </x:c>
      <x:c r="AD553" s="26" t="n">
        <x:f>MIN(100,IF(H553="Enterprise",30,IF(H553="Mid-Market",22,14))+IF(T553="Enterprise",25,IF(T553="Mid-Market",18,10))+IF(Q553="Referral",25,IF(Q553="Organic Search",20,IF(Q553="Email",18,14)))+IF(G553="Technology",10,5))</x:f>
        <x:v>62</x:v>
      </x:c>
      <x:c r="AE553" t="str">
        <x:f>IF(U553&lt;&gt;"Open",U553,IF(N553&gt;=0.8,"Commit",IF(N553&gt;=0.5,"Best Case","Pipeline")))</x:f>
        <x:v>Lost</x:v>
      </x:c>
    </x:row>
    <x:row r="554">
      <x:c r="A554" t="str">
        <x:v>L00553</x:v>
      </x:c>
      <x:c r="B554" s="10" t="n">
        <x:v>46163</x:v>
      </x:c>
      <x:c r="C554" t="str">
        <x:v>Minh Do</x:v>
      </x:c>
      <x:c r="D554" t="str">
        <x:v>North</x:v>
      </x:c>
      <x:c r="E554" t="str">
        <x:v>Partner Referral</x:v>
      </x:c>
      <x:c r="F554" t="str">
        <x:v>CRM-CORE</x:v>
      </x:c>
      <x:c r="G554" t="str">
        <x:v>Technology</x:v>
      </x:c>
      <x:c r="H554" t="str">
        <x:v>Enterprise</x:v>
      </x:c>
      <x:c r="I554" t="str">
        <x:v>Closed Won</x:v>
      </x:c>
      <x:c r="J554" s="10" t="n">
        <x:v>46209</x:v>
      </x:c>
      <x:c r="K554" s="10" t="n">
        <x:v>46209</x:v>
      </x:c>
      <x:c r="L554" s="22" t="n">
        <x:v>31000</x:v>
      </x:c>
      <x:c r="M554" s="24" t="n">
        <x:v>0.12</x:v>
      </x:c>
      <x:c r="N554" s="24" t="n">
        <x:v>1</x:v>
      </x:c>
      <x:c r="O554" t="str"/>
      <x:c r="P554" t="n">
        <x:v>6</x:v>
      </x:c>
      <x:c r="Q554" t="str">
        <x:f>IFERROR(XLOOKUP(E554,Lookups!$A$5:$A$24,Lookups!$B$5:$B$24),"Other")</x:f>
        <x:v>Referral</x:v>
      </x:c>
      <x:c r="R554" t="str">
        <x:f>IFERROR(XLOOKUP(F554,Lookups!$D$5:$D$10,Lookups!$E$5:$E$10),"Unknown Product")</x:f>
        <x:v>NexaCRM Core</x:v>
      </x:c>
      <x:c r="S554" t="str">
        <x:f>IFERROR(XLOOKUP(F554,Lookups!$D$5:$D$10,Lookups!$F$5:$F$10),"Unknown")</x:f>
        <x:v>CRM</x:v>
      </x:c>
      <x:c r="T554" t="str">
        <x:f>IF(L554&gt;=50000,"Enterprise",IF(L554&gt;=20000,"Mid-Market","SMB"))</x:f>
        <x:v>Mid-Market</x:v>
      </x:c>
      <x:c r="U554" t="str">
        <x:f>IF(I554="Closed Won","Won",IF(I554="Closed Lost","Lost","Open"))</x:f>
        <x:v>Won</x:v>
      </x:c>
      <x:c r="V554" s="22" t="n">
        <x:f>IF(U554="Won",L554*(1-M554),0)</x:f>
        <x:v>27280</x:v>
      </x:c>
      <x:c r="W554" s="22" t="n">
        <x:f>IF(U554="Open",L554*N554,0)</x:f>
        <x:v>0</x:v>
      </x:c>
      <x:c r="X554" s="26" t="n">
        <x:f>IF(U554="Open","",IFERROR(K554-B554,""))</x:f>
        <x:v>46</x:v>
      </x:c>
      <x:c r="Y554" s="26" t="n">
        <x:f>IF(U554="Open",Lookups!$B$2-B554,X554)</x:f>
        <x:v>46</x:v>
      </x:c>
      <x:c r="Z554" t="str">
        <x:f>IF(AND(U554="Open",Y554&gt;30),"STALE","OK")</x:f>
        <x:v>OK</x:v>
      </x:c>
      <x:c r="AA554" t="str">
        <x:f>TEXT(B554,"yyyy-mm")</x:f>
        <x:v>2026-05</x:v>
      </x:c>
      <x:c r="AB554" t="str">
        <x:f>IF(K554="","",TEXT(K554,"yyyy-mm"))</x:f>
        <x:v>2026-07</x:v>
      </x:c>
      <x:c r="AC554" t="str">
        <x:f>"Q"&amp;ROUNDUP(MONTH(B554)/3,0)&amp;"-"&amp;YEAR(B554)</x:f>
        <x:v>Q2-2026</x:v>
      </x:c>
      <x:c r="AD554" s="26" t="n">
        <x:f>MIN(100,IF(H554="Enterprise",30,IF(H554="Mid-Market",22,14))+IF(T554="Enterprise",25,IF(T554="Mid-Market",18,10))+IF(Q554="Referral",25,IF(Q554="Organic Search",20,IF(Q554="Email",18,14)))+IF(G554="Technology",10,5))</x:f>
        <x:v>83</x:v>
      </x:c>
      <x:c r="AE554" t="str">
        <x:f>IF(U554&lt;&gt;"Open",U554,IF(N554&gt;=0.8,"Commit",IF(N554&gt;=0.5,"Best Case","Pipeline")))</x:f>
        <x:v>Won</x:v>
      </x:c>
    </x:row>
    <x:row r="555">
      <x:c r="A555" t="str">
        <x:v>L00554</x:v>
      </x:c>
      <x:c r="B555" s="10" t="n">
        <x:v>46124</x:v>
      </x:c>
      <x:c r="C555" t="str">
        <x:v>Minh Do</x:v>
      </x:c>
      <x:c r="D555" t="str">
        <x:v>North</x:v>
      </x:c>
      <x:c r="E555" t="str">
        <x:v>Google Ads</x:v>
      </x:c>
      <x:c r="F555" t="str">
        <x:v>CRM-CORE</x:v>
      </x:c>
      <x:c r="G555" t="str">
        <x:v>Manufacturing</x:v>
      </x:c>
      <x:c r="H555" t="str">
        <x:v>SMB</x:v>
      </x:c>
      <x:c r="I555" t="str">
        <x:v>Closed Lost</x:v>
      </x:c>
      <x:c r="J555" s="10" t="n">
        <x:v>46185</x:v>
      </x:c>
      <x:c r="K555" s="10" t="n">
        <x:v>46185</x:v>
      </x:c>
      <x:c r="L555" s="22" t="n">
        <x:v>9800</x:v>
      </x:c>
      <x:c r="M555" s="24" t="n">
        <x:v>0</x:v>
      </x:c>
      <x:c r="N555" s="24" t="n">
        <x:v>0</x:v>
      </x:c>
      <x:c r="O555" t="str">
        <x:v>Timing</x:v>
      </x:c>
      <x:c r="P555" t="n">
        <x:v>5</x:v>
      </x:c>
      <x:c r="Q555" t="str">
        <x:f>IFERROR(XLOOKUP(E555,Lookups!$A$5:$A$24,Lookups!$B$5:$B$24),"Other")</x:f>
        <x:v>Paid Search</x:v>
      </x:c>
      <x:c r="R555" t="str">
        <x:f>IFERROR(XLOOKUP(F555,Lookups!$D$5:$D$10,Lookups!$E$5:$E$10),"Unknown Product")</x:f>
        <x:v>NexaCRM Core</x:v>
      </x:c>
      <x:c r="S555" t="str">
        <x:f>IFERROR(XLOOKUP(F555,Lookups!$D$5:$D$10,Lookups!$F$5:$F$10),"Unknown")</x:f>
        <x:v>CRM</x:v>
      </x:c>
      <x:c r="T555" t="str">
        <x:f>IF(L555&gt;=50000,"Enterprise",IF(L555&gt;=20000,"Mid-Market","SMB"))</x:f>
        <x:v>SMB</x:v>
      </x:c>
      <x:c r="U555" t="str">
        <x:f>IF(I555="Closed Won","Won",IF(I555="Closed Lost","Lost","Open"))</x:f>
        <x:v>Lost</x:v>
      </x:c>
      <x:c r="V555" s="22" t="n">
        <x:f>IF(U555="Won",L555*(1-M555),0)</x:f>
        <x:v>0</x:v>
      </x:c>
      <x:c r="W555" s="22" t="n">
        <x:f>IF(U555="Open",L555*N555,0)</x:f>
        <x:v>0</x:v>
      </x:c>
      <x:c r="X555" s="26" t="n">
        <x:f>IF(U555="Open","",IFERROR(K555-B555,""))</x:f>
        <x:v>61</x:v>
      </x:c>
      <x:c r="Y555" s="26" t="n">
        <x:f>IF(U555="Open",Lookups!$B$2-B555,X555)</x:f>
        <x:v>61</x:v>
      </x:c>
      <x:c r="Z555" t="str">
        <x:f>IF(AND(U555="Open",Y555&gt;30),"STALE","OK")</x:f>
        <x:v>OK</x:v>
      </x:c>
      <x:c r="AA555" t="str">
        <x:f>TEXT(B555,"yyyy-mm")</x:f>
        <x:v>2026-04</x:v>
      </x:c>
      <x:c r="AB555" t="str">
        <x:f>IF(K555="","",TEXT(K555,"yyyy-mm"))</x:f>
        <x:v>2026-06</x:v>
      </x:c>
      <x:c r="AC555" t="str">
        <x:f>"Q"&amp;ROUNDUP(MONTH(B555)/3,0)&amp;"-"&amp;YEAR(B555)</x:f>
        <x:v>Q2-2026</x:v>
      </x:c>
      <x:c r="AD555" s="26" t="n">
        <x:f>MIN(100,IF(H555="Enterprise",30,IF(H555="Mid-Market",22,14))+IF(T555="Enterprise",25,IF(T555="Mid-Market",18,10))+IF(Q555="Referral",25,IF(Q555="Organic Search",20,IF(Q555="Email",18,14)))+IF(G555="Technology",10,5))</x:f>
        <x:v>43</x:v>
      </x:c>
      <x:c r="AE555" t="str">
        <x:f>IF(U555&lt;&gt;"Open",U555,IF(N555&gt;=0.8,"Commit",IF(N555&gt;=0.5,"Best Case","Pipeline")))</x:f>
        <x:v>Lost</x:v>
      </x:c>
    </x:row>
    <x:row r="556">
      <x:c r="A556" t="str">
        <x:v>L00555</x:v>
      </x:c>
      <x:c r="B556" s="10" t="n">
        <x:v>46120</x:v>
      </x:c>
      <x:c r="C556" t="str">
        <x:v>Tuan Bui</x:v>
      </x:c>
      <x:c r="D556" t="str">
        <x:v>Central</x:v>
      </x:c>
      <x:c r="E556" t="str">
        <x:v>linkedin</x:v>
      </x:c>
      <x:c r="F556" t="str">
        <x:v>CRM-PRO</x:v>
      </x:c>
      <x:c r="G556" t="str">
        <x:v>Healthcare</x:v>
      </x:c>
      <x:c r="H556" t="str">
        <x:v>SMB</x:v>
      </x:c>
      <x:c r="I556" t="str">
        <x:v>Closed Won</x:v>
      </x:c>
      <x:c r="J556" s="10" t="n">
        <x:v>46183</x:v>
      </x:c>
      <x:c r="K556" s="10" t="n">
        <x:v>46183</x:v>
      </x:c>
      <x:c r="L556" s="22" t="n">
        <x:v>24600</x:v>
      </x:c>
      <x:c r="M556" s="24" t="n">
        <x:v>0.08</x:v>
      </x:c>
      <x:c r="N556" s="24" t="n">
        <x:v>1</x:v>
      </x:c>
      <x:c r="O556" t="str"/>
      <x:c r="P556" t="n">
        <x:v>6</x:v>
      </x:c>
      <x:c r="Q556" t="str">
        <x:f>IFERROR(XLOOKUP(E556,Lookups!$A$5:$A$24,Lookups!$B$5:$B$24),"Other")</x:f>
        <x:v>LinkedIn</x:v>
      </x:c>
      <x:c r="R556" t="str">
        <x:f>IFERROR(XLOOKUP(F556,Lookups!$D$5:$D$10,Lookups!$E$5:$E$10),"Unknown Product")</x:f>
        <x:v>NexaCRM Pro</x:v>
      </x:c>
      <x:c r="S556" t="str">
        <x:f>IFERROR(XLOOKUP(F556,Lookups!$D$5:$D$10,Lookups!$F$5:$F$10),"Unknown")</x:f>
        <x:v>CRM</x:v>
      </x:c>
      <x:c r="T556" t="str">
        <x:f>IF(L556&gt;=50000,"Enterprise",IF(L556&gt;=20000,"Mid-Market","SMB"))</x:f>
        <x:v>Mid-Market</x:v>
      </x:c>
      <x:c r="U556" t="str">
        <x:f>IF(I556="Closed Won","Won",IF(I556="Closed Lost","Lost","Open"))</x:f>
        <x:v>Won</x:v>
      </x:c>
      <x:c r="V556" s="22" t="n">
        <x:f>IF(U556="Won",L556*(1-M556),0)</x:f>
        <x:v>22632</x:v>
      </x:c>
      <x:c r="W556" s="22" t="n">
        <x:f>IF(U556="Open",L556*N556,0)</x:f>
        <x:v>0</x:v>
      </x:c>
      <x:c r="X556" s="26" t="n">
        <x:f>IF(U556="Open","",IFERROR(K556-B556,""))</x:f>
        <x:v>63</x:v>
      </x:c>
      <x:c r="Y556" s="26" t="n">
        <x:f>IF(U556="Open",Lookups!$B$2-B556,X556)</x:f>
        <x:v>63</x:v>
      </x:c>
      <x:c r="Z556" t="str">
        <x:f>IF(AND(U556="Open",Y556&gt;30),"STALE","OK")</x:f>
        <x:v>OK</x:v>
      </x:c>
      <x:c r="AA556" t="str">
        <x:f>TEXT(B556,"yyyy-mm")</x:f>
        <x:v>2026-04</x:v>
      </x:c>
      <x:c r="AB556" t="str">
        <x:f>IF(K556="","",TEXT(K556,"yyyy-mm"))</x:f>
        <x:v>2026-06</x:v>
      </x:c>
      <x:c r="AC556" t="str">
        <x:f>"Q"&amp;ROUNDUP(MONTH(B556)/3,0)&amp;"-"&amp;YEAR(B556)</x:f>
        <x:v>Q2-2026</x:v>
      </x:c>
      <x:c r="AD556" s="26" t="n">
        <x:f>MIN(100,IF(H556="Enterprise",30,IF(H556="Mid-Market",22,14))+IF(T556="Enterprise",25,IF(T556="Mid-Market",18,10))+IF(Q556="Referral",25,IF(Q556="Organic Search",20,IF(Q556="Email",18,14)))+IF(G556="Technology",10,5))</x:f>
        <x:v>51</x:v>
      </x:c>
      <x:c r="AE556" t="str">
        <x:f>IF(U556&lt;&gt;"Open",U556,IF(N556&gt;=0.8,"Commit",IF(N556&gt;=0.5,"Best Case","Pipeline")))</x:f>
        <x:v>Won</x:v>
      </x:c>
    </x:row>
    <x:row r="557">
      <x:c r="A557" t="str">
        <x:v>L00556</x:v>
      </x:c>
      <x:c r="B557" s="10" t="n">
        <x:v>46101</x:v>
      </x:c>
      <x:c r="C557" t="str">
        <x:v>Ha Vo</x:v>
      </x:c>
      <x:c r="D557" t="str">
        <x:v>North</x:v>
      </x:c>
      <x:c r="E557" t="str">
        <x:v>google cpc</x:v>
      </x:c>
      <x:c r="F557" t="str">
        <x:v>MKT-AUTO</x:v>
      </x:c>
      <x:c r="G557" t="str">
        <x:v>Professional Services</x:v>
      </x:c>
      <x:c r="H557" t="str">
        <x:v>Mid-Market</x:v>
      </x:c>
      <x:c r="I557" t="str">
        <x:v>Closed Lost</x:v>
      </x:c>
      <x:c r="J557" s="10" t="n">
        <x:v>46155</x:v>
      </x:c>
      <x:c r="K557" s="10" t="n">
        <x:v>46155</x:v>
      </x:c>
      <x:c r="L557" s="22" t="n">
        <x:v>31000</x:v>
      </x:c>
      <x:c r="M557" s="24" t="n">
        <x:v>0</x:v>
      </x:c>
      <x:c r="N557" s="24" t="n">
        <x:v>0</x:v>
      </x:c>
      <x:c r="O557" t="str">
        <x:v>Price</x:v>
      </x:c>
      <x:c r="P557" t="n">
        <x:v>3</x:v>
      </x:c>
      <x:c r="Q557" t="str">
        <x:f>IFERROR(XLOOKUP(E557,Lookups!$A$5:$A$24,Lookups!$B$5:$B$24),"Other")</x:f>
        <x:v>Paid Search</x:v>
      </x:c>
      <x:c r="R557" t="str">
        <x:f>IFERROR(XLOOKUP(F557,Lookups!$D$5:$D$10,Lookups!$E$5:$E$10),"Unknown Product")</x:f>
        <x:v>Marketing Automation</x:v>
      </x:c>
      <x:c r="S557" t="str">
        <x:f>IFERROR(XLOOKUP(F557,Lookups!$D$5:$D$10,Lookups!$F$5:$F$10),"Unknown")</x:f>
        <x:v>Marketing</x:v>
      </x:c>
      <x:c r="T557" t="str">
        <x:f>IF(L557&gt;=50000,"Enterprise",IF(L557&gt;=20000,"Mid-Market","SMB"))</x:f>
        <x:v>Mid-Market</x:v>
      </x:c>
      <x:c r="U557" t="str">
        <x:f>IF(I557="Closed Won","Won",IF(I557="Closed Lost","Lost","Open"))</x:f>
        <x:v>Lost</x:v>
      </x:c>
      <x:c r="V557" s="22" t="n">
        <x:f>IF(U557="Won",L557*(1-M557),0)</x:f>
        <x:v>0</x:v>
      </x:c>
      <x:c r="W557" s="22" t="n">
        <x:f>IF(U557="Open",L557*N557,0)</x:f>
        <x:v>0</x:v>
      </x:c>
      <x:c r="X557" s="26" t="n">
        <x:f>IF(U557="Open","",IFERROR(K557-B557,""))</x:f>
        <x:v>54</x:v>
      </x:c>
      <x:c r="Y557" s="26" t="n">
        <x:f>IF(U557="Open",Lookups!$B$2-B557,X557)</x:f>
        <x:v>54</x:v>
      </x:c>
      <x:c r="Z557" t="str">
        <x:f>IF(AND(U557="Open",Y557&gt;30),"STALE","OK")</x:f>
        <x:v>OK</x:v>
      </x:c>
      <x:c r="AA557" t="str">
        <x:f>TEXT(B557,"yyyy-mm")</x:f>
        <x:v>2026-03</x:v>
      </x:c>
      <x:c r="AB557" t="str">
        <x:f>IF(K557="","",TEXT(K557,"yyyy-mm"))</x:f>
        <x:v>2026-05</x:v>
      </x:c>
      <x:c r="AC557" t="str">
        <x:f>"Q"&amp;ROUNDUP(MONTH(B557)/3,0)&amp;"-"&amp;YEAR(B557)</x:f>
        <x:v>Q1-2026</x:v>
      </x:c>
      <x:c r="AD557" s="26" t="n">
        <x:f>MIN(100,IF(H557="Enterprise",30,IF(H557="Mid-Market",22,14))+IF(T557="Enterprise",25,IF(T557="Mid-Market",18,10))+IF(Q557="Referral",25,IF(Q557="Organic Search",20,IF(Q557="Email",18,14)))+IF(G557="Technology",10,5))</x:f>
        <x:v>59</x:v>
      </x:c>
      <x:c r="AE557" t="str">
        <x:f>IF(U557&lt;&gt;"Open",U557,IF(N557&gt;=0.8,"Commit",IF(N557&gt;=0.5,"Best Case","Pipeline")))</x:f>
        <x:v>Lost</x:v>
      </x:c>
    </x:row>
    <x:row r="558">
      <x:c r="A558" t="str">
        <x:v>L00557</x:v>
      </x:c>
      <x:c r="B558" s="10" t="n">
        <x:v>46138</x:v>
      </x:c>
      <x:c r="C558" t="str">
        <x:v>Chi Le</x:v>
      </x:c>
      <x:c r="D558" t="str">
        <x:v>South</x:v>
      </x:c>
      <x:c r="E558" t="str">
        <x:v>linkedin</x:v>
      </x:c>
      <x:c r="F558" t="str">
        <x:v>CRM-PRO</x:v>
      </x:c>
      <x:c r="G558" t="str">
        <x:v>Manufacturing</x:v>
      </x:c>
      <x:c r="H558" t="str">
        <x:v>Mid-Market</x:v>
      </x:c>
      <x:c r="I558" t="str">
        <x:v>Closed Lost</x:v>
      </x:c>
      <x:c r="J558" s="10" t="n">
        <x:v>46175</x:v>
      </x:c>
      <x:c r="K558" s="10" t="n">
        <x:v>46175</x:v>
      </x:c>
      <x:c r="L558" s="22" t="n">
        <x:v>22700</x:v>
      </x:c>
      <x:c r="M558" s="24" t="n">
        <x:v>0</x:v>
      </x:c>
      <x:c r="N558" s="24" t="n">
        <x:v>0</x:v>
      </x:c>
      <x:c r="O558" t="str">
        <x:v>Timing</x:v>
      </x:c>
      <x:c r="P558" t="n">
        <x:v>4</x:v>
      </x:c>
      <x:c r="Q558" t="str">
        <x:f>IFERROR(XLOOKUP(E558,Lookups!$A$5:$A$24,Lookups!$B$5:$B$24),"Other")</x:f>
        <x:v>LinkedIn</x:v>
      </x:c>
      <x:c r="R558" t="str">
        <x:f>IFERROR(XLOOKUP(F558,Lookups!$D$5:$D$10,Lookups!$E$5:$E$10),"Unknown Product")</x:f>
        <x:v>NexaCRM Pro</x:v>
      </x:c>
      <x:c r="S558" t="str">
        <x:f>IFERROR(XLOOKUP(F558,Lookups!$D$5:$D$10,Lookups!$F$5:$F$10),"Unknown")</x:f>
        <x:v>CRM</x:v>
      </x:c>
      <x:c r="T558" t="str">
        <x:f>IF(L558&gt;=50000,"Enterprise",IF(L558&gt;=20000,"Mid-Market","SMB"))</x:f>
        <x:v>Mid-Market</x:v>
      </x:c>
      <x:c r="U558" t="str">
        <x:f>IF(I558="Closed Won","Won",IF(I558="Closed Lost","Lost","Open"))</x:f>
        <x:v>Lost</x:v>
      </x:c>
      <x:c r="V558" s="22" t="n">
        <x:f>IF(U558="Won",L558*(1-M558),0)</x:f>
        <x:v>0</x:v>
      </x:c>
      <x:c r="W558" s="22" t="n">
        <x:f>IF(U558="Open",L558*N558,0)</x:f>
        <x:v>0</x:v>
      </x:c>
      <x:c r="X558" s="26" t="n">
        <x:f>IF(U558="Open","",IFERROR(K558-B558,""))</x:f>
        <x:v>37</x:v>
      </x:c>
      <x:c r="Y558" s="26" t="n">
        <x:f>IF(U558="Open",Lookups!$B$2-B558,X558)</x:f>
        <x:v>37</x:v>
      </x:c>
      <x:c r="Z558" t="str">
        <x:f>IF(AND(U558="Open",Y558&gt;30),"STALE","OK")</x:f>
        <x:v>OK</x:v>
      </x:c>
      <x:c r="AA558" t="str">
        <x:f>TEXT(B558,"yyyy-mm")</x:f>
        <x:v>2026-04</x:v>
      </x:c>
      <x:c r="AB558" t="str">
        <x:f>IF(K558="","",TEXT(K558,"yyyy-mm"))</x:f>
        <x:v>2026-06</x:v>
      </x:c>
      <x:c r="AC558" t="str">
        <x:f>"Q"&amp;ROUNDUP(MONTH(B558)/3,0)&amp;"-"&amp;YEAR(B558)</x:f>
        <x:v>Q2-2026</x:v>
      </x:c>
      <x:c r="AD558" s="26" t="n">
        <x:f>MIN(100,IF(H558="Enterprise",30,IF(H558="Mid-Market",22,14))+IF(T558="Enterprise",25,IF(T558="Mid-Market",18,10))+IF(Q558="Referral",25,IF(Q558="Organic Search",20,IF(Q558="Email",18,14)))+IF(G558="Technology",10,5))</x:f>
        <x:v>59</x:v>
      </x:c>
      <x:c r="AE558" t="str">
        <x:f>IF(U558&lt;&gt;"Open",U558,IF(N558&gt;=0.8,"Commit",IF(N558&gt;=0.5,"Best Case","Pipeline")))</x:f>
        <x:v>Lost</x:v>
      </x:c>
    </x:row>
    <x:row r="559">
      <x:c r="A559" t="str">
        <x:v>L00558</x:v>
      </x:c>
      <x:c r="B559" s="10" t="n">
        <x:v>45874</x:v>
      </x:c>
      <x:c r="C559" t="str">
        <x:v>Duy Pham</x:v>
      </x:c>
      <x:c r="D559" t="str">
        <x:v>South</x:v>
      </x:c>
      <x:c r="E559" t="str">
        <x:v>email nurture</x:v>
      </x:c>
      <x:c r="F559" t="str">
        <x:v>CRM-CORE</x:v>
      </x:c>
      <x:c r="G559" t="str">
        <x:v>Healthcare</x:v>
      </x:c>
      <x:c r="H559" t="str">
        <x:v>SMB</x:v>
      </x:c>
      <x:c r="I559" t="str">
        <x:v>Closed Lost</x:v>
      </x:c>
      <x:c r="J559" s="10" t="n">
        <x:v>45883</x:v>
      </x:c>
      <x:c r="K559" s="10" t="n">
        <x:v>45883</x:v>
      </x:c>
      <x:c r="L559" s="22" t="n">
        <x:v>5800</x:v>
      </x:c>
      <x:c r="M559" s="24" t="n">
        <x:v>0</x:v>
      </x:c>
      <x:c r="N559" s="24" t="n">
        <x:v>0</x:v>
      </x:c>
      <x:c r="O559" t="str">
        <x:v>Price</x:v>
      </x:c>
      <x:c r="P559" t="n">
        <x:v>5</x:v>
      </x:c>
      <x:c r="Q559" t="str">
        <x:f>IFERROR(XLOOKUP(E559,Lookups!$A$5:$A$24,Lookups!$B$5:$B$24),"Other")</x:f>
        <x:v>Email</x:v>
      </x:c>
      <x:c r="R559" t="str">
        <x:f>IFERROR(XLOOKUP(F559,Lookups!$D$5:$D$10,Lookups!$E$5:$E$10),"Unknown Product")</x:f>
        <x:v>NexaCRM Core</x:v>
      </x:c>
      <x:c r="S559" t="str">
        <x:f>IFERROR(XLOOKUP(F559,Lookups!$D$5:$D$10,Lookups!$F$5:$F$10),"Unknown")</x:f>
        <x:v>CRM</x:v>
      </x:c>
      <x:c r="T559" t="str">
        <x:f>IF(L559&gt;=50000,"Enterprise",IF(L559&gt;=20000,"Mid-Market","SMB"))</x:f>
        <x:v>SMB</x:v>
      </x:c>
      <x:c r="U559" t="str">
        <x:f>IF(I559="Closed Won","Won",IF(I559="Closed Lost","Lost","Open"))</x:f>
        <x:v>Lost</x:v>
      </x:c>
      <x:c r="V559" s="22" t="n">
        <x:f>IF(U559="Won",L559*(1-M559),0)</x:f>
        <x:v>0</x:v>
      </x:c>
      <x:c r="W559" s="22" t="n">
        <x:f>IF(U559="Open",L559*N559,0)</x:f>
        <x:v>0</x:v>
      </x:c>
      <x:c r="X559" s="26" t="n">
        <x:f>IF(U559="Open","",IFERROR(K559-B559,""))</x:f>
        <x:v>9</x:v>
      </x:c>
      <x:c r="Y559" s="26" t="n">
        <x:f>IF(U559="Open",Lookups!$B$2-B559,X559)</x:f>
        <x:v>9</x:v>
      </x:c>
      <x:c r="Z559" t="str">
        <x:f>IF(AND(U559="Open",Y559&gt;30),"STALE","OK")</x:f>
        <x:v>OK</x:v>
      </x:c>
      <x:c r="AA559" t="str">
        <x:f>TEXT(B559,"yyyy-mm")</x:f>
        <x:v>2025-08</x:v>
      </x:c>
      <x:c r="AB559" t="str">
        <x:f>IF(K559="","",TEXT(K559,"yyyy-mm"))</x:f>
        <x:v>2025-08</x:v>
      </x:c>
      <x:c r="AC559" t="str">
        <x:f>"Q"&amp;ROUNDUP(MONTH(B559)/3,0)&amp;"-"&amp;YEAR(B559)</x:f>
        <x:v>Q3-2025</x:v>
      </x:c>
      <x:c r="AD559" s="26" t="n">
        <x:f>MIN(100,IF(H559="Enterprise",30,IF(H559="Mid-Market",22,14))+IF(T559="Enterprise",25,IF(T559="Mid-Market",18,10))+IF(Q559="Referral",25,IF(Q559="Organic Search",20,IF(Q559="Email",18,14)))+IF(G559="Technology",10,5))</x:f>
        <x:v>47</x:v>
      </x:c>
      <x:c r="AE559" t="str">
        <x:f>IF(U559&lt;&gt;"Open",U559,IF(N559&gt;=0.8,"Commit",IF(N559&gt;=0.5,"Best Case","Pipeline")))</x:f>
        <x:v>Lost</x:v>
      </x:c>
    </x:row>
    <x:row r="560">
      <x:c r="A560" t="str">
        <x:v>L00559</x:v>
      </x:c>
      <x:c r="B560" s="10" t="n">
        <x:v>46083</x:v>
      </x:c>
      <x:c r="C560" t="str">
        <x:v>Minh Do</x:v>
      </x:c>
      <x:c r="D560" t="str">
        <x:v>North</x:v>
      </x:c>
      <x:c r="E560" t="str">
        <x:v>organic search</x:v>
      </x:c>
      <x:c r="F560" t="str">
        <x:v>BI-PLUS</x:v>
      </x:c>
      <x:c r="G560" t="str">
        <x:v>Professional Services</x:v>
      </x:c>
      <x:c r="H560" t="str">
        <x:v>SMB</x:v>
      </x:c>
      <x:c r="I560" t="str">
        <x:v>Closed Lost</x:v>
      </x:c>
      <x:c r="J560" s="10" t="n">
        <x:v>46128</x:v>
      </x:c>
      <x:c r="K560" s="10" t="n">
        <x:v>46128</x:v>
      </x:c>
      <x:c r="L560" s="22" t="n">
        <x:v>18400</x:v>
      </x:c>
      <x:c r="M560" s="24" t="n">
        <x:v>0</x:v>
      </x:c>
      <x:c r="N560" s="24" t="n">
        <x:v>0</x:v>
      </x:c>
      <x:c r="O560" t="str">
        <x:v>Competitor</x:v>
      </x:c>
      <x:c r="P560" t="n">
        <x:v>2</x:v>
      </x:c>
      <x:c r="Q560" t="str">
        <x:f>IFERROR(XLOOKUP(E560,Lookups!$A$5:$A$24,Lookups!$B$5:$B$24),"Other")</x:f>
        <x:v>Organic Search</x:v>
      </x:c>
      <x:c r="R560" t="str">
        <x:f>IFERROR(XLOOKUP(F560,Lookups!$D$5:$D$10,Lookups!$E$5:$E$10),"Unknown Product")</x:f>
        <x:v>Analytics Plus</x:v>
      </x:c>
      <x:c r="S560" t="str">
        <x:f>IFERROR(XLOOKUP(F560,Lookups!$D$5:$D$10,Lookups!$F$5:$F$10),"Unknown")</x:f>
        <x:v>Analytics</x:v>
      </x:c>
      <x:c r="T560" t="str">
        <x:f>IF(L560&gt;=50000,"Enterprise",IF(L560&gt;=20000,"Mid-Market","SMB"))</x:f>
        <x:v>SMB</x:v>
      </x:c>
      <x:c r="U560" t="str">
        <x:f>IF(I560="Closed Won","Won",IF(I560="Closed Lost","Lost","Open"))</x:f>
        <x:v>Lost</x:v>
      </x:c>
      <x:c r="V560" s="22" t="n">
        <x:f>IF(U560="Won",L560*(1-M560),0)</x:f>
        <x:v>0</x:v>
      </x:c>
      <x:c r="W560" s="22" t="n">
        <x:f>IF(U560="Open",L560*N560,0)</x:f>
        <x:v>0</x:v>
      </x:c>
      <x:c r="X560" s="26" t="n">
        <x:f>IF(U560="Open","",IFERROR(K560-B560,""))</x:f>
        <x:v>45</x:v>
      </x:c>
      <x:c r="Y560" s="26" t="n">
        <x:f>IF(U560="Open",Lookups!$B$2-B560,X560)</x:f>
        <x:v>45</x:v>
      </x:c>
      <x:c r="Z560" t="str">
        <x:f>IF(AND(U560="Open",Y560&gt;30),"STALE","OK")</x:f>
        <x:v>OK</x:v>
      </x:c>
      <x:c r="AA560" t="str">
        <x:f>TEXT(B560,"yyyy-mm")</x:f>
        <x:v>2026-03</x:v>
      </x:c>
      <x:c r="AB560" t="str">
        <x:f>IF(K560="","",TEXT(K560,"yyyy-mm"))</x:f>
        <x:v>2026-04</x:v>
      </x:c>
      <x:c r="AC560" t="str">
        <x:f>"Q"&amp;ROUNDUP(MONTH(B560)/3,0)&amp;"-"&amp;YEAR(B560)</x:f>
        <x:v>Q1-2026</x:v>
      </x:c>
      <x:c r="AD560" s="26" t="n">
        <x:f>MIN(100,IF(H560="Enterprise",30,IF(H560="Mid-Market",22,14))+IF(T560="Enterprise",25,IF(T560="Mid-Market",18,10))+IF(Q560="Referral",25,IF(Q560="Organic Search",20,IF(Q560="Email",18,14)))+IF(G560="Technology",10,5))</x:f>
        <x:v>49</x:v>
      </x:c>
      <x:c r="AE560" t="str">
        <x:f>IF(U560&lt;&gt;"Open",U560,IF(N560&gt;=0.8,"Commit",IF(N560&gt;=0.5,"Best Case","Pipeline")))</x:f>
        <x:v>Lost</x:v>
      </x:c>
    </x:row>
    <x:row r="561">
      <x:c r="A561" t="str">
        <x:v>L00560</x:v>
      </x:c>
      <x:c r="B561" s="10" t="n">
        <x:v>46172</x:v>
      </x:c>
      <x:c r="C561" t="str">
        <x:v>Chi Le</x:v>
      </x:c>
      <x:c r="D561" t="str">
        <x:v>South</x:v>
      </x:c>
      <x:c r="E561" t="str">
        <x:v>SEO</x:v>
      </x:c>
      <x:c r="F561" t="str">
        <x:v>CRM-PRO</x:v>
      </x:c>
      <x:c r="G561" t="str">
        <x:v>Technology</x:v>
      </x:c>
      <x:c r="H561" t="str">
        <x:v>Mid-Market</x:v>
      </x:c>
      <x:c r="I561" t="str">
        <x:v>Closed Lost</x:v>
      </x:c>
      <x:c r="J561" s="10" t="n">
        <x:v>46197</x:v>
      </x:c>
      <x:c r="K561" s="10" t="n">
        <x:v>46197</x:v>
      </x:c>
      <x:c r="L561" s="22" t="n">
        <x:v>19300</x:v>
      </x:c>
      <x:c r="M561" s="24" t="n">
        <x:v>0</x:v>
      </x:c>
      <x:c r="N561" s="24" t="n">
        <x:v>0</x:v>
      </x:c>
      <x:c r="O561" t="str">
        <x:v>Price</x:v>
      </x:c>
      <x:c r="P561" t="n">
        <x:v>3</x:v>
      </x:c>
      <x:c r="Q561" t="str">
        <x:f>IFERROR(XLOOKUP(E561,Lookups!$A$5:$A$24,Lookups!$B$5:$B$24),"Other")</x:f>
        <x:v>Organic Search</x:v>
      </x:c>
      <x:c r="R561" t="str">
        <x:f>IFERROR(XLOOKUP(F561,Lookups!$D$5:$D$10,Lookups!$E$5:$E$10),"Unknown Product")</x:f>
        <x:v>NexaCRM Pro</x:v>
      </x:c>
      <x:c r="S561" t="str">
        <x:f>IFERROR(XLOOKUP(F561,Lookups!$D$5:$D$10,Lookups!$F$5:$F$10),"Unknown")</x:f>
        <x:v>CRM</x:v>
      </x:c>
      <x:c r="T561" t="str">
        <x:f>IF(L561&gt;=50000,"Enterprise",IF(L561&gt;=20000,"Mid-Market","SMB"))</x:f>
        <x:v>SMB</x:v>
      </x:c>
      <x:c r="U561" t="str">
        <x:f>IF(I561="Closed Won","Won",IF(I561="Closed Lost","Lost","Open"))</x:f>
        <x:v>Lost</x:v>
      </x:c>
      <x:c r="V561" s="22" t="n">
        <x:f>IF(U561="Won",L561*(1-M561),0)</x:f>
        <x:v>0</x:v>
      </x:c>
      <x:c r="W561" s="22" t="n">
        <x:f>IF(U561="Open",L561*N561,0)</x:f>
        <x:v>0</x:v>
      </x:c>
      <x:c r="X561" s="26" t="n">
        <x:f>IF(U561="Open","",IFERROR(K561-B561,""))</x:f>
        <x:v>25</x:v>
      </x:c>
      <x:c r="Y561" s="26" t="n">
        <x:f>IF(U561="Open",Lookups!$B$2-B561,X561)</x:f>
        <x:v>25</x:v>
      </x:c>
      <x:c r="Z561" t="str">
        <x:f>IF(AND(U561="Open",Y561&gt;30),"STALE","OK")</x:f>
        <x:v>OK</x:v>
      </x:c>
      <x:c r="AA561" t="str">
        <x:f>TEXT(B561,"yyyy-mm")</x:f>
        <x:v>2026-05</x:v>
      </x:c>
      <x:c r="AB561" t="str">
        <x:f>IF(K561="","",TEXT(K561,"yyyy-mm"))</x:f>
        <x:v>2026-06</x:v>
      </x:c>
      <x:c r="AC561" t="str">
        <x:f>"Q"&amp;ROUNDUP(MONTH(B561)/3,0)&amp;"-"&amp;YEAR(B561)</x:f>
        <x:v>Q2-2026</x:v>
      </x:c>
      <x:c r="AD561" s="26" t="n">
        <x:f>MIN(100,IF(H561="Enterprise",30,IF(H561="Mid-Market",22,14))+IF(T561="Enterprise",25,IF(T561="Mid-Market",18,10))+IF(Q561="Referral",25,IF(Q561="Organic Search",20,IF(Q561="Email",18,14)))+IF(G561="Technology",10,5))</x:f>
        <x:v>62</x:v>
      </x:c>
      <x:c r="AE561" t="str">
        <x:f>IF(U561&lt;&gt;"Open",U561,IF(N561&gt;=0.8,"Commit",IF(N561&gt;=0.5,"Best Case","Pipeline")))</x:f>
        <x:v>Lost</x:v>
      </x:c>
    </x:row>
    <x:row r="562">
      <x:c r="A562" t="str">
        <x:v>L00561</x:v>
      </x:c>
      <x:c r="B562" s="10" t="n">
        <x:v>45680</x:v>
      </x:c>
      <x:c r="C562" t="str">
        <x:v>Ha Vo</x:v>
      </x:c>
      <x:c r="D562" t="str">
        <x:v>North</x:v>
      </x:c>
      <x:c r="E562" t="str">
        <x:v>Referral</x:v>
      </x:c>
      <x:c r="F562" t="str">
        <x:v>REV-OPS</x:v>
      </x:c>
      <x:c r="G562" t="str">
        <x:v>Technology</x:v>
      </x:c>
      <x:c r="H562" t="str">
        <x:v>Mid-Market</x:v>
      </x:c>
      <x:c r="I562" t="str">
        <x:v>Closed Lost</x:v>
      </x:c>
      <x:c r="J562" s="10" t="n">
        <x:v>45723</x:v>
      </x:c>
      <x:c r="K562" s="10" t="n">
        <x:v>45723</x:v>
      </x:c>
      <x:c r="L562" s="22" t="n">
        <x:v>57100</x:v>
      </x:c>
      <x:c r="M562" s="24" t="n">
        <x:v>0</x:v>
      </x:c>
      <x:c r="N562" s="24" t="n">
        <x:v>0</x:v>
      </x:c>
      <x:c r="O562" t="str">
        <x:v>Price</x:v>
      </x:c>
      <x:c r="P562" t="n">
        <x:v>3</x:v>
      </x:c>
      <x:c r="Q562" t="str">
        <x:f>IFERROR(XLOOKUP(E562,Lookups!$A$5:$A$24,Lookups!$B$5:$B$24),"Other")</x:f>
        <x:v>Referral</x:v>
      </x:c>
      <x:c r="R562" t="str">
        <x:f>IFERROR(XLOOKUP(F562,Lookups!$D$5:$D$10,Lookups!$E$5:$E$10),"Unknown Product")</x:f>
        <x:v>Revenue Operations Suite</x:v>
      </x:c>
      <x:c r="S562" t="str">
        <x:f>IFERROR(XLOOKUP(F562,Lookups!$D$5:$D$10,Lookups!$F$5:$F$10),"Unknown")</x:f>
        <x:v>Revenue Ops</x:v>
      </x:c>
      <x:c r="T562" t="str">
        <x:f>IF(L562&gt;=50000,"Enterprise",IF(L562&gt;=20000,"Mid-Market","SMB"))</x:f>
        <x:v>Enterprise</x:v>
      </x:c>
      <x:c r="U562" t="str">
        <x:f>IF(I562="Closed Won","Won",IF(I562="Closed Lost","Lost","Open"))</x:f>
        <x:v>Lost</x:v>
      </x:c>
      <x:c r="V562" s="22" t="n">
        <x:f>IF(U562="Won",L562*(1-M562),0)</x:f>
        <x:v>0</x:v>
      </x:c>
      <x:c r="W562" s="22" t="n">
        <x:f>IF(U562="Open",L562*N562,0)</x:f>
        <x:v>0</x:v>
      </x:c>
      <x:c r="X562" s="26" t="n">
        <x:f>IF(U562="Open","",IFERROR(K562-B562,""))</x:f>
        <x:v>43</x:v>
      </x:c>
      <x:c r="Y562" s="26" t="n">
        <x:f>IF(U562="Open",Lookups!$B$2-B562,X562)</x:f>
        <x:v>43</x:v>
      </x:c>
      <x:c r="Z562" t="str">
        <x:f>IF(AND(U562="Open",Y562&gt;30),"STALE","OK")</x:f>
        <x:v>OK</x:v>
      </x:c>
      <x:c r="AA562" t="str">
        <x:f>TEXT(B562,"yyyy-mm")</x:f>
        <x:v>2025-01</x:v>
      </x:c>
      <x:c r="AB562" t="str">
        <x:f>IF(K562="","",TEXT(K562,"yyyy-mm"))</x:f>
        <x:v>2025-03</x:v>
      </x:c>
      <x:c r="AC562" t="str">
        <x:f>"Q"&amp;ROUNDUP(MONTH(B562)/3,0)&amp;"-"&amp;YEAR(B562)</x:f>
        <x:v>Q1-2025</x:v>
      </x:c>
      <x:c r="AD562" s="26" t="n">
        <x:f>MIN(100,IF(H562="Enterprise",30,IF(H562="Mid-Market",22,14))+IF(T562="Enterprise",25,IF(T562="Mid-Market",18,10))+IF(Q562="Referral",25,IF(Q562="Organic Search",20,IF(Q562="Email",18,14)))+IF(G562="Technology",10,5))</x:f>
        <x:v>82</x:v>
      </x:c>
      <x:c r="AE562" t="str">
        <x:f>IF(U562&lt;&gt;"Open",U562,IF(N562&gt;=0.8,"Commit",IF(N562&gt;=0.5,"Best Case","Pipeline")))</x:f>
        <x:v>Lost</x:v>
      </x:c>
    </x:row>
    <x:row r="563">
      <x:c r="A563" t="str">
        <x:v>L00562</x:v>
      </x:c>
      <x:c r="B563" s="10" t="n">
        <x:v>46038</x:v>
      </x:c>
      <x:c r="C563" t="str">
        <x:v>Chi Le</x:v>
      </x:c>
      <x:c r="D563" t="str">
        <x:v>South</x:v>
      </x:c>
      <x:c r="E563" t="str">
        <x:v>Google Ads</x:v>
      </x:c>
      <x:c r="F563" t="str">
        <x:v>CRM-PRO</x:v>
      </x:c>
      <x:c r="G563" t="str">
        <x:v>Healthcare</x:v>
      </x:c>
      <x:c r="H563" t="str">
        <x:v>SMB</x:v>
      </x:c>
      <x:c r="I563" t="str">
        <x:v>Closed Lost</x:v>
      </x:c>
      <x:c r="J563" s="10" t="n">
        <x:v>46070</x:v>
      </x:c>
      <x:c r="K563" s="10" t="n">
        <x:v>46070</x:v>
      </x:c>
      <x:c r="L563" s="22" t="n">
        <x:v>22000</x:v>
      </x:c>
      <x:c r="M563" s="24" t="n">
        <x:v>0</x:v>
      </x:c>
      <x:c r="N563" s="24" t="n">
        <x:v>0</x:v>
      </x:c>
      <x:c r="O563" t="str">
        <x:v>No Decision</x:v>
      </x:c>
      <x:c r="P563" t="n">
        <x:v>4</x:v>
      </x:c>
      <x:c r="Q563" t="str">
        <x:f>IFERROR(XLOOKUP(E563,Lookups!$A$5:$A$24,Lookups!$B$5:$B$24),"Other")</x:f>
        <x:v>Paid Search</x:v>
      </x:c>
      <x:c r="R563" t="str">
        <x:f>IFERROR(XLOOKUP(F563,Lookups!$D$5:$D$10,Lookups!$E$5:$E$10),"Unknown Product")</x:f>
        <x:v>NexaCRM Pro</x:v>
      </x:c>
      <x:c r="S563" t="str">
        <x:f>IFERROR(XLOOKUP(F563,Lookups!$D$5:$D$10,Lookups!$F$5:$F$10),"Unknown")</x:f>
        <x:v>CRM</x:v>
      </x:c>
      <x:c r="T563" t="str">
        <x:f>IF(L563&gt;=50000,"Enterprise",IF(L563&gt;=20000,"Mid-Market","SMB"))</x:f>
        <x:v>Mid-Market</x:v>
      </x:c>
      <x:c r="U563" t="str">
        <x:f>IF(I563="Closed Won","Won",IF(I563="Closed Lost","Lost","Open"))</x:f>
        <x:v>Lost</x:v>
      </x:c>
      <x:c r="V563" s="22" t="n">
        <x:f>IF(U563="Won",L563*(1-M563),0)</x:f>
        <x:v>0</x:v>
      </x:c>
      <x:c r="W563" s="22" t="n">
        <x:f>IF(U563="Open",L563*N563,0)</x:f>
        <x:v>0</x:v>
      </x:c>
      <x:c r="X563" s="26" t="n">
        <x:f>IF(U563="Open","",IFERROR(K563-B563,""))</x:f>
        <x:v>32</x:v>
      </x:c>
      <x:c r="Y563" s="26" t="n">
        <x:f>IF(U563="Open",Lookups!$B$2-B563,X563)</x:f>
        <x:v>32</x:v>
      </x:c>
      <x:c r="Z563" t="str">
        <x:f>IF(AND(U563="Open",Y563&gt;30),"STALE","OK")</x:f>
        <x:v>OK</x:v>
      </x:c>
      <x:c r="AA563" t="str">
        <x:f>TEXT(B563,"yyyy-mm")</x:f>
        <x:v>2026-01</x:v>
      </x:c>
      <x:c r="AB563" t="str">
        <x:f>IF(K563="","",TEXT(K563,"yyyy-mm"))</x:f>
        <x:v>2026-02</x:v>
      </x:c>
      <x:c r="AC563" t="str">
        <x:f>"Q"&amp;ROUNDUP(MONTH(B563)/3,0)&amp;"-"&amp;YEAR(B563)</x:f>
        <x:v>Q1-2026</x:v>
      </x:c>
      <x:c r="AD563" s="26" t="n">
        <x:f>MIN(100,IF(H563="Enterprise",30,IF(H563="Mid-Market",22,14))+IF(T563="Enterprise",25,IF(T563="Mid-Market",18,10))+IF(Q563="Referral",25,IF(Q563="Organic Search",20,IF(Q563="Email",18,14)))+IF(G563="Technology",10,5))</x:f>
        <x:v>51</x:v>
      </x:c>
      <x:c r="AE563" t="str">
        <x:f>IF(U563&lt;&gt;"Open",U563,IF(N563&gt;=0.8,"Commit",IF(N563&gt;=0.5,"Best Case","Pipeline")))</x:f>
        <x:v>Lost</x:v>
      </x:c>
    </x:row>
    <x:row r="564">
      <x:c r="A564" t="str">
        <x:v>L00563</x:v>
      </x:c>
      <x:c r="B564" s="10" t="n">
        <x:v>45890</x:v>
      </x:c>
      <x:c r="C564" t="str">
        <x:v>Duy Pham</x:v>
      </x:c>
      <x:c r="D564" t="str">
        <x:v>South</x:v>
      </x:c>
      <x:c r="E564" t="str">
        <x:v>SEO</x:v>
      </x:c>
      <x:c r="F564" t="str">
        <x:v>CS-CLOUD</x:v>
      </x:c>
      <x:c r="G564" t="str">
        <x:v>Technology</x:v>
      </x:c>
      <x:c r="H564" t="str">
        <x:v>Enterprise</x:v>
      </x:c>
      <x:c r="I564" t="str">
        <x:v>Closed Lost</x:v>
      </x:c>
      <x:c r="J564" s="10" t="n">
        <x:v>45932</x:v>
      </x:c>
      <x:c r="K564" s="10" t="n">
        <x:v>45932</x:v>
      </x:c>
      <x:c r="L564" s="22" t="n">
        <x:v>81600</x:v>
      </x:c>
      <x:c r="M564" s="24" t="n">
        <x:v>0</x:v>
      </x:c>
      <x:c r="N564" s="24" t="n">
        <x:v>0</x:v>
      </x:c>
      <x:c r="O564" t="str">
        <x:v>No Decision</x:v>
      </x:c>
      <x:c r="P564" t="n">
        <x:v>4</x:v>
      </x:c>
      <x:c r="Q564" t="str">
        <x:f>IFERROR(XLOOKUP(E564,Lookups!$A$5:$A$24,Lookups!$B$5:$B$24),"Other")</x:f>
        <x:v>Organic Search</x:v>
      </x:c>
      <x:c r="R564" t="str">
        <x:f>IFERROR(XLOOKUP(F564,Lookups!$D$5:$D$10,Lookups!$E$5:$E$10),"Unknown Product")</x:f>
        <x:v>Service Cloud</x:v>
      </x:c>
      <x:c r="S564" t="str">
        <x:f>IFERROR(XLOOKUP(F564,Lookups!$D$5:$D$10,Lookups!$F$5:$F$10),"Unknown")</x:f>
        <x:v>Customer Service</x:v>
      </x:c>
      <x:c r="T564" t="str">
        <x:f>IF(L564&gt;=50000,"Enterprise",IF(L564&gt;=20000,"Mid-Market","SMB"))</x:f>
        <x:v>Enterprise</x:v>
      </x:c>
      <x:c r="U564" t="str">
        <x:f>IF(I564="Closed Won","Won",IF(I564="Closed Lost","Lost","Open"))</x:f>
        <x:v>Lost</x:v>
      </x:c>
      <x:c r="V564" s="22" t="n">
        <x:f>IF(U564="Won",L564*(1-M564),0)</x:f>
        <x:v>0</x:v>
      </x:c>
      <x:c r="W564" s="22" t="n">
        <x:f>IF(U564="Open",L564*N564,0)</x:f>
        <x:v>0</x:v>
      </x:c>
      <x:c r="X564" s="26" t="n">
        <x:f>IF(U564="Open","",IFERROR(K564-B564,""))</x:f>
        <x:v>42</x:v>
      </x:c>
      <x:c r="Y564" s="26" t="n">
        <x:f>IF(U564="Open",Lookups!$B$2-B564,X564)</x:f>
        <x:v>42</x:v>
      </x:c>
      <x:c r="Z564" t="str">
        <x:f>IF(AND(U564="Open",Y564&gt;30),"STALE","OK")</x:f>
        <x:v>OK</x:v>
      </x:c>
      <x:c r="AA564" t="str">
        <x:f>TEXT(B564,"yyyy-mm")</x:f>
        <x:v>2025-08</x:v>
      </x:c>
      <x:c r="AB564" t="str">
        <x:f>IF(K564="","",TEXT(K564,"yyyy-mm"))</x:f>
        <x:v>2025-10</x:v>
      </x:c>
      <x:c r="AC564" t="str">
        <x:f>"Q"&amp;ROUNDUP(MONTH(B564)/3,0)&amp;"-"&amp;YEAR(B564)</x:f>
        <x:v>Q3-2025</x:v>
      </x:c>
      <x:c r="AD564" s="26" t="n">
        <x:f>MIN(100,IF(H564="Enterprise",30,IF(H564="Mid-Market",22,14))+IF(T564="Enterprise",25,IF(T564="Mid-Market",18,10))+IF(Q564="Referral",25,IF(Q564="Organic Search",20,IF(Q564="Email",18,14)))+IF(G564="Technology",10,5))</x:f>
        <x:v>85</x:v>
      </x:c>
      <x:c r="AE564" t="str">
        <x:f>IF(U564&lt;&gt;"Open",U564,IF(N564&gt;=0.8,"Commit",IF(N564&gt;=0.5,"Best Case","Pipeline")))</x:f>
        <x:v>Lost</x:v>
      </x:c>
    </x:row>
    <x:row r="565">
      <x:c r="A565" t="str">
        <x:v>L00564</x:v>
      </x:c>
      <x:c r="B565" s="10" t="n">
        <x:v>45710</x:v>
      </x:c>
      <x:c r="C565" t="str">
        <x:v>Bao Tran</x:v>
      </x:c>
      <x:c r="D565" t="str">
        <x:v>South</x:v>
      </x:c>
      <x:c r="E565" t="str">
        <x:v>google cpc</x:v>
      </x:c>
      <x:c r="F565" t="str">
        <x:v>REV-OPS</x:v>
      </x:c>
      <x:c r="G565" t="str">
        <x:v>Retail</x:v>
      </x:c>
      <x:c r="H565" t="str">
        <x:v>SMB</x:v>
      </x:c>
      <x:c r="I565" t="str">
        <x:v>Closed Lost</x:v>
      </x:c>
      <x:c r="J565" s="10" t="n">
        <x:v>45786</x:v>
      </x:c>
      <x:c r="K565" s="10" t="n">
        <x:v>45786</x:v>
      </x:c>
      <x:c r="L565" s="22" t="n">
        <x:v>26100</x:v>
      </x:c>
      <x:c r="M565" s="24" t="n">
        <x:v>0</x:v>
      </x:c>
      <x:c r="N565" s="24" t="n">
        <x:v>0</x:v>
      </x:c>
      <x:c r="O565" t="str">
        <x:v>No Decision</x:v>
      </x:c>
      <x:c r="P565" t="n">
        <x:v>5</x:v>
      </x:c>
      <x:c r="Q565" t="str">
        <x:f>IFERROR(XLOOKUP(E565,Lookups!$A$5:$A$24,Lookups!$B$5:$B$24),"Other")</x:f>
        <x:v>Paid Search</x:v>
      </x:c>
      <x:c r="R565" t="str">
        <x:f>IFERROR(XLOOKUP(F565,Lookups!$D$5:$D$10,Lookups!$E$5:$E$10),"Unknown Product")</x:f>
        <x:v>Revenue Operations Suite</x:v>
      </x:c>
      <x:c r="S565" t="str">
        <x:f>IFERROR(XLOOKUP(F565,Lookups!$D$5:$D$10,Lookups!$F$5:$F$10),"Unknown")</x:f>
        <x:v>Revenue Ops</x:v>
      </x:c>
      <x:c r="T565" t="str">
        <x:f>IF(L565&gt;=50000,"Enterprise",IF(L565&gt;=20000,"Mid-Market","SMB"))</x:f>
        <x:v>Mid-Market</x:v>
      </x:c>
      <x:c r="U565" t="str">
        <x:f>IF(I565="Closed Won","Won",IF(I565="Closed Lost","Lost","Open"))</x:f>
        <x:v>Lost</x:v>
      </x:c>
      <x:c r="V565" s="22" t="n">
        <x:f>IF(U565="Won",L565*(1-M565),0)</x:f>
        <x:v>0</x:v>
      </x:c>
      <x:c r="W565" s="22" t="n">
        <x:f>IF(U565="Open",L565*N565,0)</x:f>
        <x:v>0</x:v>
      </x:c>
      <x:c r="X565" s="26" t="n">
        <x:f>IF(U565="Open","",IFERROR(K565-B565,""))</x:f>
        <x:v>76</x:v>
      </x:c>
      <x:c r="Y565" s="26" t="n">
        <x:f>IF(U565="Open",Lookups!$B$2-B565,X565)</x:f>
        <x:v>76</x:v>
      </x:c>
      <x:c r="Z565" t="str">
        <x:f>IF(AND(U565="Open",Y565&gt;30),"STALE","OK")</x:f>
        <x:v>OK</x:v>
      </x:c>
      <x:c r="AA565" t="str">
        <x:f>TEXT(B565,"yyyy-mm")</x:f>
        <x:v>2025-02</x:v>
      </x:c>
      <x:c r="AB565" t="str">
        <x:f>IF(K565="","",TEXT(K565,"yyyy-mm"))</x:f>
        <x:v>2025-05</x:v>
      </x:c>
      <x:c r="AC565" t="str">
        <x:f>"Q"&amp;ROUNDUP(MONTH(B565)/3,0)&amp;"-"&amp;YEAR(B565)</x:f>
        <x:v>Q1-2025</x:v>
      </x:c>
      <x:c r="AD565" s="26" t="n">
        <x:f>MIN(100,IF(H565="Enterprise",30,IF(H565="Mid-Market",22,14))+IF(T565="Enterprise",25,IF(T565="Mid-Market",18,10))+IF(Q565="Referral",25,IF(Q565="Organic Search",20,IF(Q565="Email",18,14)))+IF(G565="Technology",10,5))</x:f>
        <x:v>51</x:v>
      </x:c>
      <x:c r="AE565" t="str">
        <x:f>IF(U565&lt;&gt;"Open",U565,IF(N565&gt;=0.8,"Commit",IF(N565&gt;=0.5,"Best Case","Pipeline")))</x:f>
        <x:v>Lost</x:v>
      </x:c>
    </x:row>
    <x:row r="566">
      <x:c r="A566" t="str">
        <x:v>L00565</x:v>
      </x:c>
      <x:c r="B566" s="10" t="n">
        <x:v>45940</x:v>
      </x:c>
      <x:c r="C566" t="str">
        <x:v>Ha Vo</x:v>
      </x:c>
      <x:c r="D566" t="str">
        <x:v>North</x:v>
      </x:c>
      <x:c r="E566" t="str">
        <x:v>Cold Email</x:v>
      </x:c>
      <x:c r="F566" t="str">
        <x:v>MKT-AUTO</x:v>
      </x:c>
      <x:c r="G566" t="str">
        <x:v>Technology</x:v>
      </x:c>
      <x:c r="H566" t="str">
        <x:v>SMB</x:v>
      </x:c>
      <x:c r="I566" t="str">
        <x:v>Closed Won</x:v>
      </x:c>
      <x:c r="J566" s="10" t="n">
        <x:v>46014</x:v>
      </x:c>
      <x:c r="K566" s="10" t="n">
        <x:v>46014</x:v>
      </x:c>
      <x:c r="L566" s="22" t="n">
        <x:v>8800</x:v>
      </x:c>
      <x:c r="M566" s="24" t="n">
        <x:v>0</x:v>
      </x:c>
      <x:c r="N566" s="24" t="n">
        <x:v>1</x:v>
      </x:c>
      <x:c r="O566" t="str"/>
      <x:c r="P566" t="n">
        <x:v>6</x:v>
      </x:c>
      <x:c r="Q566" t="str">
        <x:f>IFERROR(XLOOKUP(E566,Lookups!$A$5:$A$24,Lookups!$B$5:$B$24),"Other")</x:f>
        <x:v>Outbound</x:v>
      </x:c>
      <x:c r="R566" t="str">
        <x:f>IFERROR(XLOOKUP(F566,Lookups!$D$5:$D$10,Lookups!$E$5:$E$10),"Unknown Product")</x:f>
        <x:v>Marketing Automation</x:v>
      </x:c>
      <x:c r="S566" t="str">
        <x:f>IFERROR(XLOOKUP(F566,Lookups!$D$5:$D$10,Lookups!$F$5:$F$10),"Unknown")</x:f>
        <x:v>Marketing</x:v>
      </x:c>
      <x:c r="T566" t="str">
        <x:f>IF(L566&gt;=50000,"Enterprise",IF(L566&gt;=20000,"Mid-Market","SMB"))</x:f>
        <x:v>SMB</x:v>
      </x:c>
      <x:c r="U566" t="str">
        <x:f>IF(I566="Closed Won","Won",IF(I566="Closed Lost","Lost","Open"))</x:f>
        <x:v>Won</x:v>
      </x:c>
      <x:c r="V566" s="22" t="n">
        <x:f>IF(U566="Won",L566*(1-M566),0)</x:f>
        <x:v>8800</x:v>
      </x:c>
      <x:c r="W566" s="22" t="n">
        <x:f>IF(U566="Open",L566*N566,0)</x:f>
        <x:v>0</x:v>
      </x:c>
      <x:c r="X566" s="26" t="n">
        <x:f>IF(U566="Open","",IFERROR(K566-B566,""))</x:f>
        <x:v>74</x:v>
      </x:c>
      <x:c r="Y566" s="26" t="n">
        <x:f>IF(U566="Open",Lookups!$B$2-B566,X566)</x:f>
        <x:v>74</x:v>
      </x:c>
      <x:c r="Z566" t="str">
        <x:f>IF(AND(U566="Open",Y566&gt;30),"STALE","OK")</x:f>
        <x:v>OK</x:v>
      </x:c>
      <x:c r="AA566" t="str">
        <x:f>TEXT(B566,"yyyy-mm")</x:f>
        <x:v>2025-10</x:v>
      </x:c>
      <x:c r="AB566" t="str">
        <x:f>IF(K566="","",TEXT(K566,"yyyy-mm"))</x:f>
        <x:v>2025-12</x:v>
      </x:c>
      <x:c r="AC566" t="str">
        <x:f>"Q"&amp;ROUNDUP(MONTH(B566)/3,0)&amp;"-"&amp;YEAR(B566)</x:f>
        <x:v>Q4-2025</x:v>
      </x:c>
      <x:c r="AD566" s="26" t="n">
        <x:f>MIN(100,IF(H566="Enterprise",30,IF(H566="Mid-Market",22,14))+IF(T566="Enterprise",25,IF(T566="Mid-Market",18,10))+IF(Q566="Referral",25,IF(Q566="Organic Search",20,IF(Q566="Email",18,14)))+IF(G566="Technology",10,5))</x:f>
        <x:v>48</x:v>
      </x:c>
      <x:c r="AE566" t="str">
        <x:f>IF(U566&lt;&gt;"Open",U566,IF(N566&gt;=0.8,"Commit",IF(N566&gt;=0.5,"Best Case","Pipeline")))</x:f>
        <x:v>Won</x:v>
      </x:c>
    </x:row>
    <x:row r="567">
      <x:c r="A567" t="str">
        <x:v>L00566</x:v>
      </x:c>
      <x:c r="B567" s="10" t="n">
        <x:v>46080</x:v>
      </x:c>
      <x:c r="C567" t="str">
        <x:v>Minh Do</x:v>
      </x:c>
      <x:c r="D567" t="str">
        <x:v>North</x:v>
      </x:c>
      <x:c r="E567" t="str">
        <x:v>Unknown Event</x:v>
      </x:c>
      <x:c r="F567" t="str">
        <x:v>BI-PLUS</x:v>
      </x:c>
      <x:c r="G567" t="str">
        <x:v>Manufacturing</x:v>
      </x:c>
      <x:c r="H567" t="str">
        <x:v>SMB</x:v>
      </x:c>
      <x:c r="I567" t="str">
        <x:v>Closed Lost</x:v>
      </x:c>
      <x:c r="J567" s="10" t="n">
        <x:v>46164</x:v>
      </x:c>
      <x:c r="K567" s="10" t="n">
        <x:v>46164</x:v>
      </x:c>
      <x:c r="L567" s="22" t="n">
        <x:v>15600</x:v>
      </x:c>
      <x:c r="M567" s="24" t="n">
        <x:v>0</x:v>
      </x:c>
      <x:c r="N567" s="24" t="n">
        <x:v>0</x:v>
      </x:c>
      <x:c r="O567" t="str">
        <x:v>Price</x:v>
      </x:c>
      <x:c r="P567" t="n">
        <x:v>2</x:v>
      </x:c>
      <x:c r="Q567" t="str">
        <x:f>IFERROR(XLOOKUP(E567,Lookups!$A$5:$A$24,Lookups!$B$5:$B$24),"Other")</x:f>
        <x:v>Other</x:v>
      </x:c>
      <x:c r="R567" t="str">
        <x:f>IFERROR(XLOOKUP(F567,Lookups!$D$5:$D$10,Lookups!$E$5:$E$10),"Unknown Product")</x:f>
        <x:v>Analytics Plus</x:v>
      </x:c>
      <x:c r="S567" t="str">
        <x:f>IFERROR(XLOOKUP(F567,Lookups!$D$5:$D$10,Lookups!$F$5:$F$10),"Unknown")</x:f>
        <x:v>Analytics</x:v>
      </x:c>
      <x:c r="T567" t="str">
        <x:f>IF(L567&gt;=50000,"Enterprise",IF(L567&gt;=20000,"Mid-Market","SMB"))</x:f>
        <x:v>SMB</x:v>
      </x:c>
      <x:c r="U567" t="str">
        <x:f>IF(I567="Closed Won","Won",IF(I567="Closed Lost","Lost","Open"))</x:f>
        <x:v>Lost</x:v>
      </x:c>
      <x:c r="V567" s="22" t="n">
        <x:f>IF(U567="Won",L567*(1-M567),0)</x:f>
        <x:v>0</x:v>
      </x:c>
      <x:c r="W567" s="22" t="n">
        <x:f>IF(U567="Open",L567*N567,0)</x:f>
        <x:v>0</x:v>
      </x:c>
      <x:c r="X567" s="26" t="n">
        <x:f>IF(U567="Open","",IFERROR(K567-B567,""))</x:f>
        <x:v>84</x:v>
      </x:c>
      <x:c r="Y567" s="26" t="n">
        <x:f>IF(U567="Open",Lookups!$B$2-B567,X567)</x:f>
        <x:v>84</x:v>
      </x:c>
      <x:c r="Z567" t="str">
        <x:f>IF(AND(U567="Open",Y567&gt;30),"STALE","OK")</x:f>
        <x:v>OK</x:v>
      </x:c>
      <x:c r="AA567" t="str">
        <x:f>TEXT(B567,"yyyy-mm")</x:f>
        <x:v>2026-02</x:v>
      </x:c>
      <x:c r="AB567" t="str">
        <x:f>IF(K567="","",TEXT(K567,"yyyy-mm"))</x:f>
        <x:v>2026-05</x:v>
      </x:c>
      <x:c r="AC567" t="str">
        <x:f>"Q"&amp;ROUNDUP(MONTH(B567)/3,0)&amp;"-"&amp;YEAR(B567)</x:f>
        <x:v>Q1-2026</x:v>
      </x:c>
      <x:c r="AD567" s="26" t="n">
        <x:f>MIN(100,IF(H567="Enterprise",30,IF(H567="Mid-Market",22,14))+IF(T567="Enterprise",25,IF(T567="Mid-Market",18,10))+IF(Q567="Referral",25,IF(Q567="Organic Search",20,IF(Q567="Email",18,14)))+IF(G567="Technology",10,5))</x:f>
        <x:v>43</x:v>
      </x:c>
      <x:c r="AE567" t="str">
        <x:f>IF(U567&lt;&gt;"Open",U567,IF(N567&gt;=0.8,"Commit",IF(N567&gt;=0.5,"Best Case","Pipeline")))</x:f>
        <x:v>Lost</x:v>
      </x:c>
    </x:row>
    <x:row r="568">
      <x:c r="A568" t="str">
        <x:v>L00567</x:v>
      </x:c>
      <x:c r="B568" s="10" t="n">
        <x:v>45997</x:v>
      </x:c>
      <x:c r="C568" t="str">
        <x:v>An Nguyen</x:v>
      </x:c>
      <x:c r="D568" t="str">
        <x:v>South</x:v>
      </x:c>
      <x:c r="E568" t="str">
        <x:v>Google Organic</x:v>
      </x:c>
      <x:c r="F568" t="str">
        <x:v>CRM-PRO</x:v>
      </x:c>
      <x:c r="G568" t="str">
        <x:v>Manufacturing</x:v>
      </x:c>
      <x:c r="H568" t="str">
        <x:v>SMB</x:v>
      </x:c>
      <x:c r="I568" t="str">
        <x:v>Closed Lost</x:v>
      </x:c>
      <x:c r="J568" s="10" t="n">
        <x:v>46049</x:v>
      </x:c>
      <x:c r="K568" s="10" t="n">
        <x:v>46049</x:v>
      </x:c>
      <x:c r="L568" s="22" t="n">
        <x:v>23600</x:v>
      </x:c>
      <x:c r="M568" s="24" t="n">
        <x:v>0</x:v>
      </x:c>
      <x:c r="N568" s="24" t="n">
        <x:v>0</x:v>
      </x:c>
      <x:c r="O568" t="str">
        <x:v>Budget</x:v>
      </x:c>
      <x:c r="P568" t="n">
        <x:v>3</x:v>
      </x:c>
      <x:c r="Q568" t="str">
        <x:f>IFERROR(XLOOKUP(E568,Lookups!$A$5:$A$24,Lookups!$B$5:$B$24),"Other")</x:f>
        <x:v>Organic Search</x:v>
      </x:c>
      <x:c r="R568" t="str">
        <x:f>IFERROR(XLOOKUP(F568,Lookups!$D$5:$D$10,Lookups!$E$5:$E$10),"Unknown Product")</x:f>
        <x:v>NexaCRM Pro</x:v>
      </x:c>
      <x:c r="S568" t="str">
        <x:f>IFERROR(XLOOKUP(F568,Lookups!$D$5:$D$10,Lookups!$F$5:$F$10),"Unknown")</x:f>
        <x:v>CRM</x:v>
      </x:c>
      <x:c r="T568" t="str">
        <x:f>IF(L568&gt;=50000,"Enterprise",IF(L568&gt;=20000,"Mid-Market","SMB"))</x:f>
        <x:v>Mid-Market</x:v>
      </x:c>
      <x:c r="U568" t="str">
        <x:f>IF(I568="Closed Won","Won",IF(I568="Closed Lost","Lost","Open"))</x:f>
        <x:v>Lost</x:v>
      </x:c>
      <x:c r="V568" s="22" t="n">
        <x:f>IF(U568="Won",L568*(1-M568),0)</x:f>
        <x:v>0</x:v>
      </x:c>
      <x:c r="W568" s="22" t="n">
        <x:f>IF(U568="Open",L568*N568,0)</x:f>
        <x:v>0</x:v>
      </x:c>
      <x:c r="X568" s="26" t="n">
        <x:f>IF(U568="Open","",IFERROR(K568-B568,""))</x:f>
        <x:v>52</x:v>
      </x:c>
      <x:c r="Y568" s="26" t="n">
        <x:f>IF(U568="Open",Lookups!$B$2-B568,X568)</x:f>
        <x:v>52</x:v>
      </x:c>
      <x:c r="Z568" t="str">
        <x:f>IF(AND(U568="Open",Y568&gt;30),"STALE","OK")</x:f>
        <x:v>OK</x:v>
      </x:c>
      <x:c r="AA568" t="str">
        <x:f>TEXT(B568,"yyyy-mm")</x:f>
        <x:v>2025-12</x:v>
      </x:c>
      <x:c r="AB568" t="str">
        <x:f>IF(K568="","",TEXT(K568,"yyyy-mm"))</x:f>
        <x:v>2026-01</x:v>
      </x:c>
      <x:c r="AC568" t="str">
        <x:f>"Q"&amp;ROUNDUP(MONTH(B568)/3,0)&amp;"-"&amp;YEAR(B568)</x:f>
        <x:v>Q4-2025</x:v>
      </x:c>
      <x:c r="AD568" s="26" t="n">
        <x:f>MIN(100,IF(H568="Enterprise",30,IF(H568="Mid-Market",22,14))+IF(T568="Enterprise",25,IF(T568="Mid-Market",18,10))+IF(Q568="Referral",25,IF(Q568="Organic Search",20,IF(Q568="Email",18,14)))+IF(G568="Technology",10,5))</x:f>
        <x:v>57</x:v>
      </x:c>
      <x:c r="AE568" t="str">
        <x:f>IF(U568&lt;&gt;"Open",U568,IF(N568&gt;=0.8,"Commit",IF(N568&gt;=0.5,"Best Case","Pipeline")))</x:f>
        <x:v>Lost</x:v>
      </x:c>
    </x:row>
    <x:row r="569">
      <x:c r="A569" t="str">
        <x:v>L00568</x:v>
      </x:c>
      <x:c r="B569" s="10" t="n">
        <x:v>45947</x:v>
      </x:c>
      <x:c r="C569" t="str">
        <x:v>Ha Vo</x:v>
      </x:c>
      <x:c r="D569" t="str">
        <x:v>North</x:v>
      </x:c>
      <x:c r="E569" t="str">
        <x:v>Google Ads</x:v>
      </x:c>
      <x:c r="F569" t="str">
        <x:v>CRM-PRO</x:v>
      </x:c>
      <x:c r="G569" t="str">
        <x:v>Retail</x:v>
      </x:c>
      <x:c r="H569" t="str">
        <x:v>SMB</x:v>
      </x:c>
      <x:c r="I569" t="str">
        <x:v>Closed Won</x:v>
      </x:c>
      <x:c r="J569" s="10" t="n">
        <x:v>45959</x:v>
      </x:c>
      <x:c r="K569" s="10" t="n">
        <x:v>45959</x:v>
      </x:c>
      <x:c r="L569" s="22" t="n">
        <x:v>11300</x:v>
      </x:c>
      <x:c r="M569" s="24" t="n">
        <x:v>0.08</x:v>
      </x:c>
      <x:c r="N569" s="24" t="n">
        <x:v>1</x:v>
      </x:c>
      <x:c r="O569" t="str"/>
      <x:c r="P569" t="n">
        <x:v>6</x:v>
      </x:c>
      <x:c r="Q569" t="str">
        <x:f>IFERROR(XLOOKUP(E569,Lookups!$A$5:$A$24,Lookups!$B$5:$B$24),"Other")</x:f>
        <x:v>Paid Search</x:v>
      </x:c>
      <x:c r="R569" t="str">
        <x:f>IFERROR(XLOOKUP(F569,Lookups!$D$5:$D$10,Lookups!$E$5:$E$10),"Unknown Product")</x:f>
        <x:v>NexaCRM Pro</x:v>
      </x:c>
      <x:c r="S569" t="str">
        <x:f>IFERROR(XLOOKUP(F569,Lookups!$D$5:$D$10,Lookups!$F$5:$F$10),"Unknown")</x:f>
        <x:v>CRM</x:v>
      </x:c>
      <x:c r="T569" t="str">
        <x:f>IF(L569&gt;=50000,"Enterprise",IF(L569&gt;=20000,"Mid-Market","SMB"))</x:f>
        <x:v>SMB</x:v>
      </x:c>
      <x:c r="U569" t="str">
        <x:f>IF(I569="Closed Won","Won",IF(I569="Closed Lost","Lost","Open"))</x:f>
        <x:v>Won</x:v>
      </x:c>
      <x:c r="V569" s="22" t="n">
        <x:f>IF(U569="Won",L569*(1-M569),0)</x:f>
        <x:v>10396</x:v>
      </x:c>
      <x:c r="W569" s="22" t="n">
        <x:f>IF(U569="Open",L569*N569,0)</x:f>
        <x:v>0</x:v>
      </x:c>
      <x:c r="X569" s="26" t="n">
        <x:f>IF(U569="Open","",IFERROR(K569-B569,""))</x:f>
        <x:v>12</x:v>
      </x:c>
      <x:c r="Y569" s="26" t="n">
        <x:f>IF(U569="Open",Lookups!$B$2-B569,X569)</x:f>
        <x:v>12</x:v>
      </x:c>
      <x:c r="Z569" t="str">
        <x:f>IF(AND(U569="Open",Y569&gt;30),"STALE","OK")</x:f>
        <x:v>OK</x:v>
      </x:c>
      <x:c r="AA569" t="str">
        <x:f>TEXT(B569,"yyyy-mm")</x:f>
        <x:v>2025-10</x:v>
      </x:c>
      <x:c r="AB569" t="str">
        <x:f>IF(K569="","",TEXT(K569,"yyyy-mm"))</x:f>
        <x:v>2025-10</x:v>
      </x:c>
      <x:c r="AC569" t="str">
        <x:f>"Q"&amp;ROUNDUP(MONTH(B569)/3,0)&amp;"-"&amp;YEAR(B569)</x:f>
        <x:v>Q4-2025</x:v>
      </x:c>
      <x:c r="AD569" s="26" t="n">
        <x:f>MIN(100,IF(H569="Enterprise",30,IF(H569="Mid-Market",22,14))+IF(T569="Enterprise",25,IF(T569="Mid-Market",18,10))+IF(Q569="Referral",25,IF(Q569="Organic Search",20,IF(Q569="Email",18,14)))+IF(G569="Technology",10,5))</x:f>
        <x:v>43</x:v>
      </x:c>
      <x:c r="AE569" t="str">
        <x:f>IF(U569&lt;&gt;"Open",U569,IF(N569&gt;=0.8,"Commit",IF(N569&gt;=0.5,"Best Case","Pipeline")))</x:f>
        <x:v>Won</x:v>
      </x:c>
    </x:row>
    <x:row r="570">
      <x:c r="A570" t="str">
        <x:v>L00569</x:v>
      </x:c>
      <x:c r="B570" s="10" t="n">
        <x:v>46045</x:v>
      </x:c>
      <x:c r="C570" t="str">
        <x:v>Chi Le</x:v>
      </x:c>
      <x:c r="D570" t="str">
        <x:v>South</x:v>
      </x:c>
      <x:c r="E570" t="str">
        <x:v>Email Campaign</x:v>
      </x:c>
      <x:c r="F570" t="str">
        <x:v>MKT-AUTO</x:v>
      </x:c>
      <x:c r="G570" t="str">
        <x:v>Education</x:v>
      </x:c>
      <x:c r="H570" t="str">
        <x:v>SMB</x:v>
      </x:c>
      <x:c r="I570" t="str">
        <x:v>Negotiation</x:v>
      </x:c>
      <x:c r="J570" s="10" t="n">
        <x:v>46167</x:v>
      </x:c>
      <x:c r="K570" s="10"/>
      <x:c r="L570" s="22" t="n">
        <x:v>12800</x:v>
      </x:c>
      <x:c r="M570" s="24" t="n">
        <x:v>0.05</x:v>
      </x:c>
      <x:c r="N570" s="24" t="n">
        <x:v>0.85</x:v>
      </x:c>
      <x:c r="O570" t="str"/>
      <x:c r="P570" t="n">
        <x:v>5</x:v>
      </x:c>
      <x:c r="Q570" t="str">
        <x:f>IFERROR(XLOOKUP(E570,Lookups!$A$5:$A$24,Lookups!$B$5:$B$24),"Other")</x:f>
        <x:v>Email</x:v>
      </x:c>
      <x:c r="R570" t="str">
        <x:f>IFERROR(XLOOKUP(F570,Lookups!$D$5:$D$10,Lookups!$E$5:$E$10),"Unknown Product")</x:f>
        <x:v>Marketing Automation</x:v>
      </x:c>
      <x:c r="S570" t="str">
        <x:f>IFERROR(XLOOKUP(F570,Lookups!$D$5:$D$10,Lookups!$F$5:$F$10),"Unknown")</x:f>
        <x:v>Marketing</x:v>
      </x:c>
      <x:c r="T570" t="str">
        <x:f>IF(L570&gt;=50000,"Enterprise",IF(L570&gt;=20000,"Mid-Market","SMB"))</x:f>
        <x:v>SMB</x:v>
      </x:c>
      <x:c r="U570" t="str">
        <x:f>IF(I570="Closed Won","Won",IF(I570="Closed Lost","Lost","Open"))</x:f>
        <x:v>Open</x:v>
      </x:c>
      <x:c r="V570" s="22" t="n">
        <x:f>IF(U570="Won",L570*(1-M570),0)</x:f>
        <x:v>0</x:v>
      </x:c>
      <x:c r="W570" s="22" t="n">
        <x:f>IF(U570="Open",L570*N570,0)</x:f>
        <x:v>10880</x:v>
      </x:c>
      <x:c r="X570" s="26" t="str">
        <x:f>IF(U570="Open","",IFERROR(K570-B570,""))</x:f>
      </x:c>
      <x:c r="Y570" s="26" t="n">
        <x:f>IF(U570="Open",Lookups!$B$2-B570,X570)</x:f>
        <x:v>221</x:v>
      </x:c>
      <x:c r="Z570" t="str">
        <x:f>IF(AND(U570="Open",Y570&gt;30),"STALE","OK")</x:f>
        <x:v>STALE</x:v>
      </x:c>
      <x:c r="AA570" t="str">
        <x:f>TEXT(B570,"yyyy-mm")</x:f>
        <x:v>2026-01</x:v>
      </x:c>
      <x:c r="AB570" t="str">
        <x:f>IF(K570="","",TEXT(K570,"yyyy-mm"))</x:f>
      </x:c>
      <x:c r="AC570" t="str">
        <x:f>"Q"&amp;ROUNDUP(MONTH(B570)/3,0)&amp;"-"&amp;YEAR(B570)</x:f>
        <x:v>Q1-2026</x:v>
      </x:c>
      <x:c r="AD570" s="26" t="n">
        <x:f>MIN(100,IF(H570="Enterprise",30,IF(H570="Mid-Market",22,14))+IF(T570="Enterprise",25,IF(T570="Mid-Market",18,10))+IF(Q570="Referral",25,IF(Q570="Organic Search",20,IF(Q570="Email",18,14)))+IF(G570="Technology",10,5))</x:f>
        <x:v>47</x:v>
      </x:c>
      <x:c r="AE570" t="str">
        <x:f>IF(U570&lt;&gt;"Open",U570,IF(N570&gt;=0.8,"Commit",IF(N570&gt;=0.5,"Best Case","Pipeline")))</x:f>
        <x:v>Commit</x:v>
      </x:c>
    </x:row>
    <x:row r="571">
      <x:c r="A571" t="str">
        <x:v>L00570</x:v>
      </x:c>
      <x:c r="B571" s="10" t="n">
        <x:v>46185</x:v>
      </x:c>
      <x:c r="C571" t="str">
        <x:v>Chi Le</x:v>
      </x:c>
      <x:c r="D571" t="str">
        <x:v>South</x:v>
      </x:c>
      <x:c r="E571" t="str">
        <x:v>LinkedIn Ads</x:v>
      </x:c>
      <x:c r="F571" t="str">
        <x:v>REV-OPS</x:v>
      </x:c>
      <x:c r="G571" t="str">
        <x:v>Financial Services</x:v>
      </x:c>
      <x:c r="H571" t="str">
        <x:v>SMB</x:v>
      </x:c>
      <x:c r="I571" t="str">
        <x:v>Closed Lost</x:v>
      </x:c>
      <x:c r="J571" s="10" t="n">
        <x:v>46238</x:v>
      </x:c>
      <x:c r="K571" s="10" t="n">
        <x:v>46238</x:v>
      </x:c>
      <x:c r="L571" s="22" t="n">
        <x:v>25600</x:v>
      </x:c>
      <x:c r="M571" s="24" t="n">
        <x:v>0</x:v>
      </x:c>
      <x:c r="N571" s="24" t="n">
        <x:v>0</x:v>
      </x:c>
      <x:c r="O571" t="str">
        <x:v>No Decision</x:v>
      </x:c>
      <x:c r="P571" t="n">
        <x:v>4</x:v>
      </x:c>
      <x:c r="Q571" t="str">
        <x:f>IFERROR(XLOOKUP(E571,Lookups!$A$5:$A$24,Lookups!$B$5:$B$24),"Other")</x:f>
        <x:v>LinkedIn</x:v>
      </x:c>
      <x:c r="R571" t="str">
        <x:f>IFERROR(XLOOKUP(F571,Lookups!$D$5:$D$10,Lookups!$E$5:$E$10),"Unknown Product")</x:f>
        <x:v>Revenue Operations Suite</x:v>
      </x:c>
      <x:c r="S571" t="str">
        <x:f>IFERROR(XLOOKUP(F571,Lookups!$D$5:$D$10,Lookups!$F$5:$F$10),"Unknown")</x:f>
        <x:v>Revenue Ops</x:v>
      </x:c>
      <x:c r="T571" t="str">
        <x:f>IF(L571&gt;=50000,"Enterprise",IF(L571&gt;=20000,"Mid-Market","SMB"))</x:f>
        <x:v>Mid-Market</x:v>
      </x:c>
      <x:c r="U571" t="str">
        <x:f>IF(I571="Closed Won","Won",IF(I571="Closed Lost","Lost","Open"))</x:f>
        <x:v>Lost</x:v>
      </x:c>
      <x:c r="V571" s="22" t="n">
        <x:f>IF(U571="Won",L571*(1-M571),0)</x:f>
        <x:v>0</x:v>
      </x:c>
      <x:c r="W571" s="22" t="n">
        <x:f>IF(U571="Open",L571*N571,0)</x:f>
        <x:v>0</x:v>
      </x:c>
      <x:c r="X571" s="26" t="n">
        <x:f>IF(U571="Open","",IFERROR(K571-B571,""))</x:f>
        <x:v>53</x:v>
      </x:c>
      <x:c r="Y571" s="26" t="n">
        <x:f>IF(U571="Open",Lookups!$B$2-B571,X571)</x:f>
        <x:v>53</x:v>
      </x:c>
      <x:c r="Z571" t="str">
        <x:f>IF(AND(U571="Open",Y571&gt;30),"STALE","OK")</x:f>
        <x:v>OK</x:v>
      </x:c>
      <x:c r="AA571" t="str">
        <x:f>TEXT(B571,"yyyy-mm")</x:f>
        <x:v>2026-06</x:v>
      </x:c>
      <x:c r="AB571" t="str">
        <x:f>IF(K571="","",TEXT(K571,"yyyy-mm"))</x:f>
        <x:v>2026-08</x:v>
      </x:c>
      <x:c r="AC571" t="str">
        <x:f>"Q"&amp;ROUNDUP(MONTH(B571)/3,0)&amp;"-"&amp;YEAR(B571)</x:f>
        <x:v>Q2-2026</x:v>
      </x:c>
      <x:c r="AD571" s="26" t="n">
        <x:f>MIN(100,IF(H571="Enterprise",30,IF(H571="Mid-Market",22,14))+IF(T571="Enterprise",25,IF(T571="Mid-Market",18,10))+IF(Q571="Referral",25,IF(Q571="Organic Search",20,IF(Q571="Email",18,14)))+IF(G571="Technology",10,5))</x:f>
        <x:v>51</x:v>
      </x:c>
      <x:c r="AE571" t="str">
        <x:f>IF(U571&lt;&gt;"Open",U571,IF(N571&gt;=0.8,"Commit",IF(N571&gt;=0.5,"Best Case","Pipeline")))</x:f>
        <x:v>Lost</x:v>
      </x:c>
    </x:row>
    <x:row r="572">
      <x:c r="A572" t="str">
        <x:v>L00571</x:v>
      </x:c>
      <x:c r="B572" s="10" t="n">
        <x:v>46148</x:v>
      </x:c>
      <x:c r="C572" t="str">
        <x:v>Chi Le</x:v>
      </x:c>
      <x:c r="D572" t="str">
        <x:v>South</x:v>
      </x:c>
      <x:c r="E572" t="str">
        <x:v>Referral</x:v>
      </x:c>
      <x:c r="F572" t="str">
        <x:v>MKT-AUTO</x:v>
      </x:c>
      <x:c r="G572" t="str">
        <x:v>Financial Services</x:v>
      </x:c>
      <x:c r="H572" t="str">
        <x:v>Mid-Market</x:v>
      </x:c>
      <x:c r="I572" t="str">
        <x:v>Proposal</x:v>
      </x:c>
      <x:c r="J572" s="10" t="n">
        <x:v>46190</x:v>
      </x:c>
      <x:c r="K572" s="10"/>
      <x:c r="L572" s="22" t="n">
        <x:v>32400</x:v>
      </x:c>
      <x:c r="M572" s="24" t="n">
        <x:v>0</x:v>
      </x:c>
      <x:c r="N572" s="24" t="n">
        <x:v>0.65</x:v>
      </x:c>
      <x:c r="O572" t="str"/>
      <x:c r="P572" t="n">
        <x:v>4</x:v>
      </x:c>
      <x:c r="Q572" t="str">
        <x:f>IFERROR(XLOOKUP(E572,Lookups!$A$5:$A$24,Lookups!$B$5:$B$24),"Other")</x:f>
        <x:v>Referral</x:v>
      </x:c>
      <x:c r="R572" t="str">
        <x:f>IFERROR(XLOOKUP(F572,Lookups!$D$5:$D$10,Lookups!$E$5:$E$10),"Unknown Product")</x:f>
        <x:v>Marketing Automation</x:v>
      </x:c>
      <x:c r="S572" t="str">
        <x:f>IFERROR(XLOOKUP(F572,Lookups!$D$5:$D$10,Lookups!$F$5:$F$10),"Unknown")</x:f>
        <x:v>Marketing</x:v>
      </x:c>
      <x:c r="T572" t="str">
        <x:f>IF(L572&gt;=50000,"Enterprise",IF(L572&gt;=20000,"Mid-Market","SMB"))</x:f>
        <x:v>Mid-Market</x:v>
      </x:c>
      <x:c r="U572" t="str">
        <x:f>IF(I572="Closed Won","Won",IF(I572="Closed Lost","Lost","Open"))</x:f>
        <x:v>Open</x:v>
      </x:c>
      <x:c r="V572" s="22" t="n">
        <x:f>IF(U572="Won",L572*(1-M572),0)</x:f>
        <x:v>0</x:v>
      </x:c>
      <x:c r="W572" s="22" t="n">
        <x:f>IF(U572="Open",L572*N572,0)</x:f>
        <x:v>21060</x:v>
      </x:c>
      <x:c r="X572" s="26" t="str">
        <x:f>IF(U572="Open","",IFERROR(K572-B572,""))</x:f>
      </x:c>
      <x:c r="Y572" s="26" t="n">
        <x:f>IF(U572="Open",Lookups!$B$2-B572,X572)</x:f>
        <x:v>118</x:v>
      </x:c>
      <x:c r="Z572" t="str">
        <x:f>IF(AND(U572="Open",Y572&gt;30),"STALE","OK")</x:f>
        <x:v>STALE</x:v>
      </x:c>
      <x:c r="AA572" t="str">
        <x:f>TEXT(B572,"yyyy-mm")</x:f>
        <x:v>2026-05</x:v>
      </x:c>
      <x:c r="AB572" t="str">
        <x:f>IF(K572="","",TEXT(K572,"yyyy-mm"))</x:f>
      </x:c>
      <x:c r="AC572" t="str">
        <x:f>"Q"&amp;ROUNDUP(MONTH(B572)/3,0)&amp;"-"&amp;YEAR(B572)</x:f>
        <x:v>Q2-2026</x:v>
      </x:c>
      <x:c r="AD572" s="26" t="n">
        <x:f>MIN(100,IF(H572="Enterprise",30,IF(H572="Mid-Market",22,14))+IF(T572="Enterprise",25,IF(T572="Mid-Market",18,10))+IF(Q572="Referral",25,IF(Q572="Organic Search",20,IF(Q572="Email",18,14)))+IF(G572="Technology",10,5))</x:f>
        <x:v>70</x:v>
      </x:c>
      <x:c r="AE572" t="str">
        <x:f>IF(U572&lt;&gt;"Open",U572,IF(N572&gt;=0.8,"Commit",IF(N572&gt;=0.5,"Best Case","Pipeline")))</x:f>
        <x:v>Best Case</x:v>
      </x:c>
    </x:row>
    <x:row r="573">
      <x:c r="A573" t="str">
        <x:v>L00572</x:v>
      </x:c>
      <x:c r="B573" s="10" t="n">
        <x:v>46098</x:v>
      </x:c>
      <x:c r="C573" t="str">
        <x:v>Minh Do</x:v>
      </x:c>
      <x:c r="D573" t="str">
        <x:v>North</x:v>
      </x:c>
      <x:c r="E573" t="str">
        <x:v>SEM - Google</x:v>
      </x:c>
      <x:c r="F573" t="str">
        <x:v>CRM-PRO</x:v>
      </x:c>
      <x:c r="G573" t="str">
        <x:v>Education</x:v>
      </x:c>
      <x:c r="H573" t="str">
        <x:v>SMB</x:v>
      </x:c>
      <x:c r="I573" t="str">
        <x:v>Closed Lost</x:v>
      </x:c>
      <x:c r="J573" s="10" t="n">
        <x:v>46150</x:v>
      </x:c>
      <x:c r="K573" s="10" t="n">
        <x:v>46150</x:v>
      </x:c>
      <x:c r="L573" s="22" t="n">
        <x:v>20700</x:v>
      </x:c>
      <x:c r="M573" s="24" t="n">
        <x:v>0</x:v>
      </x:c>
      <x:c r="N573" s="24" t="n">
        <x:v>0</x:v>
      </x:c>
      <x:c r="O573" t="str">
        <x:v>Timing</x:v>
      </x:c>
      <x:c r="P573" t="n">
        <x:v>2</x:v>
      </x:c>
      <x:c r="Q573" t="str">
        <x:f>IFERROR(XLOOKUP(E573,Lookups!$A$5:$A$24,Lookups!$B$5:$B$24),"Other")</x:f>
        <x:v>Paid Search</x:v>
      </x:c>
      <x:c r="R573" t="str">
        <x:f>IFERROR(XLOOKUP(F573,Lookups!$D$5:$D$10,Lookups!$E$5:$E$10),"Unknown Product")</x:f>
        <x:v>NexaCRM Pro</x:v>
      </x:c>
      <x:c r="S573" t="str">
        <x:f>IFERROR(XLOOKUP(F573,Lookups!$D$5:$D$10,Lookups!$F$5:$F$10),"Unknown")</x:f>
        <x:v>CRM</x:v>
      </x:c>
      <x:c r="T573" t="str">
        <x:f>IF(L573&gt;=50000,"Enterprise",IF(L573&gt;=20000,"Mid-Market","SMB"))</x:f>
        <x:v>Mid-Market</x:v>
      </x:c>
      <x:c r="U573" t="str">
        <x:f>IF(I573="Closed Won","Won",IF(I573="Closed Lost","Lost","Open"))</x:f>
        <x:v>Lost</x:v>
      </x:c>
      <x:c r="V573" s="22" t="n">
        <x:f>IF(U573="Won",L573*(1-M573),0)</x:f>
        <x:v>0</x:v>
      </x:c>
      <x:c r="W573" s="22" t="n">
        <x:f>IF(U573="Open",L573*N573,0)</x:f>
        <x:v>0</x:v>
      </x:c>
      <x:c r="X573" s="26" t="n">
        <x:f>IF(U573="Open","",IFERROR(K573-B573,""))</x:f>
        <x:v>52</x:v>
      </x:c>
      <x:c r="Y573" s="26" t="n">
        <x:f>IF(U573="Open",Lookups!$B$2-B573,X573)</x:f>
        <x:v>52</x:v>
      </x:c>
      <x:c r="Z573" t="str">
        <x:f>IF(AND(U573="Open",Y573&gt;30),"STALE","OK")</x:f>
        <x:v>OK</x:v>
      </x:c>
      <x:c r="AA573" t="str">
        <x:f>TEXT(B573,"yyyy-mm")</x:f>
        <x:v>2026-03</x:v>
      </x:c>
      <x:c r="AB573" t="str">
        <x:f>IF(K573="","",TEXT(K573,"yyyy-mm"))</x:f>
        <x:v>2026-05</x:v>
      </x:c>
      <x:c r="AC573" t="str">
        <x:f>"Q"&amp;ROUNDUP(MONTH(B573)/3,0)&amp;"-"&amp;YEAR(B573)</x:f>
        <x:v>Q1-2026</x:v>
      </x:c>
      <x:c r="AD573" s="26" t="n">
        <x:f>MIN(100,IF(H573="Enterprise",30,IF(H573="Mid-Market",22,14))+IF(T573="Enterprise",25,IF(T573="Mid-Market",18,10))+IF(Q573="Referral",25,IF(Q573="Organic Search",20,IF(Q573="Email",18,14)))+IF(G573="Technology",10,5))</x:f>
        <x:v>51</x:v>
      </x:c>
      <x:c r="AE573" t="str">
        <x:f>IF(U573&lt;&gt;"Open",U573,IF(N573&gt;=0.8,"Commit",IF(N573&gt;=0.5,"Best Case","Pipeline")))</x:f>
        <x:v>Lost</x:v>
      </x:c>
    </x:row>
    <x:row r="574">
      <x:c r="A574" t="str">
        <x:v>L00573</x:v>
      </x:c>
      <x:c r="B574" s="10" t="n">
        <x:v>46010</x:v>
      </x:c>
      <x:c r="C574" t="str">
        <x:v>Bao Tran</x:v>
      </x:c>
      <x:c r="D574" t="str">
        <x:v>South</x:v>
      </x:c>
      <x:c r="E574" t="str">
        <x:v>LinkedIn Ads</x:v>
      </x:c>
      <x:c r="F574" t="str">
        <x:v>BI-PLUS</x:v>
      </x:c>
      <x:c r="G574" t="str">
        <x:v>Education</x:v>
      </x:c>
      <x:c r="H574" t="str">
        <x:v>Mid-Market</x:v>
      </x:c>
      <x:c r="I574" t="str">
        <x:v>Closed Lost</x:v>
      </x:c>
      <x:c r="J574" s="10" t="n">
        <x:v>46049</x:v>
      </x:c>
      <x:c r="K574" s="10" t="n">
        <x:v>46049</x:v>
      </x:c>
      <x:c r="L574" s="22" t="n">
        <x:v>24500</x:v>
      </x:c>
      <x:c r="M574" s="24" t="n">
        <x:v>0</x:v>
      </x:c>
      <x:c r="N574" s="24" t="n">
        <x:v>0</x:v>
      </x:c>
      <x:c r="O574" t="str">
        <x:v>Budget</x:v>
      </x:c>
      <x:c r="P574" t="n">
        <x:v>3</x:v>
      </x:c>
      <x:c r="Q574" t="str">
        <x:f>IFERROR(XLOOKUP(E574,Lookups!$A$5:$A$24,Lookups!$B$5:$B$24),"Other")</x:f>
        <x:v>LinkedIn</x:v>
      </x:c>
      <x:c r="R574" t="str">
        <x:f>IFERROR(XLOOKUP(F574,Lookups!$D$5:$D$10,Lookups!$E$5:$E$10),"Unknown Product")</x:f>
        <x:v>Analytics Plus</x:v>
      </x:c>
      <x:c r="S574" t="str">
        <x:f>IFERROR(XLOOKUP(F574,Lookups!$D$5:$D$10,Lookups!$F$5:$F$10),"Unknown")</x:f>
        <x:v>Analytics</x:v>
      </x:c>
      <x:c r="T574" t="str">
        <x:f>IF(L574&gt;=50000,"Enterprise",IF(L574&gt;=20000,"Mid-Market","SMB"))</x:f>
        <x:v>Mid-Market</x:v>
      </x:c>
      <x:c r="U574" t="str">
        <x:f>IF(I574="Closed Won","Won",IF(I574="Closed Lost","Lost","Open"))</x:f>
        <x:v>Lost</x:v>
      </x:c>
      <x:c r="V574" s="22" t="n">
        <x:f>IF(U574="Won",L574*(1-M574),0)</x:f>
        <x:v>0</x:v>
      </x:c>
      <x:c r="W574" s="22" t="n">
        <x:f>IF(U574="Open",L574*N574,0)</x:f>
        <x:v>0</x:v>
      </x:c>
      <x:c r="X574" s="26" t="n">
        <x:f>IF(U574="Open","",IFERROR(K574-B574,""))</x:f>
        <x:v>39</x:v>
      </x:c>
      <x:c r="Y574" s="26" t="n">
        <x:f>IF(U574="Open",Lookups!$B$2-B574,X574)</x:f>
        <x:v>39</x:v>
      </x:c>
      <x:c r="Z574" t="str">
        <x:f>IF(AND(U574="Open",Y574&gt;30),"STALE","OK")</x:f>
        <x:v>OK</x:v>
      </x:c>
      <x:c r="AA574" t="str">
        <x:f>TEXT(B574,"yyyy-mm")</x:f>
        <x:v>2025-12</x:v>
      </x:c>
      <x:c r="AB574" t="str">
        <x:f>IF(K574="","",TEXT(K574,"yyyy-mm"))</x:f>
        <x:v>2026-01</x:v>
      </x:c>
      <x:c r="AC574" t="str">
        <x:f>"Q"&amp;ROUNDUP(MONTH(B574)/3,0)&amp;"-"&amp;YEAR(B574)</x:f>
        <x:v>Q4-2025</x:v>
      </x:c>
      <x:c r="AD574" s="26" t="n">
        <x:f>MIN(100,IF(H574="Enterprise",30,IF(H574="Mid-Market",22,14))+IF(T574="Enterprise",25,IF(T574="Mid-Market",18,10))+IF(Q574="Referral",25,IF(Q574="Organic Search",20,IF(Q574="Email",18,14)))+IF(G574="Technology",10,5))</x:f>
        <x:v>59</x:v>
      </x:c>
      <x:c r="AE574" t="str">
        <x:f>IF(U574&lt;&gt;"Open",U574,IF(N574&gt;=0.8,"Commit",IF(N574&gt;=0.5,"Best Case","Pipeline")))</x:f>
        <x:v>Lost</x:v>
      </x:c>
    </x:row>
    <x:row r="575">
      <x:c r="A575" t="str">
        <x:v>L00574</x:v>
      </x:c>
      <x:c r="B575" s="10" t="n">
        <x:v>45761</x:v>
      </x:c>
      <x:c r="C575" t="str">
        <x:v>Ha Vo</x:v>
      </x:c>
      <x:c r="D575" t="str">
        <x:v>North</x:v>
      </x:c>
      <x:c r="E575" t="str">
        <x:v>Offline List</x:v>
      </x:c>
      <x:c r="F575" t="str">
        <x:v>REV-OPS</x:v>
      </x:c>
      <x:c r="G575" t="str">
        <x:v>Education</x:v>
      </x:c>
      <x:c r="H575" t="str">
        <x:v>Mid-Market</x:v>
      </x:c>
      <x:c r="I575" t="str">
        <x:v>Closed Lost</x:v>
      </x:c>
      <x:c r="J575" s="10" t="n">
        <x:v>45811</x:v>
      </x:c>
      <x:c r="K575" s="10" t="n">
        <x:v>45811</x:v>
      </x:c>
      <x:c r="L575" s="22" t="n">
        <x:v>77900</x:v>
      </x:c>
      <x:c r="M575" s="24" t="n">
        <x:v>0</x:v>
      </x:c>
      <x:c r="N575" s="24" t="n">
        <x:v>0</x:v>
      </x:c>
      <x:c r="O575" t="str">
        <x:v>Price</x:v>
      </x:c>
      <x:c r="P575" t="n">
        <x:v>4</x:v>
      </x:c>
      <x:c r="Q575" t="str">
        <x:f>IFERROR(XLOOKUP(E575,Lookups!$A$5:$A$24,Lookups!$B$5:$B$24),"Other")</x:f>
        <x:v>Other</x:v>
      </x:c>
      <x:c r="R575" t="str">
        <x:f>IFERROR(XLOOKUP(F575,Lookups!$D$5:$D$10,Lookups!$E$5:$E$10),"Unknown Product")</x:f>
        <x:v>Revenue Operations Suite</x:v>
      </x:c>
      <x:c r="S575" t="str">
        <x:f>IFERROR(XLOOKUP(F575,Lookups!$D$5:$D$10,Lookups!$F$5:$F$10),"Unknown")</x:f>
        <x:v>Revenue Ops</x:v>
      </x:c>
      <x:c r="T575" t="str">
        <x:f>IF(L575&gt;=50000,"Enterprise",IF(L575&gt;=20000,"Mid-Market","SMB"))</x:f>
        <x:v>Enterprise</x:v>
      </x:c>
      <x:c r="U575" t="str">
        <x:f>IF(I575="Closed Won","Won",IF(I575="Closed Lost","Lost","Open"))</x:f>
        <x:v>Lost</x:v>
      </x:c>
      <x:c r="V575" s="22" t="n">
        <x:f>IF(U575="Won",L575*(1-M575),0)</x:f>
        <x:v>0</x:v>
      </x:c>
      <x:c r="W575" s="22" t="n">
        <x:f>IF(U575="Open",L575*N575,0)</x:f>
        <x:v>0</x:v>
      </x:c>
      <x:c r="X575" s="26" t="n">
        <x:f>IF(U575="Open","",IFERROR(K575-B575,""))</x:f>
        <x:v>50</x:v>
      </x:c>
      <x:c r="Y575" s="26" t="n">
        <x:f>IF(U575="Open",Lookups!$B$2-B575,X575)</x:f>
        <x:v>50</x:v>
      </x:c>
      <x:c r="Z575" t="str">
        <x:f>IF(AND(U575="Open",Y575&gt;30),"STALE","OK")</x:f>
        <x:v>OK</x:v>
      </x:c>
      <x:c r="AA575" t="str">
        <x:f>TEXT(B575,"yyyy-mm")</x:f>
        <x:v>2025-04</x:v>
      </x:c>
      <x:c r="AB575" t="str">
        <x:f>IF(K575="","",TEXT(K575,"yyyy-mm"))</x:f>
        <x:v>2025-06</x:v>
      </x:c>
      <x:c r="AC575" t="str">
        <x:f>"Q"&amp;ROUNDUP(MONTH(B575)/3,0)&amp;"-"&amp;YEAR(B575)</x:f>
        <x:v>Q2-2025</x:v>
      </x:c>
      <x:c r="AD575" s="26" t="n">
        <x:f>MIN(100,IF(H575="Enterprise",30,IF(H575="Mid-Market",22,14))+IF(T575="Enterprise",25,IF(T575="Mid-Market",18,10))+IF(Q575="Referral",25,IF(Q575="Organic Search",20,IF(Q575="Email",18,14)))+IF(G575="Technology",10,5))</x:f>
        <x:v>66</x:v>
      </x:c>
      <x:c r="AE575" t="str">
        <x:f>IF(U575&lt;&gt;"Open",U575,IF(N575&gt;=0.8,"Commit",IF(N575&gt;=0.5,"Best Case","Pipeline")))</x:f>
        <x:v>Lost</x:v>
      </x:c>
    </x:row>
    <x:row r="576">
      <x:c r="A576" t="str">
        <x:v>L00575</x:v>
      </x:c>
      <x:c r="B576" s="10" t="n">
        <x:v>46017</x:v>
      </x:c>
      <x:c r="C576" t="str">
        <x:v>Minh Do</x:v>
      </x:c>
      <x:c r="D576" t="str">
        <x:v>North</x:v>
      </x:c>
      <x:c r="E576" t="str">
        <x:v>organic search</x:v>
      </x:c>
      <x:c r="F576" t="str">
        <x:v>CRM-PRO</x:v>
      </x:c>
      <x:c r="G576" t="str">
        <x:v>Retail</x:v>
      </x:c>
      <x:c r="H576" t="str">
        <x:v>Enterprise</x:v>
      </x:c>
      <x:c r="I576" t="str">
        <x:v>Closed Lost</x:v>
      </x:c>
      <x:c r="J576" s="10" t="n">
        <x:v>46064</x:v>
      </x:c>
      <x:c r="K576" s="10" t="n">
        <x:v>46064</x:v>
      </x:c>
      <x:c r="L576" s="22" t="n">
        <x:v>60000</x:v>
      </x:c>
      <x:c r="M576" s="24" t="n">
        <x:v>0</x:v>
      </x:c>
      <x:c r="N576" s="24" t="n">
        <x:v>0</x:v>
      </x:c>
      <x:c r="O576" t="str">
        <x:v>No Decision</x:v>
      </x:c>
      <x:c r="P576" t="n">
        <x:v>4</x:v>
      </x:c>
      <x:c r="Q576" t="str">
        <x:f>IFERROR(XLOOKUP(E576,Lookups!$A$5:$A$24,Lookups!$B$5:$B$24),"Other")</x:f>
        <x:v>Organic Search</x:v>
      </x:c>
      <x:c r="R576" t="str">
        <x:f>IFERROR(XLOOKUP(F576,Lookups!$D$5:$D$10,Lookups!$E$5:$E$10),"Unknown Product")</x:f>
        <x:v>NexaCRM Pro</x:v>
      </x:c>
      <x:c r="S576" t="str">
        <x:f>IFERROR(XLOOKUP(F576,Lookups!$D$5:$D$10,Lookups!$F$5:$F$10),"Unknown")</x:f>
        <x:v>CRM</x:v>
      </x:c>
      <x:c r="T576" t="str">
        <x:f>IF(L576&gt;=50000,"Enterprise",IF(L576&gt;=20000,"Mid-Market","SMB"))</x:f>
        <x:v>Enterprise</x:v>
      </x:c>
      <x:c r="U576" t="str">
        <x:f>IF(I576="Closed Won","Won",IF(I576="Closed Lost","Lost","Open"))</x:f>
        <x:v>Lost</x:v>
      </x:c>
      <x:c r="V576" s="22" t="n">
        <x:f>IF(U576="Won",L576*(1-M576),0)</x:f>
        <x:v>0</x:v>
      </x:c>
      <x:c r="W576" s="22" t="n">
        <x:f>IF(U576="Open",L576*N576,0)</x:f>
        <x:v>0</x:v>
      </x:c>
      <x:c r="X576" s="26" t="n">
        <x:f>IF(U576="Open","",IFERROR(K576-B576,""))</x:f>
        <x:v>47</x:v>
      </x:c>
      <x:c r="Y576" s="26" t="n">
        <x:f>IF(U576="Open",Lookups!$B$2-B576,X576)</x:f>
        <x:v>47</x:v>
      </x:c>
      <x:c r="Z576" t="str">
        <x:f>IF(AND(U576="Open",Y576&gt;30),"STALE","OK")</x:f>
        <x:v>OK</x:v>
      </x:c>
      <x:c r="AA576" t="str">
        <x:f>TEXT(B576,"yyyy-mm")</x:f>
        <x:v>2025-12</x:v>
      </x:c>
      <x:c r="AB576" t="str">
        <x:f>IF(K576="","",TEXT(K576,"yyyy-mm"))</x:f>
        <x:v>2026-02</x:v>
      </x:c>
      <x:c r="AC576" t="str">
        <x:f>"Q"&amp;ROUNDUP(MONTH(B576)/3,0)&amp;"-"&amp;YEAR(B576)</x:f>
        <x:v>Q4-2025</x:v>
      </x:c>
      <x:c r="AD576" s="26" t="n">
        <x:f>MIN(100,IF(H576="Enterprise",30,IF(H576="Mid-Market",22,14))+IF(T576="Enterprise",25,IF(T576="Mid-Market",18,10))+IF(Q576="Referral",25,IF(Q576="Organic Search",20,IF(Q576="Email",18,14)))+IF(G576="Technology",10,5))</x:f>
        <x:v>80</x:v>
      </x:c>
      <x:c r="AE576" t="str">
        <x:f>IF(U576&lt;&gt;"Open",U576,IF(N576&gt;=0.8,"Commit",IF(N576&gt;=0.5,"Best Case","Pipeline")))</x:f>
        <x:v>Lost</x:v>
      </x:c>
    </x:row>
    <x:row r="577">
      <x:c r="A577" t="str">
        <x:v>L00576</x:v>
      </x:c>
      <x:c r="B577" s="10" t="n">
        <x:v>46229</x:v>
      </x:c>
      <x:c r="C577" t="str">
        <x:v>Chi Le</x:v>
      </x:c>
      <x:c r="D577" t="str">
        <x:v>South</x:v>
      </x:c>
      <x:c r="E577" t="str">
        <x:v>Conference Scan</x:v>
      </x:c>
      <x:c r="F577" t="str">
        <x:v>CS-CLOUD</x:v>
      </x:c>
      <x:c r="G577" t="str">
        <x:v>Retail</x:v>
      </x:c>
      <x:c r="H577" t="str">
        <x:v>SMB</x:v>
      </x:c>
      <x:c r="I577" t="str">
        <x:v>New</x:v>
      </x:c>
      <x:c r="J577" s="10" t="n">
        <x:v>46256</x:v>
      </x:c>
      <x:c r="K577" s="10"/>
      <x:c r="L577" s="22" t="n">
        <x:v>12000</x:v>
      </x:c>
      <x:c r="M577" s="24" t="n">
        <x:v>0.03</x:v>
      </x:c>
      <x:c r="N577" s="24" t="n">
        <x:v>0.05</x:v>
      </x:c>
      <x:c r="O577" t="str"/>
      <x:c r="P577" t="n">
        <x:v>1</x:v>
      </x:c>
      <x:c r="Q577" t="str">
        <x:f>IFERROR(XLOOKUP(E577,Lookups!$A$5:$A$24,Lookups!$B$5:$B$24),"Other")</x:f>
        <x:v>Other</x:v>
      </x:c>
      <x:c r="R577" t="str">
        <x:f>IFERROR(XLOOKUP(F577,Lookups!$D$5:$D$10,Lookups!$E$5:$E$10),"Unknown Product")</x:f>
        <x:v>Service Cloud</x:v>
      </x:c>
      <x:c r="S577" t="str">
        <x:f>IFERROR(XLOOKUP(F577,Lookups!$D$5:$D$10,Lookups!$F$5:$F$10),"Unknown")</x:f>
        <x:v>Customer Service</x:v>
      </x:c>
      <x:c r="T577" t="str">
        <x:f>IF(L577&gt;=50000,"Enterprise",IF(L577&gt;=20000,"Mid-Market","SMB"))</x:f>
        <x:v>SMB</x:v>
      </x:c>
      <x:c r="U577" t="str">
        <x:f>IF(I577="Closed Won","Won",IF(I577="Closed Lost","Lost","Open"))</x:f>
        <x:v>Open</x:v>
      </x:c>
      <x:c r="V577" s="22" t="n">
        <x:f>IF(U577="Won",L577*(1-M577),0)</x:f>
        <x:v>0</x:v>
      </x:c>
      <x:c r="W577" s="22" t="n">
        <x:f>IF(U577="Open",L577*N577,0)</x:f>
        <x:v>600</x:v>
      </x:c>
      <x:c r="X577" s="26" t="str">
        <x:f>IF(U577="Open","",IFERROR(K577-B577,""))</x:f>
      </x:c>
      <x:c r="Y577" s="26" t="n">
        <x:f>IF(U577="Open",Lookups!$B$2-B577,X577)</x:f>
        <x:v>37</x:v>
      </x:c>
      <x:c r="Z577" t="str">
        <x:f>IF(AND(U577="Open",Y577&gt;30),"STALE","OK")</x:f>
        <x:v>STALE</x:v>
      </x:c>
      <x:c r="AA577" t="str">
        <x:f>TEXT(B577,"yyyy-mm")</x:f>
        <x:v>2026-07</x:v>
      </x:c>
      <x:c r="AB577" t="str">
        <x:f>IF(K577="","",TEXT(K577,"yyyy-mm"))</x:f>
      </x:c>
      <x:c r="AC577" t="str">
        <x:f>"Q"&amp;ROUNDUP(MONTH(B577)/3,0)&amp;"-"&amp;YEAR(B577)</x:f>
        <x:v>Q3-2026</x:v>
      </x:c>
      <x:c r="AD577" s="26" t="n">
        <x:f>MIN(100,IF(H577="Enterprise",30,IF(H577="Mid-Market",22,14))+IF(T577="Enterprise",25,IF(T577="Mid-Market",18,10))+IF(Q577="Referral",25,IF(Q577="Organic Search",20,IF(Q577="Email",18,14)))+IF(G577="Technology",10,5))</x:f>
        <x:v>43</x:v>
      </x:c>
      <x:c r="AE577" t="str">
        <x:f>IF(U577&lt;&gt;"Open",U577,IF(N577&gt;=0.8,"Commit",IF(N577&gt;=0.5,"Best Case","Pipeline")))</x:f>
        <x:v>Pipeline</x:v>
      </x:c>
    </x:row>
    <x:row r="578">
      <x:c r="A578" t="str">
        <x:v>L00577</x:v>
      </x:c>
      <x:c r="B578" s="10" t="n">
        <x:v>46146</x:v>
      </x:c>
      <x:c r="C578" t="str">
        <x:v>Chi Le</x:v>
      </x:c>
      <x:c r="D578" t="str">
        <x:v>South</x:v>
      </x:c>
      <x:c r="E578" t="str">
        <x:v>Cold Email</x:v>
      </x:c>
      <x:c r="F578" t="str">
        <x:v>MKT-AUTO</x:v>
      </x:c>
      <x:c r="G578" t="str">
        <x:v>Retail</x:v>
      </x:c>
      <x:c r="H578" t="str">
        <x:v>SMB</x:v>
      </x:c>
      <x:c r="I578" t="str">
        <x:v>Closed Lost</x:v>
      </x:c>
      <x:c r="J578" s="10" t="n">
        <x:v>46161</x:v>
      </x:c>
      <x:c r="K578" s="10" t="n">
        <x:v>46161</x:v>
      </x:c>
      <x:c r="L578" s="22" t="n">
        <x:v>14300</x:v>
      </x:c>
      <x:c r="M578" s="24" t="n">
        <x:v>0</x:v>
      </x:c>
      <x:c r="N578" s="24" t="n">
        <x:v>0</x:v>
      </x:c>
      <x:c r="O578" t="str">
        <x:v>Timing</x:v>
      </x:c>
      <x:c r="P578" t="n">
        <x:v>5</x:v>
      </x:c>
      <x:c r="Q578" t="str">
        <x:f>IFERROR(XLOOKUP(E578,Lookups!$A$5:$A$24,Lookups!$B$5:$B$24),"Other")</x:f>
        <x:v>Outbound</x:v>
      </x:c>
      <x:c r="R578" t="str">
        <x:f>IFERROR(XLOOKUP(F578,Lookups!$D$5:$D$10,Lookups!$E$5:$E$10),"Unknown Product")</x:f>
        <x:v>Marketing Automation</x:v>
      </x:c>
      <x:c r="S578" t="str">
        <x:f>IFERROR(XLOOKUP(F578,Lookups!$D$5:$D$10,Lookups!$F$5:$F$10),"Unknown")</x:f>
        <x:v>Marketing</x:v>
      </x:c>
      <x:c r="T578" t="str">
        <x:f>IF(L578&gt;=50000,"Enterprise",IF(L578&gt;=20000,"Mid-Market","SMB"))</x:f>
        <x:v>SMB</x:v>
      </x:c>
      <x:c r="U578" t="str">
        <x:f>IF(I578="Closed Won","Won",IF(I578="Closed Lost","Lost","Open"))</x:f>
        <x:v>Lost</x:v>
      </x:c>
      <x:c r="V578" s="22" t="n">
        <x:f>IF(U578="Won",L578*(1-M578),0)</x:f>
        <x:v>0</x:v>
      </x:c>
      <x:c r="W578" s="22" t="n">
        <x:f>IF(U578="Open",L578*N578,0)</x:f>
        <x:v>0</x:v>
      </x:c>
      <x:c r="X578" s="26" t="n">
        <x:f>IF(U578="Open","",IFERROR(K578-B578,""))</x:f>
        <x:v>15</x:v>
      </x:c>
      <x:c r="Y578" s="26" t="n">
        <x:f>IF(U578="Open",Lookups!$B$2-B578,X578)</x:f>
        <x:v>15</x:v>
      </x:c>
      <x:c r="Z578" t="str">
        <x:f>IF(AND(U578="Open",Y578&gt;30),"STALE","OK")</x:f>
        <x:v>OK</x:v>
      </x:c>
      <x:c r="AA578" t="str">
        <x:f>TEXT(B578,"yyyy-mm")</x:f>
        <x:v>2026-05</x:v>
      </x:c>
      <x:c r="AB578" t="str">
        <x:f>IF(K578="","",TEXT(K578,"yyyy-mm"))</x:f>
        <x:v>2026-05</x:v>
      </x:c>
      <x:c r="AC578" t="str">
        <x:f>"Q"&amp;ROUNDUP(MONTH(B578)/3,0)&amp;"-"&amp;YEAR(B578)</x:f>
        <x:v>Q2-2026</x:v>
      </x:c>
      <x:c r="AD578" s="26" t="n">
        <x:f>MIN(100,IF(H578="Enterprise",30,IF(H578="Mid-Market",22,14))+IF(T578="Enterprise",25,IF(T578="Mid-Market",18,10))+IF(Q578="Referral",25,IF(Q578="Organic Search",20,IF(Q578="Email",18,14)))+IF(G578="Technology",10,5))</x:f>
        <x:v>43</x:v>
      </x:c>
      <x:c r="AE578" t="str">
        <x:f>IF(U578&lt;&gt;"Open",U578,IF(N578&gt;=0.8,"Commit",IF(N578&gt;=0.5,"Best Case","Pipeline")))</x:f>
        <x:v>Lost</x:v>
      </x:c>
    </x:row>
    <x:row r="579">
      <x:c r="A579" t="str">
        <x:v>L00578</x:v>
      </x:c>
      <x:c r="B579" s="10" t="n">
        <x:v>45769</x:v>
      </x:c>
      <x:c r="C579" t="str">
        <x:v>Minh Do</x:v>
      </x:c>
      <x:c r="D579" t="str">
        <x:v>North</x:v>
      </x:c>
      <x:c r="E579" t="str">
        <x:v>Cold Email</x:v>
      </x:c>
      <x:c r="F579" t="str">
        <x:v>CRM-PRO</x:v>
      </x:c>
      <x:c r="G579" t="str">
        <x:v>Financial Services</x:v>
      </x:c>
      <x:c r="H579" t="str">
        <x:v>SMB</x:v>
      </x:c>
      <x:c r="I579" t="str">
        <x:v>Closed Won</x:v>
      </x:c>
      <x:c r="J579" s="10" t="n">
        <x:v>45839</x:v>
      </x:c>
      <x:c r="K579" s="10" t="n">
        <x:v>45839</x:v>
      </x:c>
      <x:c r="L579" s="22" t="n">
        <x:v>11800</x:v>
      </x:c>
      <x:c r="M579" s="24" t="n">
        <x:v>0.12</x:v>
      </x:c>
      <x:c r="N579" s="24" t="n">
        <x:v>1</x:v>
      </x:c>
      <x:c r="O579" t="str"/>
      <x:c r="P579" t="n">
        <x:v>6</x:v>
      </x:c>
      <x:c r="Q579" t="str">
        <x:f>IFERROR(XLOOKUP(E579,Lookups!$A$5:$A$24,Lookups!$B$5:$B$24),"Other")</x:f>
        <x:v>Outbound</x:v>
      </x:c>
      <x:c r="R579" t="str">
        <x:f>IFERROR(XLOOKUP(F579,Lookups!$D$5:$D$10,Lookups!$E$5:$E$10),"Unknown Product")</x:f>
        <x:v>NexaCRM Pro</x:v>
      </x:c>
      <x:c r="S579" t="str">
        <x:f>IFERROR(XLOOKUP(F579,Lookups!$D$5:$D$10,Lookups!$F$5:$F$10),"Unknown")</x:f>
        <x:v>CRM</x:v>
      </x:c>
      <x:c r="T579" t="str">
        <x:f>IF(L579&gt;=50000,"Enterprise",IF(L579&gt;=20000,"Mid-Market","SMB"))</x:f>
        <x:v>SMB</x:v>
      </x:c>
      <x:c r="U579" t="str">
        <x:f>IF(I579="Closed Won","Won",IF(I579="Closed Lost","Lost","Open"))</x:f>
        <x:v>Won</x:v>
      </x:c>
      <x:c r="V579" s="22" t="n">
        <x:f>IF(U579="Won",L579*(1-M579),0)</x:f>
        <x:v>10384</x:v>
      </x:c>
      <x:c r="W579" s="22" t="n">
        <x:f>IF(U579="Open",L579*N579,0)</x:f>
        <x:v>0</x:v>
      </x:c>
      <x:c r="X579" s="26" t="n">
        <x:f>IF(U579="Open","",IFERROR(K579-B579,""))</x:f>
        <x:v>70</x:v>
      </x:c>
      <x:c r="Y579" s="26" t="n">
        <x:f>IF(U579="Open",Lookups!$B$2-B579,X579)</x:f>
        <x:v>70</x:v>
      </x:c>
      <x:c r="Z579" t="str">
        <x:f>IF(AND(U579="Open",Y579&gt;30),"STALE","OK")</x:f>
        <x:v>OK</x:v>
      </x:c>
      <x:c r="AA579" t="str">
        <x:f>TEXT(B579,"yyyy-mm")</x:f>
        <x:v>2025-04</x:v>
      </x:c>
      <x:c r="AB579" t="str">
        <x:f>IF(K579="","",TEXT(K579,"yyyy-mm"))</x:f>
        <x:v>2025-07</x:v>
      </x:c>
      <x:c r="AC579" t="str">
        <x:f>"Q"&amp;ROUNDUP(MONTH(B579)/3,0)&amp;"-"&amp;YEAR(B579)</x:f>
        <x:v>Q2-2025</x:v>
      </x:c>
      <x:c r="AD579" s="26" t="n">
        <x:f>MIN(100,IF(H579="Enterprise",30,IF(H579="Mid-Market",22,14))+IF(T579="Enterprise",25,IF(T579="Mid-Market",18,10))+IF(Q579="Referral",25,IF(Q579="Organic Search",20,IF(Q579="Email",18,14)))+IF(G579="Technology",10,5))</x:f>
        <x:v>43</x:v>
      </x:c>
      <x:c r="AE579" t="str">
        <x:f>IF(U579&lt;&gt;"Open",U579,IF(N579&gt;=0.8,"Commit",IF(N579&gt;=0.5,"Best Case","Pipeline")))</x:f>
        <x:v>Won</x:v>
      </x:c>
    </x:row>
    <x:row r="580">
      <x:c r="A580" t="str">
        <x:v>L00579</x:v>
      </x:c>
      <x:c r="B580" s="10" t="n">
        <x:v>45972</x:v>
      </x:c>
      <x:c r="C580" t="str">
        <x:v>Ha Vo</x:v>
      </x:c>
      <x:c r="D580" t="str">
        <x:v>North</x:v>
      </x:c>
      <x:c r="E580" t="str">
        <x:v>Google Organic</x:v>
      </x:c>
      <x:c r="F580" t="str">
        <x:v>CRM-CORE</x:v>
      </x:c>
      <x:c r="G580" t="str">
        <x:v>Manufacturing</x:v>
      </x:c>
      <x:c r="H580" t="str">
        <x:v>Mid-Market</x:v>
      </x:c>
      <x:c r="I580" t="str">
        <x:v>Closed Lost</x:v>
      </x:c>
      <x:c r="J580" s="10" t="n">
        <x:v>46010</x:v>
      </x:c>
      <x:c r="K580" s="10" t="n">
        <x:v>46010</x:v>
      </x:c>
      <x:c r="L580" s="22" t="n">
        <x:v>9600</x:v>
      </x:c>
      <x:c r="M580" s="24" t="n">
        <x:v>0</x:v>
      </x:c>
      <x:c r="N580" s="24" t="n">
        <x:v>0</x:v>
      </x:c>
      <x:c r="O580" t="str">
        <x:v>Budget</x:v>
      </x:c>
      <x:c r="P580" t="n">
        <x:v>3</x:v>
      </x:c>
      <x:c r="Q580" t="str">
        <x:f>IFERROR(XLOOKUP(E580,Lookups!$A$5:$A$24,Lookups!$B$5:$B$24),"Other")</x:f>
        <x:v>Organic Search</x:v>
      </x:c>
      <x:c r="R580" t="str">
        <x:f>IFERROR(XLOOKUP(F580,Lookups!$D$5:$D$10,Lookups!$E$5:$E$10),"Unknown Product")</x:f>
        <x:v>NexaCRM Core</x:v>
      </x:c>
      <x:c r="S580" t="str">
        <x:f>IFERROR(XLOOKUP(F580,Lookups!$D$5:$D$10,Lookups!$F$5:$F$10),"Unknown")</x:f>
        <x:v>CRM</x:v>
      </x:c>
      <x:c r="T580" t="str">
        <x:f>IF(L580&gt;=50000,"Enterprise",IF(L580&gt;=20000,"Mid-Market","SMB"))</x:f>
        <x:v>SMB</x:v>
      </x:c>
      <x:c r="U580" t="str">
        <x:f>IF(I580="Closed Won","Won",IF(I580="Closed Lost","Lost","Open"))</x:f>
        <x:v>Lost</x:v>
      </x:c>
      <x:c r="V580" s="22" t="n">
        <x:f>IF(U580="Won",L580*(1-M580),0)</x:f>
        <x:v>0</x:v>
      </x:c>
      <x:c r="W580" s="22" t="n">
        <x:f>IF(U580="Open",L580*N580,0)</x:f>
        <x:v>0</x:v>
      </x:c>
      <x:c r="X580" s="26" t="n">
        <x:f>IF(U580="Open","",IFERROR(K580-B580,""))</x:f>
        <x:v>38</x:v>
      </x:c>
      <x:c r="Y580" s="26" t="n">
        <x:f>IF(U580="Open",Lookups!$B$2-B580,X580)</x:f>
        <x:v>38</x:v>
      </x:c>
      <x:c r="Z580" t="str">
        <x:f>IF(AND(U580="Open",Y580&gt;30),"STALE","OK")</x:f>
        <x:v>OK</x:v>
      </x:c>
      <x:c r="AA580" t="str">
        <x:f>TEXT(B580,"yyyy-mm")</x:f>
        <x:v>2025-11</x:v>
      </x:c>
      <x:c r="AB580" t="str">
        <x:f>IF(K580="","",TEXT(K580,"yyyy-mm"))</x:f>
        <x:v>2025-12</x:v>
      </x:c>
      <x:c r="AC580" t="str">
        <x:f>"Q"&amp;ROUNDUP(MONTH(B580)/3,0)&amp;"-"&amp;YEAR(B580)</x:f>
        <x:v>Q4-2025</x:v>
      </x:c>
      <x:c r="AD580" s="26" t="n">
        <x:f>MIN(100,IF(H580="Enterprise",30,IF(H580="Mid-Market",22,14))+IF(T580="Enterprise",25,IF(T580="Mid-Market",18,10))+IF(Q580="Referral",25,IF(Q580="Organic Search",20,IF(Q580="Email",18,14)))+IF(G580="Technology",10,5))</x:f>
        <x:v>57</x:v>
      </x:c>
      <x:c r="AE580" t="str">
        <x:f>IF(U580&lt;&gt;"Open",U580,IF(N580&gt;=0.8,"Commit",IF(N580&gt;=0.5,"Best Case","Pipeline")))</x:f>
        <x:v>Lost</x:v>
      </x:c>
    </x:row>
    <x:row r="581">
      <x:c r="A581" t="str">
        <x:v>L00580</x:v>
      </x:c>
      <x:c r="B581" s="10" t="n">
        <x:v>45844</x:v>
      </x:c>
      <x:c r="C581" t="str">
        <x:v>Tuan Bui</x:v>
      </x:c>
      <x:c r="D581" t="str">
        <x:v>Central</x:v>
      </x:c>
      <x:c r="E581" t="str">
        <x:v>Google Organic</x:v>
      </x:c>
      <x:c r="F581" t="str">
        <x:v>CS-CLOUD</x:v>
      </x:c>
      <x:c r="G581" t="str">
        <x:v>Education</x:v>
      </x:c>
      <x:c r="H581" t="str">
        <x:v>Mid-Market</x:v>
      </x:c>
      <x:c r="I581" t="str">
        <x:v>Closed Lost</x:v>
      </x:c>
      <x:c r="J581" s="10" t="n">
        <x:v>45870</x:v>
      </x:c>
      <x:c r="K581" s="10" t="n">
        <x:v>45870</x:v>
      </x:c>
      <x:c r="L581" s="22" t="n">
        <x:v>49700</x:v>
      </x:c>
      <x:c r="M581" s="24" t="n">
        <x:v>0</x:v>
      </x:c>
      <x:c r="N581" s="24" t="n">
        <x:v>0</x:v>
      </x:c>
      <x:c r="O581" t="str">
        <x:v>No Decision</x:v>
      </x:c>
      <x:c r="P581" t="n">
        <x:v>5</x:v>
      </x:c>
      <x:c r="Q581" t="str">
        <x:f>IFERROR(XLOOKUP(E581,Lookups!$A$5:$A$24,Lookups!$B$5:$B$24),"Other")</x:f>
        <x:v>Organic Search</x:v>
      </x:c>
      <x:c r="R581" t="str">
        <x:f>IFERROR(XLOOKUP(F581,Lookups!$D$5:$D$10,Lookups!$E$5:$E$10),"Unknown Product")</x:f>
        <x:v>Service Cloud</x:v>
      </x:c>
      <x:c r="S581" t="str">
        <x:f>IFERROR(XLOOKUP(F581,Lookups!$D$5:$D$10,Lookups!$F$5:$F$10),"Unknown")</x:f>
        <x:v>Customer Service</x:v>
      </x:c>
      <x:c r="T581" t="str">
        <x:f>IF(L581&gt;=50000,"Enterprise",IF(L581&gt;=20000,"Mid-Market","SMB"))</x:f>
        <x:v>Mid-Market</x:v>
      </x:c>
      <x:c r="U581" t="str">
        <x:f>IF(I581="Closed Won","Won",IF(I581="Closed Lost","Lost","Open"))</x:f>
        <x:v>Lost</x:v>
      </x:c>
      <x:c r="V581" s="22" t="n">
        <x:f>IF(U581="Won",L581*(1-M581),0)</x:f>
        <x:v>0</x:v>
      </x:c>
      <x:c r="W581" s="22" t="n">
        <x:f>IF(U581="Open",L581*N581,0)</x:f>
        <x:v>0</x:v>
      </x:c>
      <x:c r="X581" s="26" t="n">
        <x:f>IF(U581="Open","",IFERROR(K581-B581,""))</x:f>
        <x:v>26</x:v>
      </x:c>
      <x:c r="Y581" s="26" t="n">
        <x:f>IF(U581="Open",Lookups!$B$2-B581,X581)</x:f>
        <x:v>26</x:v>
      </x:c>
      <x:c r="Z581" t="str">
        <x:f>IF(AND(U581="Open",Y581&gt;30),"STALE","OK")</x:f>
        <x:v>OK</x:v>
      </x:c>
      <x:c r="AA581" t="str">
        <x:f>TEXT(B581,"yyyy-mm")</x:f>
        <x:v>2025-07</x:v>
      </x:c>
      <x:c r="AB581" t="str">
        <x:f>IF(K581="","",TEXT(K581,"yyyy-mm"))</x:f>
        <x:v>2025-08</x:v>
      </x:c>
      <x:c r="AC581" t="str">
        <x:f>"Q"&amp;ROUNDUP(MONTH(B581)/3,0)&amp;"-"&amp;YEAR(B581)</x:f>
        <x:v>Q3-2025</x:v>
      </x:c>
      <x:c r="AD581" s="26" t="n">
        <x:f>MIN(100,IF(H581="Enterprise",30,IF(H581="Mid-Market",22,14))+IF(T581="Enterprise",25,IF(T581="Mid-Market",18,10))+IF(Q581="Referral",25,IF(Q581="Organic Search",20,IF(Q581="Email",18,14)))+IF(G581="Technology",10,5))</x:f>
        <x:v>65</x:v>
      </x:c>
      <x:c r="AE581" t="str">
        <x:f>IF(U581&lt;&gt;"Open",U581,IF(N581&gt;=0.8,"Commit",IF(N581&gt;=0.5,"Best Case","Pipeline")))</x:f>
        <x:v>Lost</x:v>
      </x:c>
    </x:row>
    <x:row r="582">
      <x:c r="A582" t="str">
        <x:v>L00581</x:v>
      </x:c>
      <x:c r="B582" s="10" t="n">
        <x:v>46095</x:v>
      </x:c>
      <x:c r="C582" t="str">
        <x:v>Bao Tran</x:v>
      </x:c>
      <x:c r="D582" t="str">
        <x:v>South</x:v>
      </x:c>
      <x:c r="E582" t="str">
        <x:v>Google Organic</x:v>
      </x:c>
      <x:c r="F582" t="str">
        <x:v>CRM-CORE</x:v>
      </x:c>
      <x:c r="G582" t="str">
        <x:v>Retail</x:v>
      </x:c>
      <x:c r="H582" t="str">
        <x:v>SMB</x:v>
      </x:c>
      <x:c r="I582" t="str">
        <x:v>Closed Won</x:v>
      </x:c>
      <x:c r="J582" s="10" t="n">
        <x:v>46141</x:v>
      </x:c>
      <x:c r="K582" s="10" t="n">
        <x:v>46141</x:v>
      </x:c>
      <x:c r="L582" s="22" t="n">
        <x:v>7000</x:v>
      </x:c>
      <x:c r="M582" s="24" t="n">
        <x:v>0.08</x:v>
      </x:c>
      <x:c r="N582" s="24" t="n">
        <x:v>1</x:v>
      </x:c>
      <x:c r="O582" t="str"/>
      <x:c r="P582" t="n">
        <x:v>6</x:v>
      </x:c>
      <x:c r="Q582" t="str">
        <x:f>IFERROR(XLOOKUP(E582,Lookups!$A$5:$A$24,Lookups!$B$5:$B$24),"Other")</x:f>
        <x:v>Organic Search</x:v>
      </x:c>
      <x:c r="R582" t="str">
        <x:f>IFERROR(XLOOKUP(F582,Lookups!$D$5:$D$10,Lookups!$E$5:$E$10),"Unknown Product")</x:f>
        <x:v>NexaCRM Core</x:v>
      </x:c>
      <x:c r="S582" t="str">
        <x:f>IFERROR(XLOOKUP(F582,Lookups!$D$5:$D$10,Lookups!$F$5:$F$10),"Unknown")</x:f>
        <x:v>CRM</x:v>
      </x:c>
      <x:c r="T582" t="str">
        <x:f>IF(L582&gt;=50000,"Enterprise",IF(L582&gt;=20000,"Mid-Market","SMB"))</x:f>
        <x:v>SMB</x:v>
      </x:c>
      <x:c r="U582" t="str">
        <x:f>IF(I582="Closed Won","Won",IF(I582="Closed Lost","Lost","Open"))</x:f>
        <x:v>Won</x:v>
      </x:c>
      <x:c r="V582" s="22" t="n">
        <x:f>IF(U582="Won",L582*(1-M582),0)</x:f>
        <x:v>6440</x:v>
      </x:c>
      <x:c r="W582" s="22" t="n">
        <x:f>IF(U582="Open",L582*N582,0)</x:f>
        <x:v>0</x:v>
      </x:c>
      <x:c r="X582" s="26" t="n">
        <x:f>IF(U582="Open","",IFERROR(K582-B582,""))</x:f>
        <x:v>46</x:v>
      </x:c>
      <x:c r="Y582" s="26" t="n">
        <x:f>IF(U582="Open",Lookups!$B$2-B582,X582)</x:f>
        <x:v>46</x:v>
      </x:c>
      <x:c r="Z582" t="str">
        <x:f>IF(AND(U582="Open",Y582&gt;30),"STALE","OK")</x:f>
        <x:v>OK</x:v>
      </x:c>
      <x:c r="AA582" t="str">
        <x:f>TEXT(B582,"yyyy-mm")</x:f>
        <x:v>2026-03</x:v>
      </x:c>
      <x:c r="AB582" t="str">
        <x:f>IF(K582="","",TEXT(K582,"yyyy-mm"))</x:f>
        <x:v>2026-04</x:v>
      </x:c>
      <x:c r="AC582" t="str">
        <x:f>"Q"&amp;ROUNDUP(MONTH(B582)/3,0)&amp;"-"&amp;YEAR(B582)</x:f>
        <x:v>Q1-2026</x:v>
      </x:c>
      <x:c r="AD582" s="26" t="n">
        <x:f>MIN(100,IF(H582="Enterprise",30,IF(H582="Mid-Market",22,14))+IF(T582="Enterprise",25,IF(T582="Mid-Market",18,10))+IF(Q582="Referral",25,IF(Q582="Organic Search",20,IF(Q582="Email",18,14)))+IF(G582="Technology",10,5))</x:f>
        <x:v>49</x:v>
      </x:c>
      <x:c r="AE582" t="str">
        <x:f>IF(U582&lt;&gt;"Open",U582,IF(N582&gt;=0.8,"Commit",IF(N582&gt;=0.5,"Best Case","Pipeline")))</x:f>
        <x:v>Won</x:v>
      </x:c>
    </x:row>
    <x:row r="583">
      <x:c r="A583" t="str">
        <x:v>L00582</x:v>
      </x:c>
      <x:c r="B583" s="10" t="n">
        <x:v>45773</x:v>
      </x:c>
      <x:c r="C583" t="str">
        <x:v>Minh Do</x:v>
      </x:c>
      <x:c r="D583" t="str">
        <x:v>North</x:v>
      </x:c>
      <x:c r="E583" t="str">
        <x:v>Referral</x:v>
      </x:c>
      <x:c r="F583" t="str">
        <x:v>CS-CLOUD</x:v>
      </x:c>
      <x:c r="G583" t="str">
        <x:v>Financial Services</x:v>
      </x:c>
      <x:c r="H583" t="str">
        <x:v>SMB</x:v>
      </x:c>
      <x:c r="I583" t="str">
        <x:v>Closed Lost</x:v>
      </x:c>
      <x:c r="J583" s="10" t="n">
        <x:v>45830</x:v>
      </x:c>
      <x:c r="K583" s="10" t="n">
        <x:v>45830</x:v>
      </x:c>
      <x:c r="L583" s="22" t="n">
        <x:v>21800</x:v>
      </x:c>
      <x:c r="M583" s="24" t="n">
        <x:v>0</x:v>
      </x:c>
      <x:c r="N583" s="24" t="n">
        <x:v>0</x:v>
      </x:c>
      <x:c r="O583" t="str">
        <x:v>Budget</x:v>
      </x:c>
      <x:c r="P583" t="n">
        <x:v>4</x:v>
      </x:c>
      <x:c r="Q583" t="str">
        <x:f>IFERROR(XLOOKUP(E583,Lookups!$A$5:$A$24,Lookups!$B$5:$B$24),"Other")</x:f>
        <x:v>Referral</x:v>
      </x:c>
      <x:c r="R583" t="str">
        <x:f>IFERROR(XLOOKUP(F583,Lookups!$D$5:$D$10,Lookups!$E$5:$E$10),"Unknown Product")</x:f>
        <x:v>Service Cloud</x:v>
      </x:c>
      <x:c r="S583" t="str">
        <x:f>IFERROR(XLOOKUP(F583,Lookups!$D$5:$D$10,Lookups!$F$5:$F$10),"Unknown")</x:f>
        <x:v>Customer Service</x:v>
      </x:c>
      <x:c r="T583" t="str">
        <x:f>IF(L583&gt;=50000,"Enterprise",IF(L583&gt;=20000,"Mid-Market","SMB"))</x:f>
        <x:v>Mid-Market</x:v>
      </x:c>
      <x:c r="U583" t="str">
        <x:f>IF(I583="Closed Won","Won",IF(I583="Closed Lost","Lost","Open"))</x:f>
        <x:v>Lost</x:v>
      </x:c>
      <x:c r="V583" s="22" t="n">
        <x:f>IF(U583="Won",L583*(1-M583),0)</x:f>
        <x:v>0</x:v>
      </x:c>
      <x:c r="W583" s="22" t="n">
        <x:f>IF(U583="Open",L583*N583,0)</x:f>
        <x:v>0</x:v>
      </x:c>
      <x:c r="X583" s="26" t="n">
        <x:f>IF(U583="Open","",IFERROR(K583-B583,""))</x:f>
        <x:v>57</x:v>
      </x:c>
      <x:c r="Y583" s="26" t="n">
        <x:f>IF(U583="Open",Lookups!$B$2-B583,X583)</x:f>
        <x:v>57</x:v>
      </x:c>
      <x:c r="Z583" t="str">
        <x:f>IF(AND(U583="Open",Y583&gt;30),"STALE","OK")</x:f>
        <x:v>OK</x:v>
      </x:c>
      <x:c r="AA583" t="str">
        <x:f>TEXT(B583,"yyyy-mm")</x:f>
        <x:v>2025-04</x:v>
      </x:c>
      <x:c r="AB583" t="str">
        <x:f>IF(K583="","",TEXT(K583,"yyyy-mm"))</x:f>
        <x:v>2025-06</x:v>
      </x:c>
      <x:c r="AC583" t="str">
        <x:f>"Q"&amp;ROUNDUP(MONTH(B583)/3,0)&amp;"-"&amp;YEAR(B583)</x:f>
        <x:v>Q2-2025</x:v>
      </x:c>
      <x:c r="AD583" s="26" t="n">
        <x:f>MIN(100,IF(H583="Enterprise",30,IF(H583="Mid-Market",22,14))+IF(T583="Enterprise",25,IF(T583="Mid-Market",18,10))+IF(Q583="Referral",25,IF(Q583="Organic Search",20,IF(Q583="Email",18,14)))+IF(G583="Technology",10,5))</x:f>
        <x:v>62</x:v>
      </x:c>
      <x:c r="AE583" t="str">
        <x:f>IF(U583&lt;&gt;"Open",U583,IF(N583&gt;=0.8,"Commit",IF(N583&gt;=0.5,"Best Case","Pipeline")))</x:f>
        <x:v>Lost</x:v>
      </x:c>
    </x:row>
    <x:row r="584">
      <x:c r="A584" t="str">
        <x:v>L00583</x:v>
      </x:c>
      <x:c r="B584" s="10" t="n">
        <x:v>45796</x:v>
      </x:c>
      <x:c r="C584" t="str">
        <x:v>Duy Pham</x:v>
      </x:c>
      <x:c r="D584" t="str">
        <x:v>South</x:v>
      </x:c>
      <x:c r="E584" t="str">
        <x:v>Partner Referral</x:v>
      </x:c>
      <x:c r="F584" t="str">
        <x:v>REV-OPS</x:v>
      </x:c>
      <x:c r="G584" t="str">
        <x:v>Technology</x:v>
      </x:c>
      <x:c r="H584" t="str">
        <x:v>SMB</x:v>
      </x:c>
      <x:c r="I584" t="str">
        <x:v>Closed Lost</x:v>
      </x:c>
      <x:c r="J584" s="10" t="n">
        <x:v>45816</x:v>
      </x:c>
      <x:c r="K584" s="10" t="n">
        <x:v>45816</x:v>
      </x:c>
      <x:c r="L584" s="22" t="n">
        <x:v>31100</x:v>
      </x:c>
      <x:c r="M584" s="24" t="n">
        <x:v>0</x:v>
      </x:c>
      <x:c r="N584" s="24" t="n">
        <x:v>0</x:v>
      </x:c>
      <x:c r="O584" t="str">
        <x:v>Price</x:v>
      </x:c>
      <x:c r="P584" t="n">
        <x:v>3</x:v>
      </x:c>
      <x:c r="Q584" t="str">
        <x:f>IFERROR(XLOOKUP(E584,Lookups!$A$5:$A$24,Lookups!$B$5:$B$24),"Other")</x:f>
        <x:v>Referral</x:v>
      </x:c>
      <x:c r="R584" t="str">
        <x:f>IFERROR(XLOOKUP(F584,Lookups!$D$5:$D$10,Lookups!$E$5:$E$10),"Unknown Product")</x:f>
        <x:v>Revenue Operations Suite</x:v>
      </x:c>
      <x:c r="S584" t="str">
        <x:f>IFERROR(XLOOKUP(F584,Lookups!$D$5:$D$10,Lookups!$F$5:$F$10),"Unknown")</x:f>
        <x:v>Revenue Ops</x:v>
      </x:c>
      <x:c r="T584" t="str">
        <x:f>IF(L584&gt;=50000,"Enterprise",IF(L584&gt;=20000,"Mid-Market","SMB"))</x:f>
        <x:v>Mid-Market</x:v>
      </x:c>
      <x:c r="U584" t="str">
        <x:f>IF(I584="Closed Won","Won",IF(I584="Closed Lost","Lost","Open"))</x:f>
        <x:v>Lost</x:v>
      </x:c>
      <x:c r="V584" s="22" t="n">
        <x:f>IF(U584="Won",L584*(1-M584),0)</x:f>
        <x:v>0</x:v>
      </x:c>
      <x:c r="W584" s="22" t="n">
        <x:f>IF(U584="Open",L584*N584,0)</x:f>
        <x:v>0</x:v>
      </x:c>
      <x:c r="X584" s="26" t="n">
        <x:f>IF(U584="Open","",IFERROR(K584-B584,""))</x:f>
        <x:v>20</x:v>
      </x:c>
      <x:c r="Y584" s="26" t="n">
        <x:f>IF(U584="Open",Lookups!$B$2-B584,X584)</x:f>
        <x:v>20</x:v>
      </x:c>
      <x:c r="Z584" t="str">
        <x:f>IF(AND(U584="Open",Y584&gt;30),"STALE","OK")</x:f>
        <x:v>OK</x:v>
      </x:c>
      <x:c r="AA584" t="str">
        <x:f>TEXT(B584,"yyyy-mm")</x:f>
        <x:v>2025-05</x:v>
      </x:c>
      <x:c r="AB584" t="str">
        <x:f>IF(K584="","",TEXT(K584,"yyyy-mm"))</x:f>
        <x:v>2025-06</x:v>
      </x:c>
      <x:c r="AC584" t="str">
        <x:f>"Q"&amp;ROUNDUP(MONTH(B584)/3,0)&amp;"-"&amp;YEAR(B584)</x:f>
        <x:v>Q2-2025</x:v>
      </x:c>
      <x:c r="AD584" s="26" t="n">
        <x:f>MIN(100,IF(H584="Enterprise",30,IF(H584="Mid-Market",22,14))+IF(T584="Enterprise",25,IF(T584="Mid-Market",18,10))+IF(Q584="Referral",25,IF(Q584="Organic Search",20,IF(Q584="Email",18,14)))+IF(G584="Technology",10,5))</x:f>
        <x:v>67</x:v>
      </x:c>
      <x:c r="AE584" t="str">
        <x:f>IF(U584&lt;&gt;"Open",U584,IF(N584&gt;=0.8,"Commit",IF(N584&gt;=0.5,"Best Case","Pipeline")))</x:f>
        <x:v>Lost</x:v>
      </x:c>
    </x:row>
    <x:row r="585">
      <x:c r="A585" t="str">
        <x:v>L00584</x:v>
      </x:c>
      <x:c r="B585" s="10" t="n">
        <x:v>45843</x:v>
      </x:c>
      <x:c r="C585" t="str">
        <x:v>An Nguyen</x:v>
      </x:c>
      <x:c r="D585" t="str">
        <x:v>South</x:v>
      </x:c>
      <x:c r="E585" t="str">
        <x:v>Cold Email</x:v>
      </x:c>
      <x:c r="F585" t="str">
        <x:v>CRM-PRO</x:v>
      </x:c>
      <x:c r="G585" t="str">
        <x:v>Manufacturing</x:v>
      </x:c>
      <x:c r="H585" t="str">
        <x:v>SMB</x:v>
      </x:c>
      <x:c r="I585" t="str">
        <x:v>Closed Lost</x:v>
      </x:c>
      <x:c r="J585" s="10" t="n">
        <x:v>45903</x:v>
      </x:c>
      <x:c r="K585" s="10" t="n">
        <x:v>45903</x:v>
      </x:c>
      <x:c r="L585" s="22" t="n">
        <x:v>23700</x:v>
      </x:c>
      <x:c r="M585" s="24" t="n">
        <x:v>0</x:v>
      </x:c>
      <x:c r="N585" s="24" t="n">
        <x:v>0</x:v>
      </x:c>
      <x:c r="O585" t="str">
        <x:v>Price</x:v>
      </x:c>
      <x:c r="P585" t="n">
        <x:v>3</x:v>
      </x:c>
      <x:c r="Q585" t="str">
        <x:f>IFERROR(XLOOKUP(E585,Lookups!$A$5:$A$24,Lookups!$B$5:$B$24),"Other")</x:f>
        <x:v>Outbound</x:v>
      </x:c>
      <x:c r="R585" t="str">
        <x:f>IFERROR(XLOOKUP(F585,Lookups!$D$5:$D$10,Lookups!$E$5:$E$10),"Unknown Product")</x:f>
        <x:v>NexaCRM Pro</x:v>
      </x:c>
      <x:c r="S585" t="str">
        <x:f>IFERROR(XLOOKUP(F585,Lookups!$D$5:$D$10,Lookups!$F$5:$F$10),"Unknown")</x:f>
        <x:v>CRM</x:v>
      </x:c>
      <x:c r="T585" t="str">
        <x:f>IF(L585&gt;=50000,"Enterprise",IF(L585&gt;=20000,"Mid-Market","SMB"))</x:f>
        <x:v>Mid-Market</x:v>
      </x:c>
      <x:c r="U585" t="str">
        <x:f>IF(I585="Closed Won","Won",IF(I585="Closed Lost","Lost","Open"))</x:f>
        <x:v>Lost</x:v>
      </x:c>
      <x:c r="V585" s="22" t="n">
        <x:f>IF(U585="Won",L585*(1-M585),0)</x:f>
        <x:v>0</x:v>
      </x:c>
      <x:c r="W585" s="22" t="n">
        <x:f>IF(U585="Open",L585*N585,0)</x:f>
        <x:v>0</x:v>
      </x:c>
      <x:c r="X585" s="26" t="n">
        <x:f>IF(U585="Open","",IFERROR(K585-B585,""))</x:f>
        <x:v>60</x:v>
      </x:c>
      <x:c r="Y585" s="26" t="n">
        <x:f>IF(U585="Open",Lookups!$B$2-B585,X585)</x:f>
        <x:v>60</x:v>
      </x:c>
      <x:c r="Z585" t="str">
        <x:f>IF(AND(U585="Open",Y585&gt;30),"STALE","OK")</x:f>
        <x:v>OK</x:v>
      </x:c>
      <x:c r="AA585" t="str">
        <x:f>TEXT(B585,"yyyy-mm")</x:f>
        <x:v>2025-07</x:v>
      </x:c>
      <x:c r="AB585" t="str">
        <x:f>IF(K585="","",TEXT(K585,"yyyy-mm"))</x:f>
        <x:v>2025-09</x:v>
      </x:c>
      <x:c r="AC585" t="str">
        <x:f>"Q"&amp;ROUNDUP(MONTH(B585)/3,0)&amp;"-"&amp;YEAR(B585)</x:f>
        <x:v>Q3-2025</x:v>
      </x:c>
      <x:c r="AD585" s="26" t="n">
        <x:f>MIN(100,IF(H585="Enterprise",30,IF(H585="Mid-Market",22,14))+IF(T585="Enterprise",25,IF(T585="Mid-Market",18,10))+IF(Q585="Referral",25,IF(Q585="Organic Search",20,IF(Q585="Email",18,14)))+IF(G585="Technology",10,5))</x:f>
        <x:v>51</x:v>
      </x:c>
      <x:c r="AE585" t="str">
        <x:f>IF(U585&lt;&gt;"Open",U585,IF(N585&gt;=0.8,"Commit",IF(N585&gt;=0.5,"Best Case","Pipeline")))</x:f>
        <x:v>Lost</x:v>
      </x:c>
    </x:row>
    <x:row r="586">
      <x:c r="A586" t="str">
        <x:v>L00585</x:v>
      </x:c>
      <x:c r="B586" s="10" t="n">
        <x:v>46253</x:v>
      </x:c>
      <x:c r="C586" t="str">
        <x:v>Bao Tran</x:v>
      </x:c>
      <x:c r="D586" t="str">
        <x:v>South</x:v>
      </x:c>
      <x:c r="E586" t="str">
        <x:v>Email Campaign</x:v>
      </x:c>
      <x:c r="F586" t="str">
        <x:v>BI-PLUS</x:v>
      </x:c>
      <x:c r="G586" t="str">
        <x:v>Manufacturing</x:v>
      </x:c>
      <x:c r="H586" t="str">
        <x:v>Mid-Market</x:v>
      </x:c>
      <x:c r="I586" t="str">
        <x:v>Closed Won</x:v>
      </x:c>
      <x:c r="J586" s="10" t="n">
        <x:v>46266</x:v>
      </x:c>
      <x:c r="K586" s="10" t="n">
        <x:v>46266</x:v>
      </x:c>
      <x:c r="L586" s="22" t="n">
        <x:v>41900</x:v>
      </x:c>
      <x:c r="M586" s="24" t="n">
        <x:v>0.1</x:v>
      </x:c>
      <x:c r="N586" s="24" t="n">
        <x:v>1</x:v>
      </x:c>
      <x:c r="O586" t="str"/>
      <x:c r="P586" t="n">
        <x:v>6</x:v>
      </x:c>
      <x:c r="Q586" t="str">
        <x:f>IFERROR(XLOOKUP(E586,Lookups!$A$5:$A$24,Lookups!$B$5:$B$24),"Other")</x:f>
        <x:v>Email</x:v>
      </x:c>
      <x:c r="R586" t="str">
        <x:f>IFERROR(XLOOKUP(F586,Lookups!$D$5:$D$10,Lookups!$E$5:$E$10),"Unknown Product")</x:f>
        <x:v>Analytics Plus</x:v>
      </x:c>
      <x:c r="S586" t="str">
        <x:f>IFERROR(XLOOKUP(F586,Lookups!$D$5:$D$10,Lookups!$F$5:$F$10),"Unknown")</x:f>
        <x:v>Analytics</x:v>
      </x:c>
      <x:c r="T586" t="str">
        <x:f>IF(L586&gt;=50000,"Enterprise",IF(L586&gt;=20000,"Mid-Market","SMB"))</x:f>
        <x:v>Mid-Market</x:v>
      </x:c>
      <x:c r="U586" t="str">
        <x:f>IF(I586="Closed Won","Won",IF(I586="Closed Lost","Lost","Open"))</x:f>
        <x:v>Won</x:v>
      </x:c>
      <x:c r="V586" s="22" t="n">
        <x:f>IF(U586="Won",L586*(1-M586),0)</x:f>
        <x:v>37710</x:v>
      </x:c>
      <x:c r="W586" s="22" t="n">
        <x:f>IF(U586="Open",L586*N586,0)</x:f>
        <x:v>0</x:v>
      </x:c>
      <x:c r="X586" s="26" t="n">
        <x:f>IF(U586="Open","",IFERROR(K586-B586,""))</x:f>
        <x:v>13</x:v>
      </x:c>
      <x:c r="Y586" s="26" t="n">
        <x:f>IF(U586="Open",Lookups!$B$2-B586,X586)</x:f>
        <x:v>13</x:v>
      </x:c>
      <x:c r="Z586" t="str">
        <x:f>IF(AND(U586="Open",Y586&gt;30),"STALE","OK")</x:f>
        <x:v>OK</x:v>
      </x:c>
      <x:c r="AA586" t="str">
        <x:f>TEXT(B586,"yyyy-mm")</x:f>
        <x:v>2026-08</x:v>
      </x:c>
      <x:c r="AB586" t="str">
        <x:f>IF(K586="","",TEXT(K586,"yyyy-mm"))</x:f>
        <x:v>2026-09</x:v>
      </x:c>
      <x:c r="AC586" t="str">
        <x:f>"Q"&amp;ROUNDUP(MONTH(B586)/3,0)&amp;"-"&amp;YEAR(B586)</x:f>
        <x:v>Q3-2026</x:v>
      </x:c>
      <x:c r="AD586" s="26" t="n">
        <x:f>MIN(100,IF(H586="Enterprise",30,IF(H586="Mid-Market",22,14))+IF(T586="Enterprise",25,IF(T586="Mid-Market",18,10))+IF(Q586="Referral",25,IF(Q586="Organic Search",20,IF(Q586="Email",18,14)))+IF(G586="Technology",10,5))</x:f>
        <x:v>63</x:v>
      </x:c>
      <x:c r="AE586" t="str">
        <x:f>IF(U586&lt;&gt;"Open",U586,IF(N586&gt;=0.8,"Commit",IF(N586&gt;=0.5,"Best Case","Pipeline")))</x:f>
        <x:v>Won</x:v>
      </x:c>
    </x:row>
    <x:row r="587">
      <x:c r="A587" t="str">
        <x:v>L00586</x:v>
      </x:c>
      <x:c r="B587" s="10" t="n">
        <x:v>46140</x:v>
      </x:c>
      <x:c r="C587" t="str">
        <x:v>Ha Vo</x:v>
      </x:c>
      <x:c r="D587" t="str">
        <x:v>North</x:v>
      </x:c>
      <x:c r="E587" t="str">
        <x:v>Unknown Event</x:v>
      </x:c>
      <x:c r="F587" t="str">
        <x:v>REV-OPS</x:v>
      </x:c>
      <x:c r="G587" t="str">
        <x:v>Financial Services</x:v>
      </x:c>
      <x:c r="H587" t="str">
        <x:v>Mid-Market</x:v>
      </x:c>
      <x:c r="I587" t="str">
        <x:v>Closed Lost</x:v>
      </x:c>
      <x:c r="J587" s="10" t="n">
        <x:v>46200</x:v>
      </x:c>
      <x:c r="K587" s="10" t="n">
        <x:v>46200</x:v>
      </x:c>
      <x:c r="L587" s="22" t="n">
        <x:v>74400</x:v>
      </x:c>
      <x:c r="M587" s="24" t="n">
        <x:v>0</x:v>
      </x:c>
      <x:c r="N587" s="24" t="n">
        <x:v>0</x:v>
      </x:c>
      <x:c r="O587" t="str">
        <x:v>Budget</x:v>
      </x:c>
      <x:c r="P587" t="n">
        <x:v>3</x:v>
      </x:c>
      <x:c r="Q587" t="str">
        <x:f>IFERROR(XLOOKUP(E587,Lookups!$A$5:$A$24,Lookups!$B$5:$B$24),"Other")</x:f>
        <x:v>Other</x:v>
      </x:c>
      <x:c r="R587" t="str">
        <x:f>IFERROR(XLOOKUP(F587,Lookups!$D$5:$D$10,Lookups!$E$5:$E$10),"Unknown Product")</x:f>
        <x:v>Revenue Operations Suite</x:v>
      </x:c>
      <x:c r="S587" t="str">
        <x:f>IFERROR(XLOOKUP(F587,Lookups!$D$5:$D$10,Lookups!$F$5:$F$10),"Unknown")</x:f>
        <x:v>Revenue Ops</x:v>
      </x:c>
      <x:c r="T587" t="str">
        <x:f>IF(L587&gt;=50000,"Enterprise",IF(L587&gt;=20000,"Mid-Market","SMB"))</x:f>
        <x:v>Enterprise</x:v>
      </x:c>
      <x:c r="U587" t="str">
        <x:f>IF(I587="Closed Won","Won",IF(I587="Closed Lost","Lost","Open"))</x:f>
        <x:v>Lost</x:v>
      </x:c>
      <x:c r="V587" s="22" t="n">
        <x:f>IF(U587="Won",L587*(1-M587),0)</x:f>
        <x:v>0</x:v>
      </x:c>
      <x:c r="W587" s="22" t="n">
        <x:f>IF(U587="Open",L587*N587,0)</x:f>
        <x:v>0</x:v>
      </x:c>
      <x:c r="X587" s="26" t="n">
        <x:f>IF(U587="Open","",IFERROR(K587-B587,""))</x:f>
        <x:v>60</x:v>
      </x:c>
      <x:c r="Y587" s="26" t="n">
        <x:f>IF(U587="Open",Lookups!$B$2-B587,X587)</x:f>
        <x:v>60</x:v>
      </x:c>
      <x:c r="Z587" t="str">
        <x:f>IF(AND(U587="Open",Y587&gt;30),"STALE","OK")</x:f>
        <x:v>OK</x:v>
      </x:c>
      <x:c r="AA587" t="str">
        <x:f>TEXT(B587,"yyyy-mm")</x:f>
        <x:v>2026-04</x:v>
      </x:c>
      <x:c r="AB587" t="str">
        <x:f>IF(K587="","",TEXT(K587,"yyyy-mm"))</x:f>
        <x:v>2026-06</x:v>
      </x:c>
      <x:c r="AC587" t="str">
        <x:f>"Q"&amp;ROUNDUP(MONTH(B587)/3,0)&amp;"-"&amp;YEAR(B587)</x:f>
        <x:v>Q2-2026</x:v>
      </x:c>
      <x:c r="AD587" s="26" t="n">
        <x:f>MIN(100,IF(H587="Enterprise",30,IF(H587="Mid-Market",22,14))+IF(T587="Enterprise",25,IF(T587="Mid-Market",18,10))+IF(Q587="Referral",25,IF(Q587="Organic Search",20,IF(Q587="Email",18,14)))+IF(G587="Technology",10,5))</x:f>
        <x:v>66</x:v>
      </x:c>
      <x:c r="AE587" t="str">
        <x:f>IF(U587&lt;&gt;"Open",U587,IF(N587&gt;=0.8,"Commit",IF(N587&gt;=0.5,"Best Case","Pipeline")))</x:f>
        <x:v>Lost</x:v>
      </x:c>
    </x:row>
    <x:row r="588">
      <x:c r="A588" t="str">
        <x:v>L00587</x:v>
      </x:c>
      <x:c r="B588" s="10" t="n">
        <x:v>46005</x:v>
      </x:c>
      <x:c r="C588" t="str">
        <x:v>An Nguyen</x:v>
      </x:c>
      <x:c r="D588" t="str">
        <x:v>South</x:v>
      </x:c>
      <x:c r="E588" t="str">
        <x:v>organic search</x:v>
      </x:c>
      <x:c r="F588" t="str">
        <x:v>MKT-AUTO</x:v>
      </x:c>
      <x:c r="G588" t="str">
        <x:v>Education</x:v>
      </x:c>
      <x:c r="H588" t="str">
        <x:v>SMB</x:v>
      </x:c>
      <x:c r="I588" t="str">
        <x:v>Closed Won</x:v>
      </x:c>
      <x:c r="J588" s="10" t="n">
        <x:v>46104</x:v>
      </x:c>
      <x:c r="K588" s="10" t="n">
        <x:v>46104</x:v>
      </x:c>
      <x:c r="L588" s="22" t="n">
        <x:v>16400</x:v>
      </x:c>
      <x:c r="M588" s="24" t="n">
        <x:v>0.08</x:v>
      </x:c>
      <x:c r="N588" s="24" t="n">
        <x:v>1</x:v>
      </x:c>
      <x:c r="O588" t="str"/>
      <x:c r="P588" t="n">
        <x:v>6</x:v>
      </x:c>
      <x:c r="Q588" t="str">
        <x:f>IFERROR(XLOOKUP(E588,Lookups!$A$5:$A$24,Lookups!$B$5:$B$24),"Other")</x:f>
        <x:v>Organic Search</x:v>
      </x:c>
      <x:c r="R588" t="str">
        <x:f>IFERROR(XLOOKUP(F588,Lookups!$D$5:$D$10,Lookups!$E$5:$E$10),"Unknown Product")</x:f>
        <x:v>Marketing Automation</x:v>
      </x:c>
      <x:c r="S588" t="str">
        <x:f>IFERROR(XLOOKUP(F588,Lookups!$D$5:$D$10,Lookups!$F$5:$F$10),"Unknown")</x:f>
        <x:v>Marketing</x:v>
      </x:c>
      <x:c r="T588" t="str">
        <x:f>IF(L588&gt;=50000,"Enterprise",IF(L588&gt;=20000,"Mid-Market","SMB"))</x:f>
        <x:v>SMB</x:v>
      </x:c>
      <x:c r="U588" t="str">
        <x:f>IF(I588="Closed Won","Won",IF(I588="Closed Lost","Lost","Open"))</x:f>
        <x:v>Won</x:v>
      </x:c>
      <x:c r="V588" s="22" t="n">
        <x:f>IF(U588="Won",L588*(1-M588),0)</x:f>
        <x:v>15088</x:v>
      </x:c>
      <x:c r="W588" s="22" t="n">
        <x:f>IF(U588="Open",L588*N588,0)</x:f>
        <x:v>0</x:v>
      </x:c>
      <x:c r="X588" s="26" t="n">
        <x:f>IF(U588="Open","",IFERROR(K588-B588,""))</x:f>
        <x:v>99</x:v>
      </x:c>
      <x:c r="Y588" s="26" t="n">
        <x:f>IF(U588="Open",Lookups!$B$2-B588,X588)</x:f>
        <x:v>99</x:v>
      </x:c>
      <x:c r="Z588" t="str">
        <x:f>IF(AND(U588="Open",Y588&gt;30),"STALE","OK")</x:f>
        <x:v>OK</x:v>
      </x:c>
      <x:c r="AA588" t="str">
        <x:f>TEXT(B588,"yyyy-mm")</x:f>
        <x:v>2025-12</x:v>
      </x:c>
      <x:c r="AB588" t="str">
        <x:f>IF(K588="","",TEXT(K588,"yyyy-mm"))</x:f>
        <x:v>2026-03</x:v>
      </x:c>
      <x:c r="AC588" t="str">
        <x:f>"Q"&amp;ROUNDUP(MONTH(B588)/3,0)&amp;"-"&amp;YEAR(B588)</x:f>
        <x:v>Q4-2025</x:v>
      </x:c>
      <x:c r="AD588" s="26" t="n">
        <x:f>MIN(100,IF(H588="Enterprise",30,IF(H588="Mid-Market",22,14))+IF(T588="Enterprise",25,IF(T588="Mid-Market",18,10))+IF(Q588="Referral",25,IF(Q588="Organic Search",20,IF(Q588="Email",18,14)))+IF(G588="Technology",10,5))</x:f>
        <x:v>49</x:v>
      </x:c>
      <x:c r="AE588" t="str">
        <x:f>IF(U588&lt;&gt;"Open",U588,IF(N588&gt;=0.8,"Commit",IF(N588&gt;=0.5,"Best Case","Pipeline")))</x:f>
        <x:v>Won</x:v>
      </x:c>
    </x:row>
    <x:row r="589">
      <x:c r="A589" t="str">
        <x:v>L00588</x:v>
      </x:c>
      <x:c r="B589" s="10" t="n">
        <x:v>45888</x:v>
      </x:c>
      <x:c r="C589" t="str">
        <x:v>Bao Tran</x:v>
      </x:c>
      <x:c r="D589" t="str">
        <x:v>South</x:v>
      </x:c>
      <x:c r="E589" t="str">
        <x:v>SDR Outreach</x:v>
      </x:c>
      <x:c r="F589" t="str">
        <x:v>BI-PLUS</x:v>
      </x:c>
      <x:c r="G589" t="str">
        <x:v>Financial Services</x:v>
      </x:c>
      <x:c r="H589" t="str">
        <x:v>SMB</x:v>
      </x:c>
      <x:c r="I589" t="str">
        <x:v>Closed Lost</x:v>
      </x:c>
      <x:c r="J589" s="10" t="n">
        <x:v>45934</x:v>
      </x:c>
      <x:c r="K589" s="10" t="n">
        <x:v>45934</x:v>
      </x:c>
      <x:c r="L589" s="22" t="n">
        <x:v>12700</x:v>
      </x:c>
      <x:c r="M589" s="24" t="n">
        <x:v>0</x:v>
      </x:c>
      <x:c r="N589" s="24" t="n">
        <x:v>0</x:v>
      </x:c>
      <x:c r="O589" t="str">
        <x:v>Competitor</x:v>
      </x:c>
      <x:c r="P589" t="n">
        <x:v>3</x:v>
      </x:c>
      <x:c r="Q589" t="str">
        <x:f>IFERROR(XLOOKUP(E589,Lookups!$A$5:$A$24,Lookups!$B$5:$B$24),"Other")</x:f>
        <x:v>Outbound</x:v>
      </x:c>
      <x:c r="R589" t="str">
        <x:f>IFERROR(XLOOKUP(F589,Lookups!$D$5:$D$10,Lookups!$E$5:$E$10),"Unknown Product")</x:f>
        <x:v>Analytics Plus</x:v>
      </x:c>
      <x:c r="S589" t="str">
        <x:f>IFERROR(XLOOKUP(F589,Lookups!$D$5:$D$10,Lookups!$F$5:$F$10),"Unknown")</x:f>
        <x:v>Analytics</x:v>
      </x:c>
      <x:c r="T589" t="str">
        <x:f>IF(L589&gt;=50000,"Enterprise",IF(L589&gt;=20000,"Mid-Market","SMB"))</x:f>
        <x:v>SMB</x:v>
      </x:c>
      <x:c r="U589" t="str">
        <x:f>IF(I589="Closed Won","Won",IF(I589="Closed Lost","Lost","Open"))</x:f>
        <x:v>Lost</x:v>
      </x:c>
      <x:c r="V589" s="22" t="n">
        <x:f>IF(U589="Won",L589*(1-M589),0)</x:f>
        <x:v>0</x:v>
      </x:c>
      <x:c r="W589" s="22" t="n">
        <x:f>IF(U589="Open",L589*N589,0)</x:f>
        <x:v>0</x:v>
      </x:c>
      <x:c r="X589" s="26" t="n">
        <x:f>IF(U589="Open","",IFERROR(K589-B589,""))</x:f>
        <x:v>46</x:v>
      </x:c>
      <x:c r="Y589" s="26" t="n">
        <x:f>IF(U589="Open",Lookups!$B$2-B589,X589)</x:f>
        <x:v>46</x:v>
      </x:c>
      <x:c r="Z589" t="str">
        <x:f>IF(AND(U589="Open",Y589&gt;30),"STALE","OK")</x:f>
        <x:v>OK</x:v>
      </x:c>
      <x:c r="AA589" t="str">
        <x:f>TEXT(B589,"yyyy-mm")</x:f>
        <x:v>2025-08</x:v>
      </x:c>
      <x:c r="AB589" t="str">
        <x:f>IF(K589="","",TEXT(K589,"yyyy-mm"))</x:f>
        <x:v>2025-10</x:v>
      </x:c>
      <x:c r="AC589" t="str">
        <x:f>"Q"&amp;ROUNDUP(MONTH(B589)/3,0)&amp;"-"&amp;YEAR(B589)</x:f>
        <x:v>Q3-2025</x:v>
      </x:c>
      <x:c r="AD589" s="26" t="n">
        <x:f>MIN(100,IF(H589="Enterprise",30,IF(H589="Mid-Market",22,14))+IF(T589="Enterprise",25,IF(T589="Mid-Market",18,10))+IF(Q589="Referral",25,IF(Q589="Organic Search",20,IF(Q589="Email",18,14)))+IF(G589="Technology",10,5))</x:f>
        <x:v>43</x:v>
      </x:c>
      <x:c r="AE589" t="str">
        <x:f>IF(U589&lt;&gt;"Open",U589,IF(N589&gt;=0.8,"Commit",IF(N589&gt;=0.5,"Best Case","Pipeline")))</x:f>
        <x:v>Lost</x:v>
      </x:c>
    </x:row>
    <x:row r="590">
      <x:c r="A590" t="str">
        <x:v>L00589</x:v>
      </x:c>
      <x:c r="B590" s="10" t="n">
        <x:v>46215</x:v>
      </x:c>
      <x:c r="C590" t="str">
        <x:v>Quynh Vu</x:v>
      </x:c>
      <x:c r="D590" t="str">
        <x:v>North</x:v>
      </x:c>
      <x:c r="E590" t="str">
        <x:v>LI Ads</x:v>
      </x:c>
      <x:c r="F590" t="str">
        <x:v>CS-CLOUD</x:v>
      </x:c>
      <x:c r="G590" t="str">
        <x:v>Healthcare</x:v>
      </x:c>
      <x:c r="H590" t="str">
        <x:v>Mid-Market</x:v>
      </x:c>
      <x:c r="I590" t="str">
        <x:v>Qualified</x:v>
      </x:c>
      <x:c r="J590" s="10" t="n">
        <x:v>46242</x:v>
      </x:c>
      <x:c r="K590" s="10"/>
      <x:c r="L590" s="22" t="n">
        <x:v>26300</x:v>
      </x:c>
      <x:c r="M590" s="24" t="n">
        <x:v>0</x:v>
      </x:c>
      <x:c r="N590" s="24" t="n">
        <x:v>0.2</x:v>
      </x:c>
      <x:c r="O590" t="str"/>
      <x:c r="P590" t="n">
        <x:v>2</x:v>
      </x:c>
      <x:c r="Q590" t="str">
        <x:f>IFERROR(XLOOKUP(E590,Lookups!$A$5:$A$24,Lookups!$B$5:$B$24),"Other")</x:f>
        <x:v>LinkedIn</x:v>
      </x:c>
      <x:c r="R590" t="str">
        <x:f>IFERROR(XLOOKUP(F590,Lookups!$D$5:$D$10,Lookups!$E$5:$E$10),"Unknown Product")</x:f>
        <x:v>Service Cloud</x:v>
      </x:c>
      <x:c r="S590" t="str">
        <x:f>IFERROR(XLOOKUP(F590,Lookups!$D$5:$D$10,Lookups!$F$5:$F$10),"Unknown")</x:f>
        <x:v>Customer Service</x:v>
      </x:c>
      <x:c r="T590" t="str">
        <x:f>IF(L590&gt;=50000,"Enterprise",IF(L590&gt;=20000,"Mid-Market","SMB"))</x:f>
        <x:v>Mid-Market</x:v>
      </x:c>
      <x:c r="U590" t="str">
        <x:f>IF(I590="Closed Won","Won",IF(I590="Closed Lost","Lost","Open"))</x:f>
        <x:v>Open</x:v>
      </x:c>
      <x:c r="V590" s="22" t="n">
        <x:f>IF(U590="Won",L590*(1-M590),0)</x:f>
        <x:v>0</x:v>
      </x:c>
      <x:c r="W590" s="22" t="n">
        <x:f>IF(U590="Open",L590*N590,0)</x:f>
        <x:v>5260</x:v>
      </x:c>
      <x:c r="X590" s="26" t="str">
        <x:f>IF(U590="Open","",IFERROR(K590-B590,""))</x:f>
      </x:c>
      <x:c r="Y590" s="26" t="n">
        <x:f>IF(U590="Open",Lookups!$B$2-B590,X590)</x:f>
        <x:v>51</x:v>
      </x:c>
      <x:c r="Z590" t="str">
        <x:f>IF(AND(U590="Open",Y590&gt;30),"STALE","OK")</x:f>
        <x:v>STALE</x:v>
      </x:c>
      <x:c r="AA590" t="str">
        <x:f>TEXT(B590,"yyyy-mm")</x:f>
        <x:v>2026-07</x:v>
      </x:c>
      <x:c r="AB590" t="str">
        <x:f>IF(K590="","",TEXT(K590,"yyyy-mm"))</x:f>
      </x:c>
      <x:c r="AC590" t="str">
        <x:f>"Q"&amp;ROUNDUP(MONTH(B590)/3,0)&amp;"-"&amp;YEAR(B590)</x:f>
        <x:v>Q3-2026</x:v>
      </x:c>
      <x:c r="AD590" s="26" t="n">
        <x:f>MIN(100,IF(H590="Enterprise",30,IF(H590="Mid-Market",22,14))+IF(T590="Enterprise",25,IF(T590="Mid-Market",18,10))+IF(Q590="Referral",25,IF(Q590="Organic Search",20,IF(Q590="Email",18,14)))+IF(G590="Technology",10,5))</x:f>
        <x:v>59</x:v>
      </x:c>
      <x:c r="AE590" t="str">
        <x:f>IF(U590&lt;&gt;"Open",U590,IF(N590&gt;=0.8,"Commit",IF(N590&gt;=0.5,"Best Case","Pipeline")))</x:f>
        <x:v>Pipeline</x:v>
      </x:c>
    </x:row>
    <x:row r="591">
      <x:c r="A591" t="str">
        <x:v>L00590</x:v>
      </x:c>
      <x:c r="B591" s="10" t="n">
        <x:v>45687</x:v>
      </x:c>
      <x:c r="C591" t="str">
        <x:v>Duy Pham</x:v>
      </x:c>
      <x:c r="D591" t="str">
        <x:v>South</x:v>
      </x:c>
      <x:c r="E591" t="str">
        <x:v>Unknown Event</x:v>
      </x:c>
      <x:c r="F591" t="str">
        <x:v>BI-PLUS</x:v>
      </x:c>
      <x:c r="G591" t="str">
        <x:v>Financial Services</x:v>
      </x:c>
      <x:c r="H591" t="str">
        <x:v>Mid-Market</x:v>
      </x:c>
      <x:c r="I591" t="str">
        <x:v>Closed Lost</x:v>
      </x:c>
      <x:c r="J591" s="10" t="n">
        <x:v>45713</x:v>
      </x:c>
      <x:c r="K591" s="10" t="n">
        <x:v>45713</x:v>
      </x:c>
      <x:c r="L591" s="22" t="n">
        <x:v>54300</x:v>
      </x:c>
      <x:c r="M591" s="24" t="n">
        <x:v>0</x:v>
      </x:c>
      <x:c r="N591" s="24" t="n">
        <x:v>0</x:v>
      </x:c>
      <x:c r="O591" t="str">
        <x:v>Price</x:v>
      </x:c>
      <x:c r="P591" t="n">
        <x:v>4</x:v>
      </x:c>
      <x:c r="Q591" t="str">
        <x:f>IFERROR(XLOOKUP(E591,Lookups!$A$5:$A$24,Lookups!$B$5:$B$24),"Other")</x:f>
        <x:v>Other</x:v>
      </x:c>
      <x:c r="R591" t="str">
        <x:f>IFERROR(XLOOKUP(F591,Lookups!$D$5:$D$10,Lookups!$E$5:$E$10),"Unknown Product")</x:f>
        <x:v>Analytics Plus</x:v>
      </x:c>
      <x:c r="S591" t="str">
        <x:f>IFERROR(XLOOKUP(F591,Lookups!$D$5:$D$10,Lookups!$F$5:$F$10),"Unknown")</x:f>
        <x:v>Analytics</x:v>
      </x:c>
      <x:c r="T591" t="str">
        <x:f>IF(L591&gt;=50000,"Enterprise",IF(L591&gt;=20000,"Mid-Market","SMB"))</x:f>
        <x:v>Enterprise</x:v>
      </x:c>
      <x:c r="U591" t="str">
        <x:f>IF(I591="Closed Won","Won",IF(I591="Closed Lost","Lost","Open"))</x:f>
        <x:v>Lost</x:v>
      </x:c>
      <x:c r="V591" s="22" t="n">
        <x:f>IF(U591="Won",L591*(1-M591),0)</x:f>
        <x:v>0</x:v>
      </x:c>
      <x:c r="W591" s="22" t="n">
        <x:f>IF(U591="Open",L591*N591,0)</x:f>
        <x:v>0</x:v>
      </x:c>
      <x:c r="X591" s="26" t="n">
        <x:f>IF(U591="Open","",IFERROR(K591-B591,""))</x:f>
        <x:v>26</x:v>
      </x:c>
      <x:c r="Y591" s="26" t="n">
        <x:f>IF(U591="Open",Lookups!$B$2-B591,X591)</x:f>
        <x:v>26</x:v>
      </x:c>
      <x:c r="Z591" t="str">
        <x:f>IF(AND(U591="Open",Y591&gt;30),"STALE","OK")</x:f>
        <x:v>OK</x:v>
      </x:c>
      <x:c r="AA591" t="str">
        <x:f>TEXT(B591,"yyyy-mm")</x:f>
        <x:v>2025-01</x:v>
      </x:c>
      <x:c r="AB591" t="str">
        <x:f>IF(K591="","",TEXT(K591,"yyyy-mm"))</x:f>
        <x:v>2025-02</x:v>
      </x:c>
      <x:c r="AC591" t="str">
        <x:f>"Q"&amp;ROUNDUP(MONTH(B591)/3,0)&amp;"-"&amp;YEAR(B591)</x:f>
        <x:v>Q1-2025</x:v>
      </x:c>
      <x:c r="AD591" s="26" t="n">
        <x:f>MIN(100,IF(H591="Enterprise",30,IF(H591="Mid-Market",22,14))+IF(T591="Enterprise",25,IF(T591="Mid-Market",18,10))+IF(Q591="Referral",25,IF(Q591="Organic Search",20,IF(Q591="Email",18,14)))+IF(G591="Technology",10,5))</x:f>
        <x:v>66</x:v>
      </x:c>
      <x:c r="AE591" t="str">
        <x:f>IF(U591&lt;&gt;"Open",U591,IF(N591&gt;=0.8,"Commit",IF(N591&gt;=0.5,"Best Case","Pipeline")))</x:f>
        <x:v>Lost</x:v>
      </x:c>
    </x:row>
    <x:row r="592">
      <x:c r="A592" t="str">
        <x:v>L00591</x:v>
      </x:c>
      <x:c r="B592" s="10" t="n">
        <x:v>45826</x:v>
      </x:c>
      <x:c r="C592" t="str">
        <x:v>Minh Do</x:v>
      </x:c>
      <x:c r="D592" t="str">
        <x:v>North</x:v>
      </x:c>
      <x:c r="E592" t="str">
        <x:v>LI Ads</x:v>
      </x:c>
      <x:c r="F592" t="str">
        <x:v>REV-OPS</x:v>
      </x:c>
      <x:c r="G592" t="str">
        <x:v>Technology</x:v>
      </x:c>
      <x:c r="H592" t="str">
        <x:v>Mid-Market</x:v>
      </x:c>
      <x:c r="I592" t="str">
        <x:v>Closed Won</x:v>
      </x:c>
      <x:c r="J592" s="10" t="n">
        <x:v>45886</x:v>
      </x:c>
      <x:c r="K592" s="10" t="n">
        <x:v>45886</x:v>
      </x:c>
      <x:c r="L592" s="22" t="n">
        <x:v>59700</x:v>
      </x:c>
      <x:c r="M592" s="24" t="n">
        <x:v>0.05</x:v>
      </x:c>
      <x:c r="N592" s="24" t="n">
        <x:v>1</x:v>
      </x:c>
      <x:c r="O592" t="str"/>
      <x:c r="P592" t="n">
        <x:v>6</x:v>
      </x:c>
      <x:c r="Q592" t="str">
        <x:f>IFERROR(XLOOKUP(E592,Lookups!$A$5:$A$24,Lookups!$B$5:$B$24),"Other")</x:f>
        <x:v>LinkedIn</x:v>
      </x:c>
      <x:c r="R592" t="str">
        <x:f>IFERROR(XLOOKUP(F592,Lookups!$D$5:$D$10,Lookups!$E$5:$E$10),"Unknown Product")</x:f>
        <x:v>Revenue Operations Suite</x:v>
      </x:c>
      <x:c r="S592" t="str">
        <x:f>IFERROR(XLOOKUP(F592,Lookups!$D$5:$D$10,Lookups!$F$5:$F$10),"Unknown")</x:f>
        <x:v>Revenue Ops</x:v>
      </x:c>
      <x:c r="T592" t="str">
        <x:f>IF(L592&gt;=50000,"Enterprise",IF(L592&gt;=20000,"Mid-Market","SMB"))</x:f>
        <x:v>Enterprise</x:v>
      </x:c>
      <x:c r="U592" t="str">
        <x:f>IF(I592="Closed Won","Won",IF(I592="Closed Lost","Lost","Open"))</x:f>
        <x:v>Won</x:v>
      </x:c>
      <x:c r="V592" s="22" t="n">
        <x:f>IF(U592="Won",L592*(1-M592),0)</x:f>
        <x:v>56715</x:v>
      </x:c>
      <x:c r="W592" s="22" t="n">
        <x:f>IF(U592="Open",L592*N592,0)</x:f>
        <x:v>0</x:v>
      </x:c>
      <x:c r="X592" s="26" t="n">
        <x:f>IF(U592="Open","",IFERROR(K592-B592,""))</x:f>
        <x:v>60</x:v>
      </x:c>
      <x:c r="Y592" s="26" t="n">
        <x:f>IF(U592="Open",Lookups!$B$2-B592,X592)</x:f>
        <x:v>60</x:v>
      </x:c>
      <x:c r="Z592" t="str">
        <x:f>IF(AND(U592="Open",Y592&gt;30),"STALE","OK")</x:f>
        <x:v>OK</x:v>
      </x:c>
      <x:c r="AA592" t="str">
        <x:f>TEXT(B592,"yyyy-mm")</x:f>
        <x:v>2025-06</x:v>
      </x:c>
      <x:c r="AB592" t="str">
        <x:f>IF(K592="","",TEXT(K592,"yyyy-mm"))</x:f>
        <x:v>2025-08</x:v>
      </x:c>
      <x:c r="AC592" t="str">
        <x:f>"Q"&amp;ROUNDUP(MONTH(B592)/3,0)&amp;"-"&amp;YEAR(B592)</x:f>
        <x:v>Q2-2025</x:v>
      </x:c>
      <x:c r="AD592" s="26" t="n">
        <x:f>MIN(100,IF(H592="Enterprise",30,IF(H592="Mid-Market",22,14))+IF(T592="Enterprise",25,IF(T592="Mid-Market",18,10))+IF(Q592="Referral",25,IF(Q592="Organic Search",20,IF(Q592="Email",18,14)))+IF(G592="Technology",10,5))</x:f>
        <x:v>71</x:v>
      </x:c>
      <x:c r="AE592" t="str">
        <x:f>IF(U592&lt;&gt;"Open",U592,IF(N592&gt;=0.8,"Commit",IF(N592&gt;=0.5,"Best Case","Pipeline")))</x:f>
        <x:v>Won</x:v>
      </x:c>
    </x:row>
    <x:row r="593">
      <x:c r="A593" t="str">
        <x:v>L00592</x:v>
      </x:c>
      <x:c r="B593" s="10" t="n">
        <x:v>46243</x:v>
      </x:c>
      <x:c r="C593" t="str">
        <x:v>An Nguyen</x:v>
      </x:c>
      <x:c r="D593" t="str">
        <x:v>South</x:v>
      </x:c>
      <x:c r="E593" t="str">
        <x:v>customer referral</x:v>
      </x:c>
      <x:c r="F593" t="str">
        <x:v>CS-CLOUD</x:v>
      </x:c>
      <x:c r="G593" t="str">
        <x:v>Education</x:v>
      </x:c>
      <x:c r="H593" t="str">
        <x:v>Mid-Market</x:v>
      </x:c>
      <x:c r="I593" t="str">
        <x:v>Qualified</x:v>
      </x:c>
      <x:c r="J593" s="10" t="n">
        <x:v>46258</x:v>
      </x:c>
      <x:c r="K593" s="10"/>
      <x:c r="L593" s="22" t="n">
        <x:v>48500</x:v>
      </x:c>
      <x:c r="M593" s="24" t="n">
        <x:v>0.03</x:v>
      </x:c>
      <x:c r="N593" s="24" t="n">
        <x:v>0.2</x:v>
      </x:c>
      <x:c r="O593" t="str"/>
      <x:c r="P593" t="n">
        <x:v>2</x:v>
      </x:c>
      <x:c r="Q593" t="str">
        <x:f>IFERROR(XLOOKUP(E593,Lookups!$A$5:$A$24,Lookups!$B$5:$B$24),"Other")</x:f>
        <x:v>Referral</x:v>
      </x:c>
      <x:c r="R593" t="str">
        <x:f>IFERROR(XLOOKUP(F593,Lookups!$D$5:$D$10,Lookups!$E$5:$E$10),"Unknown Product")</x:f>
        <x:v>Service Cloud</x:v>
      </x:c>
      <x:c r="S593" t="str">
        <x:f>IFERROR(XLOOKUP(F593,Lookups!$D$5:$D$10,Lookups!$F$5:$F$10),"Unknown")</x:f>
        <x:v>Customer Service</x:v>
      </x:c>
      <x:c r="T593" t="str">
        <x:f>IF(L593&gt;=50000,"Enterprise",IF(L593&gt;=20000,"Mid-Market","SMB"))</x:f>
        <x:v>Mid-Market</x:v>
      </x:c>
      <x:c r="U593" t="str">
        <x:f>IF(I593="Closed Won","Won",IF(I593="Closed Lost","Lost","Open"))</x:f>
        <x:v>Open</x:v>
      </x:c>
      <x:c r="V593" s="22" t="n">
        <x:f>IF(U593="Won",L593*(1-M593),0)</x:f>
        <x:v>0</x:v>
      </x:c>
      <x:c r="W593" s="22" t="n">
        <x:f>IF(U593="Open",L593*N593,0)</x:f>
        <x:v>9700</x:v>
      </x:c>
      <x:c r="X593" s="26" t="str">
        <x:f>IF(U593="Open","",IFERROR(K593-B593,""))</x:f>
      </x:c>
      <x:c r="Y593" s="26" t="n">
        <x:f>IF(U593="Open",Lookups!$B$2-B593,X593)</x:f>
        <x:v>23</x:v>
      </x:c>
      <x:c r="Z593" t="str">
        <x:f>IF(AND(U593="Open",Y593&gt;30),"STALE","OK")</x:f>
        <x:v>OK</x:v>
      </x:c>
      <x:c r="AA593" t="str">
        <x:f>TEXT(B593,"yyyy-mm")</x:f>
        <x:v>2026-08</x:v>
      </x:c>
      <x:c r="AB593" t="str">
        <x:f>IF(K593="","",TEXT(K593,"yyyy-mm"))</x:f>
      </x:c>
      <x:c r="AC593" t="str">
        <x:f>"Q"&amp;ROUNDUP(MONTH(B593)/3,0)&amp;"-"&amp;YEAR(B593)</x:f>
        <x:v>Q3-2026</x:v>
      </x:c>
      <x:c r="AD593" s="26" t="n">
        <x:f>MIN(100,IF(H593="Enterprise",30,IF(H593="Mid-Market",22,14))+IF(T593="Enterprise",25,IF(T593="Mid-Market",18,10))+IF(Q593="Referral",25,IF(Q593="Organic Search",20,IF(Q593="Email",18,14)))+IF(G593="Technology",10,5))</x:f>
        <x:v>70</x:v>
      </x:c>
      <x:c r="AE593" t="str">
        <x:f>IF(U593&lt;&gt;"Open",U593,IF(N593&gt;=0.8,"Commit",IF(N593&gt;=0.5,"Best Case","Pipeline")))</x:f>
        <x:v>Pipeline</x:v>
      </x:c>
    </x:row>
    <x:row r="594">
      <x:c r="A594" t="str">
        <x:v>L00593</x:v>
      </x:c>
      <x:c r="B594" s="10" t="n">
        <x:v>46103</x:v>
      </x:c>
      <x:c r="C594" t="str">
        <x:v>An Nguyen</x:v>
      </x:c>
      <x:c r="D594" t="str">
        <x:v>South</x:v>
      </x:c>
      <x:c r="E594" t="str">
        <x:v>SEM - Google</x:v>
      </x:c>
      <x:c r="F594" t="str">
        <x:v>CRM-CORE</x:v>
      </x:c>
      <x:c r="G594" t="str">
        <x:v>Technology</x:v>
      </x:c>
      <x:c r="H594" t="str">
        <x:v>Enterprise</x:v>
      </x:c>
      <x:c r="I594" t="str">
        <x:v>Closed Won</x:v>
      </x:c>
      <x:c r="J594" s="10" t="n">
        <x:v>46177</x:v>
      </x:c>
      <x:c r="K594" s="10" t="n">
        <x:v>46177</x:v>
      </x:c>
      <x:c r="L594" s="22" t="n">
        <x:v>23600</x:v>
      </x:c>
      <x:c r="M594" s="24" t="n">
        <x:v>0.12</x:v>
      </x:c>
      <x:c r="N594" s="24" t="n">
        <x:v>1</x:v>
      </x:c>
      <x:c r="O594" t="str"/>
      <x:c r="P594" t="n">
        <x:v>6</x:v>
      </x:c>
      <x:c r="Q594" t="str">
        <x:f>IFERROR(XLOOKUP(E594,Lookups!$A$5:$A$24,Lookups!$B$5:$B$24),"Other")</x:f>
        <x:v>Paid Search</x:v>
      </x:c>
      <x:c r="R594" t="str">
        <x:f>IFERROR(XLOOKUP(F594,Lookups!$D$5:$D$10,Lookups!$E$5:$E$10),"Unknown Product")</x:f>
        <x:v>NexaCRM Core</x:v>
      </x:c>
      <x:c r="S594" t="str">
        <x:f>IFERROR(XLOOKUP(F594,Lookups!$D$5:$D$10,Lookups!$F$5:$F$10),"Unknown")</x:f>
        <x:v>CRM</x:v>
      </x:c>
      <x:c r="T594" t="str">
        <x:f>IF(L594&gt;=50000,"Enterprise",IF(L594&gt;=20000,"Mid-Market","SMB"))</x:f>
        <x:v>Mid-Market</x:v>
      </x:c>
      <x:c r="U594" t="str">
        <x:f>IF(I594="Closed Won","Won",IF(I594="Closed Lost","Lost","Open"))</x:f>
        <x:v>Won</x:v>
      </x:c>
      <x:c r="V594" s="22" t="n">
        <x:f>IF(U594="Won",L594*(1-M594),0)</x:f>
        <x:v>20768</x:v>
      </x:c>
      <x:c r="W594" s="22" t="n">
        <x:f>IF(U594="Open",L594*N594,0)</x:f>
        <x:v>0</x:v>
      </x:c>
      <x:c r="X594" s="26" t="n">
        <x:f>IF(U594="Open","",IFERROR(K594-B594,""))</x:f>
        <x:v>74</x:v>
      </x:c>
      <x:c r="Y594" s="26" t="n">
        <x:f>IF(U594="Open",Lookups!$B$2-B594,X594)</x:f>
        <x:v>74</x:v>
      </x:c>
      <x:c r="Z594" t="str">
        <x:f>IF(AND(U594="Open",Y594&gt;30),"STALE","OK")</x:f>
        <x:v>OK</x:v>
      </x:c>
      <x:c r="AA594" t="str">
        <x:f>TEXT(B594,"yyyy-mm")</x:f>
        <x:v>2026-03</x:v>
      </x:c>
      <x:c r="AB594" t="str">
        <x:f>IF(K594="","",TEXT(K594,"yyyy-mm"))</x:f>
        <x:v>2026-06</x:v>
      </x:c>
      <x:c r="AC594" t="str">
        <x:f>"Q"&amp;ROUNDUP(MONTH(B594)/3,0)&amp;"-"&amp;YEAR(B594)</x:f>
        <x:v>Q1-2026</x:v>
      </x:c>
      <x:c r="AD594" s="26" t="n">
        <x:f>MIN(100,IF(H594="Enterprise",30,IF(H594="Mid-Market",22,14))+IF(T594="Enterprise",25,IF(T594="Mid-Market",18,10))+IF(Q594="Referral",25,IF(Q594="Organic Search",20,IF(Q594="Email",18,14)))+IF(G594="Technology",10,5))</x:f>
        <x:v>72</x:v>
      </x:c>
      <x:c r="AE594" t="str">
        <x:f>IF(U594&lt;&gt;"Open",U594,IF(N594&gt;=0.8,"Commit",IF(N594&gt;=0.5,"Best Case","Pipeline")))</x:f>
        <x:v>Won</x:v>
      </x:c>
    </x:row>
    <x:row r="595">
      <x:c r="A595" t="str">
        <x:v>L00594</x:v>
      </x:c>
      <x:c r="B595" s="10" t="n">
        <x:v>45810</x:v>
      </x:c>
      <x:c r="C595" t="str">
        <x:v>An Nguyen</x:v>
      </x:c>
      <x:c r="D595" t="str">
        <x:v>South</x:v>
      </x:c>
      <x:c r="E595" t="str">
        <x:v>Google Organic</x:v>
      </x:c>
      <x:c r="F595" t="str">
        <x:v>REV-OPS</x:v>
      </x:c>
      <x:c r="G595" t="str">
        <x:v>Retail</x:v>
      </x:c>
      <x:c r="H595" t="str">
        <x:v>SMB</x:v>
      </x:c>
      <x:c r="I595" t="str">
        <x:v>Closed Lost</x:v>
      </x:c>
      <x:c r="J595" s="10" t="n">
        <x:v>45848</x:v>
      </x:c>
      <x:c r="K595" s="10" t="n">
        <x:v>45848</x:v>
      </x:c>
      <x:c r="L595" s="22" t="n">
        <x:v>41300</x:v>
      </x:c>
      <x:c r="M595" s="24" t="n">
        <x:v>0</x:v>
      </x:c>
      <x:c r="N595" s="24" t="n">
        <x:v>0</x:v>
      </x:c>
      <x:c r="O595" t="str">
        <x:v>Budget</x:v>
      </x:c>
      <x:c r="P595" t="n">
        <x:v>2</x:v>
      </x:c>
      <x:c r="Q595" t="str">
        <x:f>IFERROR(XLOOKUP(E595,Lookups!$A$5:$A$24,Lookups!$B$5:$B$24),"Other")</x:f>
        <x:v>Organic Search</x:v>
      </x:c>
      <x:c r="R595" t="str">
        <x:f>IFERROR(XLOOKUP(F595,Lookups!$D$5:$D$10,Lookups!$E$5:$E$10),"Unknown Product")</x:f>
        <x:v>Revenue Operations Suite</x:v>
      </x:c>
      <x:c r="S595" t="str">
        <x:f>IFERROR(XLOOKUP(F595,Lookups!$D$5:$D$10,Lookups!$F$5:$F$10),"Unknown")</x:f>
        <x:v>Revenue Ops</x:v>
      </x:c>
      <x:c r="T595" t="str">
        <x:f>IF(L595&gt;=50000,"Enterprise",IF(L595&gt;=20000,"Mid-Market","SMB"))</x:f>
        <x:v>Mid-Market</x:v>
      </x:c>
      <x:c r="U595" t="str">
        <x:f>IF(I595="Closed Won","Won",IF(I595="Closed Lost","Lost","Open"))</x:f>
        <x:v>Lost</x:v>
      </x:c>
      <x:c r="V595" s="22" t="n">
        <x:f>IF(U595="Won",L595*(1-M595),0)</x:f>
        <x:v>0</x:v>
      </x:c>
      <x:c r="W595" s="22" t="n">
        <x:f>IF(U595="Open",L595*N595,0)</x:f>
        <x:v>0</x:v>
      </x:c>
      <x:c r="X595" s="26" t="n">
        <x:f>IF(U595="Open","",IFERROR(K595-B595,""))</x:f>
        <x:v>38</x:v>
      </x:c>
      <x:c r="Y595" s="26" t="n">
        <x:f>IF(U595="Open",Lookups!$B$2-B595,X595)</x:f>
        <x:v>38</x:v>
      </x:c>
      <x:c r="Z595" t="str">
        <x:f>IF(AND(U595="Open",Y595&gt;30),"STALE","OK")</x:f>
        <x:v>OK</x:v>
      </x:c>
      <x:c r="AA595" t="str">
        <x:f>TEXT(B595,"yyyy-mm")</x:f>
        <x:v>2025-06</x:v>
      </x:c>
      <x:c r="AB595" t="str">
        <x:f>IF(K595="","",TEXT(K595,"yyyy-mm"))</x:f>
        <x:v>2025-07</x:v>
      </x:c>
      <x:c r="AC595" t="str">
        <x:f>"Q"&amp;ROUNDUP(MONTH(B595)/3,0)&amp;"-"&amp;YEAR(B595)</x:f>
        <x:v>Q2-2025</x:v>
      </x:c>
      <x:c r="AD595" s="26" t="n">
        <x:f>MIN(100,IF(H595="Enterprise",30,IF(H595="Mid-Market",22,14))+IF(T595="Enterprise",25,IF(T595="Mid-Market",18,10))+IF(Q595="Referral",25,IF(Q595="Organic Search",20,IF(Q595="Email",18,14)))+IF(G595="Technology",10,5))</x:f>
        <x:v>57</x:v>
      </x:c>
      <x:c r="AE595" t="str">
        <x:f>IF(U595&lt;&gt;"Open",U595,IF(N595&gt;=0.8,"Commit",IF(N595&gt;=0.5,"Best Case","Pipeline")))</x:f>
        <x:v>Lost</x:v>
      </x:c>
    </x:row>
    <x:row r="596">
      <x:c r="A596" t="str">
        <x:v>L00595</x:v>
      </x:c>
      <x:c r="B596" s="10" t="n">
        <x:v>45788</x:v>
      </x:c>
      <x:c r="C596" t="str">
        <x:v>Quynh Vu</x:v>
      </x:c>
      <x:c r="D596" t="str">
        <x:v>North</x:v>
      </x:c>
      <x:c r="E596" t="str">
        <x:v>email nurture</x:v>
      </x:c>
      <x:c r="F596" t="str">
        <x:v>CRM-CORE</x:v>
      </x:c>
      <x:c r="G596" t="str">
        <x:v>Education</x:v>
      </x:c>
      <x:c r="H596" t="str">
        <x:v>Mid-Market</x:v>
      </x:c>
      <x:c r="I596" t="str">
        <x:v>Closed Won</x:v>
      </x:c>
      <x:c r="J596" s="10" t="n">
        <x:v>45800</x:v>
      </x:c>
      <x:c r="K596" s="10" t="n">
        <x:v>45800</x:v>
      </x:c>
      <x:c r="L596" s="22" t="n">
        <x:v>12100</x:v>
      </x:c>
      <x:c r="M596" s="24" t="n">
        <x:v>0.05</x:v>
      </x:c>
      <x:c r="N596" s="24" t="n">
        <x:v>1</x:v>
      </x:c>
      <x:c r="O596" t="str"/>
      <x:c r="P596" t="n">
        <x:v>6</x:v>
      </x:c>
      <x:c r="Q596" t="str">
        <x:f>IFERROR(XLOOKUP(E596,Lookups!$A$5:$A$24,Lookups!$B$5:$B$24),"Other")</x:f>
        <x:v>Email</x:v>
      </x:c>
      <x:c r="R596" t="str">
        <x:f>IFERROR(XLOOKUP(F596,Lookups!$D$5:$D$10,Lookups!$E$5:$E$10),"Unknown Product")</x:f>
        <x:v>NexaCRM Core</x:v>
      </x:c>
      <x:c r="S596" t="str">
        <x:f>IFERROR(XLOOKUP(F596,Lookups!$D$5:$D$10,Lookups!$F$5:$F$10),"Unknown")</x:f>
        <x:v>CRM</x:v>
      </x:c>
      <x:c r="T596" t="str">
        <x:f>IF(L596&gt;=50000,"Enterprise",IF(L596&gt;=20000,"Mid-Market","SMB"))</x:f>
        <x:v>SMB</x:v>
      </x:c>
      <x:c r="U596" t="str">
        <x:f>IF(I596="Closed Won","Won",IF(I596="Closed Lost","Lost","Open"))</x:f>
        <x:v>Won</x:v>
      </x:c>
      <x:c r="V596" s="22" t="n">
        <x:f>IF(U596="Won",L596*(1-M596),0)</x:f>
        <x:v>11495</x:v>
      </x:c>
      <x:c r="W596" s="22" t="n">
        <x:f>IF(U596="Open",L596*N596,0)</x:f>
        <x:v>0</x:v>
      </x:c>
      <x:c r="X596" s="26" t="n">
        <x:f>IF(U596="Open","",IFERROR(K596-B596,""))</x:f>
        <x:v>12</x:v>
      </x:c>
      <x:c r="Y596" s="26" t="n">
        <x:f>IF(U596="Open",Lookups!$B$2-B596,X596)</x:f>
        <x:v>12</x:v>
      </x:c>
      <x:c r="Z596" t="str">
        <x:f>IF(AND(U596="Open",Y596&gt;30),"STALE","OK")</x:f>
        <x:v>OK</x:v>
      </x:c>
      <x:c r="AA596" t="str">
        <x:f>TEXT(B596,"yyyy-mm")</x:f>
        <x:v>2025-05</x:v>
      </x:c>
      <x:c r="AB596" t="str">
        <x:f>IF(K596="","",TEXT(K596,"yyyy-mm"))</x:f>
        <x:v>2025-05</x:v>
      </x:c>
      <x:c r="AC596" t="str">
        <x:f>"Q"&amp;ROUNDUP(MONTH(B596)/3,0)&amp;"-"&amp;YEAR(B596)</x:f>
        <x:v>Q2-2025</x:v>
      </x:c>
      <x:c r="AD596" s="26" t="n">
        <x:f>MIN(100,IF(H596="Enterprise",30,IF(H596="Mid-Market",22,14))+IF(T596="Enterprise",25,IF(T596="Mid-Market",18,10))+IF(Q596="Referral",25,IF(Q596="Organic Search",20,IF(Q596="Email",18,14)))+IF(G596="Technology",10,5))</x:f>
        <x:v>55</x:v>
      </x:c>
      <x:c r="AE596" t="str">
        <x:f>IF(U596&lt;&gt;"Open",U596,IF(N596&gt;=0.8,"Commit",IF(N596&gt;=0.5,"Best Case","Pipeline")))</x:f>
        <x:v>Won</x:v>
      </x:c>
    </x:row>
    <x:row r="597">
      <x:c r="A597" t="str">
        <x:v>L00596</x:v>
      </x:c>
      <x:c r="B597" s="10" t="n">
        <x:v>45732</x:v>
      </x:c>
      <x:c r="C597" t="str">
        <x:v>Bao Tran</x:v>
      </x:c>
      <x:c r="D597" t="str">
        <x:v>South</x:v>
      </x:c>
      <x:c r="E597" t="str">
        <x:v>SEM - Google</x:v>
      </x:c>
      <x:c r="F597" t="str">
        <x:v>CRM-PRO</x:v>
      </x:c>
      <x:c r="G597" t="str">
        <x:v>Retail</x:v>
      </x:c>
      <x:c r="H597" t="str">
        <x:v>Enterprise</x:v>
      </x:c>
      <x:c r="I597" t="str">
        <x:v>Closed Lost</x:v>
      </x:c>
      <x:c r="J597" s="10" t="n">
        <x:v>45773</x:v>
      </x:c>
      <x:c r="K597" s="10" t="n">
        <x:v>45773</x:v>
      </x:c>
      <x:c r="L597" s="22" t="n">
        <x:v>39200</x:v>
      </x:c>
      <x:c r="M597" s="24" t="n">
        <x:v>0</x:v>
      </x:c>
      <x:c r="N597" s="24" t="n">
        <x:v>0</x:v>
      </x:c>
      <x:c r="O597" t="str">
        <x:v>Competitor</x:v>
      </x:c>
      <x:c r="P597" t="n">
        <x:v>5</x:v>
      </x:c>
      <x:c r="Q597" t="str">
        <x:f>IFERROR(XLOOKUP(E597,Lookups!$A$5:$A$24,Lookups!$B$5:$B$24),"Other")</x:f>
        <x:v>Paid Search</x:v>
      </x:c>
      <x:c r="R597" t="str">
        <x:f>IFERROR(XLOOKUP(F597,Lookups!$D$5:$D$10,Lookups!$E$5:$E$10),"Unknown Product")</x:f>
        <x:v>NexaCRM Pro</x:v>
      </x:c>
      <x:c r="S597" t="str">
        <x:f>IFERROR(XLOOKUP(F597,Lookups!$D$5:$D$10,Lookups!$F$5:$F$10),"Unknown")</x:f>
        <x:v>CRM</x:v>
      </x:c>
      <x:c r="T597" t="str">
        <x:f>IF(L597&gt;=50000,"Enterprise",IF(L597&gt;=20000,"Mid-Market","SMB"))</x:f>
        <x:v>Mid-Market</x:v>
      </x:c>
      <x:c r="U597" t="str">
        <x:f>IF(I597="Closed Won","Won",IF(I597="Closed Lost","Lost","Open"))</x:f>
        <x:v>Lost</x:v>
      </x:c>
      <x:c r="V597" s="22" t="n">
        <x:f>IF(U597="Won",L597*(1-M597),0)</x:f>
        <x:v>0</x:v>
      </x:c>
      <x:c r="W597" s="22" t="n">
        <x:f>IF(U597="Open",L597*N597,0)</x:f>
        <x:v>0</x:v>
      </x:c>
      <x:c r="X597" s="26" t="n">
        <x:f>IF(U597="Open","",IFERROR(K597-B597,""))</x:f>
        <x:v>41</x:v>
      </x:c>
      <x:c r="Y597" s="26" t="n">
        <x:f>IF(U597="Open",Lookups!$B$2-B597,X597)</x:f>
        <x:v>41</x:v>
      </x:c>
      <x:c r="Z597" t="str">
        <x:f>IF(AND(U597="Open",Y597&gt;30),"STALE","OK")</x:f>
        <x:v>OK</x:v>
      </x:c>
      <x:c r="AA597" t="str">
        <x:f>TEXT(B597,"yyyy-mm")</x:f>
        <x:v>2025-03</x:v>
      </x:c>
      <x:c r="AB597" t="str">
        <x:f>IF(K597="","",TEXT(K597,"yyyy-mm"))</x:f>
        <x:v>2025-04</x:v>
      </x:c>
      <x:c r="AC597" t="str">
        <x:f>"Q"&amp;ROUNDUP(MONTH(B597)/3,0)&amp;"-"&amp;YEAR(B597)</x:f>
        <x:v>Q1-2025</x:v>
      </x:c>
      <x:c r="AD597" s="26" t="n">
        <x:f>MIN(100,IF(H597="Enterprise",30,IF(H597="Mid-Market",22,14))+IF(T597="Enterprise",25,IF(T597="Mid-Market",18,10))+IF(Q597="Referral",25,IF(Q597="Organic Search",20,IF(Q597="Email",18,14)))+IF(G597="Technology",10,5))</x:f>
        <x:v>67</x:v>
      </x:c>
      <x:c r="AE597" t="str">
        <x:f>IF(U597&lt;&gt;"Open",U597,IF(N597&gt;=0.8,"Commit",IF(N597&gt;=0.5,"Best Case","Pipeline")))</x:f>
        <x:v>Lost</x:v>
      </x:c>
    </x:row>
    <x:row r="598">
      <x:c r="A598" t="str">
        <x:v>L00597</x:v>
      </x:c>
      <x:c r="B598" s="10" t="n">
        <x:v>45987</x:v>
      </x:c>
      <x:c r="C598" t="str">
        <x:v>Minh Do</x:v>
      </x:c>
      <x:c r="D598" t="str">
        <x:v>North</x:v>
      </x:c>
      <x:c r="E598" t="str">
        <x:v>LinkedIn Ads</x:v>
      </x:c>
      <x:c r="F598" t="str">
        <x:v>REV-OPS</x:v>
      </x:c>
      <x:c r="G598" t="str">
        <x:v>Education</x:v>
      </x:c>
      <x:c r="H598" t="str">
        <x:v>Enterprise</x:v>
      </x:c>
      <x:c r="I598" t="str">
        <x:v>Closed Lost</x:v>
      </x:c>
      <x:c r="J598" s="10" t="n">
        <x:v>46021</x:v>
      </x:c>
      <x:c r="K598" s="10" t="n">
        <x:v>46021</x:v>
      </x:c>
      <x:c r="L598" s="22" t="n">
        <x:v>114300</x:v>
      </x:c>
      <x:c r="M598" s="24" t="n">
        <x:v>0</x:v>
      </x:c>
      <x:c r="N598" s="24" t="n">
        <x:v>0</x:v>
      </x:c>
      <x:c r="O598" t="str">
        <x:v>Price</x:v>
      </x:c>
      <x:c r="P598" t="n">
        <x:v>4</x:v>
      </x:c>
      <x:c r="Q598" t="str">
        <x:f>IFERROR(XLOOKUP(E598,Lookups!$A$5:$A$24,Lookups!$B$5:$B$24),"Other")</x:f>
        <x:v>LinkedIn</x:v>
      </x:c>
      <x:c r="R598" t="str">
        <x:f>IFERROR(XLOOKUP(F598,Lookups!$D$5:$D$10,Lookups!$E$5:$E$10),"Unknown Product")</x:f>
        <x:v>Revenue Operations Suite</x:v>
      </x:c>
      <x:c r="S598" t="str">
        <x:f>IFERROR(XLOOKUP(F598,Lookups!$D$5:$D$10,Lookups!$F$5:$F$10),"Unknown")</x:f>
        <x:v>Revenue Ops</x:v>
      </x:c>
      <x:c r="T598" t="str">
        <x:f>IF(L598&gt;=50000,"Enterprise",IF(L598&gt;=20000,"Mid-Market","SMB"))</x:f>
        <x:v>Enterprise</x:v>
      </x:c>
      <x:c r="U598" t="str">
        <x:f>IF(I598="Closed Won","Won",IF(I598="Closed Lost","Lost","Open"))</x:f>
        <x:v>Lost</x:v>
      </x:c>
      <x:c r="V598" s="22" t="n">
        <x:f>IF(U598="Won",L598*(1-M598),0)</x:f>
        <x:v>0</x:v>
      </x:c>
      <x:c r="W598" s="22" t="n">
        <x:f>IF(U598="Open",L598*N598,0)</x:f>
        <x:v>0</x:v>
      </x:c>
      <x:c r="X598" s="26" t="n">
        <x:f>IF(U598="Open","",IFERROR(K598-B598,""))</x:f>
        <x:v>34</x:v>
      </x:c>
      <x:c r="Y598" s="26" t="n">
        <x:f>IF(U598="Open",Lookups!$B$2-B598,X598)</x:f>
        <x:v>34</x:v>
      </x:c>
      <x:c r="Z598" t="str">
        <x:f>IF(AND(U598="Open",Y598&gt;30),"STALE","OK")</x:f>
        <x:v>OK</x:v>
      </x:c>
      <x:c r="AA598" t="str">
        <x:f>TEXT(B598,"yyyy-mm")</x:f>
        <x:v>2025-11</x:v>
      </x:c>
      <x:c r="AB598" t="str">
        <x:f>IF(K598="","",TEXT(K598,"yyyy-mm"))</x:f>
        <x:v>2025-12</x:v>
      </x:c>
      <x:c r="AC598" t="str">
        <x:f>"Q"&amp;ROUNDUP(MONTH(B598)/3,0)&amp;"-"&amp;YEAR(B598)</x:f>
        <x:v>Q4-2025</x:v>
      </x:c>
      <x:c r="AD598" s="26" t="n">
        <x:f>MIN(100,IF(H598="Enterprise",30,IF(H598="Mid-Market",22,14))+IF(T598="Enterprise",25,IF(T598="Mid-Market",18,10))+IF(Q598="Referral",25,IF(Q598="Organic Search",20,IF(Q598="Email",18,14)))+IF(G598="Technology",10,5))</x:f>
        <x:v>74</x:v>
      </x:c>
      <x:c r="AE598" t="str">
        <x:f>IF(U598&lt;&gt;"Open",U598,IF(N598&gt;=0.8,"Commit",IF(N598&gt;=0.5,"Best Case","Pipeline")))</x:f>
        <x:v>Lost</x:v>
      </x:c>
    </x:row>
    <x:row r="599">
      <x:c r="A599" t="str">
        <x:v>L00598</x:v>
      </x:c>
      <x:c r="B599" s="10" t="n">
        <x:v>46143</x:v>
      </x:c>
      <x:c r="C599" t="str">
        <x:v>Duy Pham</x:v>
      </x:c>
      <x:c r="D599" t="str">
        <x:v>South</x:v>
      </x:c>
      <x:c r="E599" t="str">
        <x:v>LinkedIn Ads</x:v>
      </x:c>
      <x:c r="F599" t="str">
        <x:v>REV-OPS</x:v>
      </x:c>
      <x:c r="G599" t="str">
        <x:v>Technology</x:v>
      </x:c>
      <x:c r="H599" t="str">
        <x:v>SMB</x:v>
      </x:c>
      <x:c r="I599" t="str">
        <x:v>Closed Lost</x:v>
      </x:c>
      <x:c r="J599" s="10" t="n">
        <x:v>46196</x:v>
      </x:c>
      <x:c r="K599" s="10" t="n">
        <x:v>46196</x:v>
      </x:c>
      <x:c r="L599" s="22" t="n">
        <x:v>27400</x:v>
      </x:c>
      <x:c r="M599" s="24" t="n">
        <x:v>0</x:v>
      </x:c>
      <x:c r="N599" s="24" t="n">
        <x:v>0</x:v>
      </x:c>
      <x:c r="O599" t="str">
        <x:v>Competitor</x:v>
      </x:c>
      <x:c r="P599" t="n">
        <x:v>3</x:v>
      </x:c>
      <x:c r="Q599" t="str">
        <x:f>IFERROR(XLOOKUP(E599,Lookups!$A$5:$A$24,Lookups!$B$5:$B$24),"Other")</x:f>
        <x:v>LinkedIn</x:v>
      </x:c>
      <x:c r="R599" t="str">
        <x:f>IFERROR(XLOOKUP(F599,Lookups!$D$5:$D$10,Lookups!$E$5:$E$10),"Unknown Product")</x:f>
        <x:v>Revenue Operations Suite</x:v>
      </x:c>
      <x:c r="S599" t="str">
        <x:f>IFERROR(XLOOKUP(F599,Lookups!$D$5:$D$10,Lookups!$F$5:$F$10),"Unknown")</x:f>
        <x:v>Revenue Ops</x:v>
      </x:c>
      <x:c r="T599" t="str">
        <x:f>IF(L599&gt;=50000,"Enterprise",IF(L599&gt;=20000,"Mid-Market","SMB"))</x:f>
        <x:v>Mid-Market</x:v>
      </x:c>
      <x:c r="U599" t="str">
        <x:f>IF(I599="Closed Won","Won",IF(I599="Closed Lost","Lost","Open"))</x:f>
        <x:v>Lost</x:v>
      </x:c>
      <x:c r="V599" s="22" t="n">
        <x:f>IF(U599="Won",L599*(1-M599),0)</x:f>
        <x:v>0</x:v>
      </x:c>
      <x:c r="W599" s="22" t="n">
        <x:f>IF(U599="Open",L599*N599,0)</x:f>
        <x:v>0</x:v>
      </x:c>
      <x:c r="X599" s="26" t="n">
        <x:f>IF(U599="Open","",IFERROR(K599-B599,""))</x:f>
        <x:v>53</x:v>
      </x:c>
      <x:c r="Y599" s="26" t="n">
        <x:f>IF(U599="Open",Lookups!$B$2-B599,X599)</x:f>
        <x:v>53</x:v>
      </x:c>
      <x:c r="Z599" t="str">
        <x:f>IF(AND(U599="Open",Y599&gt;30),"STALE","OK")</x:f>
        <x:v>OK</x:v>
      </x:c>
      <x:c r="AA599" t="str">
        <x:f>TEXT(B599,"yyyy-mm")</x:f>
        <x:v>2026-05</x:v>
      </x:c>
      <x:c r="AB599" t="str">
        <x:f>IF(K599="","",TEXT(K599,"yyyy-mm"))</x:f>
        <x:v>2026-06</x:v>
      </x:c>
      <x:c r="AC599" t="str">
        <x:f>"Q"&amp;ROUNDUP(MONTH(B599)/3,0)&amp;"-"&amp;YEAR(B599)</x:f>
        <x:v>Q2-2026</x:v>
      </x:c>
      <x:c r="AD599" s="26" t="n">
        <x:f>MIN(100,IF(H599="Enterprise",30,IF(H599="Mid-Market",22,14))+IF(T599="Enterprise",25,IF(T599="Mid-Market",18,10))+IF(Q599="Referral",25,IF(Q599="Organic Search",20,IF(Q599="Email",18,14)))+IF(G599="Technology",10,5))</x:f>
        <x:v>56</x:v>
      </x:c>
      <x:c r="AE599" t="str">
        <x:f>IF(U599&lt;&gt;"Open",U599,IF(N599&gt;=0.8,"Commit",IF(N599&gt;=0.5,"Best Case","Pipeline")))</x:f>
        <x:v>Lost</x:v>
      </x:c>
    </x:row>
    <x:row r="600">
      <x:c r="A600" t="str">
        <x:v>L00599</x:v>
      </x:c>
      <x:c r="B600" s="10" t="n">
        <x:v>45765</x:v>
      </x:c>
      <x:c r="C600" t="str">
        <x:v>Minh Do</x:v>
      </x:c>
      <x:c r="D600" t="str">
        <x:v>North</x:v>
      </x:c>
      <x:c r="E600" t="str">
        <x:v>customer referral</x:v>
      </x:c>
      <x:c r="F600" t="str">
        <x:v>CRM-CORE</x:v>
      </x:c>
      <x:c r="G600" t="str">
        <x:v>Professional Services</x:v>
      </x:c>
      <x:c r="H600" t="str">
        <x:v>Enterprise</x:v>
      </x:c>
      <x:c r="I600" t="str">
        <x:v>Closed Lost</x:v>
      </x:c>
      <x:c r="J600" s="10" t="n">
        <x:v>45809</x:v>
      </x:c>
      <x:c r="K600" s="10" t="n">
        <x:v>45809</x:v>
      </x:c>
      <x:c r="L600" s="22" t="n">
        <x:v>27900</x:v>
      </x:c>
      <x:c r="M600" s="24" t="n">
        <x:v>0</x:v>
      </x:c>
      <x:c r="N600" s="24" t="n">
        <x:v>0</x:v>
      </x:c>
      <x:c r="O600" t="str">
        <x:v>No Decision</x:v>
      </x:c>
      <x:c r="P600" t="n">
        <x:v>3</x:v>
      </x:c>
      <x:c r="Q600" t="str">
        <x:f>IFERROR(XLOOKUP(E600,Lookups!$A$5:$A$24,Lookups!$B$5:$B$24),"Other")</x:f>
        <x:v>Referral</x:v>
      </x:c>
      <x:c r="R600" t="str">
        <x:f>IFERROR(XLOOKUP(F600,Lookups!$D$5:$D$10,Lookups!$E$5:$E$10),"Unknown Product")</x:f>
        <x:v>NexaCRM Core</x:v>
      </x:c>
      <x:c r="S600" t="str">
        <x:f>IFERROR(XLOOKUP(F600,Lookups!$D$5:$D$10,Lookups!$F$5:$F$10),"Unknown")</x:f>
        <x:v>CRM</x:v>
      </x:c>
      <x:c r="T600" t="str">
        <x:f>IF(L600&gt;=50000,"Enterprise",IF(L600&gt;=20000,"Mid-Market","SMB"))</x:f>
        <x:v>Mid-Market</x:v>
      </x:c>
      <x:c r="U600" t="str">
        <x:f>IF(I600="Closed Won","Won",IF(I600="Closed Lost","Lost","Open"))</x:f>
        <x:v>Lost</x:v>
      </x:c>
      <x:c r="V600" s="22" t="n">
        <x:f>IF(U600="Won",L600*(1-M600),0)</x:f>
        <x:v>0</x:v>
      </x:c>
      <x:c r="W600" s="22" t="n">
        <x:f>IF(U600="Open",L600*N600,0)</x:f>
        <x:v>0</x:v>
      </x:c>
      <x:c r="X600" s="26" t="n">
        <x:f>IF(U600="Open","",IFERROR(K600-B600,""))</x:f>
        <x:v>44</x:v>
      </x:c>
      <x:c r="Y600" s="26" t="n">
        <x:f>IF(U600="Open",Lookups!$B$2-B600,X600)</x:f>
        <x:v>44</x:v>
      </x:c>
      <x:c r="Z600" t="str">
        <x:f>IF(AND(U600="Open",Y600&gt;30),"STALE","OK")</x:f>
        <x:v>OK</x:v>
      </x:c>
      <x:c r="AA600" t="str">
        <x:f>TEXT(B600,"yyyy-mm")</x:f>
        <x:v>2025-04</x:v>
      </x:c>
      <x:c r="AB600" t="str">
        <x:f>IF(K600="","",TEXT(K600,"yyyy-mm"))</x:f>
        <x:v>2025-06</x:v>
      </x:c>
      <x:c r="AC600" t="str">
        <x:f>"Q"&amp;ROUNDUP(MONTH(B600)/3,0)&amp;"-"&amp;YEAR(B600)</x:f>
        <x:v>Q2-2025</x:v>
      </x:c>
      <x:c r="AD600" s="26" t="n">
        <x:f>MIN(100,IF(H600="Enterprise",30,IF(H600="Mid-Market",22,14))+IF(T600="Enterprise",25,IF(T600="Mid-Market",18,10))+IF(Q600="Referral",25,IF(Q600="Organic Search",20,IF(Q600="Email",18,14)))+IF(G600="Technology",10,5))</x:f>
        <x:v>78</x:v>
      </x:c>
      <x:c r="AE600" t="str">
        <x:f>IF(U600&lt;&gt;"Open",U600,IF(N600&gt;=0.8,"Commit",IF(N600&gt;=0.5,"Best Case","Pipeline")))</x:f>
        <x:v>Lost</x:v>
      </x:c>
    </x:row>
    <x:row r="601">
      <x:c r="A601" t="str">
        <x:v>L00600</x:v>
      </x:c>
      <x:c r="B601" s="10" t="n">
        <x:v>45906</x:v>
      </x:c>
      <x:c r="C601" t="str">
        <x:v>Tuan Bui</x:v>
      </x:c>
      <x:c r="D601" t="str">
        <x:v>Central</x:v>
      </x:c>
      <x:c r="E601" t="str">
        <x:v>email nurture</x:v>
      </x:c>
      <x:c r="F601" t="str">
        <x:v>CRM-CORE</x:v>
      </x:c>
      <x:c r="G601" t="str">
        <x:v>Professional Services</x:v>
      </x:c>
      <x:c r="H601" t="str">
        <x:v>Mid-Market</x:v>
      </x:c>
      <x:c r="I601" t="str">
        <x:v>Closed Lost</x:v>
      </x:c>
      <x:c r="J601" s="10" t="n">
        <x:v>45949</x:v>
      </x:c>
      <x:c r="K601" s="10" t="n">
        <x:v>45949</x:v>
      </x:c>
      <x:c r="L601" s="22" t="n">
        <x:v>16100</x:v>
      </x:c>
      <x:c r="M601" s="24" t="n">
        <x:v>0</x:v>
      </x:c>
      <x:c r="N601" s="24" t="n">
        <x:v>0</x:v>
      </x:c>
      <x:c r="O601" t="str">
        <x:v>No Decision</x:v>
      </x:c>
      <x:c r="P601" t="n">
        <x:v>5</x:v>
      </x:c>
      <x:c r="Q601" t="str">
        <x:f>IFERROR(XLOOKUP(E601,Lookups!$A$5:$A$24,Lookups!$B$5:$B$24),"Other")</x:f>
        <x:v>Email</x:v>
      </x:c>
      <x:c r="R601" t="str">
        <x:f>IFERROR(XLOOKUP(F601,Lookups!$D$5:$D$10,Lookups!$E$5:$E$10),"Unknown Product")</x:f>
        <x:v>NexaCRM Core</x:v>
      </x:c>
      <x:c r="S601" t="str">
        <x:f>IFERROR(XLOOKUP(F601,Lookups!$D$5:$D$10,Lookups!$F$5:$F$10),"Unknown")</x:f>
        <x:v>CRM</x:v>
      </x:c>
      <x:c r="T601" t="str">
        <x:f>IF(L601&gt;=50000,"Enterprise",IF(L601&gt;=20000,"Mid-Market","SMB"))</x:f>
        <x:v>SMB</x:v>
      </x:c>
      <x:c r="U601" t="str">
        <x:f>IF(I601="Closed Won","Won",IF(I601="Closed Lost","Lost","Open"))</x:f>
        <x:v>Lost</x:v>
      </x:c>
      <x:c r="V601" s="22" t="n">
        <x:f>IF(U601="Won",L601*(1-M601),0)</x:f>
        <x:v>0</x:v>
      </x:c>
      <x:c r="W601" s="22" t="n">
        <x:f>IF(U601="Open",L601*N601,0)</x:f>
        <x:v>0</x:v>
      </x:c>
      <x:c r="X601" s="26" t="n">
        <x:f>IF(U601="Open","",IFERROR(K601-B601,""))</x:f>
        <x:v>43</x:v>
      </x:c>
      <x:c r="Y601" s="26" t="n">
        <x:f>IF(U601="Open",Lookups!$B$2-B601,X601)</x:f>
        <x:v>43</x:v>
      </x:c>
      <x:c r="Z601" t="str">
        <x:f>IF(AND(U601="Open",Y601&gt;30),"STALE","OK")</x:f>
        <x:v>OK</x:v>
      </x:c>
      <x:c r="AA601" t="str">
        <x:f>TEXT(B601,"yyyy-mm")</x:f>
        <x:v>2025-09</x:v>
      </x:c>
      <x:c r="AB601" t="str">
        <x:f>IF(K601="","",TEXT(K601,"yyyy-mm"))</x:f>
        <x:v>2025-10</x:v>
      </x:c>
      <x:c r="AC601" t="str">
        <x:f>"Q"&amp;ROUNDUP(MONTH(B601)/3,0)&amp;"-"&amp;YEAR(B601)</x:f>
        <x:v>Q3-2025</x:v>
      </x:c>
      <x:c r="AD601" s="26" t="n">
        <x:f>MIN(100,IF(H601="Enterprise",30,IF(H601="Mid-Market",22,14))+IF(T601="Enterprise",25,IF(T601="Mid-Market",18,10))+IF(Q601="Referral",25,IF(Q601="Organic Search",20,IF(Q601="Email",18,14)))+IF(G601="Technology",10,5))</x:f>
        <x:v>55</x:v>
      </x:c>
      <x:c r="AE601" t="str">
        <x:f>IF(U601&lt;&gt;"Open",U601,IF(N601&gt;=0.8,"Commit",IF(N601&gt;=0.5,"Best Case","Pipeline")))</x:f>
        <x:v>Lost</x:v>
      </x:c>
    </x:row>
    <x:row r="602">
      <x:c r="A602" t="str">
        <x:v>L00601</x:v>
      </x:c>
      <x:c r="B602" s="10" t="n">
        <x:v>45704</x:v>
      </x:c>
      <x:c r="C602" t="str">
        <x:v>Tuan Bui</x:v>
      </x:c>
      <x:c r="D602" t="str">
        <x:v>Central</x:v>
      </x:c>
      <x:c r="E602" t="str">
        <x:v>Google Ads</x:v>
      </x:c>
      <x:c r="F602" t="str">
        <x:v>CRM-PRO</x:v>
      </x:c>
      <x:c r="G602" t="str">
        <x:v>Professional Services</x:v>
      </x:c>
      <x:c r="H602" t="str">
        <x:v>SMB</x:v>
      </x:c>
      <x:c r="I602" t="str">
        <x:v>Closed Lost</x:v>
      </x:c>
      <x:c r="J602" s="10" t="n">
        <x:v>45725</x:v>
      </x:c>
      <x:c r="K602" s="10" t="n">
        <x:v>45725</x:v>
      </x:c>
      <x:c r="L602" s="22" t="n">
        <x:v>22100</x:v>
      </x:c>
      <x:c r="M602" s="24" t="n">
        <x:v>0</x:v>
      </x:c>
      <x:c r="N602" s="24" t="n">
        <x:v>0</x:v>
      </x:c>
      <x:c r="O602" t="str">
        <x:v>Competitor</x:v>
      </x:c>
      <x:c r="P602" t="n">
        <x:v>4</x:v>
      </x:c>
      <x:c r="Q602" t="str">
        <x:f>IFERROR(XLOOKUP(E602,Lookups!$A$5:$A$24,Lookups!$B$5:$B$24),"Other")</x:f>
        <x:v>Paid Search</x:v>
      </x:c>
      <x:c r="R602" t="str">
        <x:f>IFERROR(XLOOKUP(F602,Lookups!$D$5:$D$10,Lookups!$E$5:$E$10),"Unknown Product")</x:f>
        <x:v>NexaCRM Pro</x:v>
      </x:c>
      <x:c r="S602" t="str">
        <x:f>IFERROR(XLOOKUP(F602,Lookups!$D$5:$D$10,Lookups!$F$5:$F$10),"Unknown")</x:f>
        <x:v>CRM</x:v>
      </x:c>
      <x:c r="T602" t="str">
        <x:f>IF(L602&gt;=50000,"Enterprise",IF(L602&gt;=20000,"Mid-Market","SMB"))</x:f>
        <x:v>Mid-Market</x:v>
      </x:c>
      <x:c r="U602" t="str">
        <x:f>IF(I602="Closed Won","Won",IF(I602="Closed Lost","Lost","Open"))</x:f>
        <x:v>Lost</x:v>
      </x:c>
      <x:c r="V602" s="22" t="n">
        <x:f>IF(U602="Won",L602*(1-M602),0)</x:f>
        <x:v>0</x:v>
      </x:c>
      <x:c r="W602" s="22" t="n">
        <x:f>IF(U602="Open",L602*N602,0)</x:f>
        <x:v>0</x:v>
      </x:c>
      <x:c r="X602" s="26" t="n">
        <x:f>IF(U602="Open","",IFERROR(K602-B602,""))</x:f>
        <x:v>21</x:v>
      </x:c>
      <x:c r="Y602" s="26" t="n">
        <x:f>IF(U602="Open",Lookups!$B$2-B602,X602)</x:f>
        <x:v>21</x:v>
      </x:c>
      <x:c r="Z602" t="str">
        <x:f>IF(AND(U602="Open",Y602&gt;30),"STALE","OK")</x:f>
        <x:v>OK</x:v>
      </x:c>
      <x:c r="AA602" t="str">
        <x:f>TEXT(B602,"yyyy-mm")</x:f>
        <x:v>2025-02</x:v>
      </x:c>
      <x:c r="AB602" t="str">
        <x:f>IF(K602="","",TEXT(K602,"yyyy-mm"))</x:f>
        <x:v>2025-03</x:v>
      </x:c>
      <x:c r="AC602" t="str">
        <x:f>"Q"&amp;ROUNDUP(MONTH(B602)/3,0)&amp;"-"&amp;YEAR(B602)</x:f>
        <x:v>Q1-2025</x:v>
      </x:c>
      <x:c r="AD602" s="26" t="n">
        <x:f>MIN(100,IF(H602="Enterprise",30,IF(H602="Mid-Market",22,14))+IF(T602="Enterprise",25,IF(T602="Mid-Market",18,10))+IF(Q602="Referral",25,IF(Q602="Organic Search",20,IF(Q602="Email",18,14)))+IF(G602="Technology",10,5))</x:f>
        <x:v>51</x:v>
      </x:c>
      <x:c r="AE602" t="str">
        <x:f>IF(U602&lt;&gt;"Open",U602,IF(N602&gt;=0.8,"Commit",IF(N602&gt;=0.5,"Best Case","Pipeline")))</x:f>
        <x:v>Lost</x:v>
      </x:c>
    </x:row>
    <x:row r="603">
      <x:c r="A603" t="str">
        <x:v>L00602</x:v>
      </x:c>
      <x:c r="B603" s="10" t="n">
        <x:v>45965</x:v>
      </x:c>
      <x:c r="C603" t="str">
        <x:v>Chi Le</x:v>
      </x:c>
      <x:c r="D603" t="str">
        <x:v>South</x:v>
      </x:c>
      <x:c r="E603" t="str">
        <x:v>newsletter</x:v>
      </x:c>
      <x:c r="F603" t="str">
        <x:v>MKT-AUTO</x:v>
      </x:c>
      <x:c r="G603" t="str">
        <x:v>Retail</x:v>
      </x:c>
      <x:c r="H603" t="str">
        <x:v>SMB</x:v>
      </x:c>
      <x:c r="I603" t="str">
        <x:v>Closed Lost</x:v>
      </x:c>
      <x:c r="J603" s="10" t="n">
        <x:v>46017</x:v>
      </x:c>
      <x:c r="K603" s="10" t="n">
        <x:v>46017</x:v>
      </x:c>
      <x:c r="L603" s="22" t="n">
        <x:v>11700</x:v>
      </x:c>
      <x:c r="M603" s="24" t="n">
        <x:v>0</x:v>
      </x:c>
      <x:c r="N603" s="24" t="n">
        <x:v>0</x:v>
      </x:c>
      <x:c r="O603" t="str">
        <x:v>No Decision</x:v>
      </x:c>
      <x:c r="P603" t="n">
        <x:v>2</x:v>
      </x:c>
      <x:c r="Q603" t="str">
        <x:f>IFERROR(XLOOKUP(E603,Lookups!$A$5:$A$24,Lookups!$B$5:$B$24),"Other")</x:f>
        <x:v>Email</x:v>
      </x:c>
      <x:c r="R603" t="str">
        <x:f>IFERROR(XLOOKUP(F603,Lookups!$D$5:$D$10,Lookups!$E$5:$E$10),"Unknown Product")</x:f>
        <x:v>Marketing Automation</x:v>
      </x:c>
      <x:c r="S603" t="str">
        <x:f>IFERROR(XLOOKUP(F603,Lookups!$D$5:$D$10,Lookups!$F$5:$F$10),"Unknown")</x:f>
        <x:v>Marketing</x:v>
      </x:c>
      <x:c r="T603" t="str">
        <x:f>IF(L603&gt;=50000,"Enterprise",IF(L603&gt;=20000,"Mid-Market","SMB"))</x:f>
        <x:v>SMB</x:v>
      </x:c>
      <x:c r="U603" t="str">
        <x:f>IF(I603="Closed Won","Won",IF(I603="Closed Lost","Lost","Open"))</x:f>
        <x:v>Lost</x:v>
      </x:c>
      <x:c r="V603" s="22" t="n">
        <x:f>IF(U603="Won",L603*(1-M603),0)</x:f>
        <x:v>0</x:v>
      </x:c>
      <x:c r="W603" s="22" t="n">
        <x:f>IF(U603="Open",L603*N603,0)</x:f>
        <x:v>0</x:v>
      </x:c>
      <x:c r="X603" s="26" t="n">
        <x:f>IF(U603="Open","",IFERROR(K603-B603,""))</x:f>
        <x:v>52</x:v>
      </x:c>
      <x:c r="Y603" s="26" t="n">
        <x:f>IF(U603="Open",Lookups!$B$2-B603,X603)</x:f>
        <x:v>52</x:v>
      </x:c>
      <x:c r="Z603" t="str">
        <x:f>IF(AND(U603="Open",Y603&gt;30),"STALE","OK")</x:f>
        <x:v>OK</x:v>
      </x:c>
      <x:c r="AA603" t="str">
        <x:f>TEXT(B603,"yyyy-mm")</x:f>
        <x:v>2025-11</x:v>
      </x:c>
      <x:c r="AB603" t="str">
        <x:f>IF(K603="","",TEXT(K603,"yyyy-mm"))</x:f>
        <x:v>2025-12</x:v>
      </x:c>
      <x:c r="AC603" t="str">
        <x:f>"Q"&amp;ROUNDUP(MONTH(B603)/3,0)&amp;"-"&amp;YEAR(B603)</x:f>
        <x:v>Q4-2025</x:v>
      </x:c>
      <x:c r="AD603" s="26" t="n">
        <x:f>MIN(100,IF(H603="Enterprise",30,IF(H603="Mid-Market",22,14))+IF(T603="Enterprise",25,IF(T603="Mid-Market",18,10))+IF(Q603="Referral",25,IF(Q603="Organic Search",20,IF(Q603="Email",18,14)))+IF(G603="Technology",10,5))</x:f>
        <x:v>47</x:v>
      </x:c>
      <x:c r="AE603" t="str">
        <x:f>IF(U603&lt;&gt;"Open",U603,IF(N603&gt;=0.8,"Commit",IF(N603&gt;=0.5,"Best Case","Pipeline")))</x:f>
        <x:v>Lost</x:v>
      </x:c>
    </x:row>
    <x:row r="604">
      <x:c r="A604" t="str">
        <x:v>L00603</x:v>
      </x:c>
      <x:c r="B604" s="10" t="n">
        <x:v>45875</x:v>
      </x:c>
      <x:c r="C604" t="str">
        <x:v>Ha Vo</x:v>
      </x:c>
      <x:c r="D604" t="str">
        <x:v>North</x:v>
      </x:c>
      <x:c r="E604" t="str">
        <x:v>Referral</x:v>
      </x:c>
      <x:c r="F604" t="str">
        <x:v>CRM-PRO</x:v>
      </x:c>
      <x:c r="G604" t="str">
        <x:v>Retail</x:v>
      </x:c>
      <x:c r="H604" t="str">
        <x:v>SMB</x:v>
      </x:c>
      <x:c r="I604" t="str">
        <x:v>Closed Lost</x:v>
      </x:c>
      <x:c r="J604" s="10" t="n">
        <x:v>45886</x:v>
      </x:c>
      <x:c r="K604" s="10" t="n">
        <x:v>45886</x:v>
      </x:c>
      <x:c r="L604" s="22" t="n">
        <x:v>15900</x:v>
      </x:c>
      <x:c r="M604" s="24" t="n">
        <x:v>0</x:v>
      </x:c>
      <x:c r="N604" s="24" t="n">
        <x:v>0</x:v>
      </x:c>
      <x:c r="O604" t="str">
        <x:v>Feature Gap</x:v>
      </x:c>
      <x:c r="P604" t="n">
        <x:v>4</x:v>
      </x:c>
      <x:c r="Q604" t="str">
        <x:f>IFERROR(XLOOKUP(E604,Lookups!$A$5:$A$24,Lookups!$B$5:$B$24),"Other")</x:f>
        <x:v>Referral</x:v>
      </x:c>
      <x:c r="R604" t="str">
        <x:f>IFERROR(XLOOKUP(F604,Lookups!$D$5:$D$10,Lookups!$E$5:$E$10),"Unknown Product")</x:f>
        <x:v>NexaCRM Pro</x:v>
      </x:c>
      <x:c r="S604" t="str">
        <x:f>IFERROR(XLOOKUP(F604,Lookups!$D$5:$D$10,Lookups!$F$5:$F$10),"Unknown")</x:f>
        <x:v>CRM</x:v>
      </x:c>
      <x:c r="T604" t="str">
        <x:f>IF(L604&gt;=50000,"Enterprise",IF(L604&gt;=20000,"Mid-Market","SMB"))</x:f>
        <x:v>SMB</x:v>
      </x:c>
      <x:c r="U604" t="str">
        <x:f>IF(I604="Closed Won","Won",IF(I604="Closed Lost","Lost","Open"))</x:f>
        <x:v>Lost</x:v>
      </x:c>
      <x:c r="V604" s="22" t="n">
        <x:f>IF(U604="Won",L604*(1-M604),0)</x:f>
        <x:v>0</x:v>
      </x:c>
      <x:c r="W604" s="22" t="n">
        <x:f>IF(U604="Open",L604*N604,0)</x:f>
        <x:v>0</x:v>
      </x:c>
      <x:c r="X604" s="26" t="n">
        <x:f>IF(U604="Open","",IFERROR(K604-B604,""))</x:f>
        <x:v>11</x:v>
      </x:c>
      <x:c r="Y604" s="26" t="n">
        <x:f>IF(U604="Open",Lookups!$B$2-B604,X604)</x:f>
        <x:v>11</x:v>
      </x:c>
      <x:c r="Z604" t="str">
        <x:f>IF(AND(U604="Open",Y604&gt;30),"STALE","OK")</x:f>
        <x:v>OK</x:v>
      </x:c>
      <x:c r="AA604" t="str">
        <x:f>TEXT(B604,"yyyy-mm")</x:f>
        <x:v>2025-08</x:v>
      </x:c>
      <x:c r="AB604" t="str">
        <x:f>IF(K604="","",TEXT(K604,"yyyy-mm"))</x:f>
        <x:v>2025-08</x:v>
      </x:c>
      <x:c r="AC604" t="str">
        <x:f>"Q"&amp;ROUNDUP(MONTH(B604)/3,0)&amp;"-"&amp;YEAR(B604)</x:f>
        <x:v>Q3-2025</x:v>
      </x:c>
      <x:c r="AD604" s="26" t="n">
        <x:f>MIN(100,IF(H604="Enterprise",30,IF(H604="Mid-Market",22,14))+IF(T604="Enterprise",25,IF(T604="Mid-Market",18,10))+IF(Q604="Referral",25,IF(Q604="Organic Search",20,IF(Q604="Email",18,14)))+IF(G604="Technology",10,5))</x:f>
        <x:v>54</x:v>
      </x:c>
      <x:c r="AE604" t="str">
        <x:f>IF(U604&lt;&gt;"Open",U604,IF(N604&gt;=0.8,"Commit",IF(N604&gt;=0.5,"Best Case","Pipeline")))</x:f>
        <x:v>Lost</x:v>
      </x:c>
    </x:row>
    <x:row r="605">
      <x:c r="A605" t="str">
        <x:v>L00604</x:v>
      </x:c>
      <x:c r="B605" s="10" t="n">
        <x:v>45994</x:v>
      </x:c>
      <x:c r="C605" t="str">
        <x:v>Ha Vo</x:v>
      </x:c>
      <x:c r="D605" t="str">
        <x:v>North</x:v>
      </x:c>
      <x:c r="E605" t="str">
        <x:v>google cpc</x:v>
      </x:c>
      <x:c r="F605" t="str">
        <x:v>CRM-CORE</x:v>
      </x:c>
      <x:c r="G605" t="str">
        <x:v>Healthcare</x:v>
      </x:c>
      <x:c r="H605" t="str">
        <x:v>Mid-Market</x:v>
      </x:c>
      <x:c r="I605" t="str">
        <x:v>Closed Lost</x:v>
      </x:c>
      <x:c r="J605" s="10" t="n">
        <x:v>46048</x:v>
      </x:c>
      <x:c r="K605" s="10" t="n">
        <x:v>46048</x:v>
      </x:c>
      <x:c r="L605" s="22" t="n">
        <x:v>13900</x:v>
      </x:c>
      <x:c r="M605" s="24" t="n">
        <x:v>0</x:v>
      </x:c>
      <x:c r="N605" s="24" t="n">
        <x:v>0</x:v>
      </x:c>
      <x:c r="O605" t="str">
        <x:v>Competitor</x:v>
      </x:c>
      <x:c r="P605" t="n">
        <x:v>3</x:v>
      </x:c>
      <x:c r="Q605" t="str">
        <x:f>IFERROR(XLOOKUP(E605,Lookups!$A$5:$A$24,Lookups!$B$5:$B$24),"Other")</x:f>
        <x:v>Paid Search</x:v>
      </x:c>
      <x:c r="R605" t="str">
        <x:f>IFERROR(XLOOKUP(F605,Lookups!$D$5:$D$10,Lookups!$E$5:$E$10),"Unknown Product")</x:f>
        <x:v>NexaCRM Core</x:v>
      </x:c>
      <x:c r="S605" t="str">
        <x:f>IFERROR(XLOOKUP(F605,Lookups!$D$5:$D$10,Lookups!$F$5:$F$10),"Unknown")</x:f>
        <x:v>CRM</x:v>
      </x:c>
      <x:c r="T605" t="str">
        <x:f>IF(L605&gt;=50000,"Enterprise",IF(L605&gt;=20000,"Mid-Market","SMB"))</x:f>
        <x:v>SMB</x:v>
      </x:c>
      <x:c r="U605" t="str">
        <x:f>IF(I605="Closed Won","Won",IF(I605="Closed Lost","Lost","Open"))</x:f>
        <x:v>Lost</x:v>
      </x:c>
      <x:c r="V605" s="22" t="n">
        <x:f>IF(U605="Won",L605*(1-M605),0)</x:f>
        <x:v>0</x:v>
      </x:c>
      <x:c r="W605" s="22" t="n">
        <x:f>IF(U605="Open",L605*N605,0)</x:f>
        <x:v>0</x:v>
      </x:c>
      <x:c r="X605" s="26" t="n">
        <x:f>IF(U605="Open","",IFERROR(K605-B605,""))</x:f>
        <x:v>54</x:v>
      </x:c>
      <x:c r="Y605" s="26" t="n">
        <x:f>IF(U605="Open",Lookups!$B$2-B605,X605)</x:f>
        <x:v>54</x:v>
      </x:c>
      <x:c r="Z605" t="str">
        <x:f>IF(AND(U605="Open",Y605&gt;30),"STALE","OK")</x:f>
        <x:v>OK</x:v>
      </x:c>
      <x:c r="AA605" t="str">
        <x:f>TEXT(B605,"yyyy-mm")</x:f>
        <x:v>2025-12</x:v>
      </x:c>
      <x:c r="AB605" t="str">
        <x:f>IF(K605="","",TEXT(K605,"yyyy-mm"))</x:f>
        <x:v>2026-01</x:v>
      </x:c>
      <x:c r="AC605" t="str">
        <x:f>"Q"&amp;ROUNDUP(MONTH(B605)/3,0)&amp;"-"&amp;YEAR(B605)</x:f>
        <x:v>Q4-2025</x:v>
      </x:c>
      <x:c r="AD605" s="26" t="n">
        <x:f>MIN(100,IF(H605="Enterprise",30,IF(H605="Mid-Market",22,14))+IF(T605="Enterprise",25,IF(T605="Mid-Market",18,10))+IF(Q605="Referral",25,IF(Q605="Organic Search",20,IF(Q605="Email",18,14)))+IF(G605="Technology",10,5))</x:f>
        <x:v>51</x:v>
      </x:c>
      <x:c r="AE605" t="str">
        <x:f>IF(U605&lt;&gt;"Open",U605,IF(N605&gt;=0.8,"Commit",IF(N605&gt;=0.5,"Best Case","Pipeline")))</x:f>
        <x:v>Lost</x:v>
      </x:c>
    </x:row>
    <x:row r="606">
      <x:c r="A606" t="str">
        <x:v>L00605</x:v>
      </x:c>
      <x:c r="B606" s="10" t="n">
        <x:v>45816</x:v>
      </x:c>
      <x:c r="C606" t="str">
        <x:v>Minh Do</x:v>
      </x:c>
      <x:c r="D606" t="str">
        <x:v>North</x:v>
      </x:c>
      <x:c r="E606" t="str">
        <x:v>Cold Email</x:v>
      </x:c>
      <x:c r="F606" t="str">
        <x:v>CS-CLOUD</x:v>
      </x:c>
      <x:c r="G606" t="str">
        <x:v>Professional Services</x:v>
      </x:c>
      <x:c r="H606" t="str">
        <x:v>SMB</x:v>
      </x:c>
      <x:c r="I606" t="str">
        <x:v>Closed Lost</x:v>
      </x:c>
      <x:c r="J606" s="10" t="n">
        <x:v>45854</x:v>
      </x:c>
      <x:c r="K606" s="10" t="n">
        <x:v>45854</x:v>
      </x:c>
      <x:c r="L606" s="22" t="n">
        <x:v>22600</x:v>
      </x:c>
      <x:c r="M606" s="24" t="n">
        <x:v>0</x:v>
      </x:c>
      <x:c r="N606" s="24" t="n">
        <x:v>0</x:v>
      </x:c>
      <x:c r="O606" t="str">
        <x:v>Price</x:v>
      </x:c>
      <x:c r="P606" t="n">
        <x:v>2</x:v>
      </x:c>
      <x:c r="Q606" t="str">
        <x:f>IFERROR(XLOOKUP(E606,Lookups!$A$5:$A$24,Lookups!$B$5:$B$24),"Other")</x:f>
        <x:v>Outbound</x:v>
      </x:c>
      <x:c r="R606" t="str">
        <x:f>IFERROR(XLOOKUP(F606,Lookups!$D$5:$D$10,Lookups!$E$5:$E$10),"Unknown Product")</x:f>
        <x:v>Service Cloud</x:v>
      </x:c>
      <x:c r="S606" t="str">
        <x:f>IFERROR(XLOOKUP(F606,Lookups!$D$5:$D$10,Lookups!$F$5:$F$10),"Unknown")</x:f>
        <x:v>Customer Service</x:v>
      </x:c>
      <x:c r="T606" t="str">
        <x:f>IF(L606&gt;=50000,"Enterprise",IF(L606&gt;=20000,"Mid-Market","SMB"))</x:f>
        <x:v>Mid-Market</x:v>
      </x:c>
      <x:c r="U606" t="str">
        <x:f>IF(I606="Closed Won","Won",IF(I606="Closed Lost","Lost","Open"))</x:f>
        <x:v>Lost</x:v>
      </x:c>
      <x:c r="V606" s="22" t="n">
        <x:f>IF(U606="Won",L606*(1-M606),0)</x:f>
        <x:v>0</x:v>
      </x:c>
      <x:c r="W606" s="22" t="n">
        <x:f>IF(U606="Open",L606*N606,0)</x:f>
        <x:v>0</x:v>
      </x:c>
      <x:c r="X606" s="26" t="n">
        <x:f>IF(U606="Open","",IFERROR(K606-B606,""))</x:f>
        <x:v>38</x:v>
      </x:c>
      <x:c r="Y606" s="26" t="n">
        <x:f>IF(U606="Open",Lookups!$B$2-B606,X606)</x:f>
        <x:v>38</x:v>
      </x:c>
      <x:c r="Z606" t="str">
        <x:f>IF(AND(U606="Open",Y606&gt;30),"STALE","OK")</x:f>
        <x:v>OK</x:v>
      </x:c>
      <x:c r="AA606" t="str">
        <x:f>TEXT(B606,"yyyy-mm")</x:f>
        <x:v>2025-06</x:v>
      </x:c>
      <x:c r="AB606" t="str">
        <x:f>IF(K606="","",TEXT(K606,"yyyy-mm"))</x:f>
        <x:v>2025-07</x:v>
      </x:c>
      <x:c r="AC606" t="str">
        <x:f>"Q"&amp;ROUNDUP(MONTH(B606)/3,0)&amp;"-"&amp;YEAR(B606)</x:f>
        <x:v>Q2-2025</x:v>
      </x:c>
      <x:c r="AD606" s="26" t="n">
        <x:f>MIN(100,IF(H606="Enterprise",30,IF(H606="Mid-Market",22,14))+IF(T606="Enterprise",25,IF(T606="Mid-Market",18,10))+IF(Q606="Referral",25,IF(Q606="Organic Search",20,IF(Q606="Email",18,14)))+IF(G606="Technology",10,5))</x:f>
        <x:v>51</x:v>
      </x:c>
      <x:c r="AE606" t="str">
        <x:f>IF(U606&lt;&gt;"Open",U606,IF(N606&gt;=0.8,"Commit",IF(N606&gt;=0.5,"Best Case","Pipeline")))</x:f>
        <x:v>Lost</x:v>
      </x:c>
    </x:row>
    <x:row r="607">
      <x:c r="A607" t="str">
        <x:v>L00606</x:v>
      </x:c>
      <x:c r="B607" s="10" t="n">
        <x:v>46066</x:v>
      </x:c>
      <x:c r="C607" t="str">
        <x:v>Minh Do</x:v>
      </x:c>
      <x:c r="D607" t="str">
        <x:v>North</x:v>
      </x:c>
      <x:c r="E607" t="str">
        <x:v>google cpc</x:v>
      </x:c>
      <x:c r="F607" t="str">
        <x:v>CS-CLOUD</x:v>
      </x:c>
      <x:c r="G607" t="str">
        <x:v>Manufacturing</x:v>
      </x:c>
      <x:c r="H607" t="str">
        <x:v>SMB</x:v>
      </x:c>
      <x:c r="I607" t="str">
        <x:v>Closed Lost</x:v>
      </x:c>
      <x:c r="J607" s="10" t="n">
        <x:v>46113</x:v>
      </x:c>
      <x:c r="K607" s="10" t="n">
        <x:v>46113</x:v>
      </x:c>
      <x:c r="L607" s="22" t="n">
        <x:v>27800</x:v>
      </x:c>
      <x:c r="M607" s="24" t="n">
        <x:v>0</x:v>
      </x:c>
      <x:c r="N607" s="24" t="n">
        <x:v>0</x:v>
      </x:c>
      <x:c r="O607" t="str">
        <x:v>No Decision</x:v>
      </x:c>
      <x:c r="P607" t="n">
        <x:v>3</x:v>
      </x:c>
      <x:c r="Q607" t="str">
        <x:f>IFERROR(XLOOKUP(E607,Lookups!$A$5:$A$24,Lookups!$B$5:$B$24),"Other")</x:f>
        <x:v>Paid Search</x:v>
      </x:c>
      <x:c r="R607" t="str">
        <x:f>IFERROR(XLOOKUP(F607,Lookups!$D$5:$D$10,Lookups!$E$5:$E$10),"Unknown Product")</x:f>
        <x:v>Service Cloud</x:v>
      </x:c>
      <x:c r="S607" t="str">
        <x:f>IFERROR(XLOOKUP(F607,Lookups!$D$5:$D$10,Lookups!$F$5:$F$10),"Unknown")</x:f>
        <x:v>Customer Service</x:v>
      </x:c>
      <x:c r="T607" t="str">
        <x:f>IF(L607&gt;=50000,"Enterprise",IF(L607&gt;=20000,"Mid-Market","SMB"))</x:f>
        <x:v>Mid-Market</x:v>
      </x:c>
      <x:c r="U607" t="str">
        <x:f>IF(I607="Closed Won","Won",IF(I607="Closed Lost","Lost","Open"))</x:f>
        <x:v>Lost</x:v>
      </x:c>
      <x:c r="V607" s="22" t="n">
        <x:f>IF(U607="Won",L607*(1-M607),0)</x:f>
        <x:v>0</x:v>
      </x:c>
      <x:c r="W607" s="22" t="n">
        <x:f>IF(U607="Open",L607*N607,0)</x:f>
        <x:v>0</x:v>
      </x:c>
      <x:c r="X607" s="26" t="n">
        <x:f>IF(U607="Open","",IFERROR(K607-B607,""))</x:f>
        <x:v>47</x:v>
      </x:c>
      <x:c r="Y607" s="26" t="n">
        <x:f>IF(U607="Open",Lookups!$B$2-B607,X607)</x:f>
        <x:v>47</x:v>
      </x:c>
      <x:c r="Z607" t="str">
        <x:f>IF(AND(U607="Open",Y607&gt;30),"STALE","OK")</x:f>
        <x:v>OK</x:v>
      </x:c>
      <x:c r="AA607" t="str">
        <x:f>TEXT(B607,"yyyy-mm")</x:f>
        <x:v>2026-02</x:v>
      </x:c>
      <x:c r="AB607" t="str">
        <x:f>IF(K607="","",TEXT(K607,"yyyy-mm"))</x:f>
        <x:v>2026-04</x:v>
      </x:c>
      <x:c r="AC607" t="str">
        <x:f>"Q"&amp;ROUNDUP(MONTH(B607)/3,0)&amp;"-"&amp;YEAR(B607)</x:f>
        <x:v>Q1-2026</x:v>
      </x:c>
      <x:c r="AD607" s="26" t="n">
        <x:f>MIN(100,IF(H607="Enterprise",30,IF(H607="Mid-Market",22,14))+IF(T607="Enterprise",25,IF(T607="Mid-Market",18,10))+IF(Q607="Referral",25,IF(Q607="Organic Search",20,IF(Q607="Email",18,14)))+IF(G607="Technology",10,5))</x:f>
        <x:v>51</x:v>
      </x:c>
      <x:c r="AE607" t="str">
        <x:f>IF(U607&lt;&gt;"Open",U607,IF(N607&gt;=0.8,"Commit",IF(N607&gt;=0.5,"Best Case","Pipeline")))</x:f>
        <x:v>Lost</x:v>
      </x:c>
    </x:row>
    <x:row r="608">
      <x:c r="A608" t="str">
        <x:v>L00607</x:v>
      </x:c>
      <x:c r="B608" s="10" t="n">
        <x:v>46206</x:v>
      </x:c>
      <x:c r="C608" t="str">
        <x:v>Tuan Bui</x:v>
      </x:c>
      <x:c r="D608" t="str">
        <x:v>Central</x:v>
      </x:c>
      <x:c r="E608" t="str">
        <x:v>customer referral</x:v>
      </x:c>
      <x:c r="F608" t="str">
        <x:v>CRM-CORE</x:v>
      </x:c>
      <x:c r="G608" t="str">
        <x:v>Professional Services</x:v>
      </x:c>
      <x:c r="H608" t="str">
        <x:v>Enterprise</x:v>
      </x:c>
      <x:c r="I608" t="str">
        <x:v>Closed Lost</x:v>
      </x:c>
      <x:c r="J608" s="10" t="n">
        <x:v>46235</x:v>
      </x:c>
      <x:c r="K608" s="10" t="n">
        <x:v>46235</x:v>
      </x:c>
      <x:c r="L608" s="22" t="n">
        <x:v>21200</x:v>
      </x:c>
      <x:c r="M608" s="24" t="n">
        <x:v>0</x:v>
      </x:c>
      <x:c r="N608" s="24" t="n">
        <x:v>0</x:v>
      </x:c>
      <x:c r="O608" t="str">
        <x:v>Price</x:v>
      </x:c>
      <x:c r="P608" t="n">
        <x:v>2</x:v>
      </x:c>
      <x:c r="Q608" t="str">
        <x:f>IFERROR(XLOOKUP(E608,Lookups!$A$5:$A$24,Lookups!$B$5:$B$24),"Other")</x:f>
        <x:v>Referral</x:v>
      </x:c>
      <x:c r="R608" t="str">
        <x:f>IFERROR(XLOOKUP(F608,Lookups!$D$5:$D$10,Lookups!$E$5:$E$10),"Unknown Product")</x:f>
        <x:v>NexaCRM Core</x:v>
      </x:c>
      <x:c r="S608" t="str">
        <x:f>IFERROR(XLOOKUP(F608,Lookups!$D$5:$D$10,Lookups!$F$5:$F$10),"Unknown")</x:f>
        <x:v>CRM</x:v>
      </x:c>
      <x:c r="T608" t="str">
        <x:f>IF(L608&gt;=50000,"Enterprise",IF(L608&gt;=20000,"Mid-Market","SMB"))</x:f>
        <x:v>Mid-Market</x:v>
      </x:c>
      <x:c r="U608" t="str">
        <x:f>IF(I608="Closed Won","Won",IF(I608="Closed Lost","Lost","Open"))</x:f>
        <x:v>Lost</x:v>
      </x:c>
      <x:c r="V608" s="22" t="n">
        <x:f>IF(U608="Won",L608*(1-M608),0)</x:f>
        <x:v>0</x:v>
      </x:c>
      <x:c r="W608" s="22" t="n">
        <x:f>IF(U608="Open",L608*N608,0)</x:f>
        <x:v>0</x:v>
      </x:c>
      <x:c r="X608" s="26" t="n">
        <x:f>IF(U608="Open","",IFERROR(K608-B608,""))</x:f>
        <x:v>29</x:v>
      </x:c>
      <x:c r="Y608" s="26" t="n">
        <x:f>IF(U608="Open",Lookups!$B$2-B608,X608)</x:f>
        <x:v>29</x:v>
      </x:c>
      <x:c r="Z608" t="str">
        <x:f>IF(AND(U608="Open",Y608&gt;30),"STALE","OK")</x:f>
        <x:v>OK</x:v>
      </x:c>
      <x:c r="AA608" t="str">
        <x:f>TEXT(B608,"yyyy-mm")</x:f>
        <x:v>2026-07</x:v>
      </x:c>
      <x:c r="AB608" t="str">
        <x:f>IF(K608="","",TEXT(K608,"yyyy-mm"))</x:f>
        <x:v>2026-08</x:v>
      </x:c>
      <x:c r="AC608" t="str">
        <x:f>"Q"&amp;ROUNDUP(MONTH(B608)/3,0)&amp;"-"&amp;YEAR(B608)</x:f>
        <x:v>Q3-2026</x:v>
      </x:c>
      <x:c r="AD608" s="26" t="n">
        <x:f>MIN(100,IF(H608="Enterprise",30,IF(H608="Mid-Market",22,14))+IF(T608="Enterprise",25,IF(T608="Mid-Market",18,10))+IF(Q608="Referral",25,IF(Q608="Organic Search",20,IF(Q608="Email",18,14)))+IF(G608="Technology",10,5))</x:f>
        <x:v>78</x:v>
      </x:c>
      <x:c r="AE608" t="str">
        <x:f>IF(U608&lt;&gt;"Open",U608,IF(N608&gt;=0.8,"Commit",IF(N608&gt;=0.5,"Best Case","Pipeline")))</x:f>
        <x:v>Lost</x:v>
      </x:c>
    </x:row>
    <x:row r="609">
      <x:c r="A609" t="str">
        <x:v>L00608</x:v>
      </x:c>
      <x:c r="B609" s="10" t="n">
        <x:v>45885</x:v>
      </x:c>
      <x:c r="C609" t="str">
        <x:v>Bao Tran</x:v>
      </x:c>
      <x:c r="D609" t="str">
        <x:v>South</x:v>
      </x:c>
      <x:c r="E609" t="str">
        <x:v>Email Campaign</x:v>
      </x:c>
      <x:c r="F609" t="str">
        <x:v>MKT-AUTO</x:v>
      </x:c>
      <x:c r="G609" t="str">
        <x:v>Education</x:v>
      </x:c>
      <x:c r="H609" t="str">
        <x:v>SMB</x:v>
      </x:c>
      <x:c r="I609" t="str">
        <x:v>Closed Lost</x:v>
      </x:c>
      <x:c r="J609" s="10" t="n">
        <x:v>45915</x:v>
      </x:c>
      <x:c r="K609" s="10" t="n">
        <x:v>45915</x:v>
      </x:c>
      <x:c r="L609" s="22" t="n">
        <x:v>20600</x:v>
      </x:c>
      <x:c r="M609" s="24" t="n">
        <x:v>0</x:v>
      </x:c>
      <x:c r="N609" s="24" t="n">
        <x:v>0</x:v>
      </x:c>
      <x:c r="O609" t="str">
        <x:v>Budget</x:v>
      </x:c>
      <x:c r="P609" t="n">
        <x:v>4</x:v>
      </x:c>
      <x:c r="Q609" t="str">
        <x:f>IFERROR(XLOOKUP(E609,Lookups!$A$5:$A$24,Lookups!$B$5:$B$24),"Other")</x:f>
        <x:v>Email</x:v>
      </x:c>
      <x:c r="R609" t="str">
        <x:f>IFERROR(XLOOKUP(F609,Lookups!$D$5:$D$10,Lookups!$E$5:$E$10),"Unknown Product")</x:f>
        <x:v>Marketing Automation</x:v>
      </x:c>
      <x:c r="S609" t="str">
        <x:f>IFERROR(XLOOKUP(F609,Lookups!$D$5:$D$10,Lookups!$F$5:$F$10),"Unknown")</x:f>
        <x:v>Marketing</x:v>
      </x:c>
      <x:c r="T609" t="str">
        <x:f>IF(L609&gt;=50000,"Enterprise",IF(L609&gt;=20000,"Mid-Market","SMB"))</x:f>
        <x:v>Mid-Market</x:v>
      </x:c>
      <x:c r="U609" t="str">
        <x:f>IF(I609="Closed Won","Won",IF(I609="Closed Lost","Lost","Open"))</x:f>
        <x:v>Lost</x:v>
      </x:c>
      <x:c r="V609" s="22" t="n">
        <x:f>IF(U609="Won",L609*(1-M609),0)</x:f>
        <x:v>0</x:v>
      </x:c>
      <x:c r="W609" s="22" t="n">
        <x:f>IF(U609="Open",L609*N609,0)</x:f>
        <x:v>0</x:v>
      </x:c>
      <x:c r="X609" s="26" t="n">
        <x:f>IF(U609="Open","",IFERROR(K609-B609,""))</x:f>
        <x:v>30</x:v>
      </x:c>
      <x:c r="Y609" s="26" t="n">
        <x:f>IF(U609="Open",Lookups!$B$2-B609,X609)</x:f>
        <x:v>30</x:v>
      </x:c>
      <x:c r="Z609" t="str">
        <x:f>IF(AND(U609="Open",Y609&gt;30),"STALE","OK")</x:f>
        <x:v>OK</x:v>
      </x:c>
      <x:c r="AA609" t="str">
        <x:f>TEXT(B609,"yyyy-mm")</x:f>
        <x:v>2025-08</x:v>
      </x:c>
      <x:c r="AB609" t="str">
        <x:f>IF(K609="","",TEXT(K609,"yyyy-mm"))</x:f>
        <x:v>2025-09</x:v>
      </x:c>
      <x:c r="AC609" t="str">
        <x:f>"Q"&amp;ROUNDUP(MONTH(B609)/3,0)&amp;"-"&amp;YEAR(B609)</x:f>
        <x:v>Q3-2025</x:v>
      </x:c>
      <x:c r="AD609" s="26" t="n">
        <x:f>MIN(100,IF(H609="Enterprise",30,IF(H609="Mid-Market",22,14))+IF(T609="Enterprise",25,IF(T609="Mid-Market",18,10))+IF(Q609="Referral",25,IF(Q609="Organic Search",20,IF(Q609="Email",18,14)))+IF(G609="Technology",10,5))</x:f>
        <x:v>55</x:v>
      </x:c>
      <x:c r="AE609" t="str">
        <x:f>IF(U609&lt;&gt;"Open",U609,IF(N609&gt;=0.8,"Commit",IF(N609&gt;=0.5,"Best Case","Pipeline")))</x:f>
        <x:v>Lost</x:v>
      </x:c>
    </x:row>
    <x:row r="610">
      <x:c r="A610" t="str">
        <x:v>L00609</x:v>
      </x:c>
      <x:c r="B610" s="10" t="n">
        <x:v>45847</x:v>
      </x:c>
      <x:c r="C610" t="str">
        <x:v>Bao Tran</x:v>
      </x:c>
      <x:c r="D610" t="str">
        <x:v>South</x:v>
      </x:c>
      <x:c r="E610" t="str">
        <x:v>LI Ads</x:v>
      </x:c>
      <x:c r="F610" t="str">
        <x:v>REV-OPS</x:v>
      </x:c>
      <x:c r="G610" t="str">
        <x:v>Manufacturing</x:v>
      </x:c>
      <x:c r="H610" t="str">
        <x:v>Mid-Market</x:v>
      </x:c>
      <x:c r="I610" t="str">
        <x:v>Negotiation</x:v>
      </x:c>
      <x:c r="J610" s="10" t="n">
        <x:v>46219</x:v>
      </x:c>
      <x:c r="K610" s="10"/>
      <x:c r="L610" s="22" t="n">
        <x:v>81400</x:v>
      </x:c>
      <x:c r="M610" s="24" t="n">
        <x:v>0</x:v>
      </x:c>
      <x:c r="N610" s="24" t="n">
        <x:v>0.85</x:v>
      </x:c>
      <x:c r="O610" t="str"/>
      <x:c r="P610" t="n">
        <x:v>5</x:v>
      </x:c>
      <x:c r="Q610" t="str">
        <x:f>IFERROR(XLOOKUP(E610,Lookups!$A$5:$A$24,Lookups!$B$5:$B$24),"Other")</x:f>
        <x:v>LinkedIn</x:v>
      </x:c>
      <x:c r="R610" t="str">
        <x:f>IFERROR(XLOOKUP(F610,Lookups!$D$5:$D$10,Lookups!$E$5:$E$10),"Unknown Product")</x:f>
        <x:v>Revenue Operations Suite</x:v>
      </x:c>
      <x:c r="S610" t="str">
        <x:f>IFERROR(XLOOKUP(F610,Lookups!$D$5:$D$10,Lookups!$F$5:$F$10),"Unknown")</x:f>
        <x:v>Revenue Ops</x:v>
      </x:c>
      <x:c r="T610" t="str">
        <x:f>IF(L610&gt;=50000,"Enterprise",IF(L610&gt;=20000,"Mid-Market","SMB"))</x:f>
        <x:v>Enterprise</x:v>
      </x:c>
      <x:c r="U610" t="str">
        <x:f>IF(I610="Closed Won","Won",IF(I610="Closed Lost","Lost","Open"))</x:f>
        <x:v>Open</x:v>
      </x:c>
      <x:c r="V610" s="22" t="n">
        <x:f>IF(U610="Won",L610*(1-M610),0)</x:f>
        <x:v>0</x:v>
      </x:c>
      <x:c r="W610" s="22" t="n">
        <x:f>IF(U610="Open",L610*N610,0)</x:f>
        <x:v>69190</x:v>
      </x:c>
      <x:c r="X610" s="26" t="str">
        <x:f>IF(U610="Open","",IFERROR(K610-B610,""))</x:f>
      </x:c>
      <x:c r="Y610" s="26" t="n">
        <x:f>IF(U610="Open",Lookups!$B$2-B610,X610)</x:f>
        <x:v>419</x:v>
      </x:c>
      <x:c r="Z610" t="str">
        <x:f>IF(AND(U610="Open",Y610&gt;30),"STALE","OK")</x:f>
        <x:v>STALE</x:v>
      </x:c>
      <x:c r="AA610" t="str">
        <x:f>TEXT(B610,"yyyy-mm")</x:f>
        <x:v>2025-07</x:v>
      </x:c>
      <x:c r="AB610" t="str">
        <x:f>IF(K610="","",TEXT(K610,"yyyy-mm"))</x:f>
      </x:c>
      <x:c r="AC610" t="str">
        <x:f>"Q"&amp;ROUNDUP(MONTH(B610)/3,0)&amp;"-"&amp;YEAR(B610)</x:f>
        <x:v>Q3-2025</x:v>
      </x:c>
      <x:c r="AD610" s="26" t="n">
        <x:f>MIN(100,IF(H610="Enterprise",30,IF(H610="Mid-Market",22,14))+IF(T610="Enterprise",25,IF(T610="Mid-Market",18,10))+IF(Q610="Referral",25,IF(Q610="Organic Search",20,IF(Q610="Email",18,14)))+IF(G610="Technology",10,5))</x:f>
        <x:v>66</x:v>
      </x:c>
      <x:c r="AE610" t="str">
        <x:f>IF(U610&lt;&gt;"Open",U610,IF(N610&gt;=0.8,"Commit",IF(N610&gt;=0.5,"Best Case","Pipeline")))</x:f>
        <x:v>Commit</x:v>
      </x:c>
    </x:row>
    <x:row r="611">
      <x:c r="A611" t="str">
        <x:v>L00610</x:v>
      </x:c>
      <x:c r="B611" s="10" t="n">
        <x:v>46233</x:v>
      </x:c>
      <x:c r="C611" t="str">
        <x:v>Duy Pham</x:v>
      </x:c>
      <x:c r="D611" t="str">
        <x:v>South</x:v>
      </x:c>
      <x:c r="E611" t="str">
        <x:v>Google Ads</x:v>
      </x:c>
      <x:c r="F611" t="str">
        <x:v>CRM-PRO</x:v>
      </x:c>
      <x:c r="G611" t="str">
        <x:v>Technology</x:v>
      </x:c>
      <x:c r="H611" t="str">
        <x:v>SMB</x:v>
      </x:c>
      <x:c r="I611" t="str">
        <x:v>Qualified</x:v>
      </x:c>
      <x:c r="J611" s="10" t="n">
        <x:v>46249</x:v>
      </x:c>
      <x:c r="K611" s="10"/>
      <x:c r="L611" s="22" t="n">
        <x:v>22300</x:v>
      </x:c>
      <x:c r="M611" s="24" t="n">
        <x:v>0</x:v>
      </x:c>
      <x:c r="N611" s="24" t="n">
        <x:v>0.2</x:v>
      </x:c>
      <x:c r="O611" t="str"/>
      <x:c r="P611" t="n">
        <x:v>2</x:v>
      </x:c>
      <x:c r="Q611" t="str">
        <x:f>IFERROR(XLOOKUP(E611,Lookups!$A$5:$A$24,Lookups!$B$5:$B$24),"Other")</x:f>
        <x:v>Paid Search</x:v>
      </x:c>
      <x:c r="R611" t="str">
        <x:f>IFERROR(XLOOKUP(F611,Lookups!$D$5:$D$10,Lookups!$E$5:$E$10),"Unknown Product")</x:f>
        <x:v>NexaCRM Pro</x:v>
      </x:c>
      <x:c r="S611" t="str">
        <x:f>IFERROR(XLOOKUP(F611,Lookups!$D$5:$D$10,Lookups!$F$5:$F$10),"Unknown")</x:f>
        <x:v>CRM</x:v>
      </x:c>
      <x:c r="T611" t="str">
        <x:f>IF(L611&gt;=50000,"Enterprise",IF(L611&gt;=20000,"Mid-Market","SMB"))</x:f>
        <x:v>Mid-Market</x:v>
      </x:c>
      <x:c r="U611" t="str">
        <x:f>IF(I611="Closed Won","Won",IF(I611="Closed Lost","Lost","Open"))</x:f>
        <x:v>Open</x:v>
      </x:c>
      <x:c r="V611" s="22" t="n">
        <x:f>IF(U611="Won",L611*(1-M611),0)</x:f>
        <x:v>0</x:v>
      </x:c>
      <x:c r="W611" s="22" t="n">
        <x:f>IF(U611="Open",L611*N611,0)</x:f>
        <x:v>4460</x:v>
      </x:c>
      <x:c r="X611" s="26" t="str">
        <x:f>IF(U611="Open","",IFERROR(K611-B611,""))</x:f>
      </x:c>
      <x:c r="Y611" s="26" t="n">
        <x:f>IF(U611="Open",Lookups!$B$2-B611,X611)</x:f>
        <x:v>33</x:v>
      </x:c>
      <x:c r="Z611" t="str">
        <x:f>IF(AND(U611="Open",Y611&gt;30),"STALE","OK")</x:f>
        <x:v>STALE</x:v>
      </x:c>
      <x:c r="AA611" t="str">
        <x:f>TEXT(B611,"yyyy-mm")</x:f>
        <x:v>2026-07</x:v>
      </x:c>
      <x:c r="AB611" t="str">
        <x:f>IF(K611="","",TEXT(K611,"yyyy-mm"))</x:f>
      </x:c>
      <x:c r="AC611" t="str">
        <x:f>"Q"&amp;ROUNDUP(MONTH(B611)/3,0)&amp;"-"&amp;YEAR(B611)</x:f>
        <x:v>Q3-2026</x:v>
      </x:c>
      <x:c r="AD611" s="26" t="n">
        <x:f>MIN(100,IF(H611="Enterprise",30,IF(H611="Mid-Market",22,14))+IF(T611="Enterprise",25,IF(T611="Mid-Market",18,10))+IF(Q611="Referral",25,IF(Q611="Organic Search",20,IF(Q611="Email",18,14)))+IF(G611="Technology",10,5))</x:f>
        <x:v>56</x:v>
      </x:c>
      <x:c r="AE611" t="str">
        <x:f>IF(U611&lt;&gt;"Open",U611,IF(N611&gt;=0.8,"Commit",IF(N611&gt;=0.5,"Best Case","Pipeline")))</x:f>
        <x:v>Pipeline</x:v>
      </x:c>
    </x:row>
    <x:row r="612">
      <x:c r="A612" t="str">
        <x:v>L00611</x:v>
      </x:c>
      <x:c r="B612" s="10" t="n">
        <x:v>45701</x:v>
      </x:c>
      <x:c r="C612" t="str">
        <x:v>Tuan Bui</x:v>
      </x:c>
      <x:c r="D612" t="str">
        <x:v>Central</x:v>
      </x:c>
      <x:c r="E612" t="str">
        <x:v>linkedin</x:v>
      </x:c>
      <x:c r="F612" t="str">
        <x:v>CRM-CORE</x:v>
      </x:c>
      <x:c r="G612" t="str">
        <x:v>Technology</x:v>
      </x:c>
      <x:c r="H612" t="str">
        <x:v>SMB</x:v>
      </x:c>
      <x:c r="I612" t="str">
        <x:v>Closed Lost</x:v>
      </x:c>
      <x:c r="J612" s="10" t="n">
        <x:v>45756</x:v>
      </x:c>
      <x:c r="K612" s="10" t="n">
        <x:v>45756</x:v>
      </x:c>
      <x:c r="L612" s="22" t="n">
        <x:v>8300</x:v>
      </x:c>
      <x:c r="M612" s="24" t="n">
        <x:v>0</x:v>
      </x:c>
      <x:c r="N612" s="24" t="n">
        <x:v>0</x:v>
      </x:c>
      <x:c r="O612" t="str">
        <x:v>No Decision</x:v>
      </x:c>
      <x:c r="P612" t="n">
        <x:v>4</x:v>
      </x:c>
      <x:c r="Q612" t="str">
        <x:f>IFERROR(XLOOKUP(E612,Lookups!$A$5:$A$24,Lookups!$B$5:$B$24),"Other")</x:f>
        <x:v>LinkedIn</x:v>
      </x:c>
      <x:c r="R612" t="str">
        <x:f>IFERROR(XLOOKUP(F612,Lookups!$D$5:$D$10,Lookups!$E$5:$E$10),"Unknown Product")</x:f>
        <x:v>NexaCRM Core</x:v>
      </x:c>
      <x:c r="S612" t="str">
        <x:f>IFERROR(XLOOKUP(F612,Lookups!$D$5:$D$10,Lookups!$F$5:$F$10),"Unknown")</x:f>
        <x:v>CRM</x:v>
      </x:c>
      <x:c r="T612" t="str">
        <x:f>IF(L612&gt;=50000,"Enterprise",IF(L612&gt;=20000,"Mid-Market","SMB"))</x:f>
        <x:v>SMB</x:v>
      </x:c>
      <x:c r="U612" t="str">
        <x:f>IF(I612="Closed Won","Won",IF(I612="Closed Lost","Lost","Open"))</x:f>
        <x:v>Lost</x:v>
      </x:c>
      <x:c r="V612" s="22" t="n">
        <x:f>IF(U612="Won",L612*(1-M612),0)</x:f>
        <x:v>0</x:v>
      </x:c>
      <x:c r="W612" s="22" t="n">
        <x:f>IF(U612="Open",L612*N612,0)</x:f>
        <x:v>0</x:v>
      </x:c>
      <x:c r="X612" s="26" t="n">
        <x:f>IF(U612="Open","",IFERROR(K612-B612,""))</x:f>
        <x:v>55</x:v>
      </x:c>
      <x:c r="Y612" s="26" t="n">
        <x:f>IF(U612="Open",Lookups!$B$2-B612,X612)</x:f>
        <x:v>55</x:v>
      </x:c>
      <x:c r="Z612" t="str">
        <x:f>IF(AND(U612="Open",Y612&gt;30),"STALE","OK")</x:f>
        <x:v>OK</x:v>
      </x:c>
      <x:c r="AA612" t="str">
        <x:f>TEXT(B612,"yyyy-mm")</x:f>
        <x:v>2025-02</x:v>
      </x:c>
      <x:c r="AB612" t="str">
        <x:f>IF(K612="","",TEXT(K612,"yyyy-mm"))</x:f>
        <x:v>2025-04</x:v>
      </x:c>
      <x:c r="AC612" t="str">
        <x:f>"Q"&amp;ROUNDUP(MONTH(B612)/3,0)&amp;"-"&amp;YEAR(B612)</x:f>
        <x:v>Q1-2025</x:v>
      </x:c>
      <x:c r="AD612" s="26" t="n">
        <x:f>MIN(100,IF(H612="Enterprise",30,IF(H612="Mid-Market",22,14))+IF(T612="Enterprise",25,IF(T612="Mid-Market",18,10))+IF(Q612="Referral",25,IF(Q612="Organic Search",20,IF(Q612="Email",18,14)))+IF(G612="Technology",10,5))</x:f>
        <x:v>48</x:v>
      </x:c>
      <x:c r="AE612" t="str">
        <x:f>IF(U612&lt;&gt;"Open",U612,IF(N612&gt;=0.8,"Commit",IF(N612&gt;=0.5,"Best Case","Pipeline")))</x:f>
        <x:v>Lost</x:v>
      </x:c>
    </x:row>
    <x:row r="613">
      <x:c r="A613" t="str">
        <x:v>L00612</x:v>
      </x:c>
      <x:c r="B613" s="10" t="n">
        <x:v>45723</x:v>
      </x:c>
      <x:c r="C613" t="str">
        <x:v>Bao Tran</x:v>
      </x:c>
      <x:c r="D613" t="str">
        <x:v>South</x:v>
      </x:c>
      <x:c r="E613" t="str">
        <x:v>Outbound</x:v>
      </x:c>
      <x:c r="F613" t="str">
        <x:v>CS-CLOUD</x:v>
      </x:c>
      <x:c r="G613" t="str">
        <x:v>Professional Services</x:v>
      </x:c>
      <x:c r="H613" t="str">
        <x:v>Mid-Market</x:v>
      </x:c>
      <x:c r="I613" t="str">
        <x:v>Closed Lost</x:v>
      </x:c>
      <x:c r="J613" s="10" t="n">
        <x:v>45769</x:v>
      </x:c>
      <x:c r="K613" s="10" t="n">
        <x:v>45769</x:v>
      </x:c>
      <x:c r="L613" s="22" t="n">
        <x:v>43900</x:v>
      </x:c>
      <x:c r="M613" s="24" t="n">
        <x:v>0</x:v>
      </x:c>
      <x:c r="N613" s="24" t="n">
        <x:v>0</x:v>
      </x:c>
      <x:c r="O613" t="str">
        <x:v>Feature Gap</x:v>
      </x:c>
      <x:c r="P613" t="n">
        <x:v>2</x:v>
      </x:c>
      <x:c r="Q613" t="str">
        <x:f>IFERROR(XLOOKUP(E613,Lookups!$A$5:$A$24,Lookups!$B$5:$B$24),"Other")</x:f>
        <x:v>Outbound</x:v>
      </x:c>
      <x:c r="R613" t="str">
        <x:f>IFERROR(XLOOKUP(F613,Lookups!$D$5:$D$10,Lookups!$E$5:$E$10),"Unknown Product")</x:f>
        <x:v>Service Cloud</x:v>
      </x:c>
      <x:c r="S613" t="str">
        <x:f>IFERROR(XLOOKUP(F613,Lookups!$D$5:$D$10,Lookups!$F$5:$F$10),"Unknown")</x:f>
        <x:v>Customer Service</x:v>
      </x:c>
      <x:c r="T613" t="str">
        <x:f>IF(L613&gt;=50000,"Enterprise",IF(L613&gt;=20000,"Mid-Market","SMB"))</x:f>
        <x:v>Mid-Market</x:v>
      </x:c>
      <x:c r="U613" t="str">
        <x:f>IF(I613="Closed Won","Won",IF(I613="Closed Lost","Lost","Open"))</x:f>
        <x:v>Lost</x:v>
      </x:c>
      <x:c r="V613" s="22" t="n">
        <x:f>IF(U613="Won",L613*(1-M613),0)</x:f>
        <x:v>0</x:v>
      </x:c>
      <x:c r="W613" s="22" t="n">
        <x:f>IF(U613="Open",L613*N613,0)</x:f>
        <x:v>0</x:v>
      </x:c>
      <x:c r="X613" s="26" t="n">
        <x:f>IF(U613="Open","",IFERROR(K613-B613,""))</x:f>
        <x:v>46</x:v>
      </x:c>
      <x:c r="Y613" s="26" t="n">
        <x:f>IF(U613="Open",Lookups!$B$2-B613,X613)</x:f>
        <x:v>46</x:v>
      </x:c>
      <x:c r="Z613" t="str">
        <x:f>IF(AND(U613="Open",Y613&gt;30),"STALE","OK")</x:f>
        <x:v>OK</x:v>
      </x:c>
      <x:c r="AA613" t="str">
        <x:f>TEXT(B613,"yyyy-mm")</x:f>
        <x:v>2025-03</x:v>
      </x:c>
      <x:c r="AB613" t="str">
        <x:f>IF(K613="","",TEXT(K613,"yyyy-mm"))</x:f>
        <x:v>2025-04</x:v>
      </x:c>
      <x:c r="AC613" t="str">
        <x:f>"Q"&amp;ROUNDUP(MONTH(B613)/3,0)&amp;"-"&amp;YEAR(B613)</x:f>
        <x:v>Q1-2025</x:v>
      </x:c>
      <x:c r="AD613" s="26" t="n">
        <x:f>MIN(100,IF(H613="Enterprise",30,IF(H613="Mid-Market",22,14))+IF(T613="Enterprise",25,IF(T613="Mid-Market",18,10))+IF(Q613="Referral",25,IF(Q613="Organic Search",20,IF(Q613="Email",18,14)))+IF(G613="Technology",10,5))</x:f>
        <x:v>59</x:v>
      </x:c>
      <x:c r="AE613" t="str">
        <x:f>IF(U613&lt;&gt;"Open",U613,IF(N613&gt;=0.8,"Commit",IF(N613&gt;=0.5,"Best Case","Pipeline")))</x:f>
        <x:v>Lost</x:v>
      </x:c>
    </x:row>
    <x:row r="614">
      <x:c r="A614" t="str">
        <x:v>L00613</x:v>
      </x:c>
      <x:c r="B614" s="10" t="n">
        <x:v>45989</x:v>
      </x:c>
      <x:c r="C614" t="str">
        <x:v>An Nguyen</x:v>
      </x:c>
      <x:c r="D614" t="str">
        <x:v>South</x:v>
      </x:c>
      <x:c r="E614" t="str">
        <x:v>LI Ads</x:v>
      </x:c>
      <x:c r="F614" t="str">
        <x:v>BI-PLUS</x:v>
      </x:c>
      <x:c r="G614" t="str">
        <x:v>Financial Services</x:v>
      </x:c>
      <x:c r="H614" t="str">
        <x:v>Enterprise</x:v>
      </x:c>
      <x:c r="I614" t="str">
        <x:v>Closed Lost</x:v>
      </x:c>
      <x:c r="J614" s="10" t="n">
        <x:v>46044</x:v>
      </x:c>
      <x:c r="K614" s="10" t="n">
        <x:v>46044</x:v>
      </x:c>
      <x:c r="L614" s="22" t="n">
        <x:v>54300</x:v>
      </x:c>
      <x:c r="M614" s="24" t="n">
        <x:v>0</x:v>
      </x:c>
      <x:c r="N614" s="24" t="n">
        <x:v>0</x:v>
      </x:c>
      <x:c r="O614" t="str">
        <x:v>No Decision</x:v>
      </x:c>
      <x:c r="P614" t="n">
        <x:v>2</x:v>
      </x:c>
      <x:c r="Q614" t="str">
        <x:f>IFERROR(XLOOKUP(E614,Lookups!$A$5:$A$24,Lookups!$B$5:$B$24),"Other")</x:f>
        <x:v>LinkedIn</x:v>
      </x:c>
      <x:c r="R614" t="str">
        <x:f>IFERROR(XLOOKUP(F614,Lookups!$D$5:$D$10,Lookups!$E$5:$E$10),"Unknown Product")</x:f>
        <x:v>Analytics Plus</x:v>
      </x:c>
      <x:c r="S614" t="str">
        <x:f>IFERROR(XLOOKUP(F614,Lookups!$D$5:$D$10,Lookups!$F$5:$F$10),"Unknown")</x:f>
        <x:v>Analytics</x:v>
      </x:c>
      <x:c r="T614" t="str">
        <x:f>IF(L614&gt;=50000,"Enterprise",IF(L614&gt;=20000,"Mid-Market","SMB"))</x:f>
        <x:v>Enterprise</x:v>
      </x:c>
      <x:c r="U614" t="str">
        <x:f>IF(I614="Closed Won","Won",IF(I614="Closed Lost","Lost","Open"))</x:f>
        <x:v>Lost</x:v>
      </x:c>
      <x:c r="V614" s="22" t="n">
        <x:f>IF(U614="Won",L614*(1-M614),0)</x:f>
        <x:v>0</x:v>
      </x:c>
      <x:c r="W614" s="22" t="n">
        <x:f>IF(U614="Open",L614*N614,0)</x:f>
        <x:v>0</x:v>
      </x:c>
      <x:c r="X614" s="26" t="n">
        <x:f>IF(U614="Open","",IFERROR(K614-B614,""))</x:f>
        <x:v>55</x:v>
      </x:c>
      <x:c r="Y614" s="26" t="n">
        <x:f>IF(U614="Open",Lookups!$B$2-B614,X614)</x:f>
        <x:v>55</x:v>
      </x:c>
      <x:c r="Z614" t="str">
        <x:f>IF(AND(U614="Open",Y614&gt;30),"STALE","OK")</x:f>
        <x:v>OK</x:v>
      </x:c>
      <x:c r="AA614" t="str">
        <x:f>TEXT(B614,"yyyy-mm")</x:f>
        <x:v>2025-11</x:v>
      </x:c>
      <x:c r="AB614" t="str">
        <x:f>IF(K614="","",TEXT(K614,"yyyy-mm"))</x:f>
        <x:v>2026-01</x:v>
      </x:c>
      <x:c r="AC614" t="str">
        <x:f>"Q"&amp;ROUNDUP(MONTH(B614)/3,0)&amp;"-"&amp;YEAR(B614)</x:f>
        <x:v>Q4-2025</x:v>
      </x:c>
      <x:c r="AD614" s="26" t="n">
        <x:f>MIN(100,IF(H614="Enterprise",30,IF(H614="Mid-Market",22,14))+IF(T614="Enterprise",25,IF(T614="Mid-Market",18,10))+IF(Q614="Referral",25,IF(Q614="Organic Search",20,IF(Q614="Email",18,14)))+IF(G614="Technology",10,5))</x:f>
        <x:v>74</x:v>
      </x:c>
      <x:c r="AE614" t="str">
        <x:f>IF(U614&lt;&gt;"Open",U614,IF(N614&gt;=0.8,"Commit",IF(N614&gt;=0.5,"Best Case","Pipeline")))</x:f>
        <x:v>Lost</x:v>
      </x:c>
    </x:row>
    <x:row r="615">
      <x:c r="A615" t="str">
        <x:v>L00614</x:v>
      </x:c>
      <x:c r="B615" s="10" t="n">
        <x:v>46078</x:v>
      </x:c>
      <x:c r="C615" t="str">
        <x:v>Minh Do</x:v>
      </x:c>
      <x:c r="D615" t="str">
        <x:v>North</x:v>
      </x:c>
      <x:c r="E615" t="str">
        <x:v>google cpc</x:v>
      </x:c>
      <x:c r="F615" t="str">
        <x:v>CRM-CORE</x:v>
      </x:c>
      <x:c r="G615" t="str">
        <x:v>Financial Services</x:v>
      </x:c>
      <x:c r="H615" t="str">
        <x:v>Mid-Market</x:v>
      </x:c>
      <x:c r="I615" t="str">
        <x:v>Closed Lost</x:v>
      </x:c>
      <x:c r="J615" s="10" t="n">
        <x:v>46137</x:v>
      </x:c>
      <x:c r="K615" s="10" t="n">
        <x:v>46137</x:v>
      </x:c>
      <x:c r="L615" s="22" t="n">
        <x:v>14300</x:v>
      </x:c>
      <x:c r="M615" s="24" t="n">
        <x:v>0</x:v>
      </x:c>
      <x:c r="N615" s="24" t="n">
        <x:v>0</x:v>
      </x:c>
      <x:c r="O615" t="str">
        <x:v>No Decision</x:v>
      </x:c>
      <x:c r="P615" t="n">
        <x:v>4</x:v>
      </x:c>
      <x:c r="Q615" t="str">
        <x:f>IFERROR(XLOOKUP(E615,Lookups!$A$5:$A$24,Lookups!$B$5:$B$24),"Other")</x:f>
        <x:v>Paid Search</x:v>
      </x:c>
      <x:c r="R615" t="str">
        <x:f>IFERROR(XLOOKUP(F615,Lookups!$D$5:$D$10,Lookups!$E$5:$E$10),"Unknown Product")</x:f>
        <x:v>NexaCRM Core</x:v>
      </x:c>
      <x:c r="S615" t="str">
        <x:f>IFERROR(XLOOKUP(F615,Lookups!$D$5:$D$10,Lookups!$F$5:$F$10),"Unknown")</x:f>
        <x:v>CRM</x:v>
      </x:c>
      <x:c r="T615" t="str">
        <x:f>IF(L615&gt;=50000,"Enterprise",IF(L615&gt;=20000,"Mid-Market","SMB"))</x:f>
        <x:v>SMB</x:v>
      </x:c>
      <x:c r="U615" t="str">
        <x:f>IF(I615="Closed Won","Won",IF(I615="Closed Lost","Lost","Open"))</x:f>
        <x:v>Lost</x:v>
      </x:c>
      <x:c r="V615" s="22" t="n">
        <x:f>IF(U615="Won",L615*(1-M615),0)</x:f>
        <x:v>0</x:v>
      </x:c>
      <x:c r="W615" s="22" t="n">
        <x:f>IF(U615="Open",L615*N615,0)</x:f>
        <x:v>0</x:v>
      </x:c>
      <x:c r="X615" s="26" t="n">
        <x:f>IF(U615="Open","",IFERROR(K615-B615,""))</x:f>
        <x:v>59</x:v>
      </x:c>
      <x:c r="Y615" s="26" t="n">
        <x:f>IF(U615="Open",Lookups!$B$2-B615,X615)</x:f>
        <x:v>59</x:v>
      </x:c>
      <x:c r="Z615" t="str">
        <x:f>IF(AND(U615="Open",Y615&gt;30),"STALE","OK")</x:f>
        <x:v>OK</x:v>
      </x:c>
      <x:c r="AA615" t="str">
        <x:f>TEXT(B615,"yyyy-mm")</x:f>
        <x:v>2026-02</x:v>
      </x:c>
      <x:c r="AB615" t="str">
        <x:f>IF(K615="","",TEXT(K615,"yyyy-mm"))</x:f>
        <x:v>2026-04</x:v>
      </x:c>
      <x:c r="AC615" t="str">
        <x:f>"Q"&amp;ROUNDUP(MONTH(B615)/3,0)&amp;"-"&amp;YEAR(B615)</x:f>
        <x:v>Q1-2026</x:v>
      </x:c>
      <x:c r="AD615" s="26" t="n">
        <x:f>MIN(100,IF(H615="Enterprise",30,IF(H615="Mid-Market",22,14))+IF(T615="Enterprise",25,IF(T615="Mid-Market",18,10))+IF(Q615="Referral",25,IF(Q615="Organic Search",20,IF(Q615="Email",18,14)))+IF(G615="Technology",10,5))</x:f>
        <x:v>51</x:v>
      </x:c>
      <x:c r="AE615" t="str">
        <x:f>IF(U615&lt;&gt;"Open",U615,IF(N615&gt;=0.8,"Commit",IF(N615&gt;=0.5,"Best Case","Pipeline")))</x:f>
        <x:v>Lost</x:v>
      </x:c>
    </x:row>
    <x:row r="616">
      <x:c r="A616" t="str">
        <x:v>L00615</x:v>
      </x:c>
      <x:c r="B616" s="10" t="n">
        <x:v>45945</x:v>
      </x:c>
      <x:c r="C616" t="str">
        <x:v>Bao Tran</x:v>
      </x:c>
      <x:c r="D616" t="str">
        <x:v>South</x:v>
      </x:c>
      <x:c r="E616" t="str">
        <x:v>organic search</x:v>
      </x:c>
      <x:c r="F616" t="str">
        <x:v>CRM-CORE</x:v>
      </x:c>
      <x:c r="G616" t="str">
        <x:v>Healthcare</x:v>
      </x:c>
      <x:c r="H616" t="str">
        <x:v>Mid-Market</x:v>
      </x:c>
      <x:c r="I616" t="str">
        <x:v>Closed Lost</x:v>
      </x:c>
      <x:c r="J616" s="10" t="n">
        <x:v>46006</x:v>
      </x:c>
      <x:c r="K616" s="10" t="n">
        <x:v>46006</x:v>
      </x:c>
      <x:c r="L616" s="22" t="n">
        <x:v>13200</x:v>
      </x:c>
      <x:c r="M616" s="24" t="n">
        <x:v>0</x:v>
      </x:c>
      <x:c r="N616" s="24" t="n">
        <x:v>0</x:v>
      </x:c>
      <x:c r="O616" t="str">
        <x:v>No Decision</x:v>
      </x:c>
      <x:c r="P616" t="n">
        <x:v>5</x:v>
      </x:c>
      <x:c r="Q616" t="str">
        <x:f>IFERROR(XLOOKUP(E616,Lookups!$A$5:$A$24,Lookups!$B$5:$B$24),"Other")</x:f>
        <x:v>Organic Search</x:v>
      </x:c>
      <x:c r="R616" t="str">
        <x:f>IFERROR(XLOOKUP(F616,Lookups!$D$5:$D$10,Lookups!$E$5:$E$10),"Unknown Product")</x:f>
        <x:v>NexaCRM Core</x:v>
      </x:c>
      <x:c r="S616" t="str">
        <x:f>IFERROR(XLOOKUP(F616,Lookups!$D$5:$D$10,Lookups!$F$5:$F$10),"Unknown")</x:f>
        <x:v>CRM</x:v>
      </x:c>
      <x:c r="T616" t="str">
        <x:f>IF(L616&gt;=50000,"Enterprise",IF(L616&gt;=20000,"Mid-Market","SMB"))</x:f>
        <x:v>SMB</x:v>
      </x:c>
      <x:c r="U616" t="str">
        <x:f>IF(I616="Closed Won","Won",IF(I616="Closed Lost","Lost","Open"))</x:f>
        <x:v>Lost</x:v>
      </x:c>
      <x:c r="V616" s="22" t="n">
        <x:f>IF(U616="Won",L616*(1-M616),0)</x:f>
        <x:v>0</x:v>
      </x:c>
      <x:c r="W616" s="22" t="n">
        <x:f>IF(U616="Open",L616*N616,0)</x:f>
        <x:v>0</x:v>
      </x:c>
      <x:c r="X616" s="26" t="n">
        <x:f>IF(U616="Open","",IFERROR(K616-B616,""))</x:f>
        <x:v>61</x:v>
      </x:c>
      <x:c r="Y616" s="26" t="n">
        <x:f>IF(U616="Open",Lookups!$B$2-B616,X616)</x:f>
        <x:v>61</x:v>
      </x:c>
      <x:c r="Z616" t="str">
        <x:f>IF(AND(U616="Open",Y616&gt;30),"STALE","OK")</x:f>
        <x:v>OK</x:v>
      </x:c>
      <x:c r="AA616" t="str">
        <x:f>TEXT(B616,"yyyy-mm")</x:f>
        <x:v>2025-10</x:v>
      </x:c>
      <x:c r="AB616" t="str">
        <x:f>IF(K616="","",TEXT(K616,"yyyy-mm"))</x:f>
        <x:v>2025-12</x:v>
      </x:c>
      <x:c r="AC616" t="str">
        <x:f>"Q"&amp;ROUNDUP(MONTH(B616)/3,0)&amp;"-"&amp;YEAR(B616)</x:f>
        <x:v>Q4-2025</x:v>
      </x:c>
      <x:c r="AD616" s="26" t="n">
        <x:f>MIN(100,IF(H616="Enterprise",30,IF(H616="Mid-Market",22,14))+IF(T616="Enterprise",25,IF(T616="Mid-Market",18,10))+IF(Q616="Referral",25,IF(Q616="Organic Search",20,IF(Q616="Email",18,14)))+IF(G616="Technology",10,5))</x:f>
        <x:v>57</x:v>
      </x:c>
      <x:c r="AE616" t="str">
        <x:f>IF(U616&lt;&gt;"Open",U616,IF(N616&gt;=0.8,"Commit",IF(N616&gt;=0.5,"Best Case","Pipeline")))</x:f>
        <x:v>Lost</x:v>
      </x:c>
    </x:row>
    <x:row r="617">
      <x:c r="A617" t="str">
        <x:v>L00616</x:v>
      </x:c>
      <x:c r="B617" s="10" t="n">
        <x:v>45791</x:v>
      </x:c>
      <x:c r="C617" t="str">
        <x:v>An Nguyen</x:v>
      </x:c>
      <x:c r="D617" t="str">
        <x:v>South</x:v>
      </x:c>
      <x:c r="E617" t="str">
        <x:v>SEO</x:v>
      </x:c>
      <x:c r="F617" t="str">
        <x:v>CRM-CORE</x:v>
      </x:c>
      <x:c r="G617" t="str">
        <x:v>Education</x:v>
      </x:c>
      <x:c r="H617" t="str">
        <x:v>SMB</x:v>
      </x:c>
      <x:c r="I617" t="str">
        <x:v>Closed Won</x:v>
      </x:c>
      <x:c r="J617" s="10" t="n">
        <x:v>45870</x:v>
      </x:c>
      <x:c r="K617" s="10" t="n">
        <x:v>45870</x:v>
      </x:c>
      <x:c r="L617" s="22" t="n">
        <x:v>8300</x:v>
      </x:c>
      <x:c r="M617" s="24" t="n">
        <x:v>0.05</x:v>
      </x:c>
      <x:c r="N617" s="24" t="n">
        <x:v>1</x:v>
      </x:c>
      <x:c r="O617" t="str"/>
      <x:c r="P617" t="n">
        <x:v>6</x:v>
      </x:c>
      <x:c r="Q617" t="str">
        <x:f>IFERROR(XLOOKUP(E617,Lookups!$A$5:$A$24,Lookups!$B$5:$B$24),"Other")</x:f>
        <x:v>Organic Search</x:v>
      </x:c>
      <x:c r="R617" t="str">
        <x:f>IFERROR(XLOOKUP(F617,Lookups!$D$5:$D$10,Lookups!$E$5:$E$10),"Unknown Product")</x:f>
        <x:v>NexaCRM Core</x:v>
      </x:c>
      <x:c r="S617" t="str">
        <x:f>IFERROR(XLOOKUP(F617,Lookups!$D$5:$D$10,Lookups!$F$5:$F$10),"Unknown")</x:f>
        <x:v>CRM</x:v>
      </x:c>
      <x:c r="T617" t="str">
        <x:f>IF(L617&gt;=50000,"Enterprise",IF(L617&gt;=20000,"Mid-Market","SMB"))</x:f>
        <x:v>SMB</x:v>
      </x:c>
      <x:c r="U617" t="str">
        <x:f>IF(I617="Closed Won","Won",IF(I617="Closed Lost","Lost","Open"))</x:f>
        <x:v>Won</x:v>
      </x:c>
      <x:c r="V617" s="22" t="n">
        <x:f>IF(U617="Won",L617*(1-M617),0)</x:f>
        <x:v>7885</x:v>
      </x:c>
      <x:c r="W617" s="22" t="n">
        <x:f>IF(U617="Open",L617*N617,0)</x:f>
        <x:v>0</x:v>
      </x:c>
      <x:c r="X617" s="26" t="n">
        <x:f>IF(U617="Open","",IFERROR(K617-B617,""))</x:f>
        <x:v>79</x:v>
      </x:c>
      <x:c r="Y617" s="26" t="n">
        <x:f>IF(U617="Open",Lookups!$B$2-B617,X617)</x:f>
        <x:v>79</x:v>
      </x:c>
      <x:c r="Z617" t="str">
        <x:f>IF(AND(U617="Open",Y617&gt;30),"STALE","OK")</x:f>
        <x:v>OK</x:v>
      </x:c>
      <x:c r="AA617" t="str">
        <x:f>TEXT(B617,"yyyy-mm")</x:f>
        <x:v>2025-05</x:v>
      </x:c>
      <x:c r="AB617" t="str">
        <x:f>IF(K617="","",TEXT(K617,"yyyy-mm"))</x:f>
        <x:v>2025-08</x:v>
      </x:c>
      <x:c r="AC617" t="str">
        <x:f>"Q"&amp;ROUNDUP(MONTH(B617)/3,0)&amp;"-"&amp;YEAR(B617)</x:f>
        <x:v>Q2-2025</x:v>
      </x:c>
      <x:c r="AD617" s="26" t="n">
        <x:f>MIN(100,IF(H617="Enterprise",30,IF(H617="Mid-Market",22,14))+IF(T617="Enterprise",25,IF(T617="Mid-Market",18,10))+IF(Q617="Referral",25,IF(Q617="Organic Search",20,IF(Q617="Email",18,14)))+IF(G617="Technology",10,5))</x:f>
        <x:v>49</x:v>
      </x:c>
      <x:c r="AE617" t="str">
        <x:f>IF(U617&lt;&gt;"Open",U617,IF(N617&gt;=0.8,"Commit",IF(N617&gt;=0.5,"Best Case","Pipeline")))</x:f>
        <x:v>Won</x:v>
      </x:c>
    </x:row>
    <x:row r="618">
      <x:c r="A618" t="str">
        <x:v>L00617</x:v>
      </x:c>
      <x:c r="B618" s="10" t="n">
        <x:v>45757</x:v>
      </x:c>
      <x:c r="C618" t="str">
        <x:v>Tuan Bui</x:v>
      </x:c>
      <x:c r="D618" t="str">
        <x:v>Central</x:v>
      </x:c>
      <x:c r="E618" t="str">
        <x:v>google cpc</x:v>
      </x:c>
      <x:c r="F618" t="str">
        <x:v>REV-OPS</x:v>
      </x:c>
      <x:c r="G618" t="str">
        <x:v>Professional Services</x:v>
      </x:c>
      <x:c r="H618" t="str">
        <x:v>Enterprise</x:v>
      </x:c>
      <x:c r="I618" t="str">
        <x:v>Negotiation</x:v>
      </x:c>
      <x:c r="J618" s="10" t="n">
        <x:v>46126</x:v>
      </x:c>
      <x:c r="K618" s="10"/>
      <x:c r="L618" s="22" t="n">
        <x:v>136400</x:v>
      </x:c>
      <x:c r="M618" s="24" t="n">
        <x:v>0.03</x:v>
      </x:c>
      <x:c r="N618" s="24" t="n">
        <x:v>0.85</x:v>
      </x:c>
      <x:c r="O618" t="str"/>
      <x:c r="P618" t="n">
        <x:v>5</x:v>
      </x:c>
      <x:c r="Q618" t="str">
        <x:f>IFERROR(XLOOKUP(E618,Lookups!$A$5:$A$24,Lookups!$B$5:$B$24),"Other")</x:f>
        <x:v>Paid Search</x:v>
      </x:c>
      <x:c r="R618" t="str">
        <x:f>IFERROR(XLOOKUP(F618,Lookups!$D$5:$D$10,Lookups!$E$5:$E$10),"Unknown Product")</x:f>
        <x:v>Revenue Operations Suite</x:v>
      </x:c>
      <x:c r="S618" t="str">
        <x:f>IFERROR(XLOOKUP(F618,Lookups!$D$5:$D$10,Lookups!$F$5:$F$10),"Unknown")</x:f>
        <x:v>Revenue Ops</x:v>
      </x:c>
      <x:c r="T618" t="str">
        <x:f>IF(L618&gt;=50000,"Enterprise",IF(L618&gt;=20000,"Mid-Market","SMB"))</x:f>
        <x:v>Enterprise</x:v>
      </x:c>
      <x:c r="U618" t="str">
        <x:f>IF(I618="Closed Won","Won",IF(I618="Closed Lost","Lost","Open"))</x:f>
        <x:v>Open</x:v>
      </x:c>
      <x:c r="V618" s="22" t="n">
        <x:f>IF(U618="Won",L618*(1-M618),0)</x:f>
        <x:v>0</x:v>
      </x:c>
      <x:c r="W618" s="22" t="n">
        <x:f>IF(U618="Open",L618*N618,0)</x:f>
        <x:v>115940</x:v>
      </x:c>
      <x:c r="X618" s="26" t="str">
        <x:f>IF(U618="Open","",IFERROR(K618-B618,""))</x:f>
      </x:c>
      <x:c r="Y618" s="26" t="n">
        <x:f>IF(U618="Open",Lookups!$B$2-B618,X618)</x:f>
        <x:v>509</x:v>
      </x:c>
      <x:c r="Z618" t="str">
        <x:f>IF(AND(U618="Open",Y618&gt;30),"STALE","OK")</x:f>
        <x:v>STALE</x:v>
      </x:c>
      <x:c r="AA618" t="str">
        <x:f>TEXT(B618,"yyyy-mm")</x:f>
        <x:v>2025-04</x:v>
      </x:c>
      <x:c r="AB618" t="str">
        <x:f>IF(K618="","",TEXT(K618,"yyyy-mm"))</x:f>
      </x:c>
      <x:c r="AC618" t="str">
        <x:f>"Q"&amp;ROUNDUP(MONTH(B618)/3,0)&amp;"-"&amp;YEAR(B618)</x:f>
        <x:v>Q2-2025</x:v>
      </x:c>
      <x:c r="AD618" s="26" t="n">
        <x:f>MIN(100,IF(H618="Enterprise",30,IF(H618="Mid-Market",22,14))+IF(T618="Enterprise",25,IF(T618="Mid-Market",18,10))+IF(Q618="Referral",25,IF(Q618="Organic Search",20,IF(Q618="Email",18,14)))+IF(G618="Technology",10,5))</x:f>
        <x:v>74</x:v>
      </x:c>
      <x:c r="AE618" t="str">
        <x:f>IF(U618&lt;&gt;"Open",U618,IF(N618&gt;=0.8,"Commit",IF(N618&gt;=0.5,"Best Case","Pipeline")))</x:f>
        <x:v>Commit</x:v>
      </x:c>
    </x:row>
    <x:row r="619">
      <x:c r="A619" t="str">
        <x:v>L00618</x:v>
      </x:c>
      <x:c r="B619" s="10" t="n">
        <x:v>45751</x:v>
      </x:c>
      <x:c r="C619" t="str">
        <x:v>Duy Pham</x:v>
      </x:c>
      <x:c r="D619" t="str">
        <x:v>South</x:v>
      </x:c>
      <x:c r="E619" t="str">
        <x:v>google cpc</x:v>
      </x:c>
      <x:c r="F619" t="str">
        <x:v>CRM-PRO</x:v>
      </x:c>
      <x:c r="G619" t="str">
        <x:v>Financial Services</x:v>
      </x:c>
      <x:c r="H619" t="str">
        <x:v>Mid-Market</x:v>
      </x:c>
      <x:c r="I619" t="str">
        <x:v>Closed Lost</x:v>
      </x:c>
      <x:c r="J619" s="10" t="n">
        <x:v>45797</x:v>
      </x:c>
      <x:c r="K619" s="10" t="n">
        <x:v>45797</x:v>
      </x:c>
      <x:c r="L619" s="22" t="n">
        <x:v>39500</x:v>
      </x:c>
      <x:c r="M619" s="24" t="n">
        <x:v>0</x:v>
      </x:c>
      <x:c r="N619" s="24" t="n">
        <x:v>0</x:v>
      </x:c>
      <x:c r="O619" t="str">
        <x:v>Timing</x:v>
      </x:c>
      <x:c r="P619" t="n">
        <x:v>2</x:v>
      </x:c>
      <x:c r="Q619" t="str">
        <x:f>IFERROR(XLOOKUP(E619,Lookups!$A$5:$A$24,Lookups!$B$5:$B$24),"Other")</x:f>
        <x:v>Paid Search</x:v>
      </x:c>
      <x:c r="R619" t="str">
        <x:f>IFERROR(XLOOKUP(F619,Lookups!$D$5:$D$10,Lookups!$E$5:$E$10),"Unknown Product")</x:f>
        <x:v>NexaCRM Pro</x:v>
      </x:c>
      <x:c r="S619" t="str">
        <x:f>IFERROR(XLOOKUP(F619,Lookups!$D$5:$D$10,Lookups!$F$5:$F$10),"Unknown")</x:f>
        <x:v>CRM</x:v>
      </x:c>
      <x:c r="T619" t="str">
        <x:f>IF(L619&gt;=50000,"Enterprise",IF(L619&gt;=20000,"Mid-Market","SMB"))</x:f>
        <x:v>Mid-Market</x:v>
      </x:c>
      <x:c r="U619" t="str">
        <x:f>IF(I619="Closed Won","Won",IF(I619="Closed Lost","Lost","Open"))</x:f>
        <x:v>Lost</x:v>
      </x:c>
      <x:c r="V619" s="22" t="n">
        <x:f>IF(U619="Won",L619*(1-M619),0)</x:f>
        <x:v>0</x:v>
      </x:c>
      <x:c r="W619" s="22" t="n">
        <x:f>IF(U619="Open",L619*N619,0)</x:f>
        <x:v>0</x:v>
      </x:c>
      <x:c r="X619" s="26" t="n">
        <x:f>IF(U619="Open","",IFERROR(K619-B619,""))</x:f>
        <x:v>46</x:v>
      </x:c>
      <x:c r="Y619" s="26" t="n">
        <x:f>IF(U619="Open",Lookups!$B$2-B619,X619)</x:f>
        <x:v>46</x:v>
      </x:c>
      <x:c r="Z619" t="str">
        <x:f>IF(AND(U619="Open",Y619&gt;30),"STALE","OK")</x:f>
        <x:v>OK</x:v>
      </x:c>
      <x:c r="AA619" t="str">
        <x:f>TEXT(B619,"yyyy-mm")</x:f>
        <x:v>2025-04</x:v>
      </x:c>
      <x:c r="AB619" t="str">
        <x:f>IF(K619="","",TEXT(K619,"yyyy-mm"))</x:f>
        <x:v>2025-05</x:v>
      </x:c>
      <x:c r="AC619" t="str">
        <x:f>"Q"&amp;ROUNDUP(MONTH(B619)/3,0)&amp;"-"&amp;YEAR(B619)</x:f>
        <x:v>Q2-2025</x:v>
      </x:c>
      <x:c r="AD619" s="26" t="n">
        <x:f>MIN(100,IF(H619="Enterprise",30,IF(H619="Mid-Market",22,14))+IF(T619="Enterprise",25,IF(T619="Mid-Market",18,10))+IF(Q619="Referral",25,IF(Q619="Organic Search",20,IF(Q619="Email",18,14)))+IF(G619="Technology",10,5))</x:f>
        <x:v>59</x:v>
      </x:c>
      <x:c r="AE619" t="str">
        <x:f>IF(U619&lt;&gt;"Open",U619,IF(N619&gt;=0.8,"Commit",IF(N619&gt;=0.5,"Best Case","Pipeline")))</x:f>
        <x:v>Lost</x:v>
      </x:c>
    </x:row>
    <x:row r="620">
      <x:c r="A620" t="str">
        <x:v>L00619</x:v>
      </x:c>
      <x:c r="B620" s="10" t="n">
        <x:v>46228</x:v>
      </x:c>
      <x:c r="C620" t="str">
        <x:v>Quynh Vu</x:v>
      </x:c>
      <x:c r="D620" t="str">
        <x:v>North</x:v>
      </x:c>
      <x:c r="E620" t="str">
        <x:v>Referral</x:v>
      </x:c>
      <x:c r="F620" t="str">
        <x:v>BI-PLUS</x:v>
      </x:c>
      <x:c r="G620" t="str">
        <x:v>Financial Services</x:v>
      </x:c>
      <x:c r="H620" t="str">
        <x:v>SMB</x:v>
      </x:c>
      <x:c r="I620" t="str">
        <x:v>Qualified</x:v>
      </x:c>
      <x:c r="J620" s="10" t="n">
        <x:v>46245</x:v>
      </x:c>
      <x:c r="K620" s="10"/>
      <x:c r="L620" s="22" t="n">
        <x:v>29900</x:v>
      </x:c>
      <x:c r="M620" s="24" t="n">
        <x:v>0</x:v>
      </x:c>
      <x:c r="N620" s="24" t="n">
        <x:v>0.2</x:v>
      </x:c>
      <x:c r="O620" t="str"/>
      <x:c r="P620" t="n">
        <x:v>2</x:v>
      </x:c>
      <x:c r="Q620" t="str">
        <x:f>IFERROR(XLOOKUP(E620,Lookups!$A$5:$A$24,Lookups!$B$5:$B$24),"Other")</x:f>
        <x:v>Referral</x:v>
      </x:c>
      <x:c r="R620" t="str">
        <x:f>IFERROR(XLOOKUP(F620,Lookups!$D$5:$D$10,Lookups!$E$5:$E$10),"Unknown Product")</x:f>
        <x:v>Analytics Plus</x:v>
      </x:c>
      <x:c r="S620" t="str">
        <x:f>IFERROR(XLOOKUP(F620,Lookups!$D$5:$D$10,Lookups!$F$5:$F$10),"Unknown")</x:f>
        <x:v>Analytics</x:v>
      </x:c>
      <x:c r="T620" t="str">
        <x:f>IF(L620&gt;=50000,"Enterprise",IF(L620&gt;=20000,"Mid-Market","SMB"))</x:f>
        <x:v>Mid-Market</x:v>
      </x:c>
      <x:c r="U620" t="str">
        <x:f>IF(I620="Closed Won","Won",IF(I620="Closed Lost","Lost","Open"))</x:f>
        <x:v>Open</x:v>
      </x:c>
      <x:c r="V620" s="22" t="n">
        <x:f>IF(U620="Won",L620*(1-M620),0)</x:f>
        <x:v>0</x:v>
      </x:c>
      <x:c r="W620" s="22" t="n">
        <x:f>IF(U620="Open",L620*N620,0)</x:f>
        <x:v>5980</x:v>
      </x:c>
      <x:c r="X620" s="26" t="str">
        <x:f>IF(U620="Open","",IFERROR(K620-B620,""))</x:f>
      </x:c>
      <x:c r="Y620" s="26" t="n">
        <x:f>IF(U620="Open",Lookups!$B$2-B620,X620)</x:f>
        <x:v>38</x:v>
      </x:c>
      <x:c r="Z620" t="str">
        <x:f>IF(AND(U620="Open",Y620&gt;30),"STALE","OK")</x:f>
        <x:v>STALE</x:v>
      </x:c>
      <x:c r="AA620" t="str">
        <x:f>TEXT(B620,"yyyy-mm")</x:f>
        <x:v>2026-07</x:v>
      </x:c>
      <x:c r="AB620" t="str">
        <x:f>IF(K620="","",TEXT(K620,"yyyy-mm"))</x:f>
      </x:c>
      <x:c r="AC620" t="str">
        <x:f>"Q"&amp;ROUNDUP(MONTH(B620)/3,0)&amp;"-"&amp;YEAR(B620)</x:f>
        <x:v>Q3-2026</x:v>
      </x:c>
      <x:c r="AD620" s="26" t="n">
        <x:f>MIN(100,IF(H620="Enterprise",30,IF(H620="Mid-Market",22,14))+IF(T620="Enterprise",25,IF(T620="Mid-Market",18,10))+IF(Q620="Referral",25,IF(Q620="Organic Search",20,IF(Q620="Email",18,14)))+IF(G620="Technology",10,5))</x:f>
        <x:v>62</x:v>
      </x:c>
      <x:c r="AE620" t="str">
        <x:f>IF(U620&lt;&gt;"Open",U620,IF(N620&gt;=0.8,"Commit",IF(N620&gt;=0.5,"Best Case","Pipeline")))</x:f>
        <x:v>Pipeline</x:v>
      </x:c>
    </x:row>
    <x:row r="621">
      <x:c r="A621" t="str">
        <x:v>L00620</x:v>
      </x:c>
      <x:c r="B621" s="10" t="n">
        <x:v>46202</x:v>
      </x:c>
      <x:c r="C621" t="str">
        <x:v>Minh Do</x:v>
      </x:c>
      <x:c r="D621" t="str">
        <x:v>North</x:v>
      </x:c>
      <x:c r="E621" t="str">
        <x:v>Outbound</x:v>
      </x:c>
      <x:c r="F621" t="str">
        <x:v>CRM-CORE</x:v>
      </x:c>
      <x:c r="G621" t="str">
        <x:v>Manufacturing</x:v>
      </x:c>
      <x:c r="H621" t="str">
        <x:v>Enterprise</x:v>
      </x:c>
      <x:c r="I621" t="str">
        <x:v>Closed Won</x:v>
      </x:c>
      <x:c r="J621" s="10" t="n">
        <x:v>46266</x:v>
      </x:c>
      <x:c r="K621" s="10" t="n">
        <x:v>46266</x:v>
      </x:c>
      <x:c r="L621" s="22" t="n">
        <x:v>25500</x:v>
      </x:c>
      <x:c r="M621" s="24" t="n">
        <x:v>0</x:v>
      </x:c>
      <x:c r="N621" s="24" t="n">
        <x:v>1</x:v>
      </x:c>
      <x:c r="O621" t="str"/>
      <x:c r="P621" t="n">
        <x:v>6</x:v>
      </x:c>
      <x:c r="Q621" t="str">
        <x:f>IFERROR(XLOOKUP(E621,Lookups!$A$5:$A$24,Lookups!$B$5:$B$24),"Other")</x:f>
        <x:v>Outbound</x:v>
      </x:c>
      <x:c r="R621" t="str">
        <x:f>IFERROR(XLOOKUP(F621,Lookups!$D$5:$D$10,Lookups!$E$5:$E$10),"Unknown Product")</x:f>
        <x:v>NexaCRM Core</x:v>
      </x:c>
      <x:c r="S621" t="str">
        <x:f>IFERROR(XLOOKUP(F621,Lookups!$D$5:$D$10,Lookups!$F$5:$F$10),"Unknown")</x:f>
        <x:v>CRM</x:v>
      </x:c>
      <x:c r="T621" t="str">
        <x:f>IF(L621&gt;=50000,"Enterprise",IF(L621&gt;=20000,"Mid-Market","SMB"))</x:f>
        <x:v>Mid-Market</x:v>
      </x:c>
      <x:c r="U621" t="str">
        <x:f>IF(I621="Closed Won","Won",IF(I621="Closed Lost","Lost","Open"))</x:f>
        <x:v>Won</x:v>
      </x:c>
      <x:c r="V621" s="22" t="n">
        <x:f>IF(U621="Won",L621*(1-M621),0)</x:f>
        <x:v>25500</x:v>
      </x:c>
      <x:c r="W621" s="22" t="n">
        <x:f>IF(U621="Open",L621*N621,0)</x:f>
        <x:v>0</x:v>
      </x:c>
      <x:c r="X621" s="26" t="n">
        <x:f>IF(U621="Open","",IFERROR(K621-B621,""))</x:f>
        <x:v>64</x:v>
      </x:c>
      <x:c r="Y621" s="26" t="n">
        <x:f>IF(U621="Open",Lookups!$B$2-B621,X621)</x:f>
        <x:v>64</x:v>
      </x:c>
      <x:c r="Z621" t="str">
        <x:f>IF(AND(U621="Open",Y621&gt;30),"STALE","OK")</x:f>
        <x:v>OK</x:v>
      </x:c>
      <x:c r="AA621" t="str">
        <x:f>TEXT(B621,"yyyy-mm")</x:f>
        <x:v>2026-06</x:v>
      </x:c>
      <x:c r="AB621" t="str">
        <x:f>IF(K621="","",TEXT(K621,"yyyy-mm"))</x:f>
        <x:v>2026-09</x:v>
      </x:c>
      <x:c r="AC621" t="str">
        <x:f>"Q"&amp;ROUNDUP(MONTH(B621)/3,0)&amp;"-"&amp;YEAR(B621)</x:f>
        <x:v>Q2-2026</x:v>
      </x:c>
      <x:c r="AD621" s="26" t="n">
        <x:f>MIN(100,IF(H621="Enterprise",30,IF(H621="Mid-Market",22,14))+IF(T621="Enterprise",25,IF(T621="Mid-Market",18,10))+IF(Q621="Referral",25,IF(Q621="Organic Search",20,IF(Q621="Email",18,14)))+IF(G621="Technology",10,5))</x:f>
        <x:v>67</x:v>
      </x:c>
      <x:c r="AE621" t="str">
        <x:f>IF(U621&lt;&gt;"Open",U621,IF(N621&gt;=0.8,"Commit",IF(N621&gt;=0.5,"Best Case","Pipeline")))</x:f>
        <x:v>Won</x:v>
      </x:c>
    </x:row>
    <x:row r="622">
      <x:c r="A622" t="str">
        <x:v>L00621</x:v>
      </x:c>
      <x:c r="B622" s="10" t="n">
        <x:v>45801</x:v>
      </x:c>
      <x:c r="C622" t="str">
        <x:v>Quynh Vu</x:v>
      </x:c>
      <x:c r="D622" t="str">
        <x:v>North</x:v>
      </x:c>
      <x:c r="E622" t="str">
        <x:v>customer referral</x:v>
      </x:c>
      <x:c r="F622" t="str">
        <x:v>CS-CLOUD</x:v>
      </x:c>
      <x:c r="G622" t="str">
        <x:v>Healthcare</x:v>
      </x:c>
      <x:c r="H622" t="str">
        <x:v>Mid-Market</x:v>
      </x:c>
      <x:c r="I622" t="str">
        <x:v>Closed Won</x:v>
      </x:c>
      <x:c r="J622" s="10" t="n">
        <x:v>45857</x:v>
      </x:c>
      <x:c r="K622" s="10" t="n">
        <x:v>45857</x:v>
      </x:c>
      <x:c r="L622" s="22" t="n">
        <x:v>25300</x:v>
      </x:c>
      <x:c r="M622" s="24" t="n">
        <x:v>0</x:v>
      </x:c>
      <x:c r="N622" s="24" t="n">
        <x:v>1</x:v>
      </x:c>
      <x:c r="O622" t="str"/>
      <x:c r="P622" t="n">
        <x:v>6</x:v>
      </x:c>
      <x:c r="Q622" t="str">
        <x:f>IFERROR(XLOOKUP(E622,Lookups!$A$5:$A$24,Lookups!$B$5:$B$24),"Other")</x:f>
        <x:v>Referral</x:v>
      </x:c>
      <x:c r="R622" t="str">
        <x:f>IFERROR(XLOOKUP(F622,Lookups!$D$5:$D$10,Lookups!$E$5:$E$10),"Unknown Product")</x:f>
        <x:v>Service Cloud</x:v>
      </x:c>
      <x:c r="S622" t="str">
        <x:f>IFERROR(XLOOKUP(F622,Lookups!$D$5:$D$10,Lookups!$F$5:$F$10),"Unknown")</x:f>
        <x:v>Customer Service</x:v>
      </x:c>
      <x:c r="T622" t="str">
        <x:f>IF(L622&gt;=50000,"Enterprise",IF(L622&gt;=20000,"Mid-Market","SMB"))</x:f>
        <x:v>Mid-Market</x:v>
      </x:c>
      <x:c r="U622" t="str">
        <x:f>IF(I622="Closed Won","Won",IF(I622="Closed Lost","Lost","Open"))</x:f>
        <x:v>Won</x:v>
      </x:c>
      <x:c r="V622" s="22" t="n">
        <x:f>IF(U622="Won",L622*(1-M622),0)</x:f>
        <x:v>25300</x:v>
      </x:c>
      <x:c r="W622" s="22" t="n">
        <x:f>IF(U622="Open",L622*N622,0)</x:f>
        <x:v>0</x:v>
      </x:c>
      <x:c r="X622" s="26" t="n">
        <x:f>IF(U622="Open","",IFERROR(K622-B622,""))</x:f>
        <x:v>56</x:v>
      </x:c>
      <x:c r="Y622" s="26" t="n">
        <x:f>IF(U622="Open",Lookups!$B$2-B622,X622)</x:f>
        <x:v>56</x:v>
      </x:c>
      <x:c r="Z622" t="str">
        <x:f>IF(AND(U622="Open",Y622&gt;30),"STALE","OK")</x:f>
        <x:v>OK</x:v>
      </x:c>
      <x:c r="AA622" t="str">
        <x:f>TEXT(B622,"yyyy-mm")</x:f>
        <x:v>2025-05</x:v>
      </x:c>
      <x:c r="AB622" t="str">
        <x:f>IF(K622="","",TEXT(K622,"yyyy-mm"))</x:f>
        <x:v>2025-07</x:v>
      </x:c>
      <x:c r="AC622" t="str">
        <x:f>"Q"&amp;ROUNDUP(MONTH(B622)/3,0)&amp;"-"&amp;YEAR(B622)</x:f>
        <x:v>Q2-2025</x:v>
      </x:c>
      <x:c r="AD622" s="26" t="n">
        <x:f>MIN(100,IF(H622="Enterprise",30,IF(H622="Mid-Market",22,14))+IF(T622="Enterprise",25,IF(T622="Mid-Market",18,10))+IF(Q622="Referral",25,IF(Q622="Organic Search",20,IF(Q622="Email",18,14)))+IF(G622="Technology",10,5))</x:f>
        <x:v>70</x:v>
      </x:c>
      <x:c r="AE622" t="str">
        <x:f>IF(U622&lt;&gt;"Open",U622,IF(N622&gt;=0.8,"Commit",IF(N622&gt;=0.5,"Best Case","Pipeline")))</x:f>
        <x:v>Won</x:v>
      </x:c>
    </x:row>
    <x:row r="623">
      <x:c r="A623" t="str">
        <x:v>L00622</x:v>
      </x:c>
      <x:c r="B623" s="10" t="n">
        <x:v>46140</x:v>
      </x:c>
      <x:c r="C623" t="str">
        <x:v>An Nguyen</x:v>
      </x:c>
      <x:c r="D623" t="str">
        <x:v>South</x:v>
      </x:c>
      <x:c r="E623" t="str">
        <x:v>linkedin</x:v>
      </x:c>
      <x:c r="F623" t="str">
        <x:v>BI-PLUS</x:v>
      </x:c>
      <x:c r="G623" t="str">
        <x:v>Retail</x:v>
      </x:c>
      <x:c r="H623" t="str">
        <x:v>SMB</x:v>
      </x:c>
      <x:c r="I623" t="str">
        <x:v>Proposal</x:v>
      </x:c>
      <x:c r="J623" s="10" t="n">
        <x:v>46242</x:v>
      </x:c>
      <x:c r="K623" s="10"/>
      <x:c r="L623" s="22" t="n">
        <x:v>19900</x:v>
      </x:c>
      <x:c r="M623" s="24" t="n">
        <x:v>0.03</x:v>
      </x:c>
      <x:c r="N623" s="24" t="n">
        <x:v>0.65</x:v>
      </x:c>
      <x:c r="O623" t="str"/>
      <x:c r="P623" t="n">
        <x:v>4</x:v>
      </x:c>
      <x:c r="Q623" t="str">
        <x:f>IFERROR(XLOOKUP(E623,Lookups!$A$5:$A$24,Lookups!$B$5:$B$24),"Other")</x:f>
        <x:v>LinkedIn</x:v>
      </x:c>
      <x:c r="R623" t="str">
        <x:f>IFERROR(XLOOKUP(F623,Lookups!$D$5:$D$10,Lookups!$E$5:$E$10),"Unknown Product")</x:f>
        <x:v>Analytics Plus</x:v>
      </x:c>
      <x:c r="S623" t="str">
        <x:f>IFERROR(XLOOKUP(F623,Lookups!$D$5:$D$10,Lookups!$F$5:$F$10),"Unknown")</x:f>
        <x:v>Analytics</x:v>
      </x:c>
      <x:c r="T623" t="str">
        <x:f>IF(L623&gt;=50000,"Enterprise",IF(L623&gt;=20000,"Mid-Market","SMB"))</x:f>
        <x:v>SMB</x:v>
      </x:c>
      <x:c r="U623" t="str">
        <x:f>IF(I623="Closed Won","Won",IF(I623="Closed Lost","Lost","Open"))</x:f>
        <x:v>Open</x:v>
      </x:c>
      <x:c r="V623" s="22" t="n">
        <x:f>IF(U623="Won",L623*(1-M623),0)</x:f>
        <x:v>0</x:v>
      </x:c>
      <x:c r="W623" s="22" t="n">
        <x:f>IF(U623="Open",L623*N623,0)</x:f>
        <x:v>12935</x:v>
      </x:c>
      <x:c r="X623" s="26" t="str">
        <x:f>IF(U623="Open","",IFERROR(K623-B623,""))</x:f>
      </x:c>
      <x:c r="Y623" s="26" t="n">
        <x:f>IF(U623="Open",Lookups!$B$2-B623,X623)</x:f>
        <x:v>126</x:v>
      </x:c>
      <x:c r="Z623" t="str">
        <x:f>IF(AND(U623="Open",Y623&gt;30),"STALE","OK")</x:f>
        <x:v>STALE</x:v>
      </x:c>
      <x:c r="AA623" t="str">
        <x:f>TEXT(B623,"yyyy-mm")</x:f>
        <x:v>2026-04</x:v>
      </x:c>
      <x:c r="AB623" t="str">
        <x:f>IF(K623="","",TEXT(K623,"yyyy-mm"))</x:f>
      </x:c>
      <x:c r="AC623" t="str">
        <x:f>"Q"&amp;ROUNDUP(MONTH(B623)/3,0)&amp;"-"&amp;YEAR(B623)</x:f>
        <x:v>Q2-2026</x:v>
      </x:c>
      <x:c r="AD623" s="26" t="n">
        <x:f>MIN(100,IF(H623="Enterprise",30,IF(H623="Mid-Market",22,14))+IF(T623="Enterprise",25,IF(T623="Mid-Market",18,10))+IF(Q623="Referral",25,IF(Q623="Organic Search",20,IF(Q623="Email",18,14)))+IF(G623="Technology",10,5))</x:f>
        <x:v>43</x:v>
      </x:c>
      <x:c r="AE623" t="str">
        <x:f>IF(U623&lt;&gt;"Open",U623,IF(N623&gt;=0.8,"Commit",IF(N623&gt;=0.5,"Best Case","Pipeline")))</x:f>
        <x:v>Best Case</x:v>
      </x:c>
    </x:row>
    <x:row r="624">
      <x:c r="A624" t="str">
        <x:v>L00623</x:v>
      </x:c>
      <x:c r="B624" s="10" t="n">
        <x:v>46097</x:v>
      </x:c>
      <x:c r="C624" t="str">
        <x:v>An Nguyen</x:v>
      </x:c>
      <x:c r="D624" t="str">
        <x:v>South</x:v>
      </x:c>
      <x:c r="E624" t="str">
        <x:v>SEO</x:v>
      </x:c>
      <x:c r="F624" t="str">
        <x:v>MKT-AUTO</x:v>
      </x:c>
      <x:c r="G624" t="str">
        <x:v>Education</x:v>
      </x:c>
      <x:c r="H624" t="str">
        <x:v>Mid-Market</x:v>
      </x:c>
      <x:c r="I624" t="str">
        <x:v>Closed Won</x:v>
      </x:c>
      <x:c r="J624" s="10" t="n">
        <x:v>46162</x:v>
      </x:c>
      <x:c r="K624" s="10" t="n">
        <x:v>46162</x:v>
      </x:c>
      <x:c r="L624" s="22" t="n">
        <x:v>21200</x:v>
      </x:c>
      <x:c r="M624" s="24" t="n">
        <x:v>0.03</x:v>
      </x:c>
      <x:c r="N624" s="24" t="n">
        <x:v>1</x:v>
      </x:c>
      <x:c r="O624" t="str"/>
      <x:c r="P624" t="n">
        <x:v>6</x:v>
      </x:c>
      <x:c r="Q624" t="str">
        <x:f>IFERROR(XLOOKUP(E624,Lookups!$A$5:$A$24,Lookups!$B$5:$B$24),"Other")</x:f>
        <x:v>Organic Search</x:v>
      </x:c>
      <x:c r="R624" t="str">
        <x:f>IFERROR(XLOOKUP(F624,Lookups!$D$5:$D$10,Lookups!$E$5:$E$10),"Unknown Product")</x:f>
        <x:v>Marketing Automation</x:v>
      </x:c>
      <x:c r="S624" t="str">
        <x:f>IFERROR(XLOOKUP(F624,Lookups!$D$5:$D$10,Lookups!$F$5:$F$10),"Unknown")</x:f>
        <x:v>Marketing</x:v>
      </x:c>
      <x:c r="T624" t="str">
        <x:f>IF(L624&gt;=50000,"Enterprise",IF(L624&gt;=20000,"Mid-Market","SMB"))</x:f>
        <x:v>Mid-Market</x:v>
      </x:c>
      <x:c r="U624" t="str">
        <x:f>IF(I624="Closed Won","Won",IF(I624="Closed Lost","Lost","Open"))</x:f>
        <x:v>Won</x:v>
      </x:c>
      <x:c r="V624" s="22" t="n">
        <x:f>IF(U624="Won",L624*(1-M624),0)</x:f>
        <x:v>20564</x:v>
      </x:c>
      <x:c r="W624" s="22" t="n">
        <x:f>IF(U624="Open",L624*N624,0)</x:f>
        <x:v>0</x:v>
      </x:c>
      <x:c r="X624" s="26" t="n">
        <x:f>IF(U624="Open","",IFERROR(K624-B624,""))</x:f>
        <x:v>65</x:v>
      </x:c>
      <x:c r="Y624" s="26" t="n">
        <x:f>IF(U624="Open",Lookups!$B$2-B624,X624)</x:f>
        <x:v>65</x:v>
      </x:c>
      <x:c r="Z624" t="str">
        <x:f>IF(AND(U624="Open",Y624&gt;30),"STALE","OK")</x:f>
        <x:v>OK</x:v>
      </x:c>
      <x:c r="AA624" t="str">
        <x:f>TEXT(B624,"yyyy-mm")</x:f>
        <x:v>2026-03</x:v>
      </x:c>
      <x:c r="AB624" t="str">
        <x:f>IF(K624="","",TEXT(K624,"yyyy-mm"))</x:f>
        <x:v>2026-05</x:v>
      </x:c>
      <x:c r="AC624" t="str">
        <x:f>"Q"&amp;ROUNDUP(MONTH(B624)/3,0)&amp;"-"&amp;YEAR(B624)</x:f>
        <x:v>Q1-2026</x:v>
      </x:c>
      <x:c r="AD624" s="26" t="n">
        <x:f>MIN(100,IF(H624="Enterprise",30,IF(H624="Mid-Market",22,14))+IF(T624="Enterprise",25,IF(T624="Mid-Market",18,10))+IF(Q624="Referral",25,IF(Q624="Organic Search",20,IF(Q624="Email",18,14)))+IF(G624="Technology",10,5))</x:f>
        <x:v>65</x:v>
      </x:c>
      <x:c r="AE624" t="str">
        <x:f>IF(U624&lt;&gt;"Open",U624,IF(N624&gt;=0.8,"Commit",IF(N624&gt;=0.5,"Best Case","Pipeline")))</x:f>
        <x:v>Won</x:v>
      </x:c>
    </x:row>
    <x:row r="625">
      <x:c r="A625" t="str">
        <x:v>L00624</x:v>
      </x:c>
      <x:c r="B625" s="10" t="n">
        <x:v>46053</x:v>
      </x:c>
      <x:c r="C625" t="str">
        <x:v>An Nguyen</x:v>
      </x:c>
      <x:c r="D625" t="str">
        <x:v>South</x:v>
      </x:c>
      <x:c r="E625" t="str">
        <x:v>google cpc</x:v>
      </x:c>
      <x:c r="F625" t="str">
        <x:v>CRM-PRO</x:v>
      </x:c>
      <x:c r="G625" t="str">
        <x:v>Retail</x:v>
      </x:c>
      <x:c r="H625" t="str">
        <x:v>Enterprise</x:v>
      </x:c>
      <x:c r="I625" t="str">
        <x:v>Closed Lost</x:v>
      </x:c>
      <x:c r="J625" s="10" t="n">
        <x:v>46075</x:v>
      </x:c>
      <x:c r="K625" s="10" t="n">
        <x:v>46075</x:v>
      </x:c>
      <x:c r="L625" s="22" t="n">
        <x:v>54300</x:v>
      </x:c>
      <x:c r="M625" s="24" t="n">
        <x:v>0</x:v>
      </x:c>
      <x:c r="N625" s="24" t="n">
        <x:v>0</x:v>
      </x:c>
      <x:c r="O625" t="str">
        <x:v>No Decision</x:v>
      </x:c>
      <x:c r="P625" t="n">
        <x:v>2</x:v>
      </x:c>
      <x:c r="Q625" t="str">
        <x:f>IFERROR(XLOOKUP(E625,Lookups!$A$5:$A$24,Lookups!$B$5:$B$24),"Other")</x:f>
        <x:v>Paid Search</x:v>
      </x:c>
      <x:c r="R625" t="str">
        <x:f>IFERROR(XLOOKUP(F625,Lookups!$D$5:$D$10,Lookups!$E$5:$E$10),"Unknown Product")</x:f>
        <x:v>NexaCRM Pro</x:v>
      </x:c>
      <x:c r="S625" t="str">
        <x:f>IFERROR(XLOOKUP(F625,Lookups!$D$5:$D$10,Lookups!$F$5:$F$10),"Unknown")</x:f>
        <x:v>CRM</x:v>
      </x:c>
      <x:c r="T625" t="str">
        <x:f>IF(L625&gt;=50000,"Enterprise",IF(L625&gt;=20000,"Mid-Market","SMB"))</x:f>
        <x:v>Enterprise</x:v>
      </x:c>
      <x:c r="U625" t="str">
        <x:f>IF(I625="Closed Won","Won",IF(I625="Closed Lost","Lost","Open"))</x:f>
        <x:v>Lost</x:v>
      </x:c>
      <x:c r="V625" s="22" t="n">
        <x:f>IF(U625="Won",L625*(1-M625),0)</x:f>
        <x:v>0</x:v>
      </x:c>
      <x:c r="W625" s="22" t="n">
        <x:f>IF(U625="Open",L625*N625,0)</x:f>
        <x:v>0</x:v>
      </x:c>
      <x:c r="X625" s="26" t="n">
        <x:f>IF(U625="Open","",IFERROR(K625-B625,""))</x:f>
        <x:v>22</x:v>
      </x:c>
      <x:c r="Y625" s="26" t="n">
        <x:f>IF(U625="Open",Lookups!$B$2-B625,X625)</x:f>
        <x:v>22</x:v>
      </x:c>
      <x:c r="Z625" t="str">
        <x:f>IF(AND(U625="Open",Y625&gt;30),"STALE","OK")</x:f>
        <x:v>OK</x:v>
      </x:c>
      <x:c r="AA625" t="str">
        <x:f>TEXT(B625,"yyyy-mm")</x:f>
        <x:v>2026-01</x:v>
      </x:c>
      <x:c r="AB625" t="str">
        <x:f>IF(K625="","",TEXT(K625,"yyyy-mm"))</x:f>
        <x:v>2026-02</x:v>
      </x:c>
      <x:c r="AC625" t="str">
        <x:f>"Q"&amp;ROUNDUP(MONTH(B625)/3,0)&amp;"-"&amp;YEAR(B625)</x:f>
        <x:v>Q1-2026</x:v>
      </x:c>
      <x:c r="AD625" s="26" t="n">
        <x:f>MIN(100,IF(H625="Enterprise",30,IF(H625="Mid-Market",22,14))+IF(T625="Enterprise",25,IF(T625="Mid-Market",18,10))+IF(Q625="Referral",25,IF(Q625="Organic Search",20,IF(Q625="Email",18,14)))+IF(G625="Technology",10,5))</x:f>
        <x:v>74</x:v>
      </x:c>
      <x:c r="AE625" t="str">
        <x:f>IF(U625&lt;&gt;"Open",U625,IF(N625&gt;=0.8,"Commit",IF(N625&gt;=0.5,"Best Case","Pipeline")))</x:f>
        <x:v>Lost</x:v>
      </x:c>
    </x:row>
    <x:row r="626">
      <x:c r="A626" t="str">
        <x:v>L00625</x:v>
      </x:c>
      <x:c r="B626" s="10" t="n">
        <x:v>45751</x:v>
      </x:c>
      <x:c r="C626" t="str">
        <x:v>Quynh Vu</x:v>
      </x:c>
      <x:c r="D626" t="str">
        <x:v>North</x:v>
      </x:c>
      <x:c r="E626" t="str">
        <x:v>organic search</x:v>
      </x:c>
      <x:c r="F626" t="str">
        <x:v>CRM-PRO</x:v>
      </x:c>
      <x:c r="G626" t="str">
        <x:v>Retail</x:v>
      </x:c>
      <x:c r="H626" t="str">
        <x:v>SMB</x:v>
      </x:c>
      <x:c r="I626" t="str">
        <x:v>Closed Lost</x:v>
      </x:c>
      <x:c r="J626" s="10" t="n">
        <x:v>45820</x:v>
      </x:c>
      <x:c r="K626" s="10" t="n">
        <x:v>45820</x:v>
      </x:c>
      <x:c r="L626" s="22" t="n">
        <x:v>21000</x:v>
      </x:c>
      <x:c r="M626" s="24" t="n">
        <x:v>0</x:v>
      </x:c>
      <x:c r="N626" s="24" t="n">
        <x:v>0</x:v>
      </x:c>
      <x:c r="O626" t="str">
        <x:v>No Decision</x:v>
      </x:c>
      <x:c r="P626" t="n">
        <x:v>3</x:v>
      </x:c>
      <x:c r="Q626" t="str">
        <x:f>IFERROR(XLOOKUP(E626,Lookups!$A$5:$A$24,Lookups!$B$5:$B$24),"Other")</x:f>
        <x:v>Organic Search</x:v>
      </x:c>
      <x:c r="R626" t="str">
        <x:f>IFERROR(XLOOKUP(F626,Lookups!$D$5:$D$10,Lookups!$E$5:$E$10),"Unknown Product")</x:f>
        <x:v>NexaCRM Pro</x:v>
      </x:c>
      <x:c r="S626" t="str">
        <x:f>IFERROR(XLOOKUP(F626,Lookups!$D$5:$D$10,Lookups!$F$5:$F$10),"Unknown")</x:f>
        <x:v>CRM</x:v>
      </x:c>
      <x:c r="T626" t="str">
        <x:f>IF(L626&gt;=50000,"Enterprise",IF(L626&gt;=20000,"Mid-Market","SMB"))</x:f>
        <x:v>Mid-Market</x:v>
      </x:c>
      <x:c r="U626" t="str">
        <x:f>IF(I626="Closed Won","Won",IF(I626="Closed Lost","Lost","Open"))</x:f>
        <x:v>Lost</x:v>
      </x:c>
      <x:c r="V626" s="22" t="n">
        <x:f>IF(U626="Won",L626*(1-M626),0)</x:f>
        <x:v>0</x:v>
      </x:c>
      <x:c r="W626" s="22" t="n">
        <x:f>IF(U626="Open",L626*N626,0)</x:f>
        <x:v>0</x:v>
      </x:c>
      <x:c r="X626" s="26" t="n">
        <x:f>IF(U626="Open","",IFERROR(K626-B626,""))</x:f>
        <x:v>69</x:v>
      </x:c>
      <x:c r="Y626" s="26" t="n">
        <x:f>IF(U626="Open",Lookups!$B$2-B626,X626)</x:f>
        <x:v>69</x:v>
      </x:c>
      <x:c r="Z626" t="str">
        <x:f>IF(AND(U626="Open",Y626&gt;30),"STALE","OK")</x:f>
        <x:v>OK</x:v>
      </x:c>
      <x:c r="AA626" t="str">
        <x:f>TEXT(B626,"yyyy-mm")</x:f>
        <x:v>2025-04</x:v>
      </x:c>
      <x:c r="AB626" t="str">
        <x:f>IF(K626="","",TEXT(K626,"yyyy-mm"))</x:f>
        <x:v>2025-06</x:v>
      </x:c>
      <x:c r="AC626" t="str">
        <x:f>"Q"&amp;ROUNDUP(MONTH(B626)/3,0)&amp;"-"&amp;YEAR(B626)</x:f>
        <x:v>Q2-2025</x:v>
      </x:c>
      <x:c r="AD626" s="26" t="n">
        <x:f>MIN(100,IF(H626="Enterprise",30,IF(H626="Mid-Market",22,14))+IF(T626="Enterprise",25,IF(T626="Mid-Market",18,10))+IF(Q626="Referral",25,IF(Q626="Organic Search",20,IF(Q626="Email",18,14)))+IF(G626="Technology",10,5))</x:f>
        <x:v>57</x:v>
      </x:c>
      <x:c r="AE626" t="str">
        <x:f>IF(U626&lt;&gt;"Open",U626,IF(N626&gt;=0.8,"Commit",IF(N626&gt;=0.5,"Best Case","Pipeline")))</x:f>
        <x:v>Lost</x:v>
      </x:c>
    </x:row>
    <x:row r="627">
      <x:c r="A627" t="str">
        <x:v>L00626</x:v>
      </x:c>
      <x:c r="B627" s="10" t="n">
        <x:v>46051</x:v>
      </x:c>
      <x:c r="C627" t="str">
        <x:v>Tuan Bui</x:v>
      </x:c>
      <x:c r="D627" t="str">
        <x:v>Central</x:v>
      </x:c>
      <x:c r="E627" t="str">
        <x:v>Partner Referral</x:v>
      </x:c>
      <x:c r="F627" t="str">
        <x:v>MKT-AUTO</x:v>
      </x:c>
      <x:c r="G627" t="str">
        <x:v>Professional Services</x:v>
      </x:c>
      <x:c r="H627" t="str">
        <x:v>Mid-Market</x:v>
      </x:c>
      <x:c r="I627" t="str">
        <x:v>Closed Lost</x:v>
      </x:c>
      <x:c r="J627" s="10" t="n">
        <x:v>46089</x:v>
      </x:c>
      <x:c r="K627" s="10" t="n">
        <x:v>46089</x:v>
      </x:c>
      <x:c r="L627" s="22" t="n">
        <x:v>17200</x:v>
      </x:c>
      <x:c r="M627" s="24" t="n">
        <x:v>0</x:v>
      </x:c>
      <x:c r="N627" s="24" t="n">
        <x:v>0</x:v>
      </x:c>
      <x:c r="O627" t="str">
        <x:v>Feature Gap</x:v>
      </x:c>
      <x:c r="P627" t="n">
        <x:v>4</x:v>
      </x:c>
      <x:c r="Q627" t="str">
        <x:f>IFERROR(XLOOKUP(E627,Lookups!$A$5:$A$24,Lookups!$B$5:$B$24),"Other")</x:f>
        <x:v>Referral</x:v>
      </x:c>
      <x:c r="R627" t="str">
        <x:f>IFERROR(XLOOKUP(F627,Lookups!$D$5:$D$10,Lookups!$E$5:$E$10),"Unknown Product")</x:f>
        <x:v>Marketing Automation</x:v>
      </x:c>
      <x:c r="S627" t="str">
        <x:f>IFERROR(XLOOKUP(F627,Lookups!$D$5:$D$10,Lookups!$F$5:$F$10),"Unknown")</x:f>
        <x:v>Marketing</x:v>
      </x:c>
      <x:c r="T627" t="str">
        <x:f>IF(L627&gt;=50000,"Enterprise",IF(L627&gt;=20000,"Mid-Market","SMB"))</x:f>
        <x:v>SMB</x:v>
      </x:c>
      <x:c r="U627" t="str">
        <x:f>IF(I627="Closed Won","Won",IF(I627="Closed Lost","Lost","Open"))</x:f>
        <x:v>Lost</x:v>
      </x:c>
      <x:c r="V627" s="22" t="n">
        <x:f>IF(U627="Won",L627*(1-M627),0)</x:f>
        <x:v>0</x:v>
      </x:c>
      <x:c r="W627" s="22" t="n">
        <x:f>IF(U627="Open",L627*N627,0)</x:f>
        <x:v>0</x:v>
      </x:c>
      <x:c r="X627" s="26" t="n">
        <x:f>IF(U627="Open","",IFERROR(K627-B627,""))</x:f>
        <x:v>38</x:v>
      </x:c>
      <x:c r="Y627" s="26" t="n">
        <x:f>IF(U627="Open",Lookups!$B$2-B627,X627)</x:f>
        <x:v>38</x:v>
      </x:c>
      <x:c r="Z627" t="str">
        <x:f>IF(AND(U627="Open",Y627&gt;30),"STALE","OK")</x:f>
        <x:v>OK</x:v>
      </x:c>
      <x:c r="AA627" t="str">
        <x:f>TEXT(B627,"yyyy-mm")</x:f>
        <x:v>2026-01</x:v>
      </x:c>
      <x:c r="AB627" t="str">
        <x:f>IF(K627="","",TEXT(K627,"yyyy-mm"))</x:f>
        <x:v>2026-03</x:v>
      </x:c>
      <x:c r="AC627" t="str">
        <x:f>"Q"&amp;ROUNDUP(MONTH(B627)/3,0)&amp;"-"&amp;YEAR(B627)</x:f>
        <x:v>Q1-2026</x:v>
      </x:c>
      <x:c r="AD627" s="26" t="n">
        <x:f>MIN(100,IF(H627="Enterprise",30,IF(H627="Mid-Market",22,14))+IF(T627="Enterprise",25,IF(T627="Mid-Market",18,10))+IF(Q627="Referral",25,IF(Q627="Organic Search",20,IF(Q627="Email",18,14)))+IF(G627="Technology",10,5))</x:f>
        <x:v>62</x:v>
      </x:c>
      <x:c r="AE627" t="str">
        <x:f>IF(U627&lt;&gt;"Open",U627,IF(N627&gt;=0.8,"Commit",IF(N627&gt;=0.5,"Best Case","Pipeline")))</x:f>
        <x:v>Lost</x:v>
      </x:c>
    </x:row>
    <x:row r="628">
      <x:c r="A628" t="str">
        <x:v>L00627</x:v>
      </x:c>
      <x:c r="B628" s="10" t="n">
        <x:v>45855</x:v>
      </x:c>
      <x:c r="C628" t="str">
        <x:v>Duy Pham</x:v>
      </x:c>
      <x:c r="D628" t="str">
        <x:v>South</x:v>
      </x:c>
      <x:c r="E628" t="str">
        <x:v>SEO</x:v>
      </x:c>
      <x:c r="F628" t="str">
        <x:v>CRM-PRO</x:v>
      </x:c>
      <x:c r="G628" t="str">
        <x:v>Retail</x:v>
      </x:c>
      <x:c r="H628" t="str">
        <x:v>Mid-Market</x:v>
      </x:c>
      <x:c r="I628" t="str">
        <x:v>Closed Lost</x:v>
      </x:c>
      <x:c r="J628" s="10" t="n">
        <x:v>45895</x:v>
      </x:c>
      <x:c r="K628" s="10" t="n">
        <x:v>45895</x:v>
      </x:c>
      <x:c r="L628" s="22" t="n">
        <x:v>20000</x:v>
      </x:c>
      <x:c r="M628" s="24" t="n">
        <x:v>0</x:v>
      </x:c>
      <x:c r="N628" s="24" t="n">
        <x:v>0</x:v>
      </x:c>
      <x:c r="O628" t="str">
        <x:v>Budget</x:v>
      </x:c>
      <x:c r="P628" t="n">
        <x:v>4</x:v>
      </x:c>
      <x:c r="Q628" t="str">
        <x:f>IFERROR(XLOOKUP(E628,Lookups!$A$5:$A$24,Lookups!$B$5:$B$24),"Other")</x:f>
        <x:v>Organic Search</x:v>
      </x:c>
      <x:c r="R628" t="str">
        <x:f>IFERROR(XLOOKUP(F628,Lookups!$D$5:$D$10,Lookups!$E$5:$E$10),"Unknown Product")</x:f>
        <x:v>NexaCRM Pro</x:v>
      </x:c>
      <x:c r="S628" t="str">
        <x:f>IFERROR(XLOOKUP(F628,Lookups!$D$5:$D$10,Lookups!$F$5:$F$10),"Unknown")</x:f>
        <x:v>CRM</x:v>
      </x:c>
      <x:c r="T628" t="str">
        <x:f>IF(L628&gt;=50000,"Enterprise",IF(L628&gt;=20000,"Mid-Market","SMB"))</x:f>
        <x:v>Mid-Market</x:v>
      </x:c>
      <x:c r="U628" t="str">
        <x:f>IF(I628="Closed Won","Won",IF(I628="Closed Lost","Lost","Open"))</x:f>
        <x:v>Lost</x:v>
      </x:c>
      <x:c r="V628" s="22" t="n">
        <x:f>IF(U628="Won",L628*(1-M628),0)</x:f>
        <x:v>0</x:v>
      </x:c>
      <x:c r="W628" s="22" t="n">
        <x:f>IF(U628="Open",L628*N628,0)</x:f>
        <x:v>0</x:v>
      </x:c>
      <x:c r="X628" s="26" t="n">
        <x:f>IF(U628="Open","",IFERROR(K628-B628,""))</x:f>
        <x:v>40</x:v>
      </x:c>
      <x:c r="Y628" s="26" t="n">
        <x:f>IF(U628="Open",Lookups!$B$2-B628,X628)</x:f>
        <x:v>40</x:v>
      </x:c>
      <x:c r="Z628" t="str">
        <x:f>IF(AND(U628="Open",Y628&gt;30),"STALE","OK")</x:f>
        <x:v>OK</x:v>
      </x:c>
      <x:c r="AA628" t="str">
        <x:f>TEXT(B628,"yyyy-mm")</x:f>
        <x:v>2025-07</x:v>
      </x:c>
      <x:c r="AB628" t="str">
        <x:f>IF(K628="","",TEXT(K628,"yyyy-mm"))</x:f>
        <x:v>2025-08</x:v>
      </x:c>
      <x:c r="AC628" t="str">
        <x:f>"Q"&amp;ROUNDUP(MONTH(B628)/3,0)&amp;"-"&amp;YEAR(B628)</x:f>
        <x:v>Q3-2025</x:v>
      </x:c>
      <x:c r="AD628" s="26" t="n">
        <x:f>MIN(100,IF(H628="Enterprise",30,IF(H628="Mid-Market",22,14))+IF(T628="Enterprise",25,IF(T628="Mid-Market",18,10))+IF(Q628="Referral",25,IF(Q628="Organic Search",20,IF(Q628="Email",18,14)))+IF(G628="Technology",10,5))</x:f>
        <x:v>65</x:v>
      </x:c>
      <x:c r="AE628" t="str">
        <x:f>IF(U628&lt;&gt;"Open",U628,IF(N628&gt;=0.8,"Commit",IF(N628&gt;=0.5,"Best Case","Pipeline")))</x:f>
        <x:v>Lost</x:v>
      </x:c>
    </x:row>
    <x:row r="629">
      <x:c r="A629" t="str">
        <x:v>L00628</x:v>
      </x:c>
      <x:c r="B629" s="10" t="n">
        <x:v>45845</x:v>
      </x:c>
      <x:c r="C629" t="str">
        <x:v>Chi Le</x:v>
      </x:c>
      <x:c r="D629" t="str">
        <x:v>South</x:v>
      </x:c>
      <x:c r="E629" t="str">
        <x:v>Email Campaign</x:v>
      </x:c>
      <x:c r="F629" t="str">
        <x:v>MKT-AUTO</x:v>
      </x:c>
      <x:c r="G629" t="str">
        <x:v>Education</x:v>
      </x:c>
      <x:c r="H629" t="str">
        <x:v>SMB</x:v>
      </x:c>
      <x:c r="I629" t="str">
        <x:v>Negotiation</x:v>
      </x:c>
      <x:c r="J629" s="10" t="n">
        <x:v>46117</x:v>
      </x:c>
      <x:c r="K629" s="10"/>
      <x:c r="L629" s="22" t="n">
        <x:v>16700</x:v>
      </x:c>
      <x:c r="M629" s="24" t="n">
        <x:v>0</x:v>
      </x:c>
      <x:c r="N629" s="24" t="n">
        <x:v>0.85</x:v>
      </x:c>
      <x:c r="O629" t="str"/>
      <x:c r="P629" t="n">
        <x:v>5</x:v>
      </x:c>
      <x:c r="Q629" t="str">
        <x:f>IFERROR(XLOOKUP(E629,Lookups!$A$5:$A$24,Lookups!$B$5:$B$24),"Other")</x:f>
        <x:v>Email</x:v>
      </x:c>
      <x:c r="R629" t="str">
        <x:f>IFERROR(XLOOKUP(F629,Lookups!$D$5:$D$10,Lookups!$E$5:$E$10),"Unknown Product")</x:f>
        <x:v>Marketing Automation</x:v>
      </x:c>
      <x:c r="S629" t="str">
        <x:f>IFERROR(XLOOKUP(F629,Lookups!$D$5:$D$10,Lookups!$F$5:$F$10),"Unknown")</x:f>
        <x:v>Marketing</x:v>
      </x:c>
      <x:c r="T629" t="str">
        <x:f>IF(L629&gt;=50000,"Enterprise",IF(L629&gt;=20000,"Mid-Market","SMB"))</x:f>
        <x:v>SMB</x:v>
      </x:c>
      <x:c r="U629" t="str">
        <x:f>IF(I629="Closed Won","Won",IF(I629="Closed Lost","Lost","Open"))</x:f>
        <x:v>Open</x:v>
      </x:c>
      <x:c r="V629" s="22" t="n">
        <x:f>IF(U629="Won",L629*(1-M629),0)</x:f>
        <x:v>0</x:v>
      </x:c>
      <x:c r="W629" s="22" t="n">
        <x:f>IF(U629="Open",L629*N629,0)</x:f>
        <x:v>14195</x:v>
      </x:c>
      <x:c r="X629" s="26" t="str">
        <x:f>IF(U629="Open","",IFERROR(K629-B629,""))</x:f>
      </x:c>
      <x:c r="Y629" s="26" t="n">
        <x:f>IF(U629="Open",Lookups!$B$2-B629,X629)</x:f>
        <x:v>421</x:v>
      </x:c>
      <x:c r="Z629" t="str">
        <x:f>IF(AND(U629="Open",Y629&gt;30),"STALE","OK")</x:f>
        <x:v>STALE</x:v>
      </x:c>
      <x:c r="AA629" t="str">
        <x:f>TEXT(B629,"yyyy-mm")</x:f>
        <x:v>2025-07</x:v>
      </x:c>
      <x:c r="AB629" t="str">
        <x:f>IF(K629="","",TEXT(K629,"yyyy-mm"))</x:f>
      </x:c>
      <x:c r="AC629" t="str">
        <x:f>"Q"&amp;ROUNDUP(MONTH(B629)/3,0)&amp;"-"&amp;YEAR(B629)</x:f>
        <x:v>Q3-2025</x:v>
      </x:c>
      <x:c r="AD629" s="26" t="n">
        <x:f>MIN(100,IF(H629="Enterprise",30,IF(H629="Mid-Market",22,14))+IF(T629="Enterprise",25,IF(T629="Mid-Market",18,10))+IF(Q629="Referral",25,IF(Q629="Organic Search",20,IF(Q629="Email",18,14)))+IF(G629="Technology",10,5))</x:f>
        <x:v>47</x:v>
      </x:c>
      <x:c r="AE629" t="str">
        <x:f>IF(U629&lt;&gt;"Open",U629,IF(N629&gt;=0.8,"Commit",IF(N629&gt;=0.5,"Best Case","Pipeline")))</x:f>
        <x:v>Commit</x:v>
      </x:c>
    </x:row>
    <x:row r="630">
      <x:c r="A630" t="str">
        <x:v>L00629</x:v>
      </x:c>
      <x:c r="B630" s="10" t="n">
        <x:v>46152</x:v>
      </x:c>
      <x:c r="C630" t="str">
        <x:v>Quynh Vu</x:v>
      </x:c>
      <x:c r="D630" t="str">
        <x:v>North</x:v>
      </x:c>
      <x:c r="E630" t="str">
        <x:v>email nurture</x:v>
      </x:c>
      <x:c r="F630" t="str">
        <x:v>CRM-PRO</x:v>
      </x:c>
      <x:c r="G630" t="str">
        <x:v>Technology</x:v>
      </x:c>
      <x:c r="H630" t="str">
        <x:v>Mid-Market</x:v>
      </x:c>
      <x:c r="I630" t="str">
        <x:v>Closed Lost</x:v>
      </x:c>
      <x:c r="J630" s="10" t="n">
        <x:v>46171</x:v>
      </x:c>
      <x:c r="K630" s="10" t="n">
        <x:v>46171</x:v>
      </x:c>
      <x:c r="L630" s="22" t="n">
        <x:v>40400</x:v>
      </x:c>
      <x:c r="M630" s="24" t="n">
        <x:v>0</x:v>
      </x:c>
      <x:c r="N630" s="24" t="n">
        <x:v>0</x:v>
      </x:c>
      <x:c r="O630" t="str">
        <x:v>Budget</x:v>
      </x:c>
      <x:c r="P630" t="n">
        <x:v>3</x:v>
      </x:c>
      <x:c r="Q630" t="str">
        <x:f>IFERROR(XLOOKUP(E630,Lookups!$A$5:$A$24,Lookups!$B$5:$B$24),"Other")</x:f>
        <x:v>Email</x:v>
      </x:c>
      <x:c r="R630" t="str">
        <x:f>IFERROR(XLOOKUP(F630,Lookups!$D$5:$D$10,Lookups!$E$5:$E$10),"Unknown Product")</x:f>
        <x:v>NexaCRM Pro</x:v>
      </x:c>
      <x:c r="S630" t="str">
        <x:f>IFERROR(XLOOKUP(F630,Lookups!$D$5:$D$10,Lookups!$F$5:$F$10),"Unknown")</x:f>
        <x:v>CRM</x:v>
      </x:c>
      <x:c r="T630" t="str">
        <x:f>IF(L630&gt;=50000,"Enterprise",IF(L630&gt;=20000,"Mid-Market","SMB"))</x:f>
        <x:v>Mid-Market</x:v>
      </x:c>
      <x:c r="U630" t="str">
        <x:f>IF(I630="Closed Won","Won",IF(I630="Closed Lost","Lost","Open"))</x:f>
        <x:v>Lost</x:v>
      </x:c>
      <x:c r="V630" s="22" t="n">
        <x:f>IF(U630="Won",L630*(1-M630),0)</x:f>
        <x:v>0</x:v>
      </x:c>
      <x:c r="W630" s="22" t="n">
        <x:f>IF(U630="Open",L630*N630,0)</x:f>
        <x:v>0</x:v>
      </x:c>
      <x:c r="X630" s="26" t="n">
        <x:f>IF(U630="Open","",IFERROR(K630-B630,""))</x:f>
        <x:v>19</x:v>
      </x:c>
      <x:c r="Y630" s="26" t="n">
        <x:f>IF(U630="Open",Lookups!$B$2-B630,X630)</x:f>
        <x:v>19</x:v>
      </x:c>
      <x:c r="Z630" t="str">
        <x:f>IF(AND(U630="Open",Y630&gt;30),"STALE","OK")</x:f>
        <x:v>OK</x:v>
      </x:c>
      <x:c r="AA630" t="str">
        <x:f>TEXT(B630,"yyyy-mm")</x:f>
        <x:v>2026-05</x:v>
      </x:c>
      <x:c r="AB630" t="str">
        <x:f>IF(K630="","",TEXT(K630,"yyyy-mm"))</x:f>
        <x:v>2026-05</x:v>
      </x:c>
      <x:c r="AC630" t="str">
        <x:f>"Q"&amp;ROUNDUP(MONTH(B630)/3,0)&amp;"-"&amp;YEAR(B630)</x:f>
        <x:v>Q2-2026</x:v>
      </x:c>
      <x:c r="AD630" s="26" t="n">
        <x:f>MIN(100,IF(H630="Enterprise",30,IF(H630="Mid-Market",22,14))+IF(T630="Enterprise",25,IF(T630="Mid-Market",18,10))+IF(Q630="Referral",25,IF(Q630="Organic Search",20,IF(Q630="Email",18,14)))+IF(G630="Technology",10,5))</x:f>
        <x:v>68</x:v>
      </x:c>
      <x:c r="AE630" t="str">
        <x:f>IF(U630&lt;&gt;"Open",U630,IF(N630&gt;=0.8,"Commit",IF(N630&gt;=0.5,"Best Case","Pipeline")))</x:f>
        <x:v>Lost</x:v>
      </x:c>
    </x:row>
    <x:row r="631">
      <x:c r="A631" t="str">
        <x:v>L00630</x:v>
      </x:c>
      <x:c r="B631" s="10" t="n">
        <x:v>45815</x:v>
      </x:c>
      <x:c r="C631" t="str">
        <x:v>Ha Vo</x:v>
      </x:c>
      <x:c r="D631" t="str">
        <x:v>North</x:v>
      </x:c>
      <x:c r="E631" t="str">
        <x:v>Partner Referral</x:v>
      </x:c>
      <x:c r="F631" t="str">
        <x:v>MKT-AUTO</x:v>
      </x:c>
      <x:c r="G631" t="str">
        <x:v>Retail</x:v>
      </x:c>
      <x:c r="H631" t="str">
        <x:v>SMB</x:v>
      </x:c>
      <x:c r="I631" t="str">
        <x:v>Negotiation</x:v>
      </x:c>
      <x:c r="J631" s="10" t="n">
        <x:v>46112</x:v>
      </x:c>
      <x:c r="K631" s="10"/>
      <x:c r="L631" s="22" t="n">
        <x:v>17900</x:v>
      </x:c>
      <x:c r="M631" s="24" t="n">
        <x:v>0.05</x:v>
      </x:c>
      <x:c r="N631" s="24" t="n">
        <x:v>0.85</x:v>
      </x:c>
      <x:c r="O631" t="str"/>
      <x:c r="P631" t="n">
        <x:v>5</x:v>
      </x:c>
      <x:c r="Q631" t="str">
        <x:f>IFERROR(XLOOKUP(E631,Lookups!$A$5:$A$24,Lookups!$B$5:$B$24),"Other")</x:f>
        <x:v>Referral</x:v>
      </x:c>
      <x:c r="R631" t="str">
        <x:f>IFERROR(XLOOKUP(F631,Lookups!$D$5:$D$10,Lookups!$E$5:$E$10),"Unknown Product")</x:f>
        <x:v>Marketing Automation</x:v>
      </x:c>
      <x:c r="S631" t="str">
        <x:f>IFERROR(XLOOKUP(F631,Lookups!$D$5:$D$10,Lookups!$F$5:$F$10),"Unknown")</x:f>
        <x:v>Marketing</x:v>
      </x:c>
      <x:c r="T631" t="str">
        <x:f>IF(L631&gt;=50000,"Enterprise",IF(L631&gt;=20000,"Mid-Market","SMB"))</x:f>
        <x:v>SMB</x:v>
      </x:c>
      <x:c r="U631" t="str">
        <x:f>IF(I631="Closed Won","Won",IF(I631="Closed Lost","Lost","Open"))</x:f>
        <x:v>Open</x:v>
      </x:c>
      <x:c r="V631" s="22" t="n">
        <x:f>IF(U631="Won",L631*(1-M631),0)</x:f>
        <x:v>0</x:v>
      </x:c>
      <x:c r="W631" s="22" t="n">
        <x:f>IF(U631="Open",L631*N631,0)</x:f>
        <x:v>15215</x:v>
      </x:c>
      <x:c r="X631" s="26" t="str">
        <x:f>IF(U631="Open","",IFERROR(K631-B631,""))</x:f>
      </x:c>
      <x:c r="Y631" s="26" t="n">
        <x:f>IF(U631="Open",Lookups!$B$2-B631,X631)</x:f>
        <x:v>451</x:v>
      </x:c>
      <x:c r="Z631" t="str">
        <x:f>IF(AND(U631="Open",Y631&gt;30),"STALE","OK")</x:f>
        <x:v>STALE</x:v>
      </x:c>
      <x:c r="AA631" t="str">
        <x:f>TEXT(B631,"yyyy-mm")</x:f>
        <x:v>2025-06</x:v>
      </x:c>
      <x:c r="AB631" t="str">
        <x:f>IF(K631="","",TEXT(K631,"yyyy-mm"))</x:f>
      </x:c>
      <x:c r="AC631" t="str">
        <x:f>"Q"&amp;ROUNDUP(MONTH(B631)/3,0)&amp;"-"&amp;YEAR(B631)</x:f>
        <x:v>Q2-2025</x:v>
      </x:c>
      <x:c r="AD631" s="26" t="n">
        <x:f>MIN(100,IF(H631="Enterprise",30,IF(H631="Mid-Market",22,14))+IF(T631="Enterprise",25,IF(T631="Mid-Market",18,10))+IF(Q631="Referral",25,IF(Q631="Organic Search",20,IF(Q631="Email",18,14)))+IF(G631="Technology",10,5))</x:f>
        <x:v>54</x:v>
      </x:c>
      <x:c r="AE631" t="str">
        <x:f>IF(U631&lt;&gt;"Open",U631,IF(N631&gt;=0.8,"Commit",IF(N631&gt;=0.5,"Best Case","Pipeline")))</x:f>
        <x:v>Commit</x:v>
      </x:c>
    </x:row>
    <x:row r="632">
      <x:c r="A632" t="str">
        <x:v>L00631</x:v>
      </x:c>
      <x:c r="B632" s="10" t="n">
        <x:v>45910</x:v>
      </x:c>
      <x:c r="C632" t="str">
        <x:v>Ha Vo</x:v>
      </x:c>
      <x:c r="D632" t="str">
        <x:v>North</x:v>
      </x:c>
      <x:c r="E632" t="str">
        <x:v>newsletter</x:v>
      </x:c>
      <x:c r="F632" t="str">
        <x:v>MKT-AUTO</x:v>
      </x:c>
      <x:c r="G632" t="str">
        <x:v>Education</x:v>
      </x:c>
      <x:c r="H632" t="str">
        <x:v>Enterprise</x:v>
      </x:c>
      <x:c r="I632" t="str">
        <x:v>Closed Lost</x:v>
      </x:c>
      <x:c r="J632" s="10" t="n">
        <x:v>45947</x:v>
      </x:c>
      <x:c r="K632" s="10" t="n">
        <x:v>45947</x:v>
      </x:c>
      <x:c r="L632" s="22" t="n">
        <x:v>44100</x:v>
      </x:c>
      <x:c r="M632" s="24" t="n">
        <x:v>0</x:v>
      </x:c>
      <x:c r="N632" s="24" t="n">
        <x:v>0</x:v>
      </x:c>
      <x:c r="O632" t="str">
        <x:v>Budget</x:v>
      </x:c>
      <x:c r="P632" t="n">
        <x:v>4</x:v>
      </x:c>
      <x:c r="Q632" t="str">
        <x:f>IFERROR(XLOOKUP(E632,Lookups!$A$5:$A$24,Lookups!$B$5:$B$24),"Other")</x:f>
        <x:v>Email</x:v>
      </x:c>
      <x:c r="R632" t="str">
        <x:f>IFERROR(XLOOKUP(F632,Lookups!$D$5:$D$10,Lookups!$E$5:$E$10),"Unknown Product")</x:f>
        <x:v>Marketing Automation</x:v>
      </x:c>
      <x:c r="S632" t="str">
        <x:f>IFERROR(XLOOKUP(F632,Lookups!$D$5:$D$10,Lookups!$F$5:$F$10),"Unknown")</x:f>
        <x:v>Marketing</x:v>
      </x:c>
      <x:c r="T632" t="str">
        <x:f>IF(L632&gt;=50000,"Enterprise",IF(L632&gt;=20000,"Mid-Market","SMB"))</x:f>
        <x:v>Mid-Market</x:v>
      </x:c>
      <x:c r="U632" t="str">
        <x:f>IF(I632="Closed Won","Won",IF(I632="Closed Lost","Lost","Open"))</x:f>
        <x:v>Lost</x:v>
      </x:c>
      <x:c r="V632" s="22" t="n">
        <x:f>IF(U632="Won",L632*(1-M632),0)</x:f>
        <x:v>0</x:v>
      </x:c>
      <x:c r="W632" s="22" t="n">
        <x:f>IF(U632="Open",L632*N632,0)</x:f>
        <x:v>0</x:v>
      </x:c>
      <x:c r="X632" s="26" t="n">
        <x:f>IF(U632="Open","",IFERROR(K632-B632,""))</x:f>
        <x:v>37</x:v>
      </x:c>
      <x:c r="Y632" s="26" t="n">
        <x:f>IF(U632="Open",Lookups!$B$2-B632,X632)</x:f>
        <x:v>37</x:v>
      </x:c>
      <x:c r="Z632" t="str">
        <x:f>IF(AND(U632="Open",Y632&gt;30),"STALE","OK")</x:f>
        <x:v>OK</x:v>
      </x:c>
      <x:c r="AA632" t="str">
        <x:f>TEXT(B632,"yyyy-mm")</x:f>
        <x:v>2025-09</x:v>
      </x:c>
      <x:c r="AB632" t="str">
        <x:f>IF(K632="","",TEXT(K632,"yyyy-mm"))</x:f>
        <x:v>2025-10</x:v>
      </x:c>
      <x:c r="AC632" t="str">
        <x:f>"Q"&amp;ROUNDUP(MONTH(B632)/3,0)&amp;"-"&amp;YEAR(B632)</x:f>
        <x:v>Q3-2025</x:v>
      </x:c>
      <x:c r="AD632" s="26" t="n">
        <x:f>MIN(100,IF(H632="Enterprise",30,IF(H632="Mid-Market",22,14))+IF(T632="Enterprise",25,IF(T632="Mid-Market",18,10))+IF(Q632="Referral",25,IF(Q632="Organic Search",20,IF(Q632="Email",18,14)))+IF(G632="Technology",10,5))</x:f>
        <x:v>71</x:v>
      </x:c>
      <x:c r="AE632" t="str">
        <x:f>IF(U632&lt;&gt;"Open",U632,IF(N632&gt;=0.8,"Commit",IF(N632&gt;=0.5,"Best Case","Pipeline")))</x:f>
        <x:v>Lost</x:v>
      </x:c>
    </x:row>
    <x:row r="633">
      <x:c r="A633" t="str">
        <x:v>L00632</x:v>
      </x:c>
      <x:c r="B633" s="10" t="n">
        <x:v>45672</x:v>
      </x:c>
      <x:c r="C633" t="str">
        <x:v>Minh Do</x:v>
      </x:c>
      <x:c r="D633" t="str">
        <x:v>North</x:v>
      </x:c>
      <x:c r="E633" t="str">
        <x:v>SEM - Google</x:v>
      </x:c>
      <x:c r="F633" t="str">
        <x:v>CRM-CORE</x:v>
      </x:c>
      <x:c r="G633" t="str">
        <x:v>Technology</x:v>
      </x:c>
      <x:c r="H633" t="str">
        <x:v>Mid-Market</x:v>
      </x:c>
      <x:c r="I633" t="str">
        <x:v>Closed Lost</x:v>
      </x:c>
      <x:c r="J633" s="10" t="n">
        <x:v>45703</x:v>
      </x:c>
      <x:c r="K633" s="10" t="n">
        <x:v>45703</x:v>
      </x:c>
      <x:c r="L633" s="22" t="n">
        <x:v>14500</x:v>
      </x:c>
      <x:c r="M633" s="24" t="n">
        <x:v>0</x:v>
      </x:c>
      <x:c r="N633" s="24" t="n">
        <x:v>0</x:v>
      </x:c>
      <x:c r="O633" t="str">
        <x:v>Feature Gap</x:v>
      </x:c>
      <x:c r="P633" t="n">
        <x:v>3</x:v>
      </x:c>
      <x:c r="Q633" t="str">
        <x:f>IFERROR(XLOOKUP(E633,Lookups!$A$5:$A$24,Lookups!$B$5:$B$24),"Other")</x:f>
        <x:v>Paid Search</x:v>
      </x:c>
      <x:c r="R633" t="str">
        <x:f>IFERROR(XLOOKUP(F633,Lookups!$D$5:$D$10,Lookups!$E$5:$E$10),"Unknown Product")</x:f>
        <x:v>NexaCRM Core</x:v>
      </x:c>
      <x:c r="S633" t="str">
        <x:f>IFERROR(XLOOKUP(F633,Lookups!$D$5:$D$10,Lookups!$F$5:$F$10),"Unknown")</x:f>
        <x:v>CRM</x:v>
      </x:c>
      <x:c r="T633" t="str">
        <x:f>IF(L633&gt;=50000,"Enterprise",IF(L633&gt;=20000,"Mid-Market","SMB"))</x:f>
        <x:v>SMB</x:v>
      </x:c>
      <x:c r="U633" t="str">
        <x:f>IF(I633="Closed Won","Won",IF(I633="Closed Lost","Lost","Open"))</x:f>
        <x:v>Lost</x:v>
      </x:c>
      <x:c r="V633" s="22" t="n">
        <x:f>IF(U633="Won",L633*(1-M633),0)</x:f>
        <x:v>0</x:v>
      </x:c>
      <x:c r="W633" s="22" t="n">
        <x:f>IF(U633="Open",L633*N633,0)</x:f>
        <x:v>0</x:v>
      </x:c>
      <x:c r="X633" s="26" t="n">
        <x:f>IF(U633="Open","",IFERROR(K633-B633,""))</x:f>
        <x:v>31</x:v>
      </x:c>
      <x:c r="Y633" s="26" t="n">
        <x:f>IF(U633="Open",Lookups!$B$2-B633,X633)</x:f>
        <x:v>31</x:v>
      </x:c>
      <x:c r="Z633" t="str">
        <x:f>IF(AND(U633="Open",Y633&gt;30),"STALE","OK")</x:f>
        <x:v>OK</x:v>
      </x:c>
      <x:c r="AA633" t="str">
        <x:f>TEXT(B633,"yyyy-mm")</x:f>
        <x:v>2025-01</x:v>
      </x:c>
      <x:c r="AB633" t="str">
        <x:f>IF(K633="","",TEXT(K633,"yyyy-mm"))</x:f>
        <x:v>2025-02</x:v>
      </x:c>
      <x:c r="AC633" t="str">
        <x:f>"Q"&amp;ROUNDUP(MONTH(B633)/3,0)&amp;"-"&amp;YEAR(B633)</x:f>
        <x:v>Q1-2025</x:v>
      </x:c>
      <x:c r="AD633" s="26" t="n">
        <x:f>MIN(100,IF(H633="Enterprise",30,IF(H633="Mid-Market",22,14))+IF(T633="Enterprise",25,IF(T633="Mid-Market",18,10))+IF(Q633="Referral",25,IF(Q633="Organic Search",20,IF(Q633="Email",18,14)))+IF(G633="Technology",10,5))</x:f>
        <x:v>56</x:v>
      </x:c>
      <x:c r="AE633" t="str">
        <x:f>IF(U633&lt;&gt;"Open",U633,IF(N633&gt;=0.8,"Commit",IF(N633&gt;=0.5,"Best Case","Pipeline")))</x:f>
        <x:v>Lost</x:v>
      </x:c>
    </x:row>
    <x:row r="634">
      <x:c r="A634" t="str">
        <x:v>L00633</x:v>
      </x:c>
      <x:c r="B634" s="10" t="n">
        <x:v>45933</x:v>
      </x:c>
      <x:c r="C634" t="str">
        <x:v>Chi Le</x:v>
      </x:c>
      <x:c r="D634" t="str">
        <x:v>South</x:v>
      </x:c>
      <x:c r="E634" t="str">
        <x:v>SEO</x:v>
      </x:c>
      <x:c r="F634" t="str">
        <x:v>CS-CLOUD</x:v>
      </x:c>
      <x:c r="G634" t="str">
        <x:v>Manufacturing</x:v>
      </x:c>
      <x:c r="H634" t="str">
        <x:v>Mid-Market</x:v>
      </x:c>
      <x:c r="I634" t="str">
        <x:v>Closed Lost</x:v>
      </x:c>
      <x:c r="J634" s="10" t="n">
        <x:v>45975</x:v>
      </x:c>
      <x:c r="K634" s="10" t="n">
        <x:v>45975</x:v>
      </x:c>
      <x:c r="L634" s="22" t="n">
        <x:v>21100</x:v>
      </x:c>
      <x:c r="M634" s="24" t="n">
        <x:v>0</x:v>
      </x:c>
      <x:c r="N634" s="24" t="n">
        <x:v>0</x:v>
      </x:c>
      <x:c r="O634" t="str">
        <x:v>Price</x:v>
      </x:c>
      <x:c r="P634" t="n">
        <x:v>4</x:v>
      </x:c>
      <x:c r="Q634" t="str">
        <x:f>IFERROR(XLOOKUP(E634,Lookups!$A$5:$A$24,Lookups!$B$5:$B$24),"Other")</x:f>
        <x:v>Organic Search</x:v>
      </x:c>
      <x:c r="R634" t="str">
        <x:f>IFERROR(XLOOKUP(F634,Lookups!$D$5:$D$10,Lookups!$E$5:$E$10),"Unknown Product")</x:f>
        <x:v>Service Cloud</x:v>
      </x:c>
      <x:c r="S634" t="str">
        <x:f>IFERROR(XLOOKUP(F634,Lookups!$D$5:$D$10,Lookups!$F$5:$F$10),"Unknown")</x:f>
        <x:v>Customer Service</x:v>
      </x:c>
      <x:c r="T634" t="str">
        <x:f>IF(L634&gt;=50000,"Enterprise",IF(L634&gt;=20000,"Mid-Market","SMB"))</x:f>
        <x:v>Mid-Market</x:v>
      </x:c>
      <x:c r="U634" t="str">
        <x:f>IF(I634="Closed Won","Won",IF(I634="Closed Lost","Lost","Open"))</x:f>
        <x:v>Lost</x:v>
      </x:c>
      <x:c r="V634" s="22" t="n">
        <x:f>IF(U634="Won",L634*(1-M634),0)</x:f>
        <x:v>0</x:v>
      </x:c>
      <x:c r="W634" s="22" t="n">
        <x:f>IF(U634="Open",L634*N634,0)</x:f>
        <x:v>0</x:v>
      </x:c>
      <x:c r="X634" s="26" t="n">
        <x:f>IF(U634="Open","",IFERROR(K634-B634,""))</x:f>
        <x:v>42</x:v>
      </x:c>
      <x:c r="Y634" s="26" t="n">
        <x:f>IF(U634="Open",Lookups!$B$2-B634,X634)</x:f>
        <x:v>42</x:v>
      </x:c>
      <x:c r="Z634" t="str">
        <x:f>IF(AND(U634="Open",Y634&gt;30),"STALE","OK")</x:f>
        <x:v>OK</x:v>
      </x:c>
      <x:c r="AA634" t="str">
        <x:f>TEXT(B634,"yyyy-mm")</x:f>
        <x:v>2025-10</x:v>
      </x:c>
      <x:c r="AB634" t="str">
        <x:f>IF(K634="","",TEXT(K634,"yyyy-mm"))</x:f>
        <x:v>2025-11</x:v>
      </x:c>
      <x:c r="AC634" t="str">
        <x:f>"Q"&amp;ROUNDUP(MONTH(B634)/3,0)&amp;"-"&amp;YEAR(B634)</x:f>
        <x:v>Q4-2025</x:v>
      </x:c>
      <x:c r="AD634" s="26" t="n">
        <x:f>MIN(100,IF(H634="Enterprise",30,IF(H634="Mid-Market",22,14))+IF(T634="Enterprise",25,IF(T634="Mid-Market",18,10))+IF(Q634="Referral",25,IF(Q634="Organic Search",20,IF(Q634="Email",18,14)))+IF(G634="Technology",10,5))</x:f>
        <x:v>65</x:v>
      </x:c>
      <x:c r="AE634" t="str">
        <x:f>IF(U634&lt;&gt;"Open",U634,IF(N634&gt;=0.8,"Commit",IF(N634&gt;=0.5,"Best Case","Pipeline")))</x:f>
        <x:v>Lost</x:v>
      </x:c>
    </x:row>
    <x:row r="635">
      <x:c r="A635" t="str">
        <x:v>L00634</x:v>
      </x:c>
      <x:c r="B635" s="10" t="n">
        <x:v>45771</x:v>
      </x:c>
      <x:c r="C635" t="str">
        <x:v>Tuan Bui</x:v>
      </x:c>
      <x:c r="D635" t="str">
        <x:v>Central</x:v>
      </x:c>
      <x:c r="E635" t="str">
        <x:v>Referral</x:v>
      </x:c>
      <x:c r="F635" t="str">
        <x:v>REV-OPS</x:v>
      </x:c>
      <x:c r="G635" t="str">
        <x:v>Manufacturing</x:v>
      </x:c>
      <x:c r="H635" t="str">
        <x:v>Mid-Market</x:v>
      </x:c>
      <x:c r="I635" t="str">
        <x:v>Closed Won</x:v>
      </x:c>
      <x:c r="J635" s="10" t="n">
        <x:v>45783</x:v>
      </x:c>
      <x:c r="K635" s="10" t="n">
        <x:v>45783</x:v>
      </x:c>
      <x:c r="L635" s="22" t="n">
        <x:v>39200</x:v>
      </x:c>
      <x:c r="M635" s="24" t="n">
        <x:v>0.03</x:v>
      </x:c>
      <x:c r="N635" s="24" t="n">
        <x:v>1</x:v>
      </x:c>
      <x:c r="O635" t="str"/>
      <x:c r="P635" t="n">
        <x:v>6</x:v>
      </x:c>
      <x:c r="Q635" t="str">
        <x:f>IFERROR(XLOOKUP(E635,Lookups!$A$5:$A$24,Lookups!$B$5:$B$24),"Other")</x:f>
        <x:v>Referral</x:v>
      </x:c>
      <x:c r="R635" t="str">
        <x:f>IFERROR(XLOOKUP(F635,Lookups!$D$5:$D$10,Lookups!$E$5:$E$10),"Unknown Product")</x:f>
        <x:v>Revenue Operations Suite</x:v>
      </x:c>
      <x:c r="S635" t="str">
        <x:f>IFERROR(XLOOKUP(F635,Lookups!$D$5:$D$10,Lookups!$F$5:$F$10),"Unknown")</x:f>
        <x:v>Revenue Ops</x:v>
      </x:c>
      <x:c r="T635" t="str">
        <x:f>IF(L635&gt;=50000,"Enterprise",IF(L635&gt;=20000,"Mid-Market","SMB"))</x:f>
        <x:v>Mid-Market</x:v>
      </x:c>
      <x:c r="U635" t="str">
        <x:f>IF(I635="Closed Won","Won",IF(I635="Closed Lost","Lost","Open"))</x:f>
        <x:v>Won</x:v>
      </x:c>
      <x:c r="V635" s="22" t="n">
        <x:f>IF(U635="Won",L635*(1-M635),0)</x:f>
        <x:v>38024</x:v>
      </x:c>
      <x:c r="W635" s="22" t="n">
        <x:f>IF(U635="Open",L635*N635,0)</x:f>
        <x:v>0</x:v>
      </x:c>
      <x:c r="X635" s="26" t="n">
        <x:f>IF(U635="Open","",IFERROR(K635-B635,""))</x:f>
        <x:v>12</x:v>
      </x:c>
      <x:c r="Y635" s="26" t="n">
        <x:f>IF(U635="Open",Lookups!$B$2-B635,X635)</x:f>
        <x:v>12</x:v>
      </x:c>
      <x:c r="Z635" t="str">
        <x:f>IF(AND(U635="Open",Y635&gt;30),"STALE","OK")</x:f>
        <x:v>OK</x:v>
      </x:c>
      <x:c r="AA635" t="str">
        <x:f>TEXT(B635,"yyyy-mm")</x:f>
        <x:v>2025-04</x:v>
      </x:c>
      <x:c r="AB635" t="str">
        <x:f>IF(K635="","",TEXT(K635,"yyyy-mm"))</x:f>
        <x:v>2025-05</x:v>
      </x:c>
      <x:c r="AC635" t="str">
        <x:f>"Q"&amp;ROUNDUP(MONTH(B635)/3,0)&amp;"-"&amp;YEAR(B635)</x:f>
        <x:v>Q2-2025</x:v>
      </x:c>
      <x:c r="AD635" s="26" t="n">
        <x:f>MIN(100,IF(H635="Enterprise",30,IF(H635="Mid-Market",22,14))+IF(T635="Enterprise",25,IF(T635="Mid-Market",18,10))+IF(Q635="Referral",25,IF(Q635="Organic Search",20,IF(Q635="Email",18,14)))+IF(G635="Technology",10,5))</x:f>
        <x:v>70</x:v>
      </x:c>
      <x:c r="AE635" t="str">
        <x:f>IF(U635&lt;&gt;"Open",U635,IF(N635&gt;=0.8,"Commit",IF(N635&gt;=0.5,"Best Case","Pipeline")))</x:f>
        <x:v>Won</x:v>
      </x:c>
    </x:row>
    <x:row r="636">
      <x:c r="A636" t="str">
        <x:v>L00635</x:v>
      </x:c>
      <x:c r="B636" s="10" t="n">
        <x:v>46012</x:v>
      </x:c>
      <x:c r="C636" t="str">
        <x:v>Chi Le</x:v>
      </x:c>
      <x:c r="D636" t="str">
        <x:v>South</x:v>
      </x:c>
      <x:c r="E636" t="str">
        <x:v>virtual event</x:v>
      </x:c>
      <x:c r="F636" t="str">
        <x:v>CRM-PRO</x:v>
      </x:c>
      <x:c r="G636" t="str">
        <x:v>Financial Services</x:v>
      </x:c>
      <x:c r="H636" t="str">
        <x:v>SMB</x:v>
      </x:c>
      <x:c r="I636" t="str">
        <x:v>Closed Won</x:v>
      </x:c>
      <x:c r="J636" s="10" t="n">
        <x:v>46070</x:v>
      </x:c>
      <x:c r="K636" s="10" t="n">
        <x:v>46070</x:v>
      </x:c>
      <x:c r="L636" s="22" t="n">
        <x:v>16700</x:v>
      </x:c>
      <x:c r="M636" s="24" t="n">
        <x:v>0</x:v>
      </x:c>
      <x:c r="N636" s="24" t="n">
        <x:v>1</x:v>
      </x:c>
      <x:c r="O636" t="str"/>
      <x:c r="P636" t="n">
        <x:v>6</x:v>
      </x:c>
      <x:c r="Q636" t="str">
        <x:f>IFERROR(XLOOKUP(E636,Lookups!$A$5:$A$24,Lookups!$B$5:$B$24),"Other")</x:f>
        <x:v>Webinar</x:v>
      </x:c>
      <x:c r="R636" t="str">
        <x:f>IFERROR(XLOOKUP(F636,Lookups!$D$5:$D$10,Lookups!$E$5:$E$10),"Unknown Product")</x:f>
        <x:v>NexaCRM Pro</x:v>
      </x:c>
      <x:c r="S636" t="str">
        <x:f>IFERROR(XLOOKUP(F636,Lookups!$D$5:$D$10,Lookups!$F$5:$F$10),"Unknown")</x:f>
        <x:v>CRM</x:v>
      </x:c>
      <x:c r="T636" t="str">
        <x:f>IF(L636&gt;=50000,"Enterprise",IF(L636&gt;=20000,"Mid-Market","SMB"))</x:f>
        <x:v>SMB</x:v>
      </x:c>
      <x:c r="U636" t="str">
        <x:f>IF(I636="Closed Won","Won",IF(I636="Closed Lost","Lost","Open"))</x:f>
        <x:v>Won</x:v>
      </x:c>
      <x:c r="V636" s="22" t="n">
        <x:f>IF(U636="Won",L636*(1-M636),0)</x:f>
        <x:v>16700</x:v>
      </x:c>
      <x:c r="W636" s="22" t="n">
        <x:f>IF(U636="Open",L636*N636,0)</x:f>
        <x:v>0</x:v>
      </x:c>
      <x:c r="X636" s="26" t="n">
        <x:f>IF(U636="Open","",IFERROR(K636-B636,""))</x:f>
        <x:v>58</x:v>
      </x:c>
      <x:c r="Y636" s="26" t="n">
        <x:f>IF(U636="Open",Lookups!$B$2-B636,X636)</x:f>
        <x:v>58</x:v>
      </x:c>
      <x:c r="Z636" t="str">
        <x:f>IF(AND(U636="Open",Y636&gt;30),"STALE","OK")</x:f>
        <x:v>OK</x:v>
      </x:c>
      <x:c r="AA636" t="str">
        <x:f>TEXT(B636,"yyyy-mm")</x:f>
        <x:v>2025-12</x:v>
      </x:c>
      <x:c r="AB636" t="str">
        <x:f>IF(K636="","",TEXT(K636,"yyyy-mm"))</x:f>
        <x:v>2026-02</x:v>
      </x:c>
      <x:c r="AC636" t="str">
        <x:f>"Q"&amp;ROUNDUP(MONTH(B636)/3,0)&amp;"-"&amp;YEAR(B636)</x:f>
        <x:v>Q4-2025</x:v>
      </x:c>
      <x:c r="AD636" s="26" t="n">
        <x:f>MIN(100,IF(H636="Enterprise",30,IF(H636="Mid-Market",22,14))+IF(T636="Enterprise",25,IF(T636="Mid-Market",18,10))+IF(Q636="Referral",25,IF(Q636="Organic Search",20,IF(Q636="Email",18,14)))+IF(G636="Technology",10,5))</x:f>
        <x:v>43</x:v>
      </x:c>
      <x:c r="AE636" t="str">
        <x:f>IF(U636&lt;&gt;"Open",U636,IF(N636&gt;=0.8,"Commit",IF(N636&gt;=0.5,"Best Case","Pipeline")))</x:f>
        <x:v>Won</x:v>
      </x:c>
    </x:row>
    <x:row r="637">
      <x:c r="A637" t="str">
        <x:v>L00636</x:v>
      </x:c>
      <x:c r="B637" s="10" t="n">
        <x:v>46071</x:v>
      </x:c>
      <x:c r="C637" t="str">
        <x:v>Chi Le</x:v>
      </x:c>
      <x:c r="D637" t="str">
        <x:v>South</x:v>
      </x:c>
      <x:c r="E637" t="str">
        <x:v>Webinar</x:v>
      </x:c>
      <x:c r="F637" t="str">
        <x:v>BI-PLUS</x:v>
      </x:c>
      <x:c r="G637" t="str">
        <x:v>Retail</x:v>
      </x:c>
      <x:c r="H637" t="str">
        <x:v>SMB</x:v>
      </x:c>
      <x:c r="I637" t="str">
        <x:v>Closed Lost</x:v>
      </x:c>
      <x:c r="J637" s="10" t="n">
        <x:v>46123</x:v>
      </x:c>
      <x:c r="K637" s="10" t="n">
        <x:v>46123</x:v>
      </x:c>
      <x:c r="L637" s="22" t="n">
        <x:v>15300</x:v>
      </x:c>
      <x:c r="M637" s="24" t="n">
        <x:v>0</x:v>
      </x:c>
      <x:c r="N637" s="24" t="n">
        <x:v>0</x:v>
      </x:c>
      <x:c r="O637" t="str">
        <x:v>Competitor</x:v>
      </x:c>
      <x:c r="P637" t="n">
        <x:v>4</x:v>
      </x:c>
      <x:c r="Q637" t="str">
        <x:f>IFERROR(XLOOKUP(E637,Lookups!$A$5:$A$24,Lookups!$B$5:$B$24),"Other")</x:f>
        <x:v>Webinar</x:v>
      </x:c>
      <x:c r="R637" t="str">
        <x:f>IFERROR(XLOOKUP(F637,Lookups!$D$5:$D$10,Lookups!$E$5:$E$10),"Unknown Product")</x:f>
        <x:v>Analytics Plus</x:v>
      </x:c>
      <x:c r="S637" t="str">
        <x:f>IFERROR(XLOOKUP(F637,Lookups!$D$5:$D$10,Lookups!$F$5:$F$10),"Unknown")</x:f>
        <x:v>Analytics</x:v>
      </x:c>
      <x:c r="T637" t="str">
        <x:f>IF(L637&gt;=50000,"Enterprise",IF(L637&gt;=20000,"Mid-Market","SMB"))</x:f>
        <x:v>SMB</x:v>
      </x:c>
      <x:c r="U637" t="str">
        <x:f>IF(I637="Closed Won","Won",IF(I637="Closed Lost","Lost","Open"))</x:f>
        <x:v>Lost</x:v>
      </x:c>
      <x:c r="V637" s="22" t="n">
        <x:f>IF(U637="Won",L637*(1-M637),0)</x:f>
        <x:v>0</x:v>
      </x:c>
      <x:c r="W637" s="22" t="n">
        <x:f>IF(U637="Open",L637*N637,0)</x:f>
        <x:v>0</x:v>
      </x:c>
      <x:c r="X637" s="26" t="n">
        <x:f>IF(U637="Open","",IFERROR(K637-B637,""))</x:f>
        <x:v>52</x:v>
      </x:c>
      <x:c r="Y637" s="26" t="n">
        <x:f>IF(U637="Open",Lookups!$B$2-B637,X637)</x:f>
        <x:v>52</x:v>
      </x:c>
      <x:c r="Z637" t="str">
        <x:f>IF(AND(U637="Open",Y637&gt;30),"STALE","OK")</x:f>
        <x:v>OK</x:v>
      </x:c>
      <x:c r="AA637" t="str">
        <x:f>TEXT(B637,"yyyy-mm")</x:f>
        <x:v>2026-02</x:v>
      </x:c>
      <x:c r="AB637" t="str">
        <x:f>IF(K637="","",TEXT(K637,"yyyy-mm"))</x:f>
        <x:v>2026-04</x:v>
      </x:c>
      <x:c r="AC637" t="str">
        <x:f>"Q"&amp;ROUNDUP(MONTH(B637)/3,0)&amp;"-"&amp;YEAR(B637)</x:f>
        <x:v>Q1-2026</x:v>
      </x:c>
      <x:c r="AD637" s="26" t="n">
        <x:f>MIN(100,IF(H637="Enterprise",30,IF(H637="Mid-Market",22,14))+IF(T637="Enterprise",25,IF(T637="Mid-Market",18,10))+IF(Q637="Referral",25,IF(Q637="Organic Search",20,IF(Q637="Email",18,14)))+IF(G637="Technology",10,5))</x:f>
        <x:v>43</x:v>
      </x:c>
      <x:c r="AE637" t="str">
        <x:f>IF(U637&lt;&gt;"Open",U637,IF(N637&gt;=0.8,"Commit",IF(N637&gt;=0.5,"Best Case","Pipeline")))</x:f>
        <x:v>Lost</x:v>
      </x:c>
    </x:row>
    <x:row r="638">
      <x:c r="A638" t="str">
        <x:v>L00637</x:v>
      </x:c>
      <x:c r="B638" s="10" t="n">
        <x:v>45750</x:v>
      </x:c>
      <x:c r="C638" t="str">
        <x:v>Minh Do</x:v>
      </x:c>
      <x:c r="D638" t="str">
        <x:v>North</x:v>
      </x:c>
      <x:c r="E638" t="str">
        <x:v>LinkedIn Ads</x:v>
      </x:c>
      <x:c r="F638" t="str">
        <x:v>BI-PLUS</x:v>
      </x:c>
      <x:c r="G638" t="str">
        <x:v>Professional Services</x:v>
      </x:c>
      <x:c r="H638" t="str">
        <x:v>Enterprise</x:v>
      </x:c>
      <x:c r="I638" t="str">
        <x:v>Closed Lost</x:v>
      </x:c>
      <x:c r="J638" s="10" t="n">
        <x:v>45758</x:v>
      </x:c>
      <x:c r="K638" s="10" t="n">
        <x:v>45758</x:v>
      </x:c>
      <x:c r="L638" s="22" t="n">
        <x:v>99800</x:v>
      </x:c>
      <x:c r="M638" s="24" t="n">
        <x:v>0</x:v>
      </x:c>
      <x:c r="N638" s="24" t="n">
        <x:v>0</x:v>
      </x:c>
      <x:c r="O638" t="str">
        <x:v>Timing</x:v>
      </x:c>
      <x:c r="P638" t="n">
        <x:v>5</x:v>
      </x:c>
      <x:c r="Q638" t="str">
        <x:f>IFERROR(XLOOKUP(E638,Lookups!$A$5:$A$24,Lookups!$B$5:$B$24),"Other")</x:f>
        <x:v>LinkedIn</x:v>
      </x:c>
      <x:c r="R638" t="str">
        <x:f>IFERROR(XLOOKUP(F638,Lookups!$D$5:$D$10,Lookups!$E$5:$E$10),"Unknown Product")</x:f>
        <x:v>Analytics Plus</x:v>
      </x:c>
      <x:c r="S638" t="str">
        <x:f>IFERROR(XLOOKUP(F638,Lookups!$D$5:$D$10,Lookups!$F$5:$F$10),"Unknown")</x:f>
        <x:v>Analytics</x:v>
      </x:c>
      <x:c r="T638" t="str">
        <x:f>IF(L638&gt;=50000,"Enterprise",IF(L638&gt;=20000,"Mid-Market","SMB"))</x:f>
        <x:v>Enterprise</x:v>
      </x:c>
      <x:c r="U638" t="str">
        <x:f>IF(I638="Closed Won","Won",IF(I638="Closed Lost","Lost","Open"))</x:f>
        <x:v>Lost</x:v>
      </x:c>
      <x:c r="V638" s="22" t="n">
        <x:f>IF(U638="Won",L638*(1-M638),0)</x:f>
        <x:v>0</x:v>
      </x:c>
      <x:c r="W638" s="22" t="n">
        <x:f>IF(U638="Open",L638*N638,0)</x:f>
        <x:v>0</x:v>
      </x:c>
      <x:c r="X638" s="26" t="n">
        <x:f>IF(U638="Open","",IFERROR(K638-B638,""))</x:f>
        <x:v>8</x:v>
      </x:c>
      <x:c r="Y638" s="26" t="n">
        <x:f>IF(U638="Open",Lookups!$B$2-B638,X638)</x:f>
        <x:v>8</x:v>
      </x:c>
      <x:c r="Z638" t="str">
        <x:f>IF(AND(U638="Open",Y638&gt;30),"STALE","OK")</x:f>
        <x:v>OK</x:v>
      </x:c>
      <x:c r="AA638" t="str">
        <x:f>TEXT(B638,"yyyy-mm")</x:f>
        <x:v>2025-04</x:v>
      </x:c>
      <x:c r="AB638" t="str">
        <x:f>IF(K638="","",TEXT(K638,"yyyy-mm"))</x:f>
        <x:v>2025-04</x:v>
      </x:c>
      <x:c r="AC638" t="str">
        <x:f>"Q"&amp;ROUNDUP(MONTH(B638)/3,0)&amp;"-"&amp;YEAR(B638)</x:f>
        <x:v>Q2-2025</x:v>
      </x:c>
      <x:c r="AD638" s="26" t="n">
        <x:f>MIN(100,IF(H638="Enterprise",30,IF(H638="Mid-Market",22,14))+IF(T638="Enterprise",25,IF(T638="Mid-Market",18,10))+IF(Q638="Referral",25,IF(Q638="Organic Search",20,IF(Q638="Email",18,14)))+IF(G638="Technology",10,5))</x:f>
        <x:v>74</x:v>
      </x:c>
      <x:c r="AE638" t="str">
        <x:f>IF(U638&lt;&gt;"Open",U638,IF(N638&gt;=0.8,"Commit",IF(N638&gt;=0.5,"Best Case","Pipeline")))</x:f>
        <x:v>Lost</x:v>
      </x:c>
    </x:row>
    <x:row r="639">
      <x:c r="A639" t="str">
        <x:v>L00638</x:v>
      </x:c>
      <x:c r="B639" s="10" t="n">
        <x:v>45809</x:v>
      </x:c>
      <x:c r="C639" t="str">
        <x:v>Chi Le</x:v>
      </x:c>
      <x:c r="D639" t="str">
        <x:v>South</x:v>
      </x:c>
      <x:c r="E639" t="str">
        <x:v>Google Ads</x:v>
      </x:c>
      <x:c r="F639" t="str">
        <x:v>CRM-CORE</x:v>
      </x:c>
      <x:c r="G639" t="str">
        <x:v>Technology</x:v>
      </x:c>
      <x:c r="H639" t="str">
        <x:v>Enterprise</x:v>
      </x:c>
      <x:c r="I639" t="str">
        <x:v>Negotiation</x:v>
      </x:c>
      <x:c r="J639" s="10" t="n">
        <x:v>46048</x:v>
      </x:c>
      <x:c r="K639" s="10"/>
      <x:c r="L639" s="22" t="n">
        <x:v>17000</x:v>
      </x:c>
      <x:c r="M639" s="24" t="n">
        <x:v>0</x:v>
      </x:c>
      <x:c r="N639" s="24" t="n">
        <x:v>0.85</x:v>
      </x:c>
      <x:c r="O639" t="str"/>
      <x:c r="P639" t="n">
        <x:v>5</x:v>
      </x:c>
      <x:c r="Q639" t="str">
        <x:f>IFERROR(XLOOKUP(E639,Lookups!$A$5:$A$24,Lookups!$B$5:$B$24),"Other")</x:f>
        <x:v>Paid Search</x:v>
      </x:c>
      <x:c r="R639" t="str">
        <x:f>IFERROR(XLOOKUP(F639,Lookups!$D$5:$D$10,Lookups!$E$5:$E$10),"Unknown Product")</x:f>
        <x:v>NexaCRM Core</x:v>
      </x:c>
      <x:c r="S639" t="str">
        <x:f>IFERROR(XLOOKUP(F639,Lookups!$D$5:$D$10,Lookups!$F$5:$F$10),"Unknown")</x:f>
        <x:v>CRM</x:v>
      </x:c>
      <x:c r="T639" t="str">
        <x:f>IF(L639&gt;=50000,"Enterprise",IF(L639&gt;=20000,"Mid-Market","SMB"))</x:f>
        <x:v>SMB</x:v>
      </x:c>
      <x:c r="U639" t="str">
        <x:f>IF(I639="Closed Won","Won",IF(I639="Closed Lost","Lost","Open"))</x:f>
        <x:v>Open</x:v>
      </x:c>
      <x:c r="V639" s="22" t="n">
        <x:f>IF(U639="Won",L639*(1-M639),0)</x:f>
        <x:v>0</x:v>
      </x:c>
      <x:c r="W639" s="22" t="n">
        <x:f>IF(U639="Open",L639*N639,0)</x:f>
        <x:v>14450</x:v>
      </x:c>
      <x:c r="X639" s="26" t="str">
        <x:f>IF(U639="Open","",IFERROR(K639-B639,""))</x:f>
      </x:c>
      <x:c r="Y639" s="26" t="n">
        <x:f>IF(U639="Open",Lookups!$B$2-B639,X639)</x:f>
        <x:v>457</x:v>
      </x:c>
      <x:c r="Z639" t="str">
        <x:f>IF(AND(U639="Open",Y639&gt;30),"STALE","OK")</x:f>
        <x:v>STALE</x:v>
      </x:c>
      <x:c r="AA639" t="str">
        <x:f>TEXT(B639,"yyyy-mm")</x:f>
        <x:v>2025-06</x:v>
      </x:c>
      <x:c r="AB639" t="str">
        <x:f>IF(K639="","",TEXT(K639,"yyyy-mm"))</x:f>
      </x:c>
      <x:c r="AC639" t="str">
        <x:f>"Q"&amp;ROUNDUP(MONTH(B639)/3,0)&amp;"-"&amp;YEAR(B639)</x:f>
        <x:v>Q2-2025</x:v>
      </x:c>
      <x:c r="AD639" s="26" t="n">
        <x:f>MIN(100,IF(H639="Enterprise",30,IF(H639="Mid-Market",22,14))+IF(T639="Enterprise",25,IF(T639="Mid-Market",18,10))+IF(Q639="Referral",25,IF(Q639="Organic Search",20,IF(Q639="Email",18,14)))+IF(G639="Technology",10,5))</x:f>
        <x:v>64</x:v>
      </x:c>
      <x:c r="AE639" t="str">
        <x:f>IF(U639&lt;&gt;"Open",U639,IF(N639&gt;=0.8,"Commit",IF(N639&gt;=0.5,"Best Case","Pipeline")))</x:f>
        <x:v>Commit</x:v>
      </x:c>
    </x:row>
    <x:row r="640">
      <x:c r="A640" t="str">
        <x:v>L00639</x:v>
      </x:c>
      <x:c r="B640" s="10" t="n">
        <x:v>45914</x:v>
      </x:c>
      <x:c r="C640" t="str">
        <x:v>Ha Vo</x:v>
      </x:c>
      <x:c r="D640" t="str">
        <x:v>North</x:v>
      </x:c>
      <x:c r="E640" t="str">
        <x:v>google cpc</x:v>
      </x:c>
      <x:c r="F640" t="str">
        <x:v>BI-PLUS</x:v>
      </x:c>
      <x:c r="G640" t="str">
        <x:v>Technology</x:v>
      </x:c>
      <x:c r="H640" t="str">
        <x:v>SMB</x:v>
      </x:c>
      <x:c r="I640" t="str">
        <x:v>Closed Lost</x:v>
      </x:c>
      <x:c r="J640" s="10" t="n">
        <x:v>45954</x:v>
      </x:c>
      <x:c r="K640" s="10" t="n">
        <x:v>45954</x:v>
      </x:c>
      <x:c r="L640" s="22" t="n">
        <x:v>30200</x:v>
      </x:c>
      <x:c r="M640" s="24" t="n">
        <x:v>0</x:v>
      </x:c>
      <x:c r="N640" s="24" t="n">
        <x:v>0</x:v>
      </x:c>
      <x:c r="O640" t="str">
        <x:v>Price</x:v>
      </x:c>
      <x:c r="P640" t="n">
        <x:v>4</x:v>
      </x:c>
      <x:c r="Q640" t="str">
        <x:f>IFERROR(XLOOKUP(E640,Lookups!$A$5:$A$24,Lookups!$B$5:$B$24),"Other")</x:f>
        <x:v>Paid Search</x:v>
      </x:c>
      <x:c r="R640" t="str">
        <x:f>IFERROR(XLOOKUP(F640,Lookups!$D$5:$D$10,Lookups!$E$5:$E$10),"Unknown Product")</x:f>
        <x:v>Analytics Plus</x:v>
      </x:c>
      <x:c r="S640" t="str">
        <x:f>IFERROR(XLOOKUP(F640,Lookups!$D$5:$D$10,Lookups!$F$5:$F$10),"Unknown")</x:f>
        <x:v>Analytics</x:v>
      </x:c>
      <x:c r="T640" t="str">
        <x:f>IF(L640&gt;=50000,"Enterprise",IF(L640&gt;=20000,"Mid-Market","SMB"))</x:f>
        <x:v>Mid-Market</x:v>
      </x:c>
      <x:c r="U640" t="str">
        <x:f>IF(I640="Closed Won","Won",IF(I640="Closed Lost","Lost","Open"))</x:f>
        <x:v>Lost</x:v>
      </x:c>
      <x:c r="V640" s="22" t="n">
        <x:f>IF(U640="Won",L640*(1-M640),0)</x:f>
        <x:v>0</x:v>
      </x:c>
      <x:c r="W640" s="22" t="n">
        <x:f>IF(U640="Open",L640*N640,0)</x:f>
        <x:v>0</x:v>
      </x:c>
      <x:c r="X640" s="26" t="n">
        <x:f>IF(U640="Open","",IFERROR(K640-B640,""))</x:f>
        <x:v>40</x:v>
      </x:c>
      <x:c r="Y640" s="26" t="n">
        <x:f>IF(U640="Open",Lookups!$B$2-B640,X640)</x:f>
        <x:v>40</x:v>
      </x:c>
      <x:c r="Z640" t="str">
        <x:f>IF(AND(U640="Open",Y640&gt;30),"STALE","OK")</x:f>
        <x:v>OK</x:v>
      </x:c>
      <x:c r="AA640" t="str">
        <x:f>TEXT(B640,"yyyy-mm")</x:f>
        <x:v>2025-09</x:v>
      </x:c>
      <x:c r="AB640" t="str">
        <x:f>IF(K640="","",TEXT(K640,"yyyy-mm"))</x:f>
        <x:v>2025-10</x:v>
      </x:c>
      <x:c r="AC640" t="str">
        <x:f>"Q"&amp;ROUNDUP(MONTH(B640)/3,0)&amp;"-"&amp;YEAR(B640)</x:f>
        <x:v>Q3-2025</x:v>
      </x:c>
      <x:c r="AD640" s="26" t="n">
        <x:f>MIN(100,IF(H640="Enterprise",30,IF(H640="Mid-Market",22,14))+IF(T640="Enterprise",25,IF(T640="Mid-Market",18,10))+IF(Q640="Referral",25,IF(Q640="Organic Search",20,IF(Q640="Email",18,14)))+IF(G640="Technology",10,5))</x:f>
        <x:v>56</x:v>
      </x:c>
      <x:c r="AE640" t="str">
        <x:f>IF(U640&lt;&gt;"Open",U640,IF(N640&gt;=0.8,"Commit",IF(N640&gt;=0.5,"Best Case","Pipeline")))</x:f>
        <x:v>Lost</x:v>
      </x:c>
    </x:row>
    <x:row r="641">
      <x:c r="A641" t="str">
        <x:v>L00640</x:v>
      </x:c>
      <x:c r="B641" s="10" t="n">
        <x:v>46036</x:v>
      </x:c>
      <x:c r="C641" t="str">
        <x:v>Tuan Bui</x:v>
      </x:c>
      <x:c r="D641" t="str">
        <x:v>Central</x:v>
      </x:c>
      <x:c r="E641" t="str">
        <x:v>organic search</x:v>
      </x:c>
      <x:c r="F641" t="str">
        <x:v>CRM-PRO</x:v>
      </x:c>
      <x:c r="G641" t="str">
        <x:v>Retail</x:v>
      </x:c>
      <x:c r="H641" t="str">
        <x:v>Mid-Market</x:v>
      </x:c>
      <x:c r="I641" t="str">
        <x:v>Closed Lost</x:v>
      </x:c>
      <x:c r="J641" s="10" t="n">
        <x:v>46076</x:v>
      </x:c>
      <x:c r="K641" s="10" t="n">
        <x:v>46076</x:v>
      </x:c>
      <x:c r="L641" s="22" t="n">
        <x:v>35600</x:v>
      </x:c>
      <x:c r="M641" s="24" t="n">
        <x:v>0</x:v>
      </x:c>
      <x:c r="N641" s="24" t="n">
        <x:v>0</x:v>
      </x:c>
      <x:c r="O641" t="str">
        <x:v>No Decision</x:v>
      </x:c>
      <x:c r="P641" t="n">
        <x:v>5</x:v>
      </x:c>
      <x:c r="Q641" t="str">
        <x:f>IFERROR(XLOOKUP(E641,Lookups!$A$5:$A$24,Lookups!$B$5:$B$24),"Other")</x:f>
        <x:v>Organic Search</x:v>
      </x:c>
      <x:c r="R641" t="str">
        <x:f>IFERROR(XLOOKUP(F641,Lookups!$D$5:$D$10,Lookups!$E$5:$E$10),"Unknown Product")</x:f>
        <x:v>NexaCRM Pro</x:v>
      </x:c>
      <x:c r="S641" t="str">
        <x:f>IFERROR(XLOOKUP(F641,Lookups!$D$5:$D$10,Lookups!$F$5:$F$10),"Unknown")</x:f>
        <x:v>CRM</x:v>
      </x:c>
      <x:c r="T641" t="str">
        <x:f>IF(L641&gt;=50000,"Enterprise",IF(L641&gt;=20000,"Mid-Market","SMB"))</x:f>
        <x:v>Mid-Market</x:v>
      </x:c>
      <x:c r="U641" t="str">
        <x:f>IF(I641="Closed Won","Won",IF(I641="Closed Lost","Lost","Open"))</x:f>
        <x:v>Lost</x:v>
      </x:c>
      <x:c r="V641" s="22" t="n">
        <x:f>IF(U641="Won",L641*(1-M641),0)</x:f>
        <x:v>0</x:v>
      </x:c>
      <x:c r="W641" s="22" t="n">
        <x:f>IF(U641="Open",L641*N641,0)</x:f>
        <x:v>0</x:v>
      </x:c>
      <x:c r="X641" s="26" t="n">
        <x:f>IF(U641="Open","",IFERROR(K641-B641,""))</x:f>
        <x:v>40</x:v>
      </x:c>
      <x:c r="Y641" s="26" t="n">
        <x:f>IF(U641="Open",Lookups!$B$2-B641,X641)</x:f>
        <x:v>40</x:v>
      </x:c>
      <x:c r="Z641" t="str">
        <x:f>IF(AND(U641="Open",Y641&gt;30),"STALE","OK")</x:f>
        <x:v>OK</x:v>
      </x:c>
      <x:c r="AA641" t="str">
        <x:f>TEXT(B641,"yyyy-mm")</x:f>
        <x:v>2026-01</x:v>
      </x:c>
      <x:c r="AB641" t="str">
        <x:f>IF(K641="","",TEXT(K641,"yyyy-mm"))</x:f>
        <x:v>2026-02</x:v>
      </x:c>
      <x:c r="AC641" t="str">
        <x:f>"Q"&amp;ROUNDUP(MONTH(B641)/3,0)&amp;"-"&amp;YEAR(B641)</x:f>
        <x:v>Q1-2026</x:v>
      </x:c>
      <x:c r="AD641" s="26" t="n">
        <x:f>MIN(100,IF(H641="Enterprise",30,IF(H641="Mid-Market",22,14))+IF(T641="Enterprise",25,IF(T641="Mid-Market",18,10))+IF(Q641="Referral",25,IF(Q641="Organic Search",20,IF(Q641="Email",18,14)))+IF(G641="Technology",10,5))</x:f>
        <x:v>65</x:v>
      </x:c>
      <x:c r="AE641" t="str">
        <x:f>IF(U641&lt;&gt;"Open",U641,IF(N641&gt;=0.8,"Commit",IF(N641&gt;=0.5,"Best Case","Pipeline")))</x:f>
        <x:v>Lost</x:v>
      </x:c>
    </x:row>
    <x:row r="642">
      <x:c r="A642" t="str">
        <x:v>L00641</x:v>
      </x:c>
      <x:c r="B642" s="10" t="n">
        <x:v>45816</x:v>
      </x:c>
      <x:c r="C642" t="str">
        <x:v>Quynh Vu</x:v>
      </x:c>
      <x:c r="D642" t="str">
        <x:v>North</x:v>
      </x:c>
      <x:c r="E642" t="str">
        <x:v>google cpc</x:v>
      </x:c>
      <x:c r="F642" t="str">
        <x:v>CRM-CORE</x:v>
      </x:c>
      <x:c r="G642" t="str">
        <x:v>Retail</x:v>
      </x:c>
      <x:c r="H642" t="str">
        <x:v>Enterprise</x:v>
      </x:c>
      <x:c r="I642" t="str">
        <x:v>Closed Lost</x:v>
      </x:c>
      <x:c r="J642" s="10" t="n">
        <x:v>45869</x:v>
      </x:c>
      <x:c r="K642" s="10" t="n">
        <x:v>45869</x:v>
      </x:c>
      <x:c r="L642" s="22" t="n">
        <x:v>27700</x:v>
      </x:c>
      <x:c r="M642" s="24" t="n">
        <x:v>0</x:v>
      </x:c>
      <x:c r="N642" s="24" t="n">
        <x:v>0</x:v>
      </x:c>
      <x:c r="O642" t="str">
        <x:v>Budget</x:v>
      </x:c>
      <x:c r="P642" t="n">
        <x:v>4</x:v>
      </x:c>
      <x:c r="Q642" t="str">
        <x:f>IFERROR(XLOOKUP(E642,Lookups!$A$5:$A$24,Lookups!$B$5:$B$24),"Other")</x:f>
        <x:v>Paid Search</x:v>
      </x:c>
      <x:c r="R642" t="str">
        <x:f>IFERROR(XLOOKUP(F642,Lookups!$D$5:$D$10,Lookups!$E$5:$E$10),"Unknown Product")</x:f>
        <x:v>NexaCRM Core</x:v>
      </x:c>
      <x:c r="S642" t="str">
        <x:f>IFERROR(XLOOKUP(F642,Lookups!$D$5:$D$10,Lookups!$F$5:$F$10),"Unknown")</x:f>
        <x:v>CRM</x:v>
      </x:c>
      <x:c r="T642" t="str">
        <x:f>IF(L642&gt;=50000,"Enterprise",IF(L642&gt;=20000,"Mid-Market","SMB"))</x:f>
        <x:v>Mid-Market</x:v>
      </x:c>
      <x:c r="U642" t="str">
        <x:f>IF(I642="Closed Won","Won",IF(I642="Closed Lost","Lost","Open"))</x:f>
        <x:v>Lost</x:v>
      </x:c>
      <x:c r="V642" s="22" t="n">
        <x:f>IF(U642="Won",L642*(1-M642),0)</x:f>
        <x:v>0</x:v>
      </x:c>
      <x:c r="W642" s="22" t="n">
        <x:f>IF(U642="Open",L642*N642,0)</x:f>
        <x:v>0</x:v>
      </x:c>
      <x:c r="X642" s="26" t="n">
        <x:f>IF(U642="Open","",IFERROR(K642-B642,""))</x:f>
        <x:v>53</x:v>
      </x:c>
      <x:c r="Y642" s="26" t="n">
        <x:f>IF(U642="Open",Lookups!$B$2-B642,X642)</x:f>
        <x:v>53</x:v>
      </x:c>
      <x:c r="Z642" t="str">
        <x:f>IF(AND(U642="Open",Y642&gt;30),"STALE","OK")</x:f>
        <x:v>OK</x:v>
      </x:c>
      <x:c r="AA642" t="str">
        <x:f>TEXT(B642,"yyyy-mm")</x:f>
        <x:v>2025-06</x:v>
      </x:c>
      <x:c r="AB642" t="str">
        <x:f>IF(K642="","",TEXT(K642,"yyyy-mm"))</x:f>
        <x:v>2025-07</x:v>
      </x:c>
      <x:c r="AC642" t="str">
        <x:f>"Q"&amp;ROUNDUP(MONTH(B642)/3,0)&amp;"-"&amp;YEAR(B642)</x:f>
        <x:v>Q2-2025</x:v>
      </x:c>
      <x:c r="AD642" s="26" t="n">
        <x:f>MIN(100,IF(H642="Enterprise",30,IF(H642="Mid-Market",22,14))+IF(T642="Enterprise",25,IF(T642="Mid-Market",18,10))+IF(Q642="Referral",25,IF(Q642="Organic Search",20,IF(Q642="Email",18,14)))+IF(G642="Technology",10,5))</x:f>
        <x:v>67</x:v>
      </x:c>
      <x:c r="AE642" t="str">
        <x:f>IF(U642&lt;&gt;"Open",U642,IF(N642&gt;=0.8,"Commit",IF(N642&gt;=0.5,"Best Case","Pipeline")))</x:f>
        <x:v>Lost</x:v>
      </x:c>
    </x:row>
    <x:row r="643">
      <x:c r="A643" t="str">
        <x:v>L00642</x:v>
      </x:c>
      <x:c r="B643" s="10" t="n">
        <x:v>45669</x:v>
      </x:c>
      <x:c r="C643" t="str">
        <x:v>Chi Le</x:v>
      </x:c>
      <x:c r="D643" t="str">
        <x:v>South</x:v>
      </x:c>
      <x:c r="E643" t="str">
        <x:v>Email Campaign</x:v>
      </x:c>
      <x:c r="F643" t="str">
        <x:v>REV-OPS</x:v>
      </x:c>
      <x:c r="G643" t="str">
        <x:v>Education</x:v>
      </x:c>
      <x:c r="H643" t="str">
        <x:v>Mid-Market</x:v>
      </x:c>
      <x:c r="I643" t="str">
        <x:v>Negotiation</x:v>
      </x:c>
      <x:c r="J643" s="10" t="n">
        <x:v>46122</x:v>
      </x:c>
      <x:c r="K643" s="10"/>
      <x:c r="L643" s="22" t="n">
        <x:v>73300</x:v>
      </x:c>
      <x:c r="M643" s="24" t="n">
        <x:v>0.03</x:v>
      </x:c>
      <x:c r="N643" s="24" t="n">
        <x:v>0.85</x:v>
      </x:c>
      <x:c r="O643" t="str"/>
      <x:c r="P643" t="n">
        <x:v>5</x:v>
      </x:c>
      <x:c r="Q643" t="str">
        <x:f>IFERROR(XLOOKUP(E643,Lookups!$A$5:$A$24,Lookups!$B$5:$B$24),"Other")</x:f>
        <x:v>Email</x:v>
      </x:c>
      <x:c r="R643" t="str">
        <x:f>IFERROR(XLOOKUP(F643,Lookups!$D$5:$D$10,Lookups!$E$5:$E$10),"Unknown Product")</x:f>
        <x:v>Revenue Operations Suite</x:v>
      </x:c>
      <x:c r="S643" t="str">
        <x:f>IFERROR(XLOOKUP(F643,Lookups!$D$5:$D$10,Lookups!$F$5:$F$10),"Unknown")</x:f>
        <x:v>Revenue Ops</x:v>
      </x:c>
      <x:c r="T643" t="str">
        <x:f>IF(L643&gt;=50000,"Enterprise",IF(L643&gt;=20000,"Mid-Market","SMB"))</x:f>
        <x:v>Enterprise</x:v>
      </x:c>
      <x:c r="U643" t="str">
        <x:f>IF(I643="Closed Won","Won",IF(I643="Closed Lost","Lost","Open"))</x:f>
        <x:v>Open</x:v>
      </x:c>
      <x:c r="V643" s="22" t="n">
        <x:f>IF(U643="Won",L643*(1-M643),0)</x:f>
        <x:v>0</x:v>
      </x:c>
      <x:c r="W643" s="22" t="n">
        <x:f>IF(U643="Open",L643*N643,0)</x:f>
        <x:v>62305</x:v>
      </x:c>
      <x:c r="X643" s="26" t="str">
        <x:f>IF(U643="Open","",IFERROR(K643-B643,""))</x:f>
      </x:c>
      <x:c r="Y643" s="26" t="n">
        <x:f>IF(U643="Open",Lookups!$B$2-B643,X643)</x:f>
        <x:v>597</x:v>
      </x:c>
      <x:c r="Z643" t="str">
        <x:f>IF(AND(U643="Open",Y643&gt;30),"STALE","OK")</x:f>
        <x:v>STALE</x:v>
      </x:c>
      <x:c r="AA643" t="str">
        <x:f>TEXT(B643,"yyyy-mm")</x:f>
        <x:v>2025-01</x:v>
      </x:c>
      <x:c r="AB643" t="str">
        <x:f>IF(K643="","",TEXT(K643,"yyyy-mm"))</x:f>
      </x:c>
      <x:c r="AC643" t="str">
        <x:f>"Q"&amp;ROUNDUP(MONTH(B643)/3,0)&amp;"-"&amp;YEAR(B643)</x:f>
        <x:v>Q1-2025</x:v>
      </x:c>
      <x:c r="AD643" s="26" t="n">
        <x:f>MIN(100,IF(H643="Enterprise",30,IF(H643="Mid-Market",22,14))+IF(T643="Enterprise",25,IF(T643="Mid-Market",18,10))+IF(Q643="Referral",25,IF(Q643="Organic Search",20,IF(Q643="Email",18,14)))+IF(G643="Technology",10,5))</x:f>
        <x:v>70</x:v>
      </x:c>
      <x:c r="AE643" t="str">
        <x:f>IF(U643&lt;&gt;"Open",U643,IF(N643&gt;=0.8,"Commit",IF(N643&gt;=0.5,"Best Case","Pipeline")))</x:f>
        <x:v>Commit</x:v>
      </x:c>
    </x:row>
    <x:row r="644">
      <x:c r="A644" t="str">
        <x:v>L00643</x:v>
      </x:c>
      <x:c r="B644" s="10" t="n">
        <x:v>46110</x:v>
      </x:c>
      <x:c r="C644" t="str">
        <x:v>Duy Pham</x:v>
      </x:c>
      <x:c r="D644" t="str">
        <x:v>South</x:v>
      </x:c>
      <x:c r="E644" t="str">
        <x:v>google cpc</x:v>
      </x:c>
      <x:c r="F644" t="str">
        <x:v>CRM-CORE</x:v>
      </x:c>
      <x:c r="G644" t="str">
        <x:v>Healthcare</x:v>
      </x:c>
      <x:c r="H644" t="str">
        <x:v>SMB</x:v>
      </x:c>
      <x:c r="I644" t="str">
        <x:v>Closed Lost</x:v>
      </x:c>
      <x:c r="J644" s="10" t="n">
        <x:v>46132</x:v>
      </x:c>
      <x:c r="K644" s="10" t="n">
        <x:v>46132</x:v>
      </x:c>
      <x:c r="L644" s="22" t="n">
        <x:v>8900</x:v>
      </x:c>
      <x:c r="M644" s="24" t="n">
        <x:v>0</x:v>
      </x:c>
      <x:c r="N644" s="24" t="n">
        <x:v>0</x:v>
      </x:c>
      <x:c r="O644" t="str">
        <x:v>Price</x:v>
      </x:c>
      <x:c r="P644" t="n">
        <x:v>3</x:v>
      </x:c>
      <x:c r="Q644" t="str">
        <x:f>IFERROR(XLOOKUP(E644,Lookups!$A$5:$A$24,Lookups!$B$5:$B$24),"Other")</x:f>
        <x:v>Paid Search</x:v>
      </x:c>
      <x:c r="R644" t="str">
        <x:f>IFERROR(XLOOKUP(F644,Lookups!$D$5:$D$10,Lookups!$E$5:$E$10),"Unknown Product")</x:f>
        <x:v>NexaCRM Core</x:v>
      </x:c>
      <x:c r="S644" t="str">
        <x:f>IFERROR(XLOOKUP(F644,Lookups!$D$5:$D$10,Lookups!$F$5:$F$10),"Unknown")</x:f>
        <x:v>CRM</x:v>
      </x:c>
      <x:c r="T644" t="str">
        <x:f>IF(L644&gt;=50000,"Enterprise",IF(L644&gt;=20000,"Mid-Market","SMB"))</x:f>
        <x:v>SMB</x:v>
      </x:c>
      <x:c r="U644" t="str">
        <x:f>IF(I644="Closed Won","Won",IF(I644="Closed Lost","Lost","Open"))</x:f>
        <x:v>Lost</x:v>
      </x:c>
      <x:c r="V644" s="22" t="n">
        <x:f>IF(U644="Won",L644*(1-M644),0)</x:f>
        <x:v>0</x:v>
      </x:c>
      <x:c r="W644" s="22" t="n">
        <x:f>IF(U644="Open",L644*N644,0)</x:f>
        <x:v>0</x:v>
      </x:c>
      <x:c r="X644" s="26" t="n">
        <x:f>IF(U644="Open","",IFERROR(K644-B644,""))</x:f>
        <x:v>22</x:v>
      </x:c>
      <x:c r="Y644" s="26" t="n">
        <x:f>IF(U644="Open",Lookups!$B$2-B644,X644)</x:f>
        <x:v>22</x:v>
      </x:c>
      <x:c r="Z644" t="str">
        <x:f>IF(AND(U644="Open",Y644&gt;30),"STALE","OK")</x:f>
        <x:v>OK</x:v>
      </x:c>
      <x:c r="AA644" t="str">
        <x:f>TEXT(B644,"yyyy-mm")</x:f>
        <x:v>2026-03</x:v>
      </x:c>
      <x:c r="AB644" t="str">
        <x:f>IF(K644="","",TEXT(K644,"yyyy-mm"))</x:f>
        <x:v>2026-04</x:v>
      </x:c>
      <x:c r="AC644" t="str">
        <x:f>"Q"&amp;ROUNDUP(MONTH(B644)/3,0)&amp;"-"&amp;YEAR(B644)</x:f>
        <x:v>Q1-2026</x:v>
      </x:c>
      <x:c r="AD644" s="26" t="n">
        <x:f>MIN(100,IF(H644="Enterprise",30,IF(H644="Mid-Market",22,14))+IF(T644="Enterprise",25,IF(T644="Mid-Market",18,10))+IF(Q644="Referral",25,IF(Q644="Organic Search",20,IF(Q644="Email",18,14)))+IF(G644="Technology",10,5))</x:f>
        <x:v>43</x:v>
      </x:c>
      <x:c r="AE644" t="str">
        <x:f>IF(U644&lt;&gt;"Open",U644,IF(N644&gt;=0.8,"Commit",IF(N644&gt;=0.5,"Best Case","Pipeline")))</x:f>
        <x:v>Lost</x:v>
      </x:c>
    </x:row>
    <x:row r="645">
      <x:c r="A645" t="str">
        <x:v>L00644</x:v>
      </x:c>
      <x:c r="B645" s="10" t="n">
        <x:v>45960</x:v>
      </x:c>
      <x:c r="C645" t="str">
        <x:v>Minh Do</x:v>
      </x:c>
      <x:c r="D645" t="str">
        <x:v>North</x:v>
      </x:c>
      <x:c r="E645" t="str">
        <x:v>Cold Email</x:v>
      </x:c>
      <x:c r="F645" t="str">
        <x:v>MKT-AUTO</x:v>
      </x:c>
      <x:c r="G645" t="str">
        <x:v>Manufacturing</x:v>
      </x:c>
      <x:c r="H645" t="str">
        <x:v>Mid-Market</x:v>
      </x:c>
      <x:c r="I645" t="str">
        <x:v>Closed Lost</x:v>
      </x:c>
      <x:c r="J645" s="10" t="n">
        <x:v>46005</x:v>
      </x:c>
      <x:c r="K645" s="10" t="n">
        <x:v>46005</x:v>
      </x:c>
      <x:c r="L645" s="22" t="n">
        <x:v>35400</x:v>
      </x:c>
      <x:c r="M645" s="24" t="n">
        <x:v>0</x:v>
      </x:c>
      <x:c r="N645" s="24" t="n">
        <x:v>0</x:v>
      </x:c>
      <x:c r="O645" t="str">
        <x:v>No Decision</x:v>
      </x:c>
      <x:c r="P645" t="n">
        <x:v>4</x:v>
      </x:c>
      <x:c r="Q645" t="str">
        <x:f>IFERROR(XLOOKUP(E645,Lookups!$A$5:$A$24,Lookups!$B$5:$B$24),"Other")</x:f>
        <x:v>Outbound</x:v>
      </x:c>
      <x:c r="R645" t="str">
        <x:f>IFERROR(XLOOKUP(F645,Lookups!$D$5:$D$10,Lookups!$E$5:$E$10),"Unknown Product")</x:f>
        <x:v>Marketing Automation</x:v>
      </x:c>
      <x:c r="S645" t="str">
        <x:f>IFERROR(XLOOKUP(F645,Lookups!$D$5:$D$10,Lookups!$F$5:$F$10),"Unknown")</x:f>
        <x:v>Marketing</x:v>
      </x:c>
      <x:c r="T645" t="str">
        <x:f>IF(L645&gt;=50000,"Enterprise",IF(L645&gt;=20000,"Mid-Market","SMB"))</x:f>
        <x:v>Mid-Market</x:v>
      </x:c>
      <x:c r="U645" t="str">
        <x:f>IF(I645="Closed Won","Won",IF(I645="Closed Lost","Lost","Open"))</x:f>
        <x:v>Lost</x:v>
      </x:c>
      <x:c r="V645" s="22" t="n">
        <x:f>IF(U645="Won",L645*(1-M645),0)</x:f>
        <x:v>0</x:v>
      </x:c>
      <x:c r="W645" s="22" t="n">
        <x:f>IF(U645="Open",L645*N645,0)</x:f>
        <x:v>0</x:v>
      </x:c>
      <x:c r="X645" s="26" t="n">
        <x:f>IF(U645="Open","",IFERROR(K645-B645,""))</x:f>
        <x:v>45</x:v>
      </x:c>
      <x:c r="Y645" s="26" t="n">
        <x:f>IF(U645="Open",Lookups!$B$2-B645,X645)</x:f>
        <x:v>45</x:v>
      </x:c>
      <x:c r="Z645" t="str">
        <x:f>IF(AND(U645="Open",Y645&gt;30),"STALE","OK")</x:f>
        <x:v>OK</x:v>
      </x:c>
      <x:c r="AA645" t="str">
        <x:f>TEXT(B645,"yyyy-mm")</x:f>
        <x:v>2025-10</x:v>
      </x:c>
      <x:c r="AB645" t="str">
        <x:f>IF(K645="","",TEXT(K645,"yyyy-mm"))</x:f>
        <x:v>2025-12</x:v>
      </x:c>
      <x:c r="AC645" t="str">
        <x:f>"Q"&amp;ROUNDUP(MONTH(B645)/3,0)&amp;"-"&amp;YEAR(B645)</x:f>
        <x:v>Q4-2025</x:v>
      </x:c>
      <x:c r="AD645" s="26" t="n">
        <x:f>MIN(100,IF(H645="Enterprise",30,IF(H645="Mid-Market",22,14))+IF(T645="Enterprise",25,IF(T645="Mid-Market",18,10))+IF(Q645="Referral",25,IF(Q645="Organic Search",20,IF(Q645="Email",18,14)))+IF(G645="Technology",10,5))</x:f>
        <x:v>59</x:v>
      </x:c>
      <x:c r="AE645" t="str">
        <x:f>IF(U645&lt;&gt;"Open",U645,IF(N645&gt;=0.8,"Commit",IF(N645&gt;=0.5,"Best Case","Pipeline")))</x:f>
        <x:v>Lost</x:v>
      </x:c>
    </x:row>
    <x:row r="646">
      <x:c r="A646" t="str">
        <x:v>L00645</x:v>
      </x:c>
      <x:c r="B646" s="10" t="n">
        <x:v>45957</x:v>
      </x:c>
      <x:c r="C646" t="str">
        <x:v>Tuan Bui</x:v>
      </x:c>
      <x:c r="D646" t="str">
        <x:v>Central</x:v>
      </x:c>
      <x:c r="E646" t="str">
        <x:v>newsletter</x:v>
      </x:c>
      <x:c r="F646" t="str">
        <x:v>CRM-PRO</x:v>
      </x:c>
      <x:c r="G646" t="str">
        <x:v>Manufacturing</x:v>
      </x:c>
      <x:c r="H646" t="str">
        <x:v>SMB</x:v>
      </x:c>
      <x:c r="I646" t="str">
        <x:v>Closed Lost</x:v>
      </x:c>
      <x:c r="J646" s="10" t="n">
        <x:v>46010</x:v>
      </x:c>
      <x:c r="K646" s="10" t="n">
        <x:v>46010</x:v>
      </x:c>
      <x:c r="L646" s="22" t="n">
        <x:v>20700</x:v>
      </x:c>
      <x:c r="M646" s="24" t="n">
        <x:v>0</x:v>
      </x:c>
      <x:c r="N646" s="24" t="n">
        <x:v>0</x:v>
      </x:c>
      <x:c r="O646" t="str">
        <x:v>Feature Gap</x:v>
      </x:c>
      <x:c r="P646" t="n">
        <x:v>4</x:v>
      </x:c>
      <x:c r="Q646" t="str">
        <x:f>IFERROR(XLOOKUP(E646,Lookups!$A$5:$A$24,Lookups!$B$5:$B$24),"Other")</x:f>
        <x:v>Email</x:v>
      </x:c>
      <x:c r="R646" t="str">
        <x:f>IFERROR(XLOOKUP(F646,Lookups!$D$5:$D$10,Lookups!$E$5:$E$10),"Unknown Product")</x:f>
        <x:v>NexaCRM Pro</x:v>
      </x:c>
      <x:c r="S646" t="str">
        <x:f>IFERROR(XLOOKUP(F646,Lookups!$D$5:$D$10,Lookups!$F$5:$F$10),"Unknown")</x:f>
        <x:v>CRM</x:v>
      </x:c>
      <x:c r="T646" t="str">
        <x:f>IF(L646&gt;=50000,"Enterprise",IF(L646&gt;=20000,"Mid-Market","SMB"))</x:f>
        <x:v>Mid-Market</x:v>
      </x:c>
      <x:c r="U646" t="str">
        <x:f>IF(I646="Closed Won","Won",IF(I646="Closed Lost","Lost","Open"))</x:f>
        <x:v>Lost</x:v>
      </x:c>
      <x:c r="V646" s="22" t="n">
        <x:f>IF(U646="Won",L646*(1-M646),0)</x:f>
        <x:v>0</x:v>
      </x:c>
      <x:c r="W646" s="22" t="n">
        <x:f>IF(U646="Open",L646*N646,0)</x:f>
        <x:v>0</x:v>
      </x:c>
      <x:c r="X646" s="26" t="n">
        <x:f>IF(U646="Open","",IFERROR(K646-B646,""))</x:f>
        <x:v>53</x:v>
      </x:c>
      <x:c r="Y646" s="26" t="n">
        <x:f>IF(U646="Open",Lookups!$B$2-B646,X646)</x:f>
        <x:v>53</x:v>
      </x:c>
      <x:c r="Z646" t="str">
        <x:f>IF(AND(U646="Open",Y646&gt;30),"STALE","OK")</x:f>
        <x:v>OK</x:v>
      </x:c>
      <x:c r="AA646" t="str">
        <x:f>TEXT(B646,"yyyy-mm")</x:f>
        <x:v>2025-10</x:v>
      </x:c>
      <x:c r="AB646" t="str">
        <x:f>IF(K646="","",TEXT(K646,"yyyy-mm"))</x:f>
        <x:v>2025-12</x:v>
      </x:c>
      <x:c r="AC646" t="str">
        <x:f>"Q"&amp;ROUNDUP(MONTH(B646)/3,0)&amp;"-"&amp;YEAR(B646)</x:f>
        <x:v>Q4-2025</x:v>
      </x:c>
      <x:c r="AD646" s="26" t="n">
        <x:f>MIN(100,IF(H646="Enterprise",30,IF(H646="Mid-Market",22,14))+IF(T646="Enterprise",25,IF(T646="Mid-Market",18,10))+IF(Q646="Referral",25,IF(Q646="Organic Search",20,IF(Q646="Email",18,14)))+IF(G646="Technology",10,5))</x:f>
        <x:v>55</x:v>
      </x:c>
      <x:c r="AE646" t="str">
        <x:f>IF(U646&lt;&gt;"Open",U646,IF(N646&gt;=0.8,"Commit",IF(N646&gt;=0.5,"Best Case","Pipeline")))</x:f>
        <x:v>Lost</x:v>
      </x:c>
    </x:row>
    <x:row r="647">
      <x:c r="A647" t="str">
        <x:v>L00646</x:v>
      </x:c>
      <x:c r="B647" s="10" t="n">
        <x:v>45743</x:v>
      </x:c>
      <x:c r="C647" t="str">
        <x:v>Ha Vo</x:v>
      </x:c>
      <x:c r="D647" t="str">
        <x:v>North</x:v>
      </x:c>
      <x:c r="E647" t="str">
        <x:v>SEM - Google</x:v>
      </x:c>
      <x:c r="F647" t="str">
        <x:v>CRM-CORE</x:v>
      </x:c>
      <x:c r="G647" t="str">
        <x:v>Technology</x:v>
      </x:c>
      <x:c r="H647" t="str">
        <x:v>Mid-Market</x:v>
      </x:c>
      <x:c r="I647" t="str">
        <x:v>Closed Lost</x:v>
      </x:c>
      <x:c r="J647" s="10" t="n">
        <x:v>45788</x:v>
      </x:c>
      <x:c r="K647" s="10" t="n">
        <x:v>45788</x:v>
      </x:c>
      <x:c r="L647" s="22" t="n">
        <x:v>10200</x:v>
      </x:c>
      <x:c r="M647" s="24" t="n">
        <x:v>0</x:v>
      </x:c>
      <x:c r="N647" s="24" t="n">
        <x:v>0</x:v>
      </x:c>
      <x:c r="O647" t="str">
        <x:v>Price</x:v>
      </x:c>
      <x:c r="P647" t="n">
        <x:v>4</x:v>
      </x:c>
      <x:c r="Q647" t="str">
        <x:f>IFERROR(XLOOKUP(E647,Lookups!$A$5:$A$24,Lookups!$B$5:$B$24),"Other")</x:f>
        <x:v>Paid Search</x:v>
      </x:c>
      <x:c r="R647" t="str">
        <x:f>IFERROR(XLOOKUP(F647,Lookups!$D$5:$D$10,Lookups!$E$5:$E$10),"Unknown Product")</x:f>
        <x:v>NexaCRM Core</x:v>
      </x:c>
      <x:c r="S647" t="str">
        <x:f>IFERROR(XLOOKUP(F647,Lookups!$D$5:$D$10,Lookups!$F$5:$F$10),"Unknown")</x:f>
        <x:v>CRM</x:v>
      </x:c>
      <x:c r="T647" t="str">
        <x:f>IF(L647&gt;=50000,"Enterprise",IF(L647&gt;=20000,"Mid-Market","SMB"))</x:f>
        <x:v>SMB</x:v>
      </x:c>
      <x:c r="U647" t="str">
        <x:f>IF(I647="Closed Won","Won",IF(I647="Closed Lost","Lost","Open"))</x:f>
        <x:v>Lost</x:v>
      </x:c>
      <x:c r="V647" s="22" t="n">
        <x:f>IF(U647="Won",L647*(1-M647),0)</x:f>
        <x:v>0</x:v>
      </x:c>
      <x:c r="W647" s="22" t="n">
        <x:f>IF(U647="Open",L647*N647,0)</x:f>
        <x:v>0</x:v>
      </x:c>
      <x:c r="X647" s="26" t="n">
        <x:f>IF(U647="Open","",IFERROR(K647-B647,""))</x:f>
        <x:v>45</x:v>
      </x:c>
      <x:c r="Y647" s="26" t="n">
        <x:f>IF(U647="Open",Lookups!$B$2-B647,X647)</x:f>
        <x:v>45</x:v>
      </x:c>
      <x:c r="Z647" t="str">
        <x:f>IF(AND(U647="Open",Y647&gt;30),"STALE","OK")</x:f>
        <x:v>OK</x:v>
      </x:c>
      <x:c r="AA647" t="str">
        <x:f>TEXT(B647,"yyyy-mm")</x:f>
        <x:v>2025-03</x:v>
      </x:c>
      <x:c r="AB647" t="str">
        <x:f>IF(K647="","",TEXT(K647,"yyyy-mm"))</x:f>
        <x:v>2025-05</x:v>
      </x:c>
      <x:c r="AC647" t="str">
        <x:f>"Q"&amp;ROUNDUP(MONTH(B647)/3,0)&amp;"-"&amp;YEAR(B647)</x:f>
        <x:v>Q1-2025</x:v>
      </x:c>
      <x:c r="AD647" s="26" t="n">
        <x:f>MIN(100,IF(H647="Enterprise",30,IF(H647="Mid-Market",22,14))+IF(T647="Enterprise",25,IF(T647="Mid-Market",18,10))+IF(Q647="Referral",25,IF(Q647="Organic Search",20,IF(Q647="Email",18,14)))+IF(G647="Technology",10,5))</x:f>
        <x:v>56</x:v>
      </x:c>
      <x:c r="AE647" t="str">
        <x:f>IF(U647&lt;&gt;"Open",U647,IF(N647&gt;=0.8,"Commit",IF(N647&gt;=0.5,"Best Case","Pipeline")))</x:f>
        <x:v>Lost</x:v>
      </x:c>
    </x:row>
    <x:row r="648">
      <x:c r="A648" t="str">
        <x:v>L00647</x:v>
      </x:c>
      <x:c r="B648" s="10" t="n">
        <x:v>45658</x:v>
      </x:c>
      <x:c r="C648" t="str">
        <x:v>Bao Tran</x:v>
      </x:c>
      <x:c r="D648" t="str">
        <x:v>South</x:v>
      </x:c>
      <x:c r="E648" t="str">
        <x:v>SDR Outreach</x:v>
      </x:c>
      <x:c r="F648" t="str">
        <x:v>CRM-PRO</x:v>
      </x:c>
      <x:c r="G648" t="str">
        <x:v>Retail</x:v>
      </x:c>
      <x:c r="H648" t="str">
        <x:v>Mid-Market</x:v>
      </x:c>
      <x:c r="I648" t="str">
        <x:v>Closed Won</x:v>
      </x:c>
      <x:c r="J648" s="10" t="n">
        <x:v>45728</x:v>
      </x:c>
      <x:c r="K648" s="10" t="n">
        <x:v>45728</x:v>
      </x:c>
      <x:c r="L648" s="22" t="n">
        <x:v>29500</x:v>
      </x:c>
      <x:c r="M648" s="24" t="n">
        <x:v>0.03</x:v>
      </x:c>
      <x:c r="N648" s="24" t="n">
        <x:v>1</x:v>
      </x:c>
      <x:c r="O648" t="str"/>
      <x:c r="P648" t="n">
        <x:v>6</x:v>
      </x:c>
      <x:c r="Q648" t="str">
        <x:f>IFERROR(XLOOKUP(E648,Lookups!$A$5:$A$24,Lookups!$B$5:$B$24),"Other")</x:f>
        <x:v>Outbound</x:v>
      </x:c>
      <x:c r="R648" t="str">
        <x:f>IFERROR(XLOOKUP(F648,Lookups!$D$5:$D$10,Lookups!$E$5:$E$10),"Unknown Product")</x:f>
        <x:v>NexaCRM Pro</x:v>
      </x:c>
      <x:c r="S648" t="str">
        <x:f>IFERROR(XLOOKUP(F648,Lookups!$D$5:$D$10,Lookups!$F$5:$F$10),"Unknown")</x:f>
        <x:v>CRM</x:v>
      </x:c>
      <x:c r="T648" t="str">
        <x:f>IF(L648&gt;=50000,"Enterprise",IF(L648&gt;=20000,"Mid-Market","SMB"))</x:f>
        <x:v>Mid-Market</x:v>
      </x:c>
      <x:c r="U648" t="str">
        <x:f>IF(I648="Closed Won","Won",IF(I648="Closed Lost","Lost","Open"))</x:f>
        <x:v>Won</x:v>
      </x:c>
      <x:c r="V648" s="22" t="n">
        <x:f>IF(U648="Won",L648*(1-M648),0)</x:f>
        <x:v>28615</x:v>
      </x:c>
      <x:c r="W648" s="22" t="n">
        <x:f>IF(U648="Open",L648*N648,0)</x:f>
        <x:v>0</x:v>
      </x:c>
      <x:c r="X648" s="26" t="n">
        <x:f>IF(U648="Open","",IFERROR(K648-B648,""))</x:f>
        <x:v>70</x:v>
      </x:c>
      <x:c r="Y648" s="26" t="n">
        <x:f>IF(U648="Open",Lookups!$B$2-B648,X648)</x:f>
        <x:v>70</x:v>
      </x:c>
      <x:c r="Z648" t="str">
        <x:f>IF(AND(U648="Open",Y648&gt;30),"STALE","OK")</x:f>
        <x:v>OK</x:v>
      </x:c>
      <x:c r="AA648" t="str">
        <x:f>TEXT(B648,"yyyy-mm")</x:f>
        <x:v>2025-01</x:v>
      </x:c>
      <x:c r="AB648" t="str">
        <x:f>IF(K648="","",TEXT(K648,"yyyy-mm"))</x:f>
        <x:v>2025-03</x:v>
      </x:c>
      <x:c r="AC648" t="str">
        <x:f>"Q"&amp;ROUNDUP(MONTH(B648)/3,0)&amp;"-"&amp;YEAR(B648)</x:f>
        <x:v>Q1-2025</x:v>
      </x:c>
      <x:c r="AD648" s="26" t="n">
        <x:f>MIN(100,IF(H648="Enterprise",30,IF(H648="Mid-Market",22,14))+IF(T648="Enterprise",25,IF(T648="Mid-Market",18,10))+IF(Q648="Referral",25,IF(Q648="Organic Search",20,IF(Q648="Email",18,14)))+IF(G648="Technology",10,5))</x:f>
        <x:v>59</x:v>
      </x:c>
      <x:c r="AE648" t="str">
        <x:f>IF(U648&lt;&gt;"Open",U648,IF(N648&gt;=0.8,"Commit",IF(N648&gt;=0.5,"Best Case","Pipeline")))</x:f>
        <x:v>Won</x:v>
      </x:c>
    </x:row>
    <x:row r="649">
      <x:c r="A649" t="str">
        <x:v>L00648</x:v>
      </x:c>
      <x:c r="B649" s="10" t="n">
        <x:v>45728</x:v>
      </x:c>
      <x:c r="C649" t="str">
        <x:v>Quynh Vu</x:v>
      </x:c>
      <x:c r="D649" t="str">
        <x:v>North</x:v>
      </x:c>
      <x:c r="E649" t="str">
        <x:v>customer referral</x:v>
      </x:c>
      <x:c r="F649" t="str">
        <x:v>REV-OPS</x:v>
      </x:c>
      <x:c r="G649" t="str">
        <x:v>Healthcare</x:v>
      </x:c>
      <x:c r="H649" t="str">
        <x:v>Mid-Market</x:v>
      </x:c>
      <x:c r="I649" t="str">
        <x:v>Closed Lost</x:v>
      </x:c>
      <x:c r="J649" s="10" t="n">
        <x:v>45780</x:v>
      </x:c>
      <x:c r="K649" s="10" t="n">
        <x:v>45780</x:v>
      </x:c>
      <x:c r="L649" s="22" t="n">
        <x:v>72200</x:v>
      </x:c>
      <x:c r="M649" s="24" t="n">
        <x:v>0</x:v>
      </x:c>
      <x:c r="N649" s="24" t="n">
        <x:v>0</x:v>
      </x:c>
      <x:c r="O649" t="str">
        <x:v>Price</x:v>
      </x:c>
      <x:c r="P649" t="n">
        <x:v>3</x:v>
      </x:c>
      <x:c r="Q649" t="str">
        <x:f>IFERROR(XLOOKUP(E649,Lookups!$A$5:$A$24,Lookups!$B$5:$B$24),"Other")</x:f>
        <x:v>Referral</x:v>
      </x:c>
      <x:c r="R649" t="str">
        <x:f>IFERROR(XLOOKUP(F649,Lookups!$D$5:$D$10,Lookups!$E$5:$E$10),"Unknown Product")</x:f>
        <x:v>Revenue Operations Suite</x:v>
      </x:c>
      <x:c r="S649" t="str">
        <x:f>IFERROR(XLOOKUP(F649,Lookups!$D$5:$D$10,Lookups!$F$5:$F$10),"Unknown")</x:f>
        <x:v>Revenue Ops</x:v>
      </x:c>
      <x:c r="T649" t="str">
        <x:f>IF(L649&gt;=50000,"Enterprise",IF(L649&gt;=20000,"Mid-Market","SMB"))</x:f>
        <x:v>Enterprise</x:v>
      </x:c>
      <x:c r="U649" t="str">
        <x:f>IF(I649="Closed Won","Won",IF(I649="Closed Lost","Lost","Open"))</x:f>
        <x:v>Lost</x:v>
      </x:c>
      <x:c r="V649" s="22" t="n">
        <x:f>IF(U649="Won",L649*(1-M649),0)</x:f>
        <x:v>0</x:v>
      </x:c>
      <x:c r="W649" s="22" t="n">
        <x:f>IF(U649="Open",L649*N649,0)</x:f>
        <x:v>0</x:v>
      </x:c>
      <x:c r="X649" s="26" t="n">
        <x:f>IF(U649="Open","",IFERROR(K649-B649,""))</x:f>
        <x:v>52</x:v>
      </x:c>
      <x:c r="Y649" s="26" t="n">
        <x:f>IF(U649="Open",Lookups!$B$2-B649,X649)</x:f>
        <x:v>52</x:v>
      </x:c>
      <x:c r="Z649" t="str">
        <x:f>IF(AND(U649="Open",Y649&gt;30),"STALE","OK")</x:f>
        <x:v>OK</x:v>
      </x:c>
      <x:c r="AA649" t="str">
        <x:f>TEXT(B649,"yyyy-mm")</x:f>
        <x:v>2025-03</x:v>
      </x:c>
      <x:c r="AB649" t="str">
        <x:f>IF(K649="","",TEXT(K649,"yyyy-mm"))</x:f>
        <x:v>2025-05</x:v>
      </x:c>
      <x:c r="AC649" t="str">
        <x:f>"Q"&amp;ROUNDUP(MONTH(B649)/3,0)&amp;"-"&amp;YEAR(B649)</x:f>
        <x:v>Q1-2025</x:v>
      </x:c>
      <x:c r="AD649" s="26" t="n">
        <x:f>MIN(100,IF(H649="Enterprise",30,IF(H649="Mid-Market",22,14))+IF(T649="Enterprise",25,IF(T649="Mid-Market",18,10))+IF(Q649="Referral",25,IF(Q649="Organic Search",20,IF(Q649="Email",18,14)))+IF(G649="Technology",10,5))</x:f>
        <x:v>77</x:v>
      </x:c>
      <x:c r="AE649" t="str">
        <x:f>IF(U649&lt;&gt;"Open",U649,IF(N649&gt;=0.8,"Commit",IF(N649&gt;=0.5,"Best Case","Pipeline")))</x:f>
        <x:v>Lost</x:v>
      </x:c>
    </x:row>
    <x:row r="650">
      <x:c r="A650" t="str">
        <x:v>L00649</x:v>
      </x:c>
      <x:c r="B650" s="10" t="n">
        <x:v>45795</x:v>
      </x:c>
      <x:c r="C650" t="str">
        <x:v>Tuan Bui</x:v>
      </x:c>
      <x:c r="D650" t="str">
        <x:v>Central</x:v>
      </x:c>
      <x:c r="E650" t="str">
        <x:v>newsletter</x:v>
      </x:c>
      <x:c r="F650" t="str">
        <x:v>CRM-CORE</x:v>
      </x:c>
      <x:c r="G650" t="str">
        <x:v>Healthcare</x:v>
      </x:c>
      <x:c r="H650" t="str">
        <x:v>SMB</x:v>
      </x:c>
      <x:c r="I650" t="str">
        <x:v>Closed Lost</x:v>
      </x:c>
      <x:c r="J650" s="10" t="n">
        <x:v>45821</x:v>
      </x:c>
      <x:c r="K650" s="10" t="n">
        <x:v>45821</x:v>
      </x:c>
      <x:c r="L650" s="22" t="n">
        <x:v>5900</x:v>
      </x:c>
      <x:c r="M650" s="24" t="n">
        <x:v>0</x:v>
      </x:c>
      <x:c r="N650" s="24" t="n">
        <x:v>0</x:v>
      </x:c>
      <x:c r="O650" t="str">
        <x:v>Budget</x:v>
      </x:c>
      <x:c r="P650" t="n">
        <x:v>2</x:v>
      </x:c>
      <x:c r="Q650" t="str">
        <x:f>IFERROR(XLOOKUP(E650,Lookups!$A$5:$A$24,Lookups!$B$5:$B$24),"Other")</x:f>
        <x:v>Email</x:v>
      </x:c>
      <x:c r="R650" t="str">
        <x:f>IFERROR(XLOOKUP(F650,Lookups!$D$5:$D$10,Lookups!$E$5:$E$10),"Unknown Product")</x:f>
        <x:v>NexaCRM Core</x:v>
      </x:c>
      <x:c r="S650" t="str">
        <x:f>IFERROR(XLOOKUP(F650,Lookups!$D$5:$D$10,Lookups!$F$5:$F$10),"Unknown")</x:f>
        <x:v>CRM</x:v>
      </x:c>
      <x:c r="T650" t="str">
        <x:f>IF(L650&gt;=50000,"Enterprise",IF(L650&gt;=20000,"Mid-Market","SMB"))</x:f>
        <x:v>SMB</x:v>
      </x:c>
      <x:c r="U650" t="str">
        <x:f>IF(I650="Closed Won","Won",IF(I650="Closed Lost","Lost","Open"))</x:f>
        <x:v>Lost</x:v>
      </x:c>
      <x:c r="V650" s="22" t="n">
        <x:f>IF(U650="Won",L650*(1-M650),0)</x:f>
        <x:v>0</x:v>
      </x:c>
      <x:c r="W650" s="22" t="n">
        <x:f>IF(U650="Open",L650*N650,0)</x:f>
        <x:v>0</x:v>
      </x:c>
      <x:c r="X650" s="26" t="n">
        <x:f>IF(U650="Open","",IFERROR(K650-B650,""))</x:f>
        <x:v>26</x:v>
      </x:c>
      <x:c r="Y650" s="26" t="n">
        <x:f>IF(U650="Open",Lookups!$B$2-B650,X650)</x:f>
        <x:v>26</x:v>
      </x:c>
      <x:c r="Z650" t="str">
        <x:f>IF(AND(U650="Open",Y650&gt;30),"STALE","OK")</x:f>
        <x:v>OK</x:v>
      </x:c>
      <x:c r="AA650" t="str">
        <x:f>TEXT(B650,"yyyy-mm")</x:f>
        <x:v>2025-05</x:v>
      </x:c>
      <x:c r="AB650" t="str">
        <x:f>IF(K650="","",TEXT(K650,"yyyy-mm"))</x:f>
        <x:v>2025-06</x:v>
      </x:c>
      <x:c r="AC650" t="str">
        <x:f>"Q"&amp;ROUNDUP(MONTH(B650)/3,0)&amp;"-"&amp;YEAR(B650)</x:f>
        <x:v>Q2-2025</x:v>
      </x:c>
      <x:c r="AD650" s="26" t="n">
        <x:f>MIN(100,IF(H650="Enterprise",30,IF(H650="Mid-Market",22,14))+IF(T650="Enterprise",25,IF(T650="Mid-Market",18,10))+IF(Q650="Referral",25,IF(Q650="Organic Search",20,IF(Q650="Email",18,14)))+IF(G650="Technology",10,5))</x:f>
        <x:v>47</x:v>
      </x:c>
      <x:c r="AE650" t="str">
        <x:f>IF(U650&lt;&gt;"Open",U650,IF(N650&gt;=0.8,"Commit",IF(N650&gt;=0.5,"Best Case","Pipeline")))</x:f>
        <x:v>Lost</x:v>
      </x:c>
    </x:row>
    <x:row r="651">
      <x:c r="A651" t="str">
        <x:v>L00650</x:v>
      </x:c>
      <x:c r="B651" s="10" t="n">
        <x:v>45749</x:v>
      </x:c>
      <x:c r="C651" t="str">
        <x:v>Bao Tran</x:v>
      </x:c>
      <x:c r="D651" t="str">
        <x:v>South</x:v>
      </x:c>
      <x:c r="E651" t="str">
        <x:v>Cold Email</x:v>
      </x:c>
      <x:c r="F651" t="str">
        <x:v>MKT-AUTO</x:v>
      </x:c>
      <x:c r="G651" t="str">
        <x:v>Manufacturing</x:v>
      </x:c>
      <x:c r="H651" t="str">
        <x:v>Enterprise</x:v>
      </x:c>
      <x:c r="I651" t="str">
        <x:v>Closed Lost</x:v>
      </x:c>
      <x:c r="J651" s="10" t="n">
        <x:v>45803</x:v>
      </x:c>
      <x:c r="K651" s="10" t="n">
        <x:v>45803</x:v>
      </x:c>
      <x:c r="L651" s="22" t="n">
        <x:v>69000</x:v>
      </x:c>
      <x:c r="M651" s="24" t="n">
        <x:v>0</x:v>
      </x:c>
      <x:c r="N651" s="24" t="n">
        <x:v>0</x:v>
      </x:c>
      <x:c r="O651" t="str">
        <x:v>Price</x:v>
      </x:c>
      <x:c r="P651" t="n">
        <x:v>3</x:v>
      </x:c>
      <x:c r="Q651" t="str">
        <x:f>IFERROR(XLOOKUP(E651,Lookups!$A$5:$A$24,Lookups!$B$5:$B$24),"Other")</x:f>
        <x:v>Outbound</x:v>
      </x:c>
      <x:c r="R651" t="str">
        <x:f>IFERROR(XLOOKUP(F651,Lookups!$D$5:$D$10,Lookups!$E$5:$E$10),"Unknown Product")</x:f>
        <x:v>Marketing Automation</x:v>
      </x:c>
      <x:c r="S651" t="str">
        <x:f>IFERROR(XLOOKUP(F651,Lookups!$D$5:$D$10,Lookups!$F$5:$F$10),"Unknown")</x:f>
        <x:v>Marketing</x:v>
      </x:c>
      <x:c r="T651" t="str">
        <x:f>IF(L651&gt;=50000,"Enterprise",IF(L651&gt;=20000,"Mid-Market","SMB"))</x:f>
        <x:v>Enterprise</x:v>
      </x:c>
      <x:c r="U651" t="str">
        <x:f>IF(I651="Closed Won","Won",IF(I651="Closed Lost","Lost","Open"))</x:f>
        <x:v>Lost</x:v>
      </x:c>
      <x:c r="V651" s="22" t="n">
        <x:f>IF(U651="Won",L651*(1-M651),0)</x:f>
        <x:v>0</x:v>
      </x:c>
      <x:c r="W651" s="22" t="n">
        <x:f>IF(U651="Open",L651*N651,0)</x:f>
        <x:v>0</x:v>
      </x:c>
      <x:c r="X651" s="26" t="n">
        <x:f>IF(U651="Open","",IFERROR(K651-B651,""))</x:f>
        <x:v>54</x:v>
      </x:c>
      <x:c r="Y651" s="26" t="n">
        <x:f>IF(U651="Open",Lookups!$B$2-B651,X651)</x:f>
        <x:v>54</x:v>
      </x:c>
      <x:c r="Z651" t="str">
        <x:f>IF(AND(U651="Open",Y651&gt;30),"STALE","OK")</x:f>
        <x:v>OK</x:v>
      </x:c>
      <x:c r="AA651" t="str">
        <x:f>TEXT(B651,"yyyy-mm")</x:f>
        <x:v>2025-04</x:v>
      </x:c>
      <x:c r="AB651" t="str">
        <x:f>IF(K651="","",TEXT(K651,"yyyy-mm"))</x:f>
        <x:v>2025-05</x:v>
      </x:c>
      <x:c r="AC651" t="str">
        <x:f>"Q"&amp;ROUNDUP(MONTH(B651)/3,0)&amp;"-"&amp;YEAR(B651)</x:f>
        <x:v>Q2-2025</x:v>
      </x:c>
      <x:c r="AD651" s="26" t="n">
        <x:f>MIN(100,IF(H651="Enterprise",30,IF(H651="Mid-Market",22,14))+IF(T651="Enterprise",25,IF(T651="Mid-Market",18,10))+IF(Q651="Referral",25,IF(Q651="Organic Search",20,IF(Q651="Email",18,14)))+IF(G651="Technology",10,5))</x:f>
        <x:v>74</x:v>
      </x:c>
      <x:c r="AE651" t="str">
        <x:f>IF(U651&lt;&gt;"Open",U651,IF(N651&gt;=0.8,"Commit",IF(N651&gt;=0.5,"Best Case","Pipeline")))</x:f>
        <x:v>Lost</x:v>
      </x:c>
    </x:row>
    <x:row r="652">
      <x:c r="A652" t="str">
        <x:v>L00651</x:v>
      </x:c>
      <x:c r="B652" s="10" t="n">
        <x:v>45840</x:v>
      </x:c>
      <x:c r="C652" t="str">
        <x:v>Duy Pham</x:v>
      </x:c>
      <x:c r="D652" t="str">
        <x:v>South</x:v>
      </x:c>
      <x:c r="E652" t="str">
        <x:v>Outbound</x:v>
      </x:c>
      <x:c r="F652" t="str">
        <x:v>MKT-AUTO</x:v>
      </x:c>
      <x:c r="G652" t="str">
        <x:v>Manufacturing</x:v>
      </x:c>
      <x:c r="H652" t="str">
        <x:v>Enterprise</x:v>
      </x:c>
      <x:c r="I652" t="str">
        <x:v>Closed Lost</x:v>
      </x:c>
      <x:c r="J652" s="10" t="n">
        <x:v>45884</x:v>
      </x:c>
      <x:c r="K652" s="10" t="n">
        <x:v>45884</x:v>
      </x:c>
      <x:c r="L652" s="22" t="n">
        <x:v>70600</x:v>
      </x:c>
      <x:c r="M652" s="24" t="n">
        <x:v>0</x:v>
      </x:c>
      <x:c r="N652" s="24" t="n">
        <x:v>0</x:v>
      </x:c>
      <x:c r="O652" t="str">
        <x:v>Price</x:v>
      </x:c>
      <x:c r="P652" t="n">
        <x:v>5</x:v>
      </x:c>
      <x:c r="Q652" t="str">
        <x:f>IFERROR(XLOOKUP(E652,Lookups!$A$5:$A$24,Lookups!$B$5:$B$24),"Other")</x:f>
        <x:v>Outbound</x:v>
      </x:c>
      <x:c r="R652" t="str">
        <x:f>IFERROR(XLOOKUP(F652,Lookups!$D$5:$D$10,Lookups!$E$5:$E$10),"Unknown Product")</x:f>
        <x:v>Marketing Automation</x:v>
      </x:c>
      <x:c r="S652" t="str">
        <x:f>IFERROR(XLOOKUP(F652,Lookups!$D$5:$D$10,Lookups!$F$5:$F$10),"Unknown")</x:f>
        <x:v>Marketing</x:v>
      </x:c>
      <x:c r="T652" t="str">
        <x:f>IF(L652&gt;=50000,"Enterprise",IF(L652&gt;=20000,"Mid-Market","SMB"))</x:f>
        <x:v>Enterprise</x:v>
      </x:c>
      <x:c r="U652" t="str">
        <x:f>IF(I652="Closed Won","Won",IF(I652="Closed Lost","Lost","Open"))</x:f>
        <x:v>Lost</x:v>
      </x:c>
      <x:c r="V652" s="22" t="n">
        <x:f>IF(U652="Won",L652*(1-M652),0)</x:f>
        <x:v>0</x:v>
      </x:c>
      <x:c r="W652" s="22" t="n">
        <x:f>IF(U652="Open",L652*N652,0)</x:f>
        <x:v>0</x:v>
      </x:c>
      <x:c r="X652" s="26" t="n">
        <x:f>IF(U652="Open","",IFERROR(K652-B652,""))</x:f>
        <x:v>44</x:v>
      </x:c>
      <x:c r="Y652" s="26" t="n">
        <x:f>IF(U652="Open",Lookups!$B$2-B652,X652)</x:f>
        <x:v>44</x:v>
      </x:c>
      <x:c r="Z652" t="str">
        <x:f>IF(AND(U652="Open",Y652&gt;30),"STALE","OK")</x:f>
        <x:v>OK</x:v>
      </x:c>
      <x:c r="AA652" t="str">
        <x:f>TEXT(B652,"yyyy-mm")</x:f>
        <x:v>2025-07</x:v>
      </x:c>
      <x:c r="AB652" t="str">
        <x:f>IF(K652="","",TEXT(K652,"yyyy-mm"))</x:f>
        <x:v>2025-08</x:v>
      </x:c>
      <x:c r="AC652" t="str">
        <x:f>"Q"&amp;ROUNDUP(MONTH(B652)/3,0)&amp;"-"&amp;YEAR(B652)</x:f>
        <x:v>Q3-2025</x:v>
      </x:c>
      <x:c r="AD652" s="26" t="n">
        <x:f>MIN(100,IF(H652="Enterprise",30,IF(H652="Mid-Market",22,14))+IF(T652="Enterprise",25,IF(T652="Mid-Market",18,10))+IF(Q652="Referral",25,IF(Q652="Organic Search",20,IF(Q652="Email",18,14)))+IF(G652="Technology",10,5))</x:f>
        <x:v>74</x:v>
      </x:c>
      <x:c r="AE652" t="str">
        <x:f>IF(U652&lt;&gt;"Open",U652,IF(N652&gt;=0.8,"Commit",IF(N652&gt;=0.5,"Best Case","Pipeline")))</x:f>
        <x:v>Lost</x:v>
      </x:c>
    </x:row>
    <x:row r="653">
      <x:c r="A653" t="str">
        <x:v>L00652</x:v>
      </x:c>
      <x:c r="B653" s="10" t="n">
        <x:v>46189</x:v>
      </x:c>
      <x:c r="C653" t="str">
        <x:v>Tuan Bui</x:v>
      </x:c>
      <x:c r="D653" t="str">
        <x:v>Central</x:v>
      </x:c>
      <x:c r="E653" t="str">
        <x:v>Google Organic</x:v>
      </x:c>
      <x:c r="F653" t="str">
        <x:v>CS-CLOUD</x:v>
      </x:c>
      <x:c r="G653" t="str">
        <x:v>Retail</x:v>
      </x:c>
      <x:c r="H653" t="str">
        <x:v>Mid-Market</x:v>
      </x:c>
      <x:c r="I653" t="str">
        <x:v>Closed Lost</x:v>
      </x:c>
      <x:c r="J653" s="10" t="n">
        <x:v>46266</x:v>
      </x:c>
      <x:c r="K653" s="10" t="n">
        <x:v>46266</x:v>
      </x:c>
      <x:c r="L653" s="22" t="n">
        <x:v>50100</x:v>
      </x:c>
      <x:c r="M653" s="24" t="n">
        <x:v>0</x:v>
      </x:c>
      <x:c r="N653" s="24" t="n">
        <x:v>0</x:v>
      </x:c>
      <x:c r="O653" t="str">
        <x:v>Budget</x:v>
      </x:c>
      <x:c r="P653" t="n">
        <x:v>5</x:v>
      </x:c>
      <x:c r="Q653" t="str">
        <x:f>IFERROR(XLOOKUP(E653,Lookups!$A$5:$A$24,Lookups!$B$5:$B$24),"Other")</x:f>
        <x:v>Organic Search</x:v>
      </x:c>
      <x:c r="R653" t="str">
        <x:f>IFERROR(XLOOKUP(F653,Lookups!$D$5:$D$10,Lookups!$E$5:$E$10),"Unknown Product")</x:f>
        <x:v>Service Cloud</x:v>
      </x:c>
      <x:c r="S653" t="str">
        <x:f>IFERROR(XLOOKUP(F653,Lookups!$D$5:$D$10,Lookups!$F$5:$F$10),"Unknown")</x:f>
        <x:v>Customer Service</x:v>
      </x:c>
      <x:c r="T653" t="str">
        <x:f>IF(L653&gt;=50000,"Enterprise",IF(L653&gt;=20000,"Mid-Market","SMB"))</x:f>
        <x:v>Enterprise</x:v>
      </x:c>
      <x:c r="U653" t="str">
        <x:f>IF(I653="Closed Won","Won",IF(I653="Closed Lost","Lost","Open"))</x:f>
        <x:v>Lost</x:v>
      </x:c>
      <x:c r="V653" s="22" t="n">
        <x:f>IF(U653="Won",L653*(1-M653),0)</x:f>
        <x:v>0</x:v>
      </x:c>
      <x:c r="W653" s="22" t="n">
        <x:f>IF(U653="Open",L653*N653,0)</x:f>
        <x:v>0</x:v>
      </x:c>
      <x:c r="X653" s="26" t="n">
        <x:f>IF(U653="Open","",IFERROR(K653-B653,""))</x:f>
        <x:v>77</x:v>
      </x:c>
      <x:c r="Y653" s="26" t="n">
        <x:f>IF(U653="Open",Lookups!$B$2-B653,X653)</x:f>
        <x:v>77</x:v>
      </x:c>
      <x:c r="Z653" t="str">
        <x:f>IF(AND(U653="Open",Y653&gt;30),"STALE","OK")</x:f>
        <x:v>OK</x:v>
      </x:c>
      <x:c r="AA653" t="str">
        <x:f>TEXT(B653,"yyyy-mm")</x:f>
        <x:v>2026-06</x:v>
      </x:c>
      <x:c r="AB653" t="str">
        <x:f>IF(K653="","",TEXT(K653,"yyyy-mm"))</x:f>
        <x:v>2026-09</x:v>
      </x:c>
      <x:c r="AC653" t="str">
        <x:f>"Q"&amp;ROUNDUP(MONTH(B653)/3,0)&amp;"-"&amp;YEAR(B653)</x:f>
        <x:v>Q2-2026</x:v>
      </x:c>
      <x:c r="AD653" s="26" t="n">
        <x:f>MIN(100,IF(H653="Enterprise",30,IF(H653="Mid-Market",22,14))+IF(T653="Enterprise",25,IF(T653="Mid-Market",18,10))+IF(Q653="Referral",25,IF(Q653="Organic Search",20,IF(Q653="Email",18,14)))+IF(G653="Technology",10,5))</x:f>
        <x:v>72</x:v>
      </x:c>
      <x:c r="AE653" t="str">
        <x:f>IF(U653&lt;&gt;"Open",U653,IF(N653&gt;=0.8,"Commit",IF(N653&gt;=0.5,"Best Case","Pipeline")))</x:f>
        <x:v>Lost</x:v>
      </x:c>
    </x:row>
    <x:row r="654">
      <x:c r="A654" t="str">
        <x:v>L00653</x:v>
      </x:c>
      <x:c r="B654" s="10" t="n">
        <x:v>46146</x:v>
      </x:c>
      <x:c r="C654" t="str">
        <x:v>Bao Tran</x:v>
      </x:c>
      <x:c r="D654" t="str">
        <x:v>South</x:v>
      </x:c>
      <x:c r="E654" t="str">
        <x:v>LinkedIn Ads</x:v>
      </x:c>
      <x:c r="F654" t="str">
        <x:v>BI-PLUS</x:v>
      </x:c>
      <x:c r="G654" t="str">
        <x:v>Manufacturing</x:v>
      </x:c>
      <x:c r="H654" t="str">
        <x:v>SMB</x:v>
      </x:c>
      <x:c r="I654" t="str">
        <x:v>Proposal</x:v>
      </x:c>
      <x:c r="J654" s="10" t="n">
        <x:v>46217</x:v>
      </x:c>
      <x:c r="K654" s="10"/>
      <x:c r="L654" s="22" t="n">
        <x:v>22200</x:v>
      </x:c>
      <x:c r="M654" s="24" t="n">
        <x:v>0.05</x:v>
      </x:c>
      <x:c r="N654" s="24" t="n">
        <x:v>0.65</x:v>
      </x:c>
      <x:c r="O654" t="str"/>
      <x:c r="P654" t="n">
        <x:v>4</x:v>
      </x:c>
      <x:c r="Q654" t="str">
        <x:f>IFERROR(XLOOKUP(E654,Lookups!$A$5:$A$24,Lookups!$B$5:$B$24),"Other")</x:f>
        <x:v>LinkedIn</x:v>
      </x:c>
      <x:c r="R654" t="str">
        <x:f>IFERROR(XLOOKUP(F654,Lookups!$D$5:$D$10,Lookups!$E$5:$E$10),"Unknown Product")</x:f>
        <x:v>Analytics Plus</x:v>
      </x:c>
      <x:c r="S654" t="str">
        <x:f>IFERROR(XLOOKUP(F654,Lookups!$D$5:$D$10,Lookups!$F$5:$F$10),"Unknown")</x:f>
        <x:v>Analytics</x:v>
      </x:c>
      <x:c r="T654" t="str">
        <x:f>IF(L654&gt;=50000,"Enterprise",IF(L654&gt;=20000,"Mid-Market","SMB"))</x:f>
        <x:v>Mid-Market</x:v>
      </x:c>
      <x:c r="U654" t="str">
        <x:f>IF(I654="Closed Won","Won",IF(I654="Closed Lost","Lost","Open"))</x:f>
        <x:v>Open</x:v>
      </x:c>
      <x:c r="V654" s="22" t="n">
        <x:f>IF(U654="Won",L654*(1-M654),0)</x:f>
        <x:v>0</x:v>
      </x:c>
      <x:c r="W654" s="22" t="n">
        <x:f>IF(U654="Open",L654*N654,0)</x:f>
        <x:v>14430</x:v>
      </x:c>
      <x:c r="X654" s="26" t="str">
        <x:f>IF(U654="Open","",IFERROR(K654-B654,""))</x:f>
      </x:c>
      <x:c r="Y654" s="26" t="n">
        <x:f>IF(U654="Open",Lookups!$B$2-B654,X654)</x:f>
        <x:v>120</x:v>
      </x:c>
      <x:c r="Z654" t="str">
        <x:f>IF(AND(U654="Open",Y654&gt;30),"STALE","OK")</x:f>
        <x:v>STALE</x:v>
      </x:c>
      <x:c r="AA654" t="str">
        <x:f>TEXT(B654,"yyyy-mm")</x:f>
        <x:v>2026-05</x:v>
      </x:c>
      <x:c r="AB654" t="str">
        <x:f>IF(K654="","",TEXT(K654,"yyyy-mm"))</x:f>
      </x:c>
      <x:c r="AC654" t="str">
        <x:f>"Q"&amp;ROUNDUP(MONTH(B654)/3,0)&amp;"-"&amp;YEAR(B654)</x:f>
        <x:v>Q2-2026</x:v>
      </x:c>
      <x:c r="AD654" s="26" t="n">
        <x:f>MIN(100,IF(H654="Enterprise",30,IF(H654="Mid-Market",22,14))+IF(T654="Enterprise",25,IF(T654="Mid-Market",18,10))+IF(Q654="Referral",25,IF(Q654="Organic Search",20,IF(Q654="Email",18,14)))+IF(G654="Technology",10,5))</x:f>
        <x:v>51</x:v>
      </x:c>
      <x:c r="AE654" t="str">
        <x:f>IF(U654&lt;&gt;"Open",U654,IF(N654&gt;=0.8,"Commit",IF(N654&gt;=0.5,"Best Case","Pipeline")))</x:f>
        <x:v>Best Case</x:v>
      </x:c>
    </x:row>
    <x:row r="655">
      <x:c r="A655" t="str">
        <x:v>L00654</x:v>
      </x:c>
      <x:c r="B655" s="10" t="n">
        <x:v>45703</x:v>
      </x:c>
      <x:c r="C655" t="str">
        <x:v>Bao Tran</x:v>
      </x:c>
      <x:c r="D655" t="str">
        <x:v>South</x:v>
      </x:c>
      <x:c r="E655" t="str">
        <x:v>SEM - Google</x:v>
      </x:c>
      <x:c r="F655" t="str">
        <x:v>MKT-AUTO</x:v>
      </x:c>
      <x:c r="G655" t="str">
        <x:v>Technology</x:v>
      </x:c>
      <x:c r="H655" t="str">
        <x:v>Enterprise</x:v>
      </x:c>
      <x:c r="I655" t="str">
        <x:v>Closed Lost</x:v>
      </x:c>
      <x:c r="J655" s="10" t="n">
        <x:v>45754</x:v>
      </x:c>
      <x:c r="K655" s="10" t="n">
        <x:v>45754</x:v>
      </x:c>
      <x:c r="L655" s="22" t="n">
        <x:v>48000</x:v>
      </x:c>
      <x:c r="M655" s="24" t="n">
        <x:v>0</x:v>
      </x:c>
      <x:c r="N655" s="24" t="n">
        <x:v>0</x:v>
      </x:c>
      <x:c r="O655" t="str">
        <x:v>No Decision</x:v>
      </x:c>
      <x:c r="P655" t="n">
        <x:v>4</x:v>
      </x:c>
      <x:c r="Q655" t="str">
        <x:f>IFERROR(XLOOKUP(E655,Lookups!$A$5:$A$24,Lookups!$B$5:$B$24),"Other")</x:f>
        <x:v>Paid Search</x:v>
      </x:c>
      <x:c r="R655" t="str">
        <x:f>IFERROR(XLOOKUP(F655,Lookups!$D$5:$D$10,Lookups!$E$5:$E$10),"Unknown Product")</x:f>
        <x:v>Marketing Automation</x:v>
      </x:c>
      <x:c r="S655" t="str">
        <x:f>IFERROR(XLOOKUP(F655,Lookups!$D$5:$D$10,Lookups!$F$5:$F$10),"Unknown")</x:f>
        <x:v>Marketing</x:v>
      </x:c>
      <x:c r="T655" t="str">
        <x:f>IF(L655&gt;=50000,"Enterprise",IF(L655&gt;=20000,"Mid-Market","SMB"))</x:f>
        <x:v>Mid-Market</x:v>
      </x:c>
      <x:c r="U655" t="str">
        <x:f>IF(I655="Closed Won","Won",IF(I655="Closed Lost","Lost","Open"))</x:f>
        <x:v>Lost</x:v>
      </x:c>
      <x:c r="V655" s="22" t="n">
        <x:f>IF(U655="Won",L655*(1-M655),0)</x:f>
        <x:v>0</x:v>
      </x:c>
      <x:c r="W655" s="22" t="n">
        <x:f>IF(U655="Open",L655*N655,0)</x:f>
        <x:v>0</x:v>
      </x:c>
      <x:c r="X655" s="26" t="n">
        <x:f>IF(U655="Open","",IFERROR(K655-B655,""))</x:f>
        <x:v>51</x:v>
      </x:c>
      <x:c r="Y655" s="26" t="n">
        <x:f>IF(U655="Open",Lookups!$B$2-B655,X655)</x:f>
        <x:v>51</x:v>
      </x:c>
      <x:c r="Z655" t="str">
        <x:f>IF(AND(U655="Open",Y655&gt;30),"STALE","OK")</x:f>
        <x:v>OK</x:v>
      </x:c>
      <x:c r="AA655" t="str">
        <x:f>TEXT(B655,"yyyy-mm")</x:f>
        <x:v>2025-02</x:v>
      </x:c>
      <x:c r="AB655" t="str">
        <x:f>IF(K655="","",TEXT(K655,"yyyy-mm"))</x:f>
        <x:v>2025-04</x:v>
      </x:c>
      <x:c r="AC655" t="str">
        <x:f>"Q"&amp;ROUNDUP(MONTH(B655)/3,0)&amp;"-"&amp;YEAR(B655)</x:f>
        <x:v>Q1-2025</x:v>
      </x:c>
      <x:c r="AD655" s="26" t="n">
        <x:f>MIN(100,IF(H655="Enterprise",30,IF(H655="Mid-Market",22,14))+IF(T655="Enterprise",25,IF(T655="Mid-Market",18,10))+IF(Q655="Referral",25,IF(Q655="Organic Search",20,IF(Q655="Email",18,14)))+IF(G655="Technology",10,5))</x:f>
        <x:v>72</x:v>
      </x:c>
      <x:c r="AE655" t="str">
        <x:f>IF(U655&lt;&gt;"Open",U655,IF(N655&gt;=0.8,"Commit",IF(N655&gt;=0.5,"Best Case","Pipeline")))</x:f>
        <x:v>Lost</x:v>
      </x:c>
    </x:row>
    <x:row r="656">
      <x:c r="A656" t="str">
        <x:v>L00655</x:v>
      </x:c>
      <x:c r="B656" s="10" t="n">
        <x:v>45926</x:v>
      </x:c>
      <x:c r="C656" t="str">
        <x:v>Minh Do</x:v>
      </x:c>
      <x:c r="D656" t="str">
        <x:v>North</x:v>
      </x:c>
      <x:c r="E656" t="str">
        <x:v>linkedin</x:v>
      </x:c>
      <x:c r="F656" t="str">
        <x:v>CRM-CORE</x:v>
      </x:c>
      <x:c r="G656" t="str">
        <x:v>Professional Services</x:v>
      </x:c>
      <x:c r="H656" t="str">
        <x:v>Mid-Market</x:v>
      </x:c>
      <x:c r="I656" t="str">
        <x:v>Closed Won</x:v>
      </x:c>
      <x:c r="J656" s="10" t="n">
        <x:v>46019</x:v>
      </x:c>
      <x:c r="K656" s="10" t="n">
        <x:v>46019</x:v>
      </x:c>
      <x:c r="L656" s="22" t="n">
        <x:v>14600</x:v>
      </x:c>
      <x:c r="M656" s="24" t="n">
        <x:v>0.05</x:v>
      </x:c>
      <x:c r="N656" s="24" t="n">
        <x:v>1</x:v>
      </x:c>
      <x:c r="O656" t="str"/>
      <x:c r="P656" t="n">
        <x:v>6</x:v>
      </x:c>
      <x:c r="Q656" t="str">
        <x:f>IFERROR(XLOOKUP(E656,Lookups!$A$5:$A$24,Lookups!$B$5:$B$24),"Other")</x:f>
        <x:v>LinkedIn</x:v>
      </x:c>
      <x:c r="R656" t="str">
        <x:f>IFERROR(XLOOKUP(F656,Lookups!$D$5:$D$10,Lookups!$E$5:$E$10),"Unknown Product")</x:f>
        <x:v>NexaCRM Core</x:v>
      </x:c>
      <x:c r="S656" t="str">
        <x:f>IFERROR(XLOOKUP(F656,Lookups!$D$5:$D$10,Lookups!$F$5:$F$10),"Unknown")</x:f>
        <x:v>CRM</x:v>
      </x:c>
      <x:c r="T656" t="str">
        <x:f>IF(L656&gt;=50000,"Enterprise",IF(L656&gt;=20000,"Mid-Market","SMB"))</x:f>
        <x:v>SMB</x:v>
      </x:c>
      <x:c r="U656" t="str">
        <x:f>IF(I656="Closed Won","Won",IF(I656="Closed Lost","Lost","Open"))</x:f>
        <x:v>Won</x:v>
      </x:c>
      <x:c r="V656" s="22" t="n">
        <x:f>IF(U656="Won",L656*(1-M656),0)</x:f>
        <x:v>13870</x:v>
      </x:c>
      <x:c r="W656" s="22" t="n">
        <x:f>IF(U656="Open",L656*N656,0)</x:f>
        <x:v>0</x:v>
      </x:c>
      <x:c r="X656" s="26" t="n">
        <x:f>IF(U656="Open","",IFERROR(K656-B656,""))</x:f>
        <x:v>93</x:v>
      </x:c>
      <x:c r="Y656" s="26" t="n">
        <x:f>IF(U656="Open",Lookups!$B$2-B656,X656)</x:f>
        <x:v>93</x:v>
      </x:c>
      <x:c r="Z656" t="str">
        <x:f>IF(AND(U656="Open",Y656&gt;30),"STALE","OK")</x:f>
        <x:v>OK</x:v>
      </x:c>
      <x:c r="AA656" t="str">
        <x:f>TEXT(B656,"yyyy-mm")</x:f>
        <x:v>2025-09</x:v>
      </x:c>
      <x:c r="AB656" t="str">
        <x:f>IF(K656="","",TEXT(K656,"yyyy-mm"))</x:f>
        <x:v>2025-12</x:v>
      </x:c>
      <x:c r="AC656" t="str">
        <x:f>"Q"&amp;ROUNDUP(MONTH(B656)/3,0)&amp;"-"&amp;YEAR(B656)</x:f>
        <x:v>Q3-2025</x:v>
      </x:c>
      <x:c r="AD656" s="26" t="n">
        <x:f>MIN(100,IF(H656="Enterprise",30,IF(H656="Mid-Market",22,14))+IF(T656="Enterprise",25,IF(T656="Mid-Market",18,10))+IF(Q656="Referral",25,IF(Q656="Organic Search",20,IF(Q656="Email",18,14)))+IF(G656="Technology",10,5))</x:f>
        <x:v>51</x:v>
      </x:c>
      <x:c r="AE656" t="str">
        <x:f>IF(U656&lt;&gt;"Open",U656,IF(N656&gt;=0.8,"Commit",IF(N656&gt;=0.5,"Best Case","Pipeline")))</x:f>
        <x:v>Won</x:v>
      </x:c>
    </x:row>
    <x:row r="657">
      <x:c r="A657" t="str">
        <x:v>L00656</x:v>
      </x:c>
      <x:c r="B657" s="10" t="n">
        <x:v>46187</x:v>
      </x:c>
      <x:c r="C657" t="str">
        <x:v>Tuan Bui</x:v>
      </x:c>
      <x:c r="D657" t="str">
        <x:v>Central</x:v>
      </x:c>
      <x:c r="E657" t="str">
        <x:v>Cold Email</x:v>
      </x:c>
      <x:c r="F657" t="str">
        <x:v>CRM-PRO</x:v>
      </x:c>
      <x:c r="G657" t="str">
        <x:v>Education</x:v>
      </x:c>
      <x:c r="H657" t="str">
        <x:v>SMB</x:v>
      </x:c>
      <x:c r="I657" t="str">
        <x:v>Closed Won</x:v>
      </x:c>
      <x:c r="J657" s="10" t="n">
        <x:v>46235</x:v>
      </x:c>
      <x:c r="K657" s="10" t="n">
        <x:v>46235</x:v>
      </x:c>
      <x:c r="L657" s="22" t="n">
        <x:v>13400</x:v>
      </x:c>
      <x:c r="M657" s="24" t="n">
        <x:v>0.05</x:v>
      </x:c>
      <x:c r="N657" s="24" t="n">
        <x:v>1</x:v>
      </x:c>
      <x:c r="O657" t="str"/>
      <x:c r="P657" t="n">
        <x:v>6</x:v>
      </x:c>
      <x:c r="Q657" t="str">
        <x:f>IFERROR(XLOOKUP(E657,Lookups!$A$5:$A$24,Lookups!$B$5:$B$24),"Other")</x:f>
        <x:v>Outbound</x:v>
      </x:c>
      <x:c r="R657" t="str">
        <x:f>IFERROR(XLOOKUP(F657,Lookups!$D$5:$D$10,Lookups!$E$5:$E$10),"Unknown Product")</x:f>
        <x:v>NexaCRM Pro</x:v>
      </x:c>
      <x:c r="S657" t="str">
        <x:f>IFERROR(XLOOKUP(F657,Lookups!$D$5:$D$10,Lookups!$F$5:$F$10),"Unknown")</x:f>
        <x:v>CRM</x:v>
      </x:c>
      <x:c r="T657" t="str">
        <x:f>IF(L657&gt;=50000,"Enterprise",IF(L657&gt;=20000,"Mid-Market","SMB"))</x:f>
        <x:v>SMB</x:v>
      </x:c>
      <x:c r="U657" t="str">
        <x:f>IF(I657="Closed Won","Won",IF(I657="Closed Lost","Lost","Open"))</x:f>
        <x:v>Won</x:v>
      </x:c>
      <x:c r="V657" s="22" t="n">
        <x:f>IF(U657="Won",L657*(1-M657),0)</x:f>
        <x:v>12730</x:v>
      </x:c>
      <x:c r="W657" s="22" t="n">
        <x:f>IF(U657="Open",L657*N657,0)</x:f>
        <x:v>0</x:v>
      </x:c>
      <x:c r="X657" s="26" t="n">
        <x:f>IF(U657="Open","",IFERROR(K657-B657,""))</x:f>
        <x:v>48</x:v>
      </x:c>
      <x:c r="Y657" s="26" t="n">
        <x:f>IF(U657="Open",Lookups!$B$2-B657,X657)</x:f>
        <x:v>48</x:v>
      </x:c>
      <x:c r="Z657" t="str">
        <x:f>IF(AND(U657="Open",Y657&gt;30),"STALE","OK")</x:f>
        <x:v>OK</x:v>
      </x:c>
      <x:c r="AA657" t="str">
        <x:f>TEXT(B657,"yyyy-mm")</x:f>
        <x:v>2026-06</x:v>
      </x:c>
      <x:c r="AB657" t="str">
        <x:f>IF(K657="","",TEXT(K657,"yyyy-mm"))</x:f>
        <x:v>2026-08</x:v>
      </x:c>
      <x:c r="AC657" t="str">
        <x:f>"Q"&amp;ROUNDUP(MONTH(B657)/3,0)&amp;"-"&amp;YEAR(B657)</x:f>
        <x:v>Q2-2026</x:v>
      </x:c>
      <x:c r="AD657" s="26" t="n">
        <x:f>MIN(100,IF(H657="Enterprise",30,IF(H657="Mid-Market",22,14))+IF(T657="Enterprise",25,IF(T657="Mid-Market",18,10))+IF(Q657="Referral",25,IF(Q657="Organic Search",20,IF(Q657="Email",18,14)))+IF(G657="Technology",10,5))</x:f>
        <x:v>43</x:v>
      </x:c>
      <x:c r="AE657" t="str">
        <x:f>IF(U657&lt;&gt;"Open",U657,IF(N657&gt;=0.8,"Commit",IF(N657&gt;=0.5,"Best Case","Pipeline")))</x:f>
        <x:v>Won</x:v>
      </x:c>
    </x:row>
    <x:row r="658">
      <x:c r="A658" t="str">
        <x:v>L00657</x:v>
      </x:c>
      <x:c r="B658" s="10" t="n">
        <x:v>45884</x:v>
      </x:c>
      <x:c r="C658" t="str">
        <x:v>Tuan Bui</x:v>
      </x:c>
      <x:c r="D658" t="str">
        <x:v>Central</x:v>
      </x:c>
      <x:c r="E658" t="str">
        <x:v>SEM - Google</x:v>
      </x:c>
      <x:c r="F658" t="str">
        <x:v>MKT-AUTO</x:v>
      </x:c>
      <x:c r="G658" t="str">
        <x:v>Healthcare</x:v>
      </x:c>
      <x:c r="H658" t="str">
        <x:v>SMB</x:v>
      </x:c>
      <x:c r="I658" t="str">
        <x:v>Closed Won</x:v>
      </x:c>
      <x:c r="J658" s="10" t="n">
        <x:v>45927</x:v>
      </x:c>
      <x:c r="K658" s="10" t="n">
        <x:v>45927</x:v>
      </x:c>
      <x:c r="L658" s="22" t="n">
        <x:v>16100</x:v>
      </x:c>
      <x:c r="M658" s="24" t="n">
        <x:v>0.12</x:v>
      </x:c>
      <x:c r="N658" s="24" t="n">
        <x:v>1</x:v>
      </x:c>
      <x:c r="O658" t="str"/>
      <x:c r="P658" t="n">
        <x:v>6</x:v>
      </x:c>
      <x:c r="Q658" t="str">
        <x:f>IFERROR(XLOOKUP(E658,Lookups!$A$5:$A$24,Lookups!$B$5:$B$24),"Other")</x:f>
        <x:v>Paid Search</x:v>
      </x:c>
      <x:c r="R658" t="str">
        <x:f>IFERROR(XLOOKUP(F658,Lookups!$D$5:$D$10,Lookups!$E$5:$E$10),"Unknown Product")</x:f>
        <x:v>Marketing Automation</x:v>
      </x:c>
      <x:c r="S658" t="str">
        <x:f>IFERROR(XLOOKUP(F658,Lookups!$D$5:$D$10,Lookups!$F$5:$F$10),"Unknown")</x:f>
        <x:v>Marketing</x:v>
      </x:c>
      <x:c r="T658" t="str">
        <x:f>IF(L658&gt;=50000,"Enterprise",IF(L658&gt;=20000,"Mid-Market","SMB"))</x:f>
        <x:v>SMB</x:v>
      </x:c>
      <x:c r="U658" t="str">
        <x:f>IF(I658="Closed Won","Won",IF(I658="Closed Lost","Lost","Open"))</x:f>
        <x:v>Won</x:v>
      </x:c>
      <x:c r="V658" s="22" t="n">
        <x:f>IF(U658="Won",L658*(1-M658),0)</x:f>
        <x:v>14168</x:v>
      </x:c>
      <x:c r="W658" s="22" t="n">
        <x:f>IF(U658="Open",L658*N658,0)</x:f>
        <x:v>0</x:v>
      </x:c>
      <x:c r="X658" s="26" t="n">
        <x:f>IF(U658="Open","",IFERROR(K658-B658,""))</x:f>
        <x:v>43</x:v>
      </x:c>
      <x:c r="Y658" s="26" t="n">
        <x:f>IF(U658="Open",Lookups!$B$2-B658,X658)</x:f>
        <x:v>43</x:v>
      </x:c>
      <x:c r="Z658" t="str">
        <x:f>IF(AND(U658="Open",Y658&gt;30),"STALE","OK")</x:f>
        <x:v>OK</x:v>
      </x:c>
      <x:c r="AA658" t="str">
        <x:f>TEXT(B658,"yyyy-mm")</x:f>
        <x:v>2025-08</x:v>
      </x:c>
      <x:c r="AB658" t="str">
        <x:f>IF(K658="","",TEXT(K658,"yyyy-mm"))</x:f>
        <x:v>2025-09</x:v>
      </x:c>
      <x:c r="AC658" t="str">
        <x:f>"Q"&amp;ROUNDUP(MONTH(B658)/3,0)&amp;"-"&amp;YEAR(B658)</x:f>
        <x:v>Q3-2025</x:v>
      </x:c>
      <x:c r="AD658" s="26" t="n">
        <x:f>MIN(100,IF(H658="Enterprise",30,IF(H658="Mid-Market",22,14))+IF(T658="Enterprise",25,IF(T658="Mid-Market",18,10))+IF(Q658="Referral",25,IF(Q658="Organic Search",20,IF(Q658="Email",18,14)))+IF(G658="Technology",10,5))</x:f>
        <x:v>43</x:v>
      </x:c>
      <x:c r="AE658" t="str">
        <x:f>IF(U658&lt;&gt;"Open",U658,IF(N658&gt;=0.8,"Commit",IF(N658&gt;=0.5,"Best Case","Pipeline")))</x:f>
        <x:v>Won</x:v>
      </x:c>
    </x:row>
    <x:row r="659">
      <x:c r="A659" t="str">
        <x:v>L00658</x:v>
      </x:c>
      <x:c r="B659" s="10" t="n">
        <x:v>46037</x:v>
      </x:c>
      <x:c r="C659" t="str">
        <x:v>Quynh Vu</x:v>
      </x:c>
      <x:c r="D659" t="str">
        <x:v>North</x:v>
      </x:c>
      <x:c r="E659" t="str">
        <x:v>google cpc</x:v>
      </x:c>
      <x:c r="F659" t="str">
        <x:v>CRM-PRO</x:v>
      </x:c>
      <x:c r="G659" t="str">
        <x:v>Financial Services</x:v>
      </x:c>
      <x:c r="H659" t="str">
        <x:v>SMB</x:v>
      </x:c>
      <x:c r="I659" t="str">
        <x:v>Closed Won</x:v>
      </x:c>
      <x:c r="J659" s="10" t="n">
        <x:v>46115</x:v>
      </x:c>
      <x:c r="K659" s="10" t="n">
        <x:v>46115</x:v>
      </x:c>
      <x:c r="L659" s="22" t="n">
        <x:v>21400</x:v>
      </x:c>
      <x:c r="M659" s="24" t="n">
        <x:v>0.03</x:v>
      </x:c>
      <x:c r="N659" s="24" t="n">
        <x:v>1</x:v>
      </x:c>
      <x:c r="O659" t="str"/>
      <x:c r="P659" t="n">
        <x:v>6</x:v>
      </x:c>
      <x:c r="Q659" t="str">
        <x:f>IFERROR(XLOOKUP(E659,Lookups!$A$5:$A$24,Lookups!$B$5:$B$24),"Other")</x:f>
        <x:v>Paid Search</x:v>
      </x:c>
      <x:c r="R659" t="str">
        <x:f>IFERROR(XLOOKUP(F659,Lookups!$D$5:$D$10,Lookups!$E$5:$E$10),"Unknown Product")</x:f>
        <x:v>NexaCRM Pro</x:v>
      </x:c>
      <x:c r="S659" t="str">
        <x:f>IFERROR(XLOOKUP(F659,Lookups!$D$5:$D$10,Lookups!$F$5:$F$10),"Unknown")</x:f>
        <x:v>CRM</x:v>
      </x:c>
      <x:c r="T659" t="str">
        <x:f>IF(L659&gt;=50000,"Enterprise",IF(L659&gt;=20000,"Mid-Market","SMB"))</x:f>
        <x:v>Mid-Market</x:v>
      </x:c>
      <x:c r="U659" t="str">
        <x:f>IF(I659="Closed Won","Won",IF(I659="Closed Lost","Lost","Open"))</x:f>
        <x:v>Won</x:v>
      </x:c>
      <x:c r="V659" s="22" t="n">
        <x:f>IF(U659="Won",L659*(1-M659),0)</x:f>
        <x:v>20758</x:v>
      </x:c>
      <x:c r="W659" s="22" t="n">
        <x:f>IF(U659="Open",L659*N659,0)</x:f>
        <x:v>0</x:v>
      </x:c>
      <x:c r="X659" s="26" t="n">
        <x:f>IF(U659="Open","",IFERROR(K659-B659,""))</x:f>
        <x:v>78</x:v>
      </x:c>
      <x:c r="Y659" s="26" t="n">
        <x:f>IF(U659="Open",Lookups!$B$2-B659,X659)</x:f>
        <x:v>78</x:v>
      </x:c>
      <x:c r="Z659" t="str">
        <x:f>IF(AND(U659="Open",Y659&gt;30),"STALE","OK")</x:f>
        <x:v>OK</x:v>
      </x:c>
      <x:c r="AA659" t="str">
        <x:f>TEXT(B659,"yyyy-mm")</x:f>
        <x:v>2026-01</x:v>
      </x:c>
      <x:c r="AB659" t="str">
        <x:f>IF(K659="","",TEXT(K659,"yyyy-mm"))</x:f>
        <x:v>2026-04</x:v>
      </x:c>
      <x:c r="AC659" t="str">
        <x:f>"Q"&amp;ROUNDUP(MONTH(B659)/3,0)&amp;"-"&amp;YEAR(B659)</x:f>
        <x:v>Q1-2026</x:v>
      </x:c>
      <x:c r="AD659" s="26" t="n">
        <x:f>MIN(100,IF(H659="Enterprise",30,IF(H659="Mid-Market",22,14))+IF(T659="Enterprise",25,IF(T659="Mid-Market",18,10))+IF(Q659="Referral",25,IF(Q659="Organic Search",20,IF(Q659="Email",18,14)))+IF(G659="Technology",10,5))</x:f>
        <x:v>51</x:v>
      </x:c>
      <x:c r="AE659" t="str">
        <x:f>IF(U659&lt;&gt;"Open",U659,IF(N659&gt;=0.8,"Commit",IF(N659&gt;=0.5,"Best Case","Pipeline")))</x:f>
        <x:v>Won</x:v>
      </x:c>
    </x:row>
    <x:row r="660">
      <x:c r="A660" t="str">
        <x:v>L00659</x:v>
      </x:c>
      <x:c r="B660" s="10" t="n">
        <x:v>46087</x:v>
      </x:c>
      <x:c r="C660" t="str">
        <x:v>Tuan Bui</x:v>
      </x:c>
      <x:c r="D660" t="str">
        <x:v>Central</x:v>
      </x:c>
      <x:c r="E660" t="str">
        <x:v>virtual event</x:v>
      </x:c>
      <x:c r="F660" t="str">
        <x:v>MKT-AUTO</x:v>
      </x:c>
      <x:c r="G660" t="str">
        <x:v>Healthcare</x:v>
      </x:c>
      <x:c r="H660" t="str">
        <x:v>Enterprise</x:v>
      </x:c>
      <x:c r="I660" t="str">
        <x:v>Closed Lost</x:v>
      </x:c>
      <x:c r="J660" s="10" t="n">
        <x:v>46123</x:v>
      </x:c>
      <x:c r="K660" s="10" t="n">
        <x:v>46123</x:v>
      </x:c>
      <x:c r="L660" s="22" t="n">
        <x:v>41000</x:v>
      </x:c>
      <x:c r="M660" s="24" t="n">
        <x:v>0</x:v>
      </x:c>
      <x:c r="N660" s="24" t="n">
        <x:v>0</x:v>
      </x:c>
      <x:c r="O660" t="str">
        <x:v>Price</x:v>
      </x:c>
      <x:c r="P660" t="n">
        <x:v>3</x:v>
      </x:c>
      <x:c r="Q660" t="str">
        <x:f>IFERROR(XLOOKUP(E660,Lookups!$A$5:$A$24,Lookups!$B$5:$B$24),"Other")</x:f>
        <x:v>Webinar</x:v>
      </x:c>
      <x:c r="R660" t="str">
        <x:f>IFERROR(XLOOKUP(F660,Lookups!$D$5:$D$10,Lookups!$E$5:$E$10),"Unknown Product")</x:f>
        <x:v>Marketing Automation</x:v>
      </x:c>
      <x:c r="S660" t="str">
        <x:f>IFERROR(XLOOKUP(F660,Lookups!$D$5:$D$10,Lookups!$F$5:$F$10),"Unknown")</x:f>
        <x:v>Marketing</x:v>
      </x:c>
      <x:c r="T660" t="str">
        <x:f>IF(L660&gt;=50000,"Enterprise",IF(L660&gt;=20000,"Mid-Market","SMB"))</x:f>
        <x:v>Mid-Market</x:v>
      </x:c>
      <x:c r="U660" t="str">
        <x:f>IF(I660="Closed Won","Won",IF(I660="Closed Lost","Lost","Open"))</x:f>
        <x:v>Lost</x:v>
      </x:c>
      <x:c r="V660" s="22" t="n">
        <x:f>IF(U660="Won",L660*(1-M660),0)</x:f>
        <x:v>0</x:v>
      </x:c>
      <x:c r="W660" s="22" t="n">
        <x:f>IF(U660="Open",L660*N660,0)</x:f>
        <x:v>0</x:v>
      </x:c>
      <x:c r="X660" s="26" t="n">
        <x:f>IF(U660="Open","",IFERROR(K660-B660,""))</x:f>
        <x:v>36</x:v>
      </x:c>
      <x:c r="Y660" s="26" t="n">
        <x:f>IF(U660="Open",Lookups!$B$2-B660,X660)</x:f>
        <x:v>36</x:v>
      </x:c>
      <x:c r="Z660" t="str">
        <x:f>IF(AND(U660="Open",Y660&gt;30),"STALE","OK")</x:f>
        <x:v>OK</x:v>
      </x:c>
      <x:c r="AA660" t="str">
        <x:f>TEXT(B660,"yyyy-mm")</x:f>
        <x:v>2026-03</x:v>
      </x:c>
      <x:c r="AB660" t="str">
        <x:f>IF(K660="","",TEXT(K660,"yyyy-mm"))</x:f>
        <x:v>2026-04</x:v>
      </x:c>
      <x:c r="AC660" t="str">
        <x:f>"Q"&amp;ROUNDUP(MONTH(B660)/3,0)&amp;"-"&amp;YEAR(B660)</x:f>
        <x:v>Q1-2026</x:v>
      </x:c>
      <x:c r="AD660" s="26" t="n">
        <x:f>MIN(100,IF(H660="Enterprise",30,IF(H660="Mid-Market",22,14))+IF(T660="Enterprise",25,IF(T660="Mid-Market",18,10))+IF(Q660="Referral",25,IF(Q660="Organic Search",20,IF(Q660="Email",18,14)))+IF(G660="Technology",10,5))</x:f>
        <x:v>67</x:v>
      </x:c>
      <x:c r="AE660" t="str">
        <x:f>IF(U660&lt;&gt;"Open",U660,IF(N660&gt;=0.8,"Commit",IF(N660&gt;=0.5,"Best Case","Pipeline")))</x:f>
        <x:v>Lost</x:v>
      </x:c>
    </x:row>
    <x:row r="661">
      <x:c r="A661" t="str">
        <x:v>L00660</x:v>
      </x:c>
      <x:c r="B661" s="10" t="n">
        <x:v>46034</x:v>
      </x:c>
      <x:c r="C661" t="str">
        <x:v>Bao Tran</x:v>
      </x:c>
      <x:c r="D661" t="str">
        <x:v>South</x:v>
      </x:c>
      <x:c r="E661" t="str">
        <x:v>Conference Scan</x:v>
      </x:c>
      <x:c r="F661" t="str">
        <x:v>BI-PLUS</x:v>
      </x:c>
      <x:c r="G661" t="str">
        <x:v>Financial Services</x:v>
      </x:c>
      <x:c r="H661" t="str">
        <x:v>SMB</x:v>
      </x:c>
      <x:c r="I661" t="str">
        <x:v>Negotiation</x:v>
      </x:c>
      <x:c r="J661" s="10" t="n">
        <x:v>46156</x:v>
      </x:c>
      <x:c r="K661" s="10"/>
      <x:c r="L661" s="22" t="n">
        <x:v>30100</x:v>
      </x:c>
      <x:c r="M661" s="24" t="n">
        <x:v>0</x:v>
      </x:c>
      <x:c r="N661" s="24" t="n">
        <x:v>0.85</x:v>
      </x:c>
      <x:c r="O661" t="str"/>
      <x:c r="P661" t="n">
        <x:v>5</x:v>
      </x:c>
      <x:c r="Q661" t="str">
        <x:f>IFERROR(XLOOKUP(E661,Lookups!$A$5:$A$24,Lookups!$B$5:$B$24),"Other")</x:f>
        <x:v>Other</x:v>
      </x:c>
      <x:c r="R661" t="str">
        <x:f>IFERROR(XLOOKUP(F661,Lookups!$D$5:$D$10,Lookups!$E$5:$E$10),"Unknown Product")</x:f>
        <x:v>Analytics Plus</x:v>
      </x:c>
      <x:c r="S661" t="str">
        <x:f>IFERROR(XLOOKUP(F661,Lookups!$D$5:$D$10,Lookups!$F$5:$F$10),"Unknown")</x:f>
        <x:v>Analytics</x:v>
      </x:c>
      <x:c r="T661" t="str">
        <x:f>IF(L661&gt;=50000,"Enterprise",IF(L661&gt;=20000,"Mid-Market","SMB"))</x:f>
        <x:v>Mid-Market</x:v>
      </x:c>
      <x:c r="U661" t="str">
        <x:f>IF(I661="Closed Won","Won",IF(I661="Closed Lost","Lost","Open"))</x:f>
        <x:v>Open</x:v>
      </x:c>
      <x:c r="V661" s="22" t="n">
        <x:f>IF(U661="Won",L661*(1-M661),0)</x:f>
        <x:v>0</x:v>
      </x:c>
      <x:c r="W661" s="22" t="n">
        <x:f>IF(U661="Open",L661*N661,0)</x:f>
        <x:v>25585</x:v>
      </x:c>
      <x:c r="X661" s="26" t="str">
        <x:f>IF(U661="Open","",IFERROR(K661-B661,""))</x:f>
      </x:c>
      <x:c r="Y661" s="26" t="n">
        <x:f>IF(U661="Open",Lookups!$B$2-B661,X661)</x:f>
        <x:v>232</x:v>
      </x:c>
      <x:c r="Z661" t="str">
        <x:f>IF(AND(U661="Open",Y661&gt;30),"STALE","OK")</x:f>
        <x:v>STALE</x:v>
      </x:c>
      <x:c r="AA661" t="str">
        <x:f>TEXT(B661,"yyyy-mm")</x:f>
        <x:v>2026-01</x:v>
      </x:c>
      <x:c r="AB661" t="str">
        <x:f>IF(K661="","",TEXT(K661,"yyyy-mm"))</x:f>
      </x:c>
      <x:c r="AC661" t="str">
        <x:f>"Q"&amp;ROUNDUP(MONTH(B661)/3,0)&amp;"-"&amp;YEAR(B661)</x:f>
        <x:v>Q1-2026</x:v>
      </x:c>
      <x:c r="AD661" s="26" t="n">
        <x:f>MIN(100,IF(H661="Enterprise",30,IF(H661="Mid-Market",22,14))+IF(T661="Enterprise",25,IF(T661="Mid-Market",18,10))+IF(Q661="Referral",25,IF(Q661="Organic Search",20,IF(Q661="Email",18,14)))+IF(G661="Technology",10,5))</x:f>
        <x:v>51</x:v>
      </x:c>
      <x:c r="AE661" t="str">
        <x:f>IF(U661&lt;&gt;"Open",U661,IF(N661&gt;=0.8,"Commit",IF(N661&gt;=0.5,"Best Case","Pipeline")))</x:f>
        <x:v>Commit</x:v>
      </x:c>
    </x:row>
    <x:row r="662">
      <x:c r="A662" t="str">
        <x:v>L00661</x:v>
      </x:c>
      <x:c r="B662" s="10" t="n">
        <x:v>46053</x:v>
      </x:c>
      <x:c r="C662" t="str">
        <x:v>An Nguyen</x:v>
      </x:c>
      <x:c r="D662" t="str">
        <x:v>South</x:v>
      </x:c>
      <x:c r="E662" t="str">
        <x:v>organic search</x:v>
      </x:c>
      <x:c r="F662" t="str">
        <x:v>CRM-PRO</x:v>
      </x:c>
      <x:c r="G662" t="str">
        <x:v>Retail</x:v>
      </x:c>
      <x:c r="H662" t="str">
        <x:v>SMB</x:v>
      </x:c>
      <x:c r="I662" t="str">
        <x:v>Closed Won</x:v>
      </x:c>
      <x:c r="J662" s="10" t="n">
        <x:v>46103</x:v>
      </x:c>
      <x:c r="K662" s="10" t="n">
        <x:v>46103</x:v>
      </x:c>
      <x:c r="L662" s="22" t="n">
        <x:v>12600</x:v>
      </x:c>
      <x:c r="M662" s="24" t="n">
        <x:v>0.12</x:v>
      </x:c>
      <x:c r="N662" s="24" t="n">
        <x:v>1</x:v>
      </x:c>
      <x:c r="O662" t="str"/>
      <x:c r="P662" t="n">
        <x:v>6</x:v>
      </x:c>
      <x:c r="Q662" t="str">
        <x:f>IFERROR(XLOOKUP(E662,Lookups!$A$5:$A$24,Lookups!$B$5:$B$24),"Other")</x:f>
        <x:v>Organic Search</x:v>
      </x:c>
      <x:c r="R662" t="str">
        <x:f>IFERROR(XLOOKUP(F662,Lookups!$D$5:$D$10,Lookups!$E$5:$E$10),"Unknown Product")</x:f>
        <x:v>NexaCRM Pro</x:v>
      </x:c>
      <x:c r="S662" t="str">
        <x:f>IFERROR(XLOOKUP(F662,Lookups!$D$5:$D$10,Lookups!$F$5:$F$10),"Unknown")</x:f>
        <x:v>CRM</x:v>
      </x:c>
      <x:c r="T662" t="str">
        <x:f>IF(L662&gt;=50000,"Enterprise",IF(L662&gt;=20000,"Mid-Market","SMB"))</x:f>
        <x:v>SMB</x:v>
      </x:c>
      <x:c r="U662" t="str">
        <x:f>IF(I662="Closed Won","Won",IF(I662="Closed Lost","Lost","Open"))</x:f>
        <x:v>Won</x:v>
      </x:c>
      <x:c r="V662" s="22" t="n">
        <x:f>IF(U662="Won",L662*(1-M662),0)</x:f>
        <x:v>11088</x:v>
      </x:c>
      <x:c r="W662" s="22" t="n">
        <x:f>IF(U662="Open",L662*N662,0)</x:f>
        <x:v>0</x:v>
      </x:c>
      <x:c r="X662" s="26" t="n">
        <x:f>IF(U662="Open","",IFERROR(K662-B662,""))</x:f>
        <x:v>50</x:v>
      </x:c>
      <x:c r="Y662" s="26" t="n">
        <x:f>IF(U662="Open",Lookups!$B$2-B662,X662)</x:f>
        <x:v>50</x:v>
      </x:c>
      <x:c r="Z662" t="str">
        <x:f>IF(AND(U662="Open",Y662&gt;30),"STALE","OK")</x:f>
        <x:v>OK</x:v>
      </x:c>
      <x:c r="AA662" t="str">
        <x:f>TEXT(B662,"yyyy-mm")</x:f>
        <x:v>2026-01</x:v>
      </x:c>
      <x:c r="AB662" t="str">
        <x:f>IF(K662="","",TEXT(K662,"yyyy-mm"))</x:f>
        <x:v>2026-03</x:v>
      </x:c>
      <x:c r="AC662" t="str">
        <x:f>"Q"&amp;ROUNDUP(MONTH(B662)/3,0)&amp;"-"&amp;YEAR(B662)</x:f>
        <x:v>Q1-2026</x:v>
      </x:c>
      <x:c r="AD662" s="26" t="n">
        <x:f>MIN(100,IF(H662="Enterprise",30,IF(H662="Mid-Market",22,14))+IF(T662="Enterprise",25,IF(T662="Mid-Market",18,10))+IF(Q662="Referral",25,IF(Q662="Organic Search",20,IF(Q662="Email",18,14)))+IF(G662="Technology",10,5))</x:f>
        <x:v>49</x:v>
      </x:c>
      <x:c r="AE662" t="str">
        <x:f>IF(U662&lt;&gt;"Open",U662,IF(N662&gt;=0.8,"Commit",IF(N662&gt;=0.5,"Best Case","Pipeline")))</x:f>
        <x:v>Won</x:v>
      </x:c>
    </x:row>
    <x:row r="663">
      <x:c r="A663" t="str">
        <x:v>L00662</x:v>
      </x:c>
      <x:c r="B663" s="10" t="n">
        <x:v>46190</x:v>
      </x:c>
      <x:c r="C663" t="str">
        <x:v>Duy Pham</x:v>
      </x:c>
      <x:c r="D663" t="str">
        <x:v>South</x:v>
      </x:c>
      <x:c r="E663" t="str">
        <x:v>email nurture</x:v>
      </x:c>
      <x:c r="F663" t="str">
        <x:v>MKT-AUTO</x:v>
      </x:c>
      <x:c r="G663" t="str">
        <x:v>Professional Services</x:v>
      </x:c>
      <x:c r="H663" t="str">
        <x:v>Enterprise</x:v>
      </x:c>
      <x:c r="I663" t="str">
        <x:v>Demo / Meeting</x:v>
      </x:c>
      <x:c r="J663" s="10" t="n">
        <x:v>46230</x:v>
      </x:c>
      <x:c r="K663" s="10"/>
      <x:c r="L663" s="22" t="n">
        <x:v>67800</x:v>
      </x:c>
      <x:c r="M663" s="24" t="n">
        <x:v>0.05</x:v>
      </x:c>
      <x:c r="N663" s="24" t="n">
        <x:v>0.4</x:v>
      </x:c>
      <x:c r="O663" t="str"/>
      <x:c r="P663" t="n">
        <x:v>3</x:v>
      </x:c>
      <x:c r="Q663" t="str">
        <x:f>IFERROR(XLOOKUP(E663,Lookups!$A$5:$A$24,Lookups!$B$5:$B$24),"Other")</x:f>
        <x:v>Email</x:v>
      </x:c>
      <x:c r="R663" t="str">
        <x:f>IFERROR(XLOOKUP(F663,Lookups!$D$5:$D$10,Lookups!$E$5:$E$10),"Unknown Product")</x:f>
        <x:v>Marketing Automation</x:v>
      </x:c>
      <x:c r="S663" t="str">
        <x:f>IFERROR(XLOOKUP(F663,Lookups!$D$5:$D$10,Lookups!$F$5:$F$10),"Unknown")</x:f>
        <x:v>Marketing</x:v>
      </x:c>
      <x:c r="T663" t="str">
        <x:f>IF(L663&gt;=50000,"Enterprise",IF(L663&gt;=20000,"Mid-Market","SMB"))</x:f>
        <x:v>Enterprise</x:v>
      </x:c>
      <x:c r="U663" t="str">
        <x:f>IF(I663="Closed Won","Won",IF(I663="Closed Lost","Lost","Open"))</x:f>
        <x:v>Open</x:v>
      </x:c>
      <x:c r="V663" s="22" t="n">
        <x:f>IF(U663="Won",L663*(1-M663),0)</x:f>
        <x:v>0</x:v>
      </x:c>
      <x:c r="W663" s="22" t="n">
        <x:f>IF(U663="Open",L663*N663,0)</x:f>
        <x:v>27120</x:v>
      </x:c>
      <x:c r="X663" s="26" t="str">
        <x:f>IF(U663="Open","",IFERROR(K663-B663,""))</x:f>
      </x:c>
      <x:c r="Y663" s="26" t="n">
        <x:f>IF(U663="Open",Lookups!$B$2-B663,X663)</x:f>
        <x:v>76</x:v>
      </x:c>
      <x:c r="Z663" t="str">
        <x:f>IF(AND(U663="Open",Y663&gt;30),"STALE","OK")</x:f>
        <x:v>STALE</x:v>
      </x:c>
      <x:c r="AA663" t="str">
        <x:f>TEXT(B663,"yyyy-mm")</x:f>
        <x:v>2026-06</x:v>
      </x:c>
      <x:c r="AB663" t="str">
        <x:f>IF(K663="","",TEXT(K663,"yyyy-mm"))</x:f>
      </x:c>
      <x:c r="AC663" t="str">
        <x:f>"Q"&amp;ROUNDUP(MONTH(B663)/3,0)&amp;"-"&amp;YEAR(B663)</x:f>
        <x:v>Q2-2026</x:v>
      </x:c>
      <x:c r="AD663" s="26" t="n">
        <x:f>MIN(100,IF(H663="Enterprise",30,IF(H663="Mid-Market",22,14))+IF(T663="Enterprise",25,IF(T663="Mid-Market",18,10))+IF(Q663="Referral",25,IF(Q663="Organic Search",20,IF(Q663="Email",18,14)))+IF(G663="Technology",10,5))</x:f>
        <x:v>78</x:v>
      </x:c>
      <x:c r="AE663" t="str">
        <x:f>IF(U663&lt;&gt;"Open",U663,IF(N663&gt;=0.8,"Commit",IF(N663&gt;=0.5,"Best Case","Pipeline")))</x:f>
        <x:v>Pipeline</x:v>
      </x:c>
    </x:row>
    <x:row r="664">
      <x:c r="A664" t="str">
        <x:v>L00663</x:v>
      </x:c>
      <x:c r="B664" s="10" t="n">
        <x:v>45834</x:v>
      </x:c>
      <x:c r="C664" t="str">
        <x:v>Quynh Vu</x:v>
      </x:c>
      <x:c r="D664" t="str">
        <x:v>North</x:v>
      </x:c>
      <x:c r="E664" t="str">
        <x:v>Conference Scan</x:v>
      </x:c>
      <x:c r="F664" t="str">
        <x:v>MKT-AUTO</x:v>
      </x:c>
      <x:c r="G664" t="str">
        <x:v>Financial Services</x:v>
      </x:c>
      <x:c r="H664" t="str">
        <x:v>Mid-Market</x:v>
      </x:c>
      <x:c r="I664" t="str">
        <x:v>Closed Won</x:v>
      </x:c>
      <x:c r="J664" s="10" t="n">
        <x:v>45869</x:v>
      </x:c>
      <x:c r="K664" s="10" t="n">
        <x:v>45869</x:v>
      </x:c>
      <x:c r="L664" s="22" t="n">
        <x:v>33000</x:v>
      </x:c>
      <x:c r="M664" s="24" t="n">
        <x:v>0</x:v>
      </x:c>
      <x:c r="N664" s="24" t="n">
        <x:v>1</x:v>
      </x:c>
      <x:c r="O664" t="str"/>
      <x:c r="P664" t="n">
        <x:v>6</x:v>
      </x:c>
      <x:c r="Q664" t="str">
        <x:f>IFERROR(XLOOKUP(E664,Lookups!$A$5:$A$24,Lookups!$B$5:$B$24),"Other")</x:f>
        <x:v>Other</x:v>
      </x:c>
      <x:c r="R664" t="str">
        <x:f>IFERROR(XLOOKUP(F664,Lookups!$D$5:$D$10,Lookups!$E$5:$E$10),"Unknown Product")</x:f>
        <x:v>Marketing Automation</x:v>
      </x:c>
      <x:c r="S664" t="str">
        <x:f>IFERROR(XLOOKUP(F664,Lookups!$D$5:$D$10,Lookups!$F$5:$F$10),"Unknown")</x:f>
        <x:v>Marketing</x:v>
      </x:c>
      <x:c r="T664" t="str">
        <x:f>IF(L664&gt;=50000,"Enterprise",IF(L664&gt;=20000,"Mid-Market","SMB"))</x:f>
        <x:v>Mid-Market</x:v>
      </x:c>
      <x:c r="U664" t="str">
        <x:f>IF(I664="Closed Won","Won",IF(I664="Closed Lost","Lost","Open"))</x:f>
        <x:v>Won</x:v>
      </x:c>
      <x:c r="V664" s="22" t="n">
        <x:f>IF(U664="Won",L664*(1-M664),0)</x:f>
        <x:v>33000</x:v>
      </x:c>
      <x:c r="W664" s="22" t="n">
        <x:f>IF(U664="Open",L664*N664,0)</x:f>
        <x:v>0</x:v>
      </x:c>
      <x:c r="X664" s="26" t="n">
        <x:f>IF(U664="Open","",IFERROR(K664-B664,""))</x:f>
        <x:v>35</x:v>
      </x:c>
      <x:c r="Y664" s="26" t="n">
        <x:f>IF(U664="Open",Lookups!$B$2-B664,X664)</x:f>
        <x:v>35</x:v>
      </x:c>
      <x:c r="Z664" t="str">
        <x:f>IF(AND(U664="Open",Y664&gt;30),"STALE","OK")</x:f>
        <x:v>OK</x:v>
      </x:c>
      <x:c r="AA664" t="str">
        <x:f>TEXT(B664,"yyyy-mm")</x:f>
        <x:v>2025-06</x:v>
      </x:c>
      <x:c r="AB664" t="str">
        <x:f>IF(K664="","",TEXT(K664,"yyyy-mm"))</x:f>
        <x:v>2025-07</x:v>
      </x:c>
      <x:c r="AC664" t="str">
        <x:f>"Q"&amp;ROUNDUP(MONTH(B664)/3,0)&amp;"-"&amp;YEAR(B664)</x:f>
        <x:v>Q2-2025</x:v>
      </x:c>
      <x:c r="AD664" s="26" t="n">
        <x:f>MIN(100,IF(H664="Enterprise",30,IF(H664="Mid-Market",22,14))+IF(T664="Enterprise",25,IF(T664="Mid-Market",18,10))+IF(Q664="Referral",25,IF(Q664="Organic Search",20,IF(Q664="Email",18,14)))+IF(G664="Technology",10,5))</x:f>
        <x:v>59</x:v>
      </x:c>
      <x:c r="AE664" t="str">
        <x:f>IF(U664&lt;&gt;"Open",U664,IF(N664&gt;=0.8,"Commit",IF(N664&gt;=0.5,"Best Case","Pipeline")))</x:f>
        <x:v>Won</x:v>
      </x:c>
    </x:row>
    <x:row r="665">
      <x:c r="A665" t="str">
        <x:v>L00664</x:v>
      </x:c>
      <x:c r="B665" s="10" t="n">
        <x:v>45671</x:v>
      </x:c>
      <x:c r="C665" t="str">
        <x:v>Chi Le</x:v>
      </x:c>
      <x:c r="D665" t="str">
        <x:v>South</x:v>
      </x:c>
      <x:c r="E665" t="str">
        <x:v>SEO</x:v>
      </x:c>
      <x:c r="F665" t="str">
        <x:v>CRM-PRO</x:v>
      </x:c>
      <x:c r="G665" t="str">
        <x:v>Professional Services</x:v>
      </x:c>
      <x:c r="H665" t="str">
        <x:v>SMB</x:v>
      </x:c>
      <x:c r="I665" t="str">
        <x:v>Closed Lost</x:v>
      </x:c>
      <x:c r="J665" s="10" t="n">
        <x:v>45722</x:v>
      </x:c>
      <x:c r="K665" s="10" t="n">
        <x:v>45722</x:v>
      </x:c>
      <x:c r="L665" s="22" t="n">
        <x:v>24700</x:v>
      </x:c>
      <x:c r="M665" s="24" t="n">
        <x:v>0</x:v>
      </x:c>
      <x:c r="N665" s="24" t="n">
        <x:v>0</x:v>
      </x:c>
      <x:c r="O665" t="str">
        <x:v>Competitor</x:v>
      </x:c>
      <x:c r="P665" t="n">
        <x:v>4</x:v>
      </x:c>
      <x:c r="Q665" t="str">
        <x:f>IFERROR(XLOOKUP(E665,Lookups!$A$5:$A$24,Lookups!$B$5:$B$24),"Other")</x:f>
        <x:v>Organic Search</x:v>
      </x:c>
      <x:c r="R665" t="str">
        <x:f>IFERROR(XLOOKUP(F665,Lookups!$D$5:$D$10,Lookups!$E$5:$E$10),"Unknown Product")</x:f>
        <x:v>NexaCRM Pro</x:v>
      </x:c>
      <x:c r="S665" t="str">
        <x:f>IFERROR(XLOOKUP(F665,Lookups!$D$5:$D$10,Lookups!$F$5:$F$10),"Unknown")</x:f>
        <x:v>CRM</x:v>
      </x:c>
      <x:c r="T665" t="str">
        <x:f>IF(L665&gt;=50000,"Enterprise",IF(L665&gt;=20000,"Mid-Market","SMB"))</x:f>
        <x:v>Mid-Market</x:v>
      </x:c>
      <x:c r="U665" t="str">
        <x:f>IF(I665="Closed Won","Won",IF(I665="Closed Lost","Lost","Open"))</x:f>
        <x:v>Lost</x:v>
      </x:c>
      <x:c r="V665" s="22" t="n">
        <x:f>IF(U665="Won",L665*(1-M665),0)</x:f>
        <x:v>0</x:v>
      </x:c>
      <x:c r="W665" s="22" t="n">
        <x:f>IF(U665="Open",L665*N665,0)</x:f>
        <x:v>0</x:v>
      </x:c>
      <x:c r="X665" s="26" t="n">
        <x:f>IF(U665="Open","",IFERROR(K665-B665,""))</x:f>
        <x:v>51</x:v>
      </x:c>
      <x:c r="Y665" s="26" t="n">
        <x:f>IF(U665="Open",Lookups!$B$2-B665,X665)</x:f>
        <x:v>51</x:v>
      </x:c>
      <x:c r="Z665" t="str">
        <x:f>IF(AND(U665="Open",Y665&gt;30),"STALE","OK")</x:f>
        <x:v>OK</x:v>
      </x:c>
      <x:c r="AA665" t="str">
        <x:f>TEXT(B665,"yyyy-mm")</x:f>
        <x:v>2025-01</x:v>
      </x:c>
      <x:c r="AB665" t="str">
        <x:f>IF(K665="","",TEXT(K665,"yyyy-mm"))</x:f>
        <x:v>2025-03</x:v>
      </x:c>
      <x:c r="AC665" t="str">
        <x:f>"Q"&amp;ROUNDUP(MONTH(B665)/3,0)&amp;"-"&amp;YEAR(B665)</x:f>
        <x:v>Q1-2025</x:v>
      </x:c>
      <x:c r="AD665" s="26" t="n">
        <x:f>MIN(100,IF(H665="Enterprise",30,IF(H665="Mid-Market",22,14))+IF(T665="Enterprise",25,IF(T665="Mid-Market",18,10))+IF(Q665="Referral",25,IF(Q665="Organic Search",20,IF(Q665="Email",18,14)))+IF(G665="Technology",10,5))</x:f>
        <x:v>57</x:v>
      </x:c>
      <x:c r="AE665" t="str">
        <x:f>IF(U665&lt;&gt;"Open",U665,IF(N665&gt;=0.8,"Commit",IF(N665&gt;=0.5,"Best Case","Pipeline")))</x:f>
        <x:v>Lost</x:v>
      </x:c>
    </x:row>
    <x:row r="666">
      <x:c r="A666" t="str">
        <x:v>L00665</x:v>
      </x:c>
      <x:c r="B666" s="10" t="n">
        <x:v>45751</x:v>
      </x:c>
      <x:c r="C666" t="str">
        <x:v>Minh Do</x:v>
      </x:c>
      <x:c r="D666" t="str">
        <x:v>North</x:v>
      </x:c>
      <x:c r="E666" t="str">
        <x:v>LI Ads</x:v>
      </x:c>
      <x:c r="F666" t="str">
        <x:v>REV-OPS</x:v>
      </x:c>
      <x:c r="G666" t="str">
        <x:v>Manufacturing</x:v>
      </x:c>
      <x:c r="H666" t="str">
        <x:v>Mid-Market</x:v>
      </x:c>
      <x:c r="I666" t="str">
        <x:v>Closed Lost</x:v>
      </x:c>
      <x:c r="J666" s="10" t="n">
        <x:v>45801</x:v>
      </x:c>
      <x:c r="K666" s="10" t="n">
        <x:v>45801</x:v>
      </x:c>
      <x:c r="L666" s="22" t="n">
        <x:v>67800</x:v>
      </x:c>
      <x:c r="M666" s="24" t="n">
        <x:v>0</x:v>
      </x:c>
      <x:c r="N666" s="24" t="n">
        <x:v>0</x:v>
      </x:c>
      <x:c r="O666" t="str">
        <x:v>No Decision</x:v>
      </x:c>
      <x:c r="P666" t="n">
        <x:v>5</x:v>
      </x:c>
      <x:c r="Q666" t="str">
        <x:f>IFERROR(XLOOKUP(E666,Lookups!$A$5:$A$24,Lookups!$B$5:$B$24),"Other")</x:f>
        <x:v>LinkedIn</x:v>
      </x:c>
      <x:c r="R666" t="str">
        <x:f>IFERROR(XLOOKUP(F666,Lookups!$D$5:$D$10,Lookups!$E$5:$E$10),"Unknown Product")</x:f>
        <x:v>Revenue Operations Suite</x:v>
      </x:c>
      <x:c r="S666" t="str">
        <x:f>IFERROR(XLOOKUP(F666,Lookups!$D$5:$D$10,Lookups!$F$5:$F$10),"Unknown")</x:f>
        <x:v>Revenue Ops</x:v>
      </x:c>
      <x:c r="T666" t="str">
        <x:f>IF(L666&gt;=50000,"Enterprise",IF(L666&gt;=20000,"Mid-Market","SMB"))</x:f>
        <x:v>Enterprise</x:v>
      </x:c>
      <x:c r="U666" t="str">
        <x:f>IF(I666="Closed Won","Won",IF(I666="Closed Lost","Lost","Open"))</x:f>
        <x:v>Lost</x:v>
      </x:c>
      <x:c r="V666" s="22" t="n">
        <x:f>IF(U666="Won",L666*(1-M666),0)</x:f>
        <x:v>0</x:v>
      </x:c>
      <x:c r="W666" s="22" t="n">
        <x:f>IF(U666="Open",L666*N666,0)</x:f>
        <x:v>0</x:v>
      </x:c>
      <x:c r="X666" s="26" t="n">
        <x:f>IF(U666="Open","",IFERROR(K666-B666,""))</x:f>
        <x:v>50</x:v>
      </x:c>
      <x:c r="Y666" s="26" t="n">
        <x:f>IF(U666="Open",Lookups!$B$2-B666,X666)</x:f>
        <x:v>50</x:v>
      </x:c>
      <x:c r="Z666" t="str">
        <x:f>IF(AND(U666="Open",Y666&gt;30),"STALE","OK")</x:f>
        <x:v>OK</x:v>
      </x:c>
      <x:c r="AA666" t="str">
        <x:f>TEXT(B666,"yyyy-mm")</x:f>
        <x:v>2025-04</x:v>
      </x:c>
      <x:c r="AB666" t="str">
        <x:f>IF(K666="","",TEXT(K666,"yyyy-mm"))</x:f>
        <x:v>2025-05</x:v>
      </x:c>
      <x:c r="AC666" t="str">
        <x:f>"Q"&amp;ROUNDUP(MONTH(B666)/3,0)&amp;"-"&amp;YEAR(B666)</x:f>
        <x:v>Q2-2025</x:v>
      </x:c>
      <x:c r="AD666" s="26" t="n">
        <x:f>MIN(100,IF(H666="Enterprise",30,IF(H666="Mid-Market",22,14))+IF(T666="Enterprise",25,IF(T666="Mid-Market",18,10))+IF(Q666="Referral",25,IF(Q666="Organic Search",20,IF(Q666="Email",18,14)))+IF(G666="Technology",10,5))</x:f>
        <x:v>66</x:v>
      </x:c>
      <x:c r="AE666" t="str">
        <x:f>IF(U666&lt;&gt;"Open",U666,IF(N666&gt;=0.8,"Commit",IF(N666&gt;=0.5,"Best Case","Pipeline")))</x:f>
        <x:v>Lost</x:v>
      </x:c>
    </x:row>
    <x:row r="667">
      <x:c r="A667" t="str">
        <x:v>L00666</x:v>
      </x:c>
      <x:c r="B667" s="10" t="n">
        <x:v>45675</x:v>
      </x:c>
      <x:c r="C667" t="str">
        <x:v>Duy Pham</x:v>
      </x:c>
      <x:c r="D667" t="str">
        <x:v>South</x:v>
      </x:c>
      <x:c r="E667" t="str">
        <x:v>Outbound</x:v>
      </x:c>
      <x:c r="F667" t="str">
        <x:v>CRM-PRO</x:v>
      </x:c>
      <x:c r="G667" t="str">
        <x:v>Manufacturing</x:v>
      </x:c>
      <x:c r="H667" t="str">
        <x:v>SMB</x:v>
      </x:c>
      <x:c r="I667" t="str">
        <x:v>Closed Lost</x:v>
      </x:c>
      <x:c r="J667" s="10" t="n">
        <x:v>45697</x:v>
      </x:c>
      <x:c r="K667" s="10" t="n">
        <x:v>45697</x:v>
      </x:c>
      <x:c r="L667" s="22" t="n">
        <x:v>14800</x:v>
      </x:c>
      <x:c r="M667" s="24" t="n">
        <x:v>0</x:v>
      </x:c>
      <x:c r="N667" s="24" t="n">
        <x:v>0</x:v>
      </x:c>
      <x:c r="O667" t="str">
        <x:v>Budget</x:v>
      </x:c>
      <x:c r="P667" t="n">
        <x:v>5</x:v>
      </x:c>
      <x:c r="Q667" t="str">
        <x:f>IFERROR(XLOOKUP(E667,Lookups!$A$5:$A$24,Lookups!$B$5:$B$24),"Other")</x:f>
        <x:v>Outbound</x:v>
      </x:c>
      <x:c r="R667" t="str">
        <x:f>IFERROR(XLOOKUP(F667,Lookups!$D$5:$D$10,Lookups!$E$5:$E$10),"Unknown Product")</x:f>
        <x:v>NexaCRM Pro</x:v>
      </x:c>
      <x:c r="S667" t="str">
        <x:f>IFERROR(XLOOKUP(F667,Lookups!$D$5:$D$10,Lookups!$F$5:$F$10),"Unknown")</x:f>
        <x:v>CRM</x:v>
      </x:c>
      <x:c r="T667" t="str">
        <x:f>IF(L667&gt;=50000,"Enterprise",IF(L667&gt;=20000,"Mid-Market","SMB"))</x:f>
        <x:v>SMB</x:v>
      </x:c>
      <x:c r="U667" t="str">
        <x:f>IF(I667="Closed Won","Won",IF(I667="Closed Lost","Lost","Open"))</x:f>
        <x:v>Lost</x:v>
      </x:c>
      <x:c r="V667" s="22" t="n">
        <x:f>IF(U667="Won",L667*(1-M667),0)</x:f>
        <x:v>0</x:v>
      </x:c>
      <x:c r="W667" s="22" t="n">
        <x:f>IF(U667="Open",L667*N667,0)</x:f>
        <x:v>0</x:v>
      </x:c>
      <x:c r="X667" s="26" t="n">
        <x:f>IF(U667="Open","",IFERROR(K667-B667,""))</x:f>
        <x:v>22</x:v>
      </x:c>
      <x:c r="Y667" s="26" t="n">
        <x:f>IF(U667="Open",Lookups!$B$2-B667,X667)</x:f>
        <x:v>22</x:v>
      </x:c>
      <x:c r="Z667" t="str">
        <x:f>IF(AND(U667="Open",Y667&gt;30),"STALE","OK")</x:f>
        <x:v>OK</x:v>
      </x:c>
      <x:c r="AA667" t="str">
        <x:f>TEXT(B667,"yyyy-mm")</x:f>
        <x:v>2025-01</x:v>
      </x:c>
      <x:c r="AB667" t="str">
        <x:f>IF(K667="","",TEXT(K667,"yyyy-mm"))</x:f>
        <x:v>2025-02</x:v>
      </x:c>
      <x:c r="AC667" t="str">
        <x:f>"Q"&amp;ROUNDUP(MONTH(B667)/3,0)&amp;"-"&amp;YEAR(B667)</x:f>
        <x:v>Q1-2025</x:v>
      </x:c>
      <x:c r="AD667" s="26" t="n">
        <x:f>MIN(100,IF(H667="Enterprise",30,IF(H667="Mid-Market",22,14))+IF(T667="Enterprise",25,IF(T667="Mid-Market",18,10))+IF(Q667="Referral",25,IF(Q667="Organic Search",20,IF(Q667="Email",18,14)))+IF(G667="Technology",10,5))</x:f>
        <x:v>43</x:v>
      </x:c>
      <x:c r="AE667" t="str">
        <x:f>IF(U667&lt;&gt;"Open",U667,IF(N667&gt;=0.8,"Commit",IF(N667&gt;=0.5,"Best Case","Pipeline")))</x:f>
        <x:v>Lost</x:v>
      </x:c>
    </x:row>
    <x:row r="668">
      <x:c r="A668" t="str">
        <x:v>L00667</x:v>
      </x:c>
      <x:c r="B668" s="10" t="n">
        <x:v>45726</x:v>
      </x:c>
      <x:c r="C668" t="str">
        <x:v>Chi Le</x:v>
      </x:c>
      <x:c r="D668" t="str">
        <x:v>South</x:v>
      </x:c>
      <x:c r="E668" t="str">
        <x:v>newsletter</x:v>
      </x:c>
      <x:c r="F668" t="str">
        <x:v>REV-OPS</x:v>
      </x:c>
      <x:c r="G668" t="str">
        <x:v>Education</x:v>
      </x:c>
      <x:c r="H668" t="str">
        <x:v>Mid-Market</x:v>
      </x:c>
      <x:c r="I668" t="str">
        <x:v>Negotiation</x:v>
      </x:c>
      <x:c r="J668" s="10" t="n">
        <x:v>45979</x:v>
      </x:c>
      <x:c r="K668" s="10"/>
      <x:c r="L668" s="22" t="n">
        <x:v>55400</x:v>
      </x:c>
      <x:c r="M668" s="24" t="n">
        <x:v>0.03</x:v>
      </x:c>
      <x:c r="N668" s="24" t="n">
        <x:v>0.85</x:v>
      </x:c>
      <x:c r="O668" t="str"/>
      <x:c r="P668" t="n">
        <x:v>5</x:v>
      </x:c>
      <x:c r="Q668" t="str">
        <x:f>IFERROR(XLOOKUP(E668,Lookups!$A$5:$A$24,Lookups!$B$5:$B$24),"Other")</x:f>
        <x:v>Email</x:v>
      </x:c>
      <x:c r="R668" t="str">
        <x:f>IFERROR(XLOOKUP(F668,Lookups!$D$5:$D$10,Lookups!$E$5:$E$10),"Unknown Product")</x:f>
        <x:v>Revenue Operations Suite</x:v>
      </x:c>
      <x:c r="S668" t="str">
        <x:f>IFERROR(XLOOKUP(F668,Lookups!$D$5:$D$10,Lookups!$F$5:$F$10),"Unknown")</x:f>
        <x:v>Revenue Ops</x:v>
      </x:c>
      <x:c r="T668" t="str">
        <x:f>IF(L668&gt;=50000,"Enterprise",IF(L668&gt;=20000,"Mid-Market","SMB"))</x:f>
        <x:v>Enterprise</x:v>
      </x:c>
      <x:c r="U668" t="str">
        <x:f>IF(I668="Closed Won","Won",IF(I668="Closed Lost","Lost","Open"))</x:f>
        <x:v>Open</x:v>
      </x:c>
      <x:c r="V668" s="22" t="n">
        <x:f>IF(U668="Won",L668*(1-M668),0)</x:f>
        <x:v>0</x:v>
      </x:c>
      <x:c r="W668" s="22" t="n">
        <x:f>IF(U668="Open",L668*N668,0)</x:f>
        <x:v>47090</x:v>
      </x:c>
      <x:c r="X668" s="26" t="str">
        <x:f>IF(U668="Open","",IFERROR(K668-B668,""))</x:f>
      </x:c>
      <x:c r="Y668" s="26" t="n">
        <x:f>IF(U668="Open",Lookups!$B$2-B668,X668)</x:f>
        <x:v>540</x:v>
      </x:c>
      <x:c r="Z668" t="str">
        <x:f>IF(AND(U668="Open",Y668&gt;30),"STALE","OK")</x:f>
        <x:v>STALE</x:v>
      </x:c>
      <x:c r="AA668" t="str">
        <x:f>TEXT(B668,"yyyy-mm")</x:f>
        <x:v>2025-03</x:v>
      </x:c>
      <x:c r="AB668" t="str">
        <x:f>IF(K668="","",TEXT(K668,"yyyy-mm"))</x:f>
      </x:c>
      <x:c r="AC668" t="str">
        <x:f>"Q"&amp;ROUNDUP(MONTH(B668)/3,0)&amp;"-"&amp;YEAR(B668)</x:f>
        <x:v>Q1-2025</x:v>
      </x:c>
      <x:c r="AD668" s="26" t="n">
        <x:f>MIN(100,IF(H668="Enterprise",30,IF(H668="Mid-Market",22,14))+IF(T668="Enterprise",25,IF(T668="Mid-Market",18,10))+IF(Q668="Referral",25,IF(Q668="Organic Search",20,IF(Q668="Email",18,14)))+IF(G668="Technology",10,5))</x:f>
        <x:v>70</x:v>
      </x:c>
      <x:c r="AE668" t="str">
        <x:f>IF(U668&lt;&gt;"Open",U668,IF(N668&gt;=0.8,"Commit",IF(N668&gt;=0.5,"Best Case","Pipeline")))</x:f>
        <x:v>Commit</x:v>
      </x:c>
    </x:row>
    <x:row r="669">
      <x:c r="A669" t="str">
        <x:v>L00668</x:v>
      </x:c>
      <x:c r="B669" s="10" t="n">
        <x:v>46174</x:v>
      </x:c>
      <x:c r="C669" t="str">
        <x:v>Chi Le</x:v>
      </x:c>
      <x:c r="D669" t="str">
        <x:v>South</x:v>
      </x:c>
      <x:c r="E669" t="str">
        <x:v>Cold Email</x:v>
      </x:c>
      <x:c r="F669" t="str">
        <x:v>BI-PLUS</x:v>
      </x:c>
      <x:c r="G669" t="str">
        <x:v>Retail</x:v>
      </x:c>
      <x:c r="H669" t="str">
        <x:v>Mid-Market</x:v>
      </x:c>
      <x:c r="I669" t="str">
        <x:v>Closed Lost</x:v>
      </x:c>
      <x:c r="J669" s="10" t="n">
        <x:v>46228</x:v>
      </x:c>
      <x:c r="K669" s="10" t="n">
        <x:v>46228</x:v>
      </x:c>
      <x:c r="L669" s="22" t="n">
        <x:v>47900</x:v>
      </x:c>
      <x:c r="M669" s="24" t="n">
        <x:v>0</x:v>
      </x:c>
      <x:c r="N669" s="24" t="n">
        <x:v>0</x:v>
      </x:c>
      <x:c r="O669" t="str">
        <x:v>Timing</x:v>
      </x:c>
      <x:c r="P669" t="n">
        <x:v>2</x:v>
      </x:c>
      <x:c r="Q669" t="str">
        <x:f>IFERROR(XLOOKUP(E669,Lookups!$A$5:$A$24,Lookups!$B$5:$B$24),"Other")</x:f>
        <x:v>Outbound</x:v>
      </x:c>
      <x:c r="R669" t="str">
        <x:f>IFERROR(XLOOKUP(F669,Lookups!$D$5:$D$10,Lookups!$E$5:$E$10),"Unknown Product")</x:f>
        <x:v>Analytics Plus</x:v>
      </x:c>
      <x:c r="S669" t="str">
        <x:f>IFERROR(XLOOKUP(F669,Lookups!$D$5:$D$10,Lookups!$F$5:$F$10),"Unknown")</x:f>
        <x:v>Analytics</x:v>
      </x:c>
      <x:c r="T669" t="str">
        <x:f>IF(L669&gt;=50000,"Enterprise",IF(L669&gt;=20000,"Mid-Market","SMB"))</x:f>
        <x:v>Mid-Market</x:v>
      </x:c>
      <x:c r="U669" t="str">
        <x:f>IF(I669="Closed Won","Won",IF(I669="Closed Lost","Lost","Open"))</x:f>
        <x:v>Lost</x:v>
      </x:c>
      <x:c r="V669" s="22" t="n">
        <x:f>IF(U669="Won",L669*(1-M669),0)</x:f>
        <x:v>0</x:v>
      </x:c>
      <x:c r="W669" s="22" t="n">
        <x:f>IF(U669="Open",L669*N669,0)</x:f>
        <x:v>0</x:v>
      </x:c>
      <x:c r="X669" s="26" t="n">
        <x:f>IF(U669="Open","",IFERROR(K669-B669,""))</x:f>
        <x:v>54</x:v>
      </x:c>
      <x:c r="Y669" s="26" t="n">
        <x:f>IF(U669="Open",Lookups!$B$2-B669,X669)</x:f>
        <x:v>54</x:v>
      </x:c>
      <x:c r="Z669" t="str">
        <x:f>IF(AND(U669="Open",Y669&gt;30),"STALE","OK")</x:f>
        <x:v>OK</x:v>
      </x:c>
      <x:c r="AA669" t="str">
        <x:f>TEXT(B669,"yyyy-mm")</x:f>
        <x:v>2026-06</x:v>
      </x:c>
      <x:c r="AB669" t="str">
        <x:f>IF(K669="","",TEXT(K669,"yyyy-mm"))</x:f>
        <x:v>2026-07</x:v>
      </x:c>
      <x:c r="AC669" t="str">
        <x:f>"Q"&amp;ROUNDUP(MONTH(B669)/3,0)&amp;"-"&amp;YEAR(B669)</x:f>
        <x:v>Q2-2026</x:v>
      </x:c>
      <x:c r="AD669" s="26" t="n">
        <x:f>MIN(100,IF(H669="Enterprise",30,IF(H669="Mid-Market",22,14))+IF(T669="Enterprise",25,IF(T669="Mid-Market",18,10))+IF(Q669="Referral",25,IF(Q669="Organic Search",20,IF(Q669="Email",18,14)))+IF(G669="Technology",10,5))</x:f>
        <x:v>59</x:v>
      </x:c>
      <x:c r="AE669" t="str">
        <x:f>IF(U669&lt;&gt;"Open",U669,IF(N669&gt;=0.8,"Commit",IF(N669&gt;=0.5,"Best Case","Pipeline")))</x:f>
        <x:v>Lost</x:v>
      </x:c>
    </x:row>
    <x:row r="670">
      <x:c r="A670" t="str">
        <x:v>L00669</x:v>
      </x:c>
      <x:c r="B670" s="10" t="n">
        <x:v>45810</x:v>
      </x:c>
      <x:c r="C670" t="str">
        <x:v>Ha Vo</x:v>
      </x:c>
      <x:c r="D670" t="str">
        <x:v>North</x:v>
      </x:c>
      <x:c r="E670" t="str">
        <x:v>Outbound</x:v>
      </x:c>
      <x:c r="F670" t="str">
        <x:v>CS-CLOUD</x:v>
      </x:c>
      <x:c r="G670" t="str">
        <x:v>Technology</x:v>
      </x:c>
      <x:c r="H670" t="str">
        <x:v>Mid-Market</x:v>
      </x:c>
      <x:c r="I670" t="str">
        <x:v>Closed Lost</x:v>
      </x:c>
      <x:c r="J670" s="10" t="n">
        <x:v>45835</x:v>
      </x:c>
      <x:c r="K670" s="10" t="n">
        <x:v>45835</x:v>
      </x:c>
      <x:c r="L670" s="22" t="n">
        <x:v>47400</x:v>
      </x:c>
      <x:c r="M670" s="24" t="n">
        <x:v>0</x:v>
      </x:c>
      <x:c r="N670" s="24" t="n">
        <x:v>0</x:v>
      </x:c>
      <x:c r="O670" t="str">
        <x:v>Budget</x:v>
      </x:c>
      <x:c r="P670" t="n">
        <x:v>3</x:v>
      </x:c>
      <x:c r="Q670" t="str">
        <x:f>IFERROR(XLOOKUP(E670,Lookups!$A$5:$A$24,Lookups!$B$5:$B$24),"Other")</x:f>
        <x:v>Outbound</x:v>
      </x:c>
      <x:c r="R670" t="str">
        <x:f>IFERROR(XLOOKUP(F670,Lookups!$D$5:$D$10,Lookups!$E$5:$E$10),"Unknown Product")</x:f>
        <x:v>Service Cloud</x:v>
      </x:c>
      <x:c r="S670" t="str">
        <x:f>IFERROR(XLOOKUP(F670,Lookups!$D$5:$D$10,Lookups!$F$5:$F$10),"Unknown")</x:f>
        <x:v>Customer Service</x:v>
      </x:c>
      <x:c r="T670" t="str">
        <x:f>IF(L670&gt;=50000,"Enterprise",IF(L670&gt;=20000,"Mid-Market","SMB"))</x:f>
        <x:v>Mid-Market</x:v>
      </x:c>
      <x:c r="U670" t="str">
        <x:f>IF(I670="Closed Won","Won",IF(I670="Closed Lost","Lost","Open"))</x:f>
        <x:v>Lost</x:v>
      </x:c>
      <x:c r="V670" s="22" t="n">
        <x:f>IF(U670="Won",L670*(1-M670),0)</x:f>
        <x:v>0</x:v>
      </x:c>
      <x:c r="W670" s="22" t="n">
        <x:f>IF(U670="Open",L670*N670,0)</x:f>
        <x:v>0</x:v>
      </x:c>
      <x:c r="X670" s="26" t="n">
        <x:f>IF(U670="Open","",IFERROR(K670-B670,""))</x:f>
        <x:v>25</x:v>
      </x:c>
      <x:c r="Y670" s="26" t="n">
        <x:f>IF(U670="Open",Lookups!$B$2-B670,X670)</x:f>
        <x:v>25</x:v>
      </x:c>
      <x:c r="Z670" t="str">
        <x:f>IF(AND(U670="Open",Y670&gt;30),"STALE","OK")</x:f>
        <x:v>OK</x:v>
      </x:c>
      <x:c r="AA670" t="str">
        <x:f>TEXT(B670,"yyyy-mm")</x:f>
        <x:v>2025-06</x:v>
      </x:c>
      <x:c r="AB670" t="str">
        <x:f>IF(K670="","",TEXT(K670,"yyyy-mm"))</x:f>
        <x:v>2025-06</x:v>
      </x:c>
      <x:c r="AC670" t="str">
        <x:f>"Q"&amp;ROUNDUP(MONTH(B670)/3,0)&amp;"-"&amp;YEAR(B670)</x:f>
        <x:v>Q2-2025</x:v>
      </x:c>
      <x:c r="AD670" s="26" t="n">
        <x:f>MIN(100,IF(H670="Enterprise",30,IF(H670="Mid-Market",22,14))+IF(T670="Enterprise",25,IF(T670="Mid-Market",18,10))+IF(Q670="Referral",25,IF(Q670="Organic Search",20,IF(Q670="Email",18,14)))+IF(G670="Technology",10,5))</x:f>
        <x:v>64</x:v>
      </x:c>
      <x:c r="AE670" t="str">
        <x:f>IF(U670&lt;&gt;"Open",U670,IF(N670&gt;=0.8,"Commit",IF(N670&gt;=0.5,"Best Case","Pipeline")))</x:f>
        <x:v>Lost</x:v>
      </x:c>
    </x:row>
    <x:row r="671">
      <x:c r="A671" t="str">
        <x:v>L00670</x:v>
      </x:c>
      <x:c r="B671" s="10" t="n">
        <x:v>45693</x:v>
      </x:c>
      <x:c r="C671" t="str">
        <x:v>Ha Vo</x:v>
      </x:c>
      <x:c r="D671" t="str">
        <x:v>North</x:v>
      </x:c>
      <x:c r="E671" t="str">
        <x:v>organic search</x:v>
      </x:c>
      <x:c r="F671" t="str">
        <x:v>CRM-PRO</x:v>
      </x:c>
      <x:c r="G671" t="str">
        <x:v>Retail</x:v>
      </x:c>
      <x:c r="H671" t="str">
        <x:v>Mid-Market</x:v>
      </x:c>
      <x:c r="I671" t="str">
        <x:v>Closed Lost</x:v>
      </x:c>
      <x:c r="J671" s="10" t="n">
        <x:v>45714</x:v>
      </x:c>
      <x:c r="K671" s="10" t="n">
        <x:v>45714</x:v>
      </x:c>
      <x:c r="L671" s="22" t="n">
        <x:v>43200</x:v>
      </x:c>
      <x:c r="M671" s="24" t="n">
        <x:v>0</x:v>
      </x:c>
      <x:c r="N671" s="24" t="n">
        <x:v>0</x:v>
      </x:c>
      <x:c r="O671" t="str">
        <x:v>Competitor</x:v>
      </x:c>
      <x:c r="P671" t="n">
        <x:v>4</x:v>
      </x:c>
      <x:c r="Q671" t="str">
        <x:f>IFERROR(XLOOKUP(E671,Lookups!$A$5:$A$24,Lookups!$B$5:$B$24),"Other")</x:f>
        <x:v>Organic Search</x:v>
      </x:c>
      <x:c r="R671" t="str">
        <x:f>IFERROR(XLOOKUP(F671,Lookups!$D$5:$D$10,Lookups!$E$5:$E$10),"Unknown Product")</x:f>
        <x:v>NexaCRM Pro</x:v>
      </x:c>
      <x:c r="S671" t="str">
        <x:f>IFERROR(XLOOKUP(F671,Lookups!$D$5:$D$10,Lookups!$F$5:$F$10),"Unknown")</x:f>
        <x:v>CRM</x:v>
      </x:c>
      <x:c r="T671" t="str">
        <x:f>IF(L671&gt;=50000,"Enterprise",IF(L671&gt;=20000,"Mid-Market","SMB"))</x:f>
        <x:v>Mid-Market</x:v>
      </x:c>
      <x:c r="U671" t="str">
        <x:f>IF(I671="Closed Won","Won",IF(I671="Closed Lost","Lost","Open"))</x:f>
        <x:v>Lost</x:v>
      </x:c>
      <x:c r="V671" s="22" t="n">
        <x:f>IF(U671="Won",L671*(1-M671),0)</x:f>
        <x:v>0</x:v>
      </x:c>
      <x:c r="W671" s="22" t="n">
        <x:f>IF(U671="Open",L671*N671,0)</x:f>
        <x:v>0</x:v>
      </x:c>
      <x:c r="X671" s="26" t="n">
        <x:f>IF(U671="Open","",IFERROR(K671-B671,""))</x:f>
        <x:v>21</x:v>
      </x:c>
      <x:c r="Y671" s="26" t="n">
        <x:f>IF(U671="Open",Lookups!$B$2-B671,X671)</x:f>
        <x:v>21</x:v>
      </x:c>
      <x:c r="Z671" t="str">
        <x:f>IF(AND(U671="Open",Y671&gt;30),"STALE","OK")</x:f>
        <x:v>OK</x:v>
      </x:c>
      <x:c r="AA671" t="str">
        <x:f>TEXT(B671,"yyyy-mm")</x:f>
        <x:v>2025-02</x:v>
      </x:c>
      <x:c r="AB671" t="str">
        <x:f>IF(K671="","",TEXT(K671,"yyyy-mm"))</x:f>
        <x:v>2025-02</x:v>
      </x:c>
      <x:c r="AC671" t="str">
        <x:f>"Q"&amp;ROUNDUP(MONTH(B671)/3,0)&amp;"-"&amp;YEAR(B671)</x:f>
        <x:v>Q1-2025</x:v>
      </x:c>
      <x:c r="AD671" s="26" t="n">
        <x:f>MIN(100,IF(H671="Enterprise",30,IF(H671="Mid-Market",22,14))+IF(T671="Enterprise",25,IF(T671="Mid-Market",18,10))+IF(Q671="Referral",25,IF(Q671="Organic Search",20,IF(Q671="Email",18,14)))+IF(G671="Technology",10,5))</x:f>
        <x:v>65</x:v>
      </x:c>
      <x:c r="AE671" t="str">
        <x:f>IF(U671&lt;&gt;"Open",U671,IF(N671&gt;=0.8,"Commit",IF(N671&gt;=0.5,"Best Case","Pipeline")))</x:f>
        <x:v>Lost</x:v>
      </x:c>
    </x:row>
    <x:row r="672">
      <x:c r="A672" t="str">
        <x:v>L00671</x:v>
      </x:c>
      <x:c r="B672" s="10" t="n">
        <x:v>45957</x:v>
      </x:c>
      <x:c r="C672" t="str">
        <x:v>Tuan Bui</x:v>
      </x:c>
      <x:c r="D672" t="str">
        <x:v>Central</x:v>
      </x:c>
      <x:c r="E672" t="str">
        <x:v>virtual event</x:v>
      </x:c>
      <x:c r="F672" t="str">
        <x:v>CS-CLOUD</x:v>
      </x:c>
      <x:c r="G672" t="str">
        <x:v>Retail</x:v>
      </x:c>
      <x:c r="H672" t="str">
        <x:v>SMB</x:v>
      </x:c>
      <x:c r="I672" t="str">
        <x:v>Closed Lost</x:v>
      </x:c>
      <x:c r="J672" s="10" t="n">
        <x:v>46008</x:v>
      </x:c>
      <x:c r="K672" s="10" t="n">
        <x:v>46008</x:v>
      </x:c>
      <x:c r="L672" s="22" t="n">
        <x:v>17700</x:v>
      </x:c>
      <x:c r="M672" s="24" t="n">
        <x:v>0</x:v>
      </x:c>
      <x:c r="N672" s="24" t="n">
        <x:v>0</x:v>
      </x:c>
      <x:c r="O672" t="str">
        <x:v>No Decision</x:v>
      </x:c>
      <x:c r="P672" t="n">
        <x:v>3</x:v>
      </x:c>
      <x:c r="Q672" t="str">
        <x:f>IFERROR(XLOOKUP(E672,Lookups!$A$5:$A$24,Lookups!$B$5:$B$24),"Other")</x:f>
        <x:v>Webinar</x:v>
      </x:c>
      <x:c r="R672" t="str">
        <x:f>IFERROR(XLOOKUP(F672,Lookups!$D$5:$D$10,Lookups!$E$5:$E$10),"Unknown Product")</x:f>
        <x:v>Service Cloud</x:v>
      </x:c>
      <x:c r="S672" t="str">
        <x:f>IFERROR(XLOOKUP(F672,Lookups!$D$5:$D$10,Lookups!$F$5:$F$10),"Unknown")</x:f>
        <x:v>Customer Service</x:v>
      </x:c>
      <x:c r="T672" t="str">
        <x:f>IF(L672&gt;=50000,"Enterprise",IF(L672&gt;=20000,"Mid-Market","SMB"))</x:f>
        <x:v>SMB</x:v>
      </x:c>
      <x:c r="U672" t="str">
        <x:f>IF(I672="Closed Won","Won",IF(I672="Closed Lost","Lost","Open"))</x:f>
        <x:v>Lost</x:v>
      </x:c>
      <x:c r="V672" s="22" t="n">
        <x:f>IF(U672="Won",L672*(1-M672),0)</x:f>
        <x:v>0</x:v>
      </x:c>
      <x:c r="W672" s="22" t="n">
        <x:f>IF(U672="Open",L672*N672,0)</x:f>
        <x:v>0</x:v>
      </x:c>
      <x:c r="X672" s="26" t="n">
        <x:f>IF(U672="Open","",IFERROR(K672-B672,""))</x:f>
        <x:v>51</x:v>
      </x:c>
      <x:c r="Y672" s="26" t="n">
        <x:f>IF(U672="Open",Lookups!$B$2-B672,X672)</x:f>
        <x:v>51</x:v>
      </x:c>
      <x:c r="Z672" t="str">
        <x:f>IF(AND(U672="Open",Y672&gt;30),"STALE","OK")</x:f>
        <x:v>OK</x:v>
      </x:c>
      <x:c r="AA672" t="str">
        <x:f>TEXT(B672,"yyyy-mm")</x:f>
        <x:v>2025-10</x:v>
      </x:c>
      <x:c r="AB672" t="str">
        <x:f>IF(K672="","",TEXT(K672,"yyyy-mm"))</x:f>
        <x:v>2025-12</x:v>
      </x:c>
      <x:c r="AC672" t="str">
        <x:f>"Q"&amp;ROUNDUP(MONTH(B672)/3,0)&amp;"-"&amp;YEAR(B672)</x:f>
        <x:v>Q4-2025</x:v>
      </x:c>
      <x:c r="AD672" s="26" t="n">
        <x:f>MIN(100,IF(H672="Enterprise",30,IF(H672="Mid-Market",22,14))+IF(T672="Enterprise",25,IF(T672="Mid-Market",18,10))+IF(Q672="Referral",25,IF(Q672="Organic Search",20,IF(Q672="Email",18,14)))+IF(G672="Technology",10,5))</x:f>
        <x:v>43</x:v>
      </x:c>
      <x:c r="AE672" t="str">
        <x:f>IF(U672&lt;&gt;"Open",U672,IF(N672&gt;=0.8,"Commit",IF(N672&gt;=0.5,"Best Case","Pipeline")))</x:f>
        <x:v>Lost</x:v>
      </x:c>
    </x:row>
    <x:row r="673">
      <x:c r="A673" t="str">
        <x:v>L00672</x:v>
      </x:c>
      <x:c r="B673" s="10" t="n">
        <x:v>45906</x:v>
      </x:c>
      <x:c r="C673" t="str">
        <x:v>Tuan Bui</x:v>
      </x:c>
      <x:c r="D673" t="str">
        <x:v>Central</x:v>
      </x:c>
      <x:c r="E673" t="str">
        <x:v>Google Organic</x:v>
      </x:c>
      <x:c r="F673" t="str">
        <x:v>BI-PLUS</x:v>
      </x:c>
      <x:c r="G673" t="str">
        <x:v>Manufacturing</x:v>
      </x:c>
      <x:c r="H673" t="str">
        <x:v>Mid-Market</x:v>
      </x:c>
      <x:c r="I673" t="str">
        <x:v>Closed Won</x:v>
      </x:c>
      <x:c r="J673" s="10" t="n">
        <x:v>45950</x:v>
      </x:c>
      <x:c r="K673" s="10" t="n">
        <x:v>45950</x:v>
      </x:c>
      <x:c r="L673" s="22" t="n">
        <x:v>39900</x:v>
      </x:c>
      <x:c r="M673" s="24" t="n">
        <x:v>0.05</x:v>
      </x:c>
      <x:c r="N673" s="24" t="n">
        <x:v>1</x:v>
      </x:c>
      <x:c r="O673" t="str"/>
      <x:c r="P673" t="n">
        <x:v>6</x:v>
      </x:c>
      <x:c r="Q673" t="str">
        <x:f>IFERROR(XLOOKUP(E673,Lookups!$A$5:$A$24,Lookups!$B$5:$B$24),"Other")</x:f>
        <x:v>Organic Search</x:v>
      </x:c>
      <x:c r="R673" t="str">
        <x:f>IFERROR(XLOOKUP(F673,Lookups!$D$5:$D$10,Lookups!$E$5:$E$10),"Unknown Product")</x:f>
        <x:v>Analytics Plus</x:v>
      </x:c>
      <x:c r="S673" t="str">
        <x:f>IFERROR(XLOOKUP(F673,Lookups!$D$5:$D$10,Lookups!$F$5:$F$10),"Unknown")</x:f>
        <x:v>Analytics</x:v>
      </x:c>
      <x:c r="T673" t="str">
        <x:f>IF(L673&gt;=50000,"Enterprise",IF(L673&gt;=20000,"Mid-Market","SMB"))</x:f>
        <x:v>Mid-Market</x:v>
      </x:c>
      <x:c r="U673" t="str">
        <x:f>IF(I673="Closed Won","Won",IF(I673="Closed Lost","Lost","Open"))</x:f>
        <x:v>Won</x:v>
      </x:c>
      <x:c r="V673" s="22" t="n">
        <x:f>IF(U673="Won",L673*(1-M673),0)</x:f>
        <x:v>37905</x:v>
      </x:c>
      <x:c r="W673" s="22" t="n">
        <x:f>IF(U673="Open",L673*N673,0)</x:f>
        <x:v>0</x:v>
      </x:c>
      <x:c r="X673" s="26" t="n">
        <x:f>IF(U673="Open","",IFERROR(K673-B673,""))</x:f>
        <x:v>44</x:v>
      </x:c>
      <x:c r="Y673" s="26" t="n">
        <x:f>IF(U673="Open",Lookups!$B$2-B673,X673)</x:f>
        <x:v>44</x:v>
      </x:c>
      <x:c r="Z673" t="str">
        <x:f>IF(AND(U673="Open",Y673&gt;30),"STALE","OK")</x:f>
        <x:v>OK</x:v>
      </x:c>
      <x:c r="AA673" t="str">
        <x:f>TEXT(B673,"yyyy-mm")</x:f>
        <x:v>2025-09</x:v>
      </x:c>
      <x:c r="AB673" t="str">
        <x:f>IF(K673="","",TEXT(K673,"yyyy-mm"))</x:f>
        <x:v>2025-10</x:v>
      </x:c>
      <x:c r="AC673" t="str">
        <x:f>"Q"&amp;ROUNDUP(MONTH(B673)/3,0)&amp;"-"&amp;YEAR(B673)</x:f>
        <x:v>Q3-2025</x:v>
      </x:c>
      <x:c r="AD673" s="26" t="n">
        <x:f>MIN(100,IF(H673="Enterprise",30,IF(H673="Mid-Market",22,14))+IF(T673="Enterprise",25,IF(T673="Mid-Market",18,10))+IF(Q673="Referral",25,IF(Q673="Organic Search",20,IF(Q673="Email",18,14)))+IF(G673="Technology",10,5))</x:f>
        <x:v>65</x:v>
      </x:c>
      <x:c r="AE673" t="str">
        <x:f>IF(U673&lt;&gt;"Open",U673,IF(N673&gt;=0.8,"Commit",IF(N673&gt;=0.5,"Best Case","Pipeline")))</x:f>
        <x:v>Won</x:v>
      </x:c>
    </x:row>
    <x:row r="674">
      <x:c r="A674" t="str">
        <x:v>L00673</x:v>
      </x:c>
      <x:c r="B674" s="10" t="n">
        <x:v>45859</x:v>
      </x:c>
      <x:c r="C674" t="str">
        <x:v>Tuan Bui</x:v>
      </x:c>
      <x:c r="D674" t="str">
        <x:v>Central</x:v>
      </x:c>
      <x:c r="E674" t="str">
        <x:v>Conference Scan</x:v>
      </x:c>
      <x:c r="F674" t="str">
        <x:v>BI-PLUS</x:v>
      </x:c>
      <x:c r="G674" t="str">
        <x:v>Education</x:v>
      </x:c>
      <x:c r="H674" t="str">
        <x:v>Mid-Market</x:v>
      </x:c>
      <x:c r="I674" t="str">
        <x:v>Closed Lost</x:v>
      </x:c>
      <x:c r="J674" s="10" t="n">
        <x:v>45916</x:v>
      </x:c>
      <x:c r="K674" s="10" t="n">
        <x:v>45916</x:v>
      </x:c>
      <x:c r="L674" s="22" t="n">
        <x:v>46200</x:v>
      </x:c>
      <x:c r="M674" s="24" t="n">
        <x:v>0</x:v>
      </x:c>
      <x:c r="N674" s="24" t="n">
        <x:v>0</x:v>
      </x:c>
      <x:c r="O674" t="str">
        <x:v>Timing</x:v>
      </x:c>
      <x:c r="P674" t="n">
        <x:v>5</x:v>
      </x:c>
      <x:c r="Q674" t="str">
        <x:f>IFERROR(XLOOKUP(E674,Lookups!$A$5:$A$24,Lookups!$B$5:$B$24),"Other")</x:f>
        <x:v>Other</x:v>
      </x:c>
      <x:c r="R674" t="str">
        <x:f>IFERROR(XLOOKUP(F674,Lookups!$D$5:$D$10,Lookups!$E$5:$E$10),"Unknown Product")</x:f>
        <x:v>Analytics Plus</x:v>
      </x:c>
      <x:c r="S674" t="str">
        <x:f>IFERROR(XLOOKUP(F674,Lookups!$D$5:$D$10,Lookups!$F$5:$F$10),"Unknown")</x:f>
        <x:v>Analytics</x:v>
      </x:c>
      <x:c r="T674" t="str">
        <x:f>IF(L674&gt;=50000,"Enterprise",IF(L674&gt;=20000,"Mid-Market","SMB"))</x:f>
        <x:v>Mid-Market</x:v>
      </x:c>
      <x:c r="U674" t="str">
        <x:f>IF(I674="Closed Won","Won",IF(I674="Closed Lost","Lost","Open"))</x:f>
        <x:v>Lost</x:v>
      </x:c>
      <x:c r="V674" s="22" t="n">
        <x:f>IF(U674="Won",L674*(1-M674),0)</x:f>
        <x:v>0</x:v>
      </x:c>
      <x:c r="W674" s="22" t="n">
        <x:f>IF(U674="Open",L674*N674,0)</x:f>
        <x:v>0</x:v>
      </x:c>
      <x:c r="X674" s="26" t="n">
        <x:f>IF(U674="Open","",IFERROR(K674-B674,""))</x:f>
        <x:v>57</x:v>
      </x:c>
      <x:c r="Y674" s="26" t="n">
        <x:f>IF(U674="Open",Lookups!$B$2-B674,X674)</x:f>
        <x:v>57</x:v>
      </x:c>
      <x:c r="Z674" t="str">
        <x:f>IF(AND(U674="Open",Y674&gt;30),"STALE","OK")</x:f>
        <x:v>OK</x:v>
      </x:c>
      <x:c r="AA674" t="str">
        <x:f>TEXT(B674,"yyyy-mm")</x:f>
        <x:v>2025-07</x:v>
      </x:c>
      <x:c r="AB674" t="str">
        <x:f>IF(K674="","",TEXT(K674,"yyyy-mm"))</x:f>
        <x:v>2025-09</x:v>
      </x:c>
      <x:c r="AC674" t="str">
        <x:f>"Q"&amp;ROUNDUP(MONTH(B674)/3,0)&amp;"-"&amp;YEAR(B674)</x:f>
        <x:v>Q3-2025</x:v>
      </x:c>
      <x:c r="AD674" s="26" t="n">
        <x:f>MIN(100,IF(H674="Enterprise",30,IF(H674="Mid-Market",22,14))+IF(T674="Enterprise",25,IF(T674="Mid-Market",18,10))+IF(Q674="Referral",25,IF(Q674="Organic Search",20,IF(Q674="Email",18,14)))+IF(G674="Technology",10,5))</x:f>
        <x:v>59</x:v>
      </x:c>
      <x:c r="AE674" t="str">
        <x:f>IF(U674&lt;&gt;"Open",U674,IF(N674&gt;=0.8,"Commit",IF(N674&gt;=0.5,"Best Case","Pipeline")))</x:f>
        <x:v>Lost</x:v>
      </x:c>
    </x:row>
    <x:row r="675">
      <x:c r="A675" t="str">
        <x:v>L00674</x:v>
      </x:c>
      <x:c r="B675" s="10" t="n">
        <x:v>45762</x:v>
      </x:c>
      <x:c r="C675" t="str">
        <x:v>An Nguyen</x:v>
      </x:c>
      <x:c r="D675" t="str">
        <x:v>South</x:v>
      </x:c>
      <x:c r="E675" t="str">
        <x:v>SEO</x:v>
      </x:c>
      <x:c r="F675" t="str">
        <x:v>CS-CLOUD</x:v>
      </x:c>
      <x:c r="G675" t="str">
        <x:v>Retail</x:v>
      </x:c>
      <x:c r="H675" t="str">
        <x:v>SMB</x:v>
      </x:c>
      <x:c r="I675" t="str">
        <x:v>Negotiation</x:v>
      </x:c>
      <x:c r="J675" s="10" t="n">
        <x:v>46026</x:v>
      </x:c>
      <x:c r="K675" s="10"/>
      <x:c r="L675" s="22" t="n">
        <x:v>19500</x:v>
      </x:c>
      <x:c r="M675" s="24" t="n">
        <x:v>0.03</x:v>
      </x:c>
      <x:c r="N675" s="24" t="n">
        <x:v>0.85</x:v>
      </x:c>
      <x:c r="O675" t="str"/>
      <x:c r="P675" t="n">
        <x:v>5</x:v>
      </x:c>
      <x:c r="Q675" t="str">
        <x:f>IFERROR(XLOOKUP(E675,Lookups!$A$5:$A$24,Lookups!$B$5:$B$24),"Other")</x:f>
        <x:v>Organic Search</x:v>
      </x:c>
      <x:c r="R675" t="str">
        <x:f>IFERROR(XLOOKUP(F675,Lookups!$D$5:$D$10,Lookups!$E$5:$E$10),"Unknown Product")</x:f>
        <x:v>Service Cloud</x:v>
      </x:c>
      <x:c r="S675" t="str">
        <x:f>IFERROR(XLOOKUP(F675,Lookups!$D$5:$D$10,Lookups!$F$5:$F$10),"Unknown")</x:f>
        <x:v>Customer Service</x:v>
      </x:c>
      <x:c r="T675" t="str">
        <x:f>IF(L675&gt;=50000,"Enterprise",IF(L675&gt;=20000,"Mid-Market","SMB"))</x:f>
        <x:v>SMB</x:v>
      </x:c>
      <x:c r="U675" t="str">
        <x:f>IF(I675="Closed Won","Won",IF(I675="Closed Lost","Lost","Open"))</x:f>
        <x:v>Open</x:v>
      </x:c>
      <x:c r="V675" s="22" t="n">
        <x:f>IF(U675="Won",L675*(1-M675),0)</x:f>
        <x:v>0</x:v>
      </x:c>
      <x:c r="W675" s="22" t="n">
        <x:f>IF(U675="Open",L675*N675,0)</x:f>
        <x:v>16575</x:v>
      </x:c>
      <x:c r="X675" s="26" t="str">
        <x:f>IF(U675="Open","",IFERROR(K675-B675,""))</x:f>
      </x:c>
      <x:c r="Y675" s="26" t="n">
        <x:f>IF(U675="Open",Lookups!$B$2-B675,X675)</x:f>
        <x:v>504</x:v>
      </x:c>
      <x:c r="Z675" t="str">
        <x:f>IF(AND(U675="Open",Y675&gt;30),"STALE","OK")</x:f>
        <x:v>STALE</x:v>
      </x:c>
      <x:c r="AA675" t="str">
        <x:f>TEXT(B675,"yyyy-mm")</x:f>
        <x:v>2025-04</x:v>
      </x:c>
      <x:c r="AB675" t="str">
        <x:f>IF(K675="","",TEXT(K675,"yyyy-mm"))</x:f>
      </x:c>
      <x:c r="AC675" t="str">
        <x:f>"Q"&amp;ROUNDUP(MONTH(B675)/3,0)&amp;"-"&amp;YEAR(B675)</x:f>
        <x:v>Q2-2025</x:v>
      </x:c>
      <x:c r="AD675" s="26" t="n">
        <x:f>MIN(100,IF(H675="Enterprise",30,IF(H675="Mid-Market",22,14))+IF(T675="Enterprise",25,IF(T675="Mid-Market",18,10))+IF(Q675="Referral",25,IF(Q675="Organic Search",20,IF(Q675="Email",18,14)))+IF(G675="Technology",10,5))</x:f>
        <x:v>49</x:v>
      </x:c>
      <x:c r="AE675" t="str">
        <x:f>IF(U675&lt;&gt;"Open",U675,IF(N675&gt;=0.8,"Commit",IF(N675&gt;=0.5,"Best Case","Pipeline")))</x:f>
        <x:v>Commit</x:v>
      </x:c>
    </x:row>
    <x:row r="676">
      <x:c r="A676" t="str">
        <x:v>L00675</x:v>
      </x:c>
      <x:c r="B676" s="10" t="n">
        <x:v>46084</x:v>
      </x:c>
      <x:c r="C676" t="str">
        <x:v>Ha Vo</x:v>
      </x:c>
      <x:c r="D676" t="str">
        <x:v>North</x:v>
      </x:c>
      <x:c r="E676" t="str">
        <x:v>Email Campaign</x:v>
      </x:c>
      <x:c r="F676" t="str">
        <x:v>CRM-CORE</x:v>
      </x:c>
      <x:c r="G676" t="str">
        <x:v>Education</x:v>
      </x:c>
      <x:c r="H676" t="str">
        <x:v>SMB</x:v>
      </x:c>
      <x:c r="I676" t="str">
        <x:v>Closed Won</x:v>
      </x:c>
      <x:c r="J676" s="10" t="n">
        <x:v>46138</x:v>
      </x:c>
      <x:c r="K676" s="10" t="n">
        <x:v>46138</x:v>
      </x:c>
      <x:c r="L676" s="22" t="n">
        <x:v>7000</x:v>
      </x:c>
      <x:c r="M676" s="24" t="n">
        <x:v>0.08</x:v>
      </x:c>
      <x:c r="N676" s="24" t="n">
        <x:v>1</x:v>
      </x:c>
      <x:c r="O676" t="str"/>
      <x:c r="P676" t="n">
        <x:v>6</x:v>
      </x:c>
      <x:c r="Q676" t="str">
        <x:f>IFERROR(XLOOKUP(E676,Lookups!$A$5:$A$24,Lookups!$B$5:$B$24),"Other")</x:f>
        <x:v>Email</x:v>
      </x:c>
      <x:c r="R676" t="str">
        <x:f>IFERROR(XLOOKUP(F676,Lookups!$D$5:$D$10,Lookups!$E$5:$E$10),"Unknown Product")</x:f>
        <x:v>NexaCRM Core</x:v>
      </x:c>
      <x:c r="S676" t="str">
        <x:f>IFERROR(XLOOKUP(F676,Lookups!$D$5:$D$10,Lookups!$F$5:$F$10),"Unknown")</x:f>
        <x:v>CRM</x:v>
      </x:c>
      <x:c r="T676" t="str">
        <x:f>IF(L676&gt;=50000,"Enterprise",IF(L676&gt;=20000,"Mid-Market","SMB"))</x:f>
        <x:v>SMB</x:v>
      </x:c>
      <x:c r="U676" t="str">
        <x:f>IF(I676="Closed Won","Won",IF(I676="Closed Lost","Lost","Open"))</x:f>
        <x:v>Won</x:v>
      </x:c>
      <x:c r="V676" s="22" t="n">
        <x:f>IF(U676="Won",L676*(1-M676),0)</x:f>
        <x:v>6440</x:v>
      </x:c>
      <x:c r="W676" s="22" t="n">
        <x:f>IF(U676="Open",L676*N676,0)</x:f>
        <x:v>0</x:v>
      </x:c>
      <x:c r="X676" s="26" t="n">
        <x:f>IF(U676="Open","",IFERROR(K676-B676,""))</x:f>
        <x:v>54</x:v>
      </x:c>
      <x:c r="Y676" s="26" t="n">
        <x:f>IF(U676="Open",Lookups!$B$2-B676,X676)</x:f>
        <x:v>54</x:v>
      </x:c>
      <x:c r="Z676" t="str">
        <x:f>IF(AND(U676="Open",Y676&gt;30),"STALE","OK")</x:f>
        <x:v>OK</x:v>
      </x:c>
      <x:c r="AA676" t="str">
        <x:f>TEXT(B676,"yyyy-mm")</x:f>
        <x:v>2026-03</x:v>
      </x:c>
      <x:c r="AB676" t="str">
        <x:f>IF(K676="","",TEXT(K676,"yyyy-mm"))</x:f>
        <x:v>2026-04</x:v>
      </x:c>
      <x:c r="AC676" t="str">
        <x:f>"Q"&amp;ROUNDUP(MONTH(B676)/3,0)&amp;"-"&amp;YEAR(B676)</x:f>
        <x:v>Q1-2026</x:v>
      </x:c>
      <x:c r="AD676" s="26" t="n">
        <x:f>MIN(100,IF(H676="Enterprise",30,IF(H676="Mid-Market",22,14))+IF(T676="Enterprise",25,IF(T676="Mid-Market",18,10))+IF(Q676="Referral",25,IF(Q676="Organic Search",20,IF(Q676="Email",18,14)))+IF(G676="Technology",10,5))</x:f>
        <x:v>47</x:v>
      </x:c>
      <x:c r="AE676" t="str">
        <x:f>IF(U676&lt;&gt;"Open",U676,IF(N676&gt;=0.8,"Commit",IF(N676&gt;=0.5,"Best Case","Pipeline")))</x:f>
        <x:v>Won</x:v>
      </x:c>
    </x:row>
    <x:row r="677">
      <x:c r="A677" t="str">
        <x:v>L00676</x:v>
      </x:c>
      <x:c r="B677" s="10" t="n">
        <x:v>45899</x:v>
      </x:c>
      <x:c r="C677" t="str">
        <x:v>Chi Le</x:v>
      </x:c>
      <x:c r="D677" t="str">
        <x:v>South</x:v>
      </x:c>
      <x:c r="E677" t="str">
        <x:v>SEO</x:v>
      </x:c>
      <x:c r="F677" t="str">
        <x:v>CRM-CORE</x:v>
      </x:c>
      <x:c r="G677" t="str">
        <x:v>Technology</x:v>
      </x:c>
      <x:c r="H677" t="str">
        <x:v>SMB</x:v>
      </x:c>
      <x:c r="I677" t="str">
        <x:v>Closed Lost</x:v>
      </x:c>
      <x:c r="J677" s="10" t="n">
        <x:v>45943</x:v>
      </x:c>
      <x:c r="K677" s="10" t="n">
        <x:v>45943</x:v>
      </x:c>
      <x:c r="L677" s="22" t="n">
        <x:v>9400</x:v>
      </x:c>
      <x:c r="M677" s="24" t="n">
        <x:v>0</x:v>
      </x:c>
      <x:c r="N677" s="24" t="n">
        <x:v>0</x:v>
      </x:c>
      <x:c r="O677" t="str">
        <x:v>Price</x:v>
      </x:c>
      <x:c r="P677" t="n">
        <x:v>4</x:v>
      </x:c>
      <x:c r="Q677" t="str">
        <x:f>IFERROR(XLOOKUP(E677,Lookups!$A$5:$A$24,Lookups!$B$5:$B$24),"Other")</x:f>
        <x:v>Organic Search</x:v>
      </x:c>
      <x:c r="R677" t="str">
        <x:f>IFERROR(XLOOKUP(F677,Lookups!$D$5:$D$10,Lookups!$E$5:$E$10),"Unknown Product")</x:f>
        <x:v>NexaCRM Core</x:v>
      </x:c>
      <x:c r="S677" t="str">
        <x:f>IFERROR(XLOOKUP(F677,Lookups!$D$5:$D$10,Lookups!$F$5:$F$10),"Unknown")</x:f>
        <x:v>CRM</x:v>
      </x:c>
      <x:c r="T677" t="str">
        <x:f>IF(L677&gt;=50000,"Enterprise",IF(L677&gt;=20000,"Mid-Market","SMB"))</x:f>
        <x:v>SMB</x:v>
      </x:c>
      <x:c r="U677" t="str">
        <x:f>IF(I677="Closed Won","Won",IF(I677="Closed Lost","Lost","Open"))</x:f>
        <x:v>Lost</x:v>
      </x:c>
      <x:c r="V677" s="22" t="n">
        <x:f>IF(U677="Won",L677*(1-M677),0)</x:f>
        <x:v>0</x:v>
      </x:c>
      <x:c r="W677" s="22" t="n">
        <x:f>IF(U677="Open",L677*N677,0)</x:f>
        <x:v>0</x:v>
      </x:c>
      <x:c r="X677" s="26" t="n">
        <x:f>IF(U677="Open","",IFERROR(K677-B677,""))</x:f>
        <x:v>44</x:v>
      </x:c>
      <x:c r="Y677" s="26" t="n">
        <x:f>IF(U677="Open",Lookups!$B$2-B677,X677)</x:f>
        <x:v>44</x:v>
      </x:c>
      <x:c r="Z677" t="str">
        <x:f>IF(AND(U677="Open",Y677&gt;30),"STALE","OK")</x:f>
        <x:v>OK</x:v>
      </x:c>
      <x:c r="AA677" t="str">
        <x:f>TEXT(B677,"yyyy-mm")</x:f>
        <x:v>2025-08</x:v>
      </x:c>
      <x:c r="AB677" t="str">
        <x:f>IF(K677="","",TEXT(K677,"yyyy-mm"))</x:f>
        <x:v>2025-10</x:v>
      </x:c>
      <x:c r="AC677" t="str">
        <x:f>"Q"&amp;ROUNDUP(MONTH(B677)/3,0)&amp;"-"&amp;YEAR(B677)</x:f>
        <x:v>Q3-2025</x:v>
      </x:c>
      <x:c r="AD677" s="26" t="n">
        <x:f>MIN(100,IF(H677="Enterprise",30,IF(H677="Mid-Market",22,14))+IF(T677="Enterprise",25,IF(T677="Mid-Market",18,10))+IF(Q677="Referral",25,IF(Q677="Organic Search",20,IF(Q677="Email",18,14)))+IF(G677="Technology",10,5))</x:f>
        <x:v>54</x:v>
      </x:c>
      <x:c r="AE677" t="str">
        <x:f>IF(U677&lt;&gt;"Open",U677,IF(N677&gt;=0.8,"Commit",IF(N677&gt;=0.5,"Best Case","Pipeline")))</x:f>
        <x:v>Lost</x:v>
      </x:c>
    </x:row>
    <x:row r="678">
      <x:c r="A678" t="str">
        <x:v>L00677</x:v>
      </x:c>
      <x:c r="B678" s="10" t="n">
        <x:v>46192</x:v>
      </x:c>
      <x:c r="C678" t="str">
        <x:v>Minh Do</x:v>
      </x:c>
      <x:c r="D678" t="str">
        <x:v>North</x:v>
      </x:c>
      <x:c r="E678" t="str">
        <x:v>Conference Scan</x:v>
      </x:c>
      <x:c r="F678" t="str">
        <x:v>CRM-PRO</x:v>
      </x:c>
      <x:c r="G678" t="str">
        <x:v>Retail</x:v>
      </x:c>
      <x:c r="H678" t="str">
        <x:v>Mid-Market</x:v>
      </x:c>
      <x:c r="I678" t="str">
        <x:v>Closed Lost</x:v>
      </x:c>
      <x:c r="J678" s="10" t="n">
        <x:v>46266</x:v>
      </x:c>
      <x:c r="K678" s="10" t="n">
        <x:v>46266</x:v>
      </x:c>
      <x:c r="L678" s="22" t="n">
        <x:v>20500</x:v>
      </x:c>
      <x:c r="M678" s="24" t="n">
        <x:v>0</x:v>
      </x:c>
      <x:c r="N678" s="24" t="n">
        <x:v>0</x:v>
      </x:c>
      <x:c r="O678" t="str">
        <x:v>Competitor</x:v>
      </x:c>
      <x:c r="P678" t="n">
        <x:v>3</x:v>
      </x:c>
      <x:c r="Q678" t="str">
        <x:f>IFERROR(XLOOKUP(E678,Lookups!$A$5:$A$24,Lookups!$B$5:$B$24),"Other")</x:f>
        <x:v>Other</x:v>
      </x:c>
      <x:c r="R678" t="str">
        <x:f>IFERROR(XLOOKUP(F678,Lookups!$D$5:$D$10,Lookups!$E$5:$E$10),"Unknown Product")</x:f>
        <x:v>NexaCRM Pro</x:v>
      </x:c>
      <x:c r="S678" t="str">
        <x:f>IFERROR(XLOOKUP(F678,Lookups!$D$5:$D$10,Lookups!$F$5:$F$10),"Unknown")</x:f>
        <x:v>CRM</x:v>
      </x:c>
      <x:c r="T678" t="str">
        <x:f>IF(L678&gt;=50000,"Enterprise",IF(L678&gt;=20000,"Mid-Market","SMB"))</x:f>
        <x:v>Mid-Market</x:v>
      </x:c>
      <x:c r="U678" t="str">
        <x:f>IF(I678="Closed Won","Won",IF(I678="Closed Lost","Lost","Open"))</x:f>
        <x:v>Lost</x:v>
      </x:c>
      <x:c r="V678" s="22" t="n">
        <x:f>IF(U678="Won",L678*(1-M678),0)</x:f>
        <x:v>0</x:v>
      </x:c>
      <x:c r="W678" s="22" t="n">
        <x:f>IF(U678="Open",L678*N678,0)</x:f>
        <x:v>0</x:v>
      </x:c>
      <x:c r="X678" s="26" t="n">
        <x:f>IF(U678="Open","",IFERROR(K678-B678,""))</x:f>
        <x:v>74</x:v>
      </x:c>
      <x:c r="Y678" s="26" t="n">
        <x:f>IF(U678="Open",Lookups!$B$2-B678,X678)</x:f>
        <x:v>74</x:v>
      </x:c>
      <x:c r="Z678" t="str">
        <x:f>IF(AND(U678="Open",Y678&gt;30),"STALE","OK")</x:f>
        <x:v>OK</x:v>
      </x:c>
      <x:c r="AA678" t="str">
        <x:f>TEXT(B678,"yyyy-mm")</x:f>
        <x:v>2026-06</x:v>
      </x:c>
      <x:c r="AB678" t="str">
        <x:f>IF(K678="","",TEXT(K678,"yyyy-mm"))</x:f>
        <x:v>2026-09</x:v>
      </x:c>
      <x:c r="AC678" t="str">
        <x:f>"Q"&amp;ROUNDUP(MONTH(B678)/3,0)&amp;"-"&amp;YEAR(B678)</x:f>
        <x:v>Q2-2026</x:v>
      </x:c>
      <x:c r="AD678" s="26" t="n">
        <x:f>MIN(100,IF(H678="Enterprise",30,IF(H678="Mid-Market",22,14))+IF(T678="Enterprise",25,IF(T678="Mid-Market",18,10))+IF(Q678="Referral",25,IF(Q678="Organic Search",20,IF(Q678="Email",18,14)))+IF(G678="Technology",10,5))</x:f>
        <x:v>59</x:v>
      </x:c>
      <x:c r="AE678" t="str">
        <x:f>IF(U678&lt;&gt;"Open",U678,IF(N678&gt;=0.8,"Commit",IF(N678&gt;=0.5,"Best Case","Pipeline")))</x:f>
        <x:v>Lost</x:v>
      </x:c>
    </x:row>
    <x:row r="679">
      <x:c r="A679" t="str">
        <x:v>L00678</x:v>
      </x:c>
      <x:c r="B679" s="10" t="n">
        <x:v>46166</x:v>
      </x:c>
      <x:c r="C679" t="str">
        <x:v>Minh Do</x:v>
      </x:c>
      <x:c r="D679" t="str">
        <x:v>North</x:v>
      </x:c>
      <x:c r="E679" t="str">
        <x:v>SEO</x:v>
      </x:c>
      <x:c r="F679" t="str">
        <x:v>CS-CLOUD</x:v>
      </x:c>
      <x:c r="G679" t="str">
        <x:v>Education</x:v>
      </x:c>
      <x:c r="H679" t="str">
        <x:v>Enterprise</x:v>
      </x:c>
      <x:c r="I679" t="str">
        <x:v>Proposal</x:v>
      </x:c>
      <x:c r="J679" s="10" t="n">
        <x:v>46223</x:v>
      </x:c>
      <x:c r="K679" s="10"/>
      <x:c r="L679" s="22" t="n">
        <x:v>42400</x:v>
      </x:c>
      <x:c r="M679" s="24" t="n">
        <x:v>0.03</x:v>
      </x:c>
      <x:c r="N679" s="24" t="n">
        <x:v>0.65</x:v>
      </x:c>
      <x:c r="O679" t="str"/>
      <x:c r="P679" t="n">
        <x:v>4</x:v>
      </x:c>
      <x:c r="Q679" t="str">
        <x:f>IFERROR(XLOOKUP(E679,Lookups!$A$5:$A$24,Lookups!$B$5:$B$24),"Other")</x:f>
        <x:v>Organic Search</x:v>
      </x:c>
      <x:c r="R679" t="str">
        <x:f>IFERROR(XLOOKUP(F679,Lookups!$D$5:$D$10,Lookups!$E$5:$E$10),"Unknown Product")</x:f>
        <x:v>Service Cloud</x:v>
      </x:c>
      <x:c r="S679" t="str">
        <x:f>IFERROR(XLOOKUP(F679,Lookups!$D$5:$D$10,Lookups!$F$5:$F$10),"Unknown")</x:f>
        <x:v>Customer Service</x:v>
      </x:c>
      <x:c r="T679" t="str">
        <x:f>IF(L679&gt;=50000,"Enterprise",IF(L679&gt;=20000,"Mid-Market","SMB"))</x:f>
        <x:v>Mid-Market</x:v>
      </x:c>
      <x:c r="U679" t="str">
        <x:f>IF(I679="Closed Won","Won",IF(I679="Closed Lost","Lost","Open"))</x:f>
        <x:v>Open</x:v>
      </x:c>
      <x:c r="V679" s="22" t="n">
        <x:f>IF(U679="Won",L679*(1-M679),0)</x:f>
        <x:v>0</x:v>
      </x:c>
      <x:c r="W679" s="22" t="n">
        <x:f>IF(U679="Open",L679*N679,0)</x:f>
        <x:v>27560</x:v>
      </x:c>
      <x:c r="X679" s="26" t="str">
        <x:f>IF(U679="Open","",IFERROR(K679-B679,""))</x:f>
      </x:c>
      <x:c r="Y679" s="26" t="n">
        <x:f>IF(U679="Open",Lookups!$B$2-B679,X679)</x:f>
        <x:v>100</x:v>
      </x:c>
      <x:c r="Z679" t="str">
        <x:f>IF(AND(U679="Open",Y679&gt;30),"STALE","OK")</x:f>
        <x:v>STALE</x:v>
      </x:c>
      <x:c r="AA679" t="str">
        <x:f>TEXT(B679,"yyyy-mm")</x:f>
        <x:v>2026-05</x:v>
      </x:c>
      <x:c r="AB679" t="str">
        <x:f>IF(K679="","",TEXT(K679,"yyyy-mm"))</x:f>
      </x:c>
      <x:c r="AC679" t="str">
        <x:f>"Q"&amp;ROUNDUP(MONTH(B679)/3,0)&amp;"-"&amp;YEAR(B679)</x:f>
        <x:v>Q2-2026</x:v>
      </x:c>
      <x:c r="AD679" s="26" t="n">
        <x:f>MIN(100,IF(H679="Enterprise",30,IF(H679="Mid-Market",22,14))+IF(T679="Enterprise",25,IF(T679="Mid-Market",18,10))+IF(Q679="Referral",25,IF(Q679="Organic Search",20,IF(Q679="Email",18,14)))+IF(G679="Technology",10,5))</x:f>
        <x:v>73</x:v>
      </x:c>
      <x:c r="AE679" t="str">
        <x:f>IF(U679&lt;&gt;"Open",U679,IF(N679&gt;=0.8,"Commit",IF(N679&gt;=0.5,"Best Case","Pipeline")))</x:f>
        <x:v>Best Case</x:v>
      </x:c>
    </x:row>
    <x:row r="680">
      <x:c r="A680" t="str">
        <x:v>L00679</x:v>
      </x:c>
      <x:c r="B680" s="10" t="n">
        <x:v>45859</x:v>
      </x:c>
      <x:c r="C680" t="str">
        <x:v>Quynh Vu</x:v>
      </x:c>
      <x:c r="D680" t="str">
        <x:v>North</x:v>
      </x:c>
      <x:c r="E680" t="str">
        <x:v>email nurture</x:v>
      </x:c>
      <x:c r="F680" t="str">
        <x:v>MKT-AUTO</x:v>
      </x:c>
      <x:c r="G680" t="str">
        <x:v>Professional Services</x:v>
      </x:c>
      <x:c r="H680" t="str">
        <x:v>SMB</x:v>
      </x:c>
      <x:c r="I680" t="str">
        <x:v>Closed Lost</x:v>
      </x:c>
      <x:c r="J680" s="10" t="n">
        <x:v>45907</x:v>
      </x:c>
      <x:c r="K680" s="10" t="n">
        <x:v>45907</x:v>
      </x:c>
      <x:c r="L680" s="22" t="n">
        <x:v>11800</x:v>
      </x:c>
      <x:c r="M680" s="24" t="n">
        <x:v>0</x:v>
      </x:c>
      <x:c r="N680" s="24" t="n">
        <x:v>0</x:v>
      </x:c>
      <x:c r="O680" t="str">
        <x:v>Budget</x:v>
      </x:c>
      <x:c r="P680" t="n">
        <x:v>3</x:v>
      </x:c>
      <x:c r="Q680" t="str">
        <x:f>IFERROR(XLOOKUP(E680,Lookups!$A$5:$A$24,Lookups!$B$5:$B$24),"Other")</x:f>
        <x:v>Email</x:v>
      </x:c>
      <x:c r="R680" t="str">
        <x:f>IFERROR(XLOOKUP(F680,Lookups!$D$5:$D$10,Lookups!$E$5:$E$10),"Unknown Product")</x:f>
        <x:v>Marketing Automation</x:v>
      </x:c>
      <x:c r="S680" t="str">
        <x:f>IFERROR(XLOOKUP(F680,Lookups!$D$5:$D$10,Lookups!$F$5:$F$10),"Unknown")</x:f>
        <x:v>Marketing</x:v>
      </x:c>
      <x:c r="T680" t="str">
        <x:f>IF(L680&gt;=50000,"Enterprise",IF(L680&gt;=20000,"Mid-Market","SMB"))</x:f>
        <x:v>SMB</x:v>
      </x:c>
      <x:c r="U680" t="str">
        <x:f>IF(I680="Closed Won","Won",IF(I680="Closed Lost","Lost","Open"))</x:f>
        <x:v>Lost</x:v>
      </x:c>
      <x:c r="V680" s="22" t="n">
        <x:f>IF(U680="Won",L680*(1-M680),0)</x:f>
        <x:v>0</x:v>
      </x:c>
      <x:c r="W680" s="22" t="n">
        <x:f>IF(U680="Open",L680*N680,0)</x:f>
        <x:v>0</x:v>
      </x:c>
      <x:c r="X680" s="26" t="n">
        <x:f>IF(U680="Open","",IFERROR(K680-B680,""))</x:f>
        <x:v>48</x:v>
      </x:c>
      <x:c r="Y680" s="26" t="n">
        <x:f>IF(U680="Open",Lookups!$B$2-B680,X680)</x:f>
        <x:v>48</x:v>
      </x:c>
      <x:c r="Z680" t="str">
        <x:f>IF(AND(U680="Open",Y680&gt;30),"STALE","OK")</x:f>
        <x:v>OK</x:v>
      </x:c>
      <x:c r="AA680" t="str">
        <x:f>TEXT(B680,"yyyy-mm")</x:f>
        <x:v>2025-07</x:v>
      </x:c>
      <x:c r="AB680" t="str">
        <x:f>IF(K680="","",TEXT(K680,"yyyy-mm"))</x:f>
        <x:v>2025-09</x:v>
      </x:c>
      <x:c r="AC680" t="str">
        <x:f>"Q"&amp;ROUNDUP(MONTH(B680)/3,0)&amp;"-"&amp;YEAR(B680)</x:f>
        <x:v>Q3-2025</x:v>
      </x:c>
      <x:c r="AD680" s="26" t="n">
        <x:f>MIN(100,IF(H680="Enterprise",30,IF(H680="Mid-Market",22,14))+IF(T680="Enterprise",25,IF(T680="Mid-Market",18,10))+IF(Q680="Referral",25,IF(Q680="Organic Search",20,IF(Q680="Email",18,14)))+IF(G680="Technology",10,5))</x:f>
        <x:v>47</x:v>
      </x:c>
      <x:c r="AE680" t="str">
        <x:f>IF(U680&lt;&gt;"Open",U680,IF(N680&gt;=0.8,"Commit",IF(N680&gt;=0.5,"Best Case","Pipeline")))</x:f>
        <x:v>Lost</x:v>
      </x:c>
    </x:row>
    <x:row r="681">
      <x:c r="A681" t="str">
        <x:v>L00680</x:v>
      </x:c>
      <x:c r="B681" s="10" t="n">
        <x:v>46006</x:v>
      </x:c>
      <x:c r="C681" t="str">
        <x:v>Minh Do</x:v>
      </x:c>
      <x:c r="D681" t="str">
        <x:v>North</x:v>
      </x:c>
      <x:c r="E681" t="str">
        <x:v>organic search</x:v>
      </x:c>
      <x:c r="F681" t="str">
        <x:v>BI-PLUS</x:v>
      </x:c>
      <x:c r="G681" t="str">
        <x:v>Retail</x:v>
      </x:c>
      <x:c r="H681" t="str">
        <x:v>SMB</x:v>
      </x:c>
      <x:c r="I681" t="str">
        <x:v>Closed Lost</x:v>
      </x:c>
      <x:c r="J681" s="10" t="n">
        <x:v>46060</x:v>
      </x:c>
      <x:c r="K681" s="10" t="n">
        <x:v>46060</x:v>
      </x:c>
      <x:c r="L681" s="22" t="n">
        <x:v>13000</x:v>
      </x:c>
      <x:c r="M681" s="24" t="n">
        <x:v>0</x:v>
      </x:c>
      <x:c r="N681" s="24" t="n">
        <x:v>0</x:v>
      </x:c>
      <x:c r="O681" t="str">
        <x:v>Price</x:v>
      </x:c>
      <x:c r="P681" t="n">
        <x:v>4</x:v>
      </x:c>
      <x:c r="Q681" t="str">
        <x:f>IFERROR(XLOOKUP(E681,Lookups!$A$5:$A$24,Lookups!$B$5:$B$24),"Other")</x:f>
        <x:v>Organic Search</x:v>
      </x:c>
      <x:c r="R681" t="str">
        <x:f>IFERROR(XLOOKUP(F681,Lookups!$D$5:$D$10,Lookups!$E$5:$E$10),"Unknown Product")</x:f>
        <x:v>Analytics Plus</x:v>
      </x:c>
      <x:c r="S681" t="str">
        <x:f>IFERROR(XLOOKUP(F681,Lookups!$D$5:$D$10,Lookups!$F$5:$F$10),"Unknown")</x:f>
        <x:v>Analytics</x:v>
      </x:c>
      <x:c r="T681" t="str">
        <x:f>IF(L681&gt;=50000,"Enterprise",IF(L681&gt;=20000,"Mid-Market","SMB"))</x:f>
        <x:v>SMB</x:v>
      </x:c>
      <x:c r="U681" t="str">
        <x:f>IF(I681="Closed Won","Won",IF(I681="Closed Lost","Lost","Open"))</x:f>
        <x:v>Lost</x:v>
      </x:c>
      <x:c r="V681" s="22" t="n">
        <x:f>IF(U681="Won",L681*(1-M681),0)</x:f>
        <x:v>0</x:v>
      </x:c>
      <x:c r="W681" s="22" t="n">
        <x:f>IF(U681="Open",L681*N681,0)</x:f>
        <x:v>0</x:v>
      </x:c>
      <x:c r="X681" s="26" t="n">
        <x:f>IF(U681="Open","",IFERROR(K681-B681,""))</x:f>
        <x:v>54</x:v>
      </x:c>
      <x:c r="Y681" s="26" t="n">
        <x:f>IF(U681="Open",Lookups!$B$2-B681,X681)</x:f>
        <x:v>54</x:v>
      </x:c>
      <x:c r="Z681" t="str">
        <x:f>IF(AND(U681="Open",Y681&gt;30),"STALE","OK")</x:f>
        <x:v>OK</x:v>
      </x:c>
      <x:c r="AA681" t="str">
        <x:f>TEXT(B681,"yyyy-mm")</x:f>
        <x:v>2025-12</x:v>
      </x:c>
      <x:c r="AB681" t="str">
        <x:f>IF(K681="","",TEXT(K681,"yyyy-mm"))</x:f>
        <x:v>2026-02</x:v>
      </x:c>
      <x:c r="AC681" t="str">
        <x:f>"Q"&amp;ROUNDUP(MONTH(B681)/3,0)&amp;"-"&amp;YEAR(B681)</x:f>
        <x:v>Q4-2025</x:v>
      </x:c>
      <x:c r="AD681" s="26" t="n">
        <x:f>MIN(100,IF(H681="Enterprise",30,IF(H681="Mid-Market",22,14))+IF(T681="Enterprise",25,IF(T681="Mid-Market",18,10))+IF(Q681="Referral",25,IF(Q681="Organic Search",20,IF(Q681="Email",18,14)))+IF(G681="Technology",10,5))</x:f>
        <x:v>49</x:v>
      </x:c>
      <x:c r="AE681" t="str">
        <x:f>IF(U681&lt;&gt;"Open",U681,IF(N681&gt;=0.8,"Commit",IF(N681&gt;=0.5,"Best Case","Pipeline")))</x:f>
        <x:v>Lost</x:v>
      </x:c>
    </x:row>
    <x:row r="682">
      <x:c r="A682" t="str">
        <x:v>L00681</x:v>
      </x:c>
      <x:c r="B682" s="10" t="n">
        <x:v>46183</x:v>
      </x:c>
      <x:c r="C682" t="str">
        <x:v>An Nguyen</x:v>
      </x:c>
      <x:c r="D682" t="str">
        <x:v>South</x:v>
      </x:c>
      <x:c r="E682" t="str">
        <x:v>SEM - Google</x:v>
      </x:c>
      <x:c r="F682" t="str">
        <x:v>BI-PLUS</x:v>
      </x:c>
      <x:c r="G682" t="str">
        <x:v>Technology</x:v>
      </x:c>
      <x:c r="H682" t="str">
        <x:v>Mid-Market</x:v>
      </x:c>
      <x:c r="I682" t="str">
        <x:v>Closed Won</x:v>
      </x:c>
      <x:c r="J682" s="10" t="n">
        <x:v>46222</x:v>
      </x:c>
      <x:c r="K682" s="10" t="n">
        <x:v>46222</x:v>
      </x:c>
      <x:c r="L682" s="22" t="n">
        <x:v>39500</x:v>
      </x:c>
      <x:c r="M682" s="24" t="n">
        <x:v>0.05</x:v>
      </x:c>
      <x:c r="N682" s="24" t="n">
        <x:v>1</x:v>
      </x:c>
      <x:c r="O682" t="str"/>
      <x:c r="P682" t="n">
        <x:v>6</x:v>
      </x:c>
      <x:c r="Q682" t="str">
        <x:f>IFERROR(XLOOKUP(E682,Lookups!$A$5:$A$24,Lookups!$B$5:$B$24),"Other")</x:f>
        <x:v>Paid Search</x:v>
      </x:c>
      <x:c r="R682" t="str">
        <x:f>IFERROR(XLOOKUP(F682,Lookups!$D$5:$D$10,Lookups!$E$5:$E$10),"Unknown Product")</x:f>
        <x:v>Analytics Plus</x:v>
      </x:c>
      <x:c r="S682" t="str">
        <x:f>IFERROR(XLOOKUP(F682,Lookups!$D$5:$D$10,Lookups!$F$5:$F$10),"Unknown")</x:f>
        <x:v>Analytics</x:v>
      </x:c>
      <x:c r="T682" t="str">
        <x:f>IF(L682&gt;=50000,"Enterprise",IF(L682&gt;=20000,"Mid-Market","SMB"))</x:f>
        <x:v>Mid-Market</x:v>
      </x:c>
      <x:c r="U682" t="str">
        <x:f>IF(I682="Closed Won","Won",IF(I682="Closed Lost","Lost","Open"))</x:f>
        <x:v>Won</x:v>
      </x:c>
      <x:c r="V682" s="22" t="n">
        <x:f>IF(U682="Won",L682*(1-M682),0)</x:f>
        <x:v>37525</x:v>
      </x:c>
      <x:c r="W682" s="22" t="n">
        <x:f>IF(U682="Open",L682*N682,0)</x:f>
        <x:v>0</x:v>
      </x:c>
      <x:c r="X682" s="26" t="n">
        <x:f>IF(U682="Open","",IFERROR(K682-B682,""))</x:f>
        <x:v>39</x:v>
      </x:c>
      <x:c r="Y682" s="26" t="n">
        <x:f>IF(U682="Open",Lookups!$B$2-B682,X682)</x:f>
        <x:v>39</x:v>
      </x:c>
      <x:c r="Z682" t="str">
        <x:f>IF(AND(U682="Open",Y682&gt;30),"STALE","OK")</x:f>
        <x:v>OK</x:v>
      </x:c>
      <x:c r="AA682" t="str">
        <x:f>TEXT(B682,"yyyy-mm")</x:f>
        <x:v>2026-06</x:v>
      </x:c>
      <x:c r="AB682" t="str">
        <x:f>IF(K682="","",TEXT(K682,"yyyy-mm"))</x:f>
        <x:v>2026-07</x:v>
      </x:c>
      <x:c r="AC682" t="str">
        <x:f>"Q"&amp;ROUNDUP(MONTH(B682)/3,0)&amp;"-"&amp;YEAR(B682)</x:f>
        <x:v>Q2-2026</x:v>
      </x:c>
      <x:c r="AD682" s="26" t="n">
        <x:f>MIN(100,IF(H682="Enterprise",30,IF(H682="Mid-Market",22,14))+IF(T682="Enterprise",25,IF(T682="Mid-Market",18,10))+IF(Q682="Referral",25,IF(Q682="Organic Search",20,IF(Q682="Email",18,14)))+IF(G682="Technology",10,5))</x:f>
        <x:v>64</x:v>
      </x:c>
      <x:c r="AE682" t="str">
        <x:f>IF(U682&lt;&gt;"Open",U682,IF(N682&gt;=0.8,"Commit",IF(N682&gt;=0.5,"Best Case","Pipeline")))</x:f>
        <x:v>Won</x:v>
      </x:c>
    </x:row>
    <x:row r="683">
      <x:c r="A683" t="str">
        <x:v>L00682</x:v>
      </x:c>
      <x:c r="B683" s="10" t="n">
        <x:v>46125</x:v>
      </x:c>
      <x:c r="C683" t="str">
        <x:v>Duy Pham</x:v>
      </x:c>
      <x:c r="D683" t="str">
        <x:v>South</x:v>
      </x:c>
      <x:c r="E683" t="str">
        <x:v>virtual event</x:v>
      </x:c>
      <x:c r="F683" t="str">
        <x:v>MKT-AUTO</x:v>
      </x:c>
      <x:c r="G683" t="str">
        <x:v>Professional Services</x:v>
      </x:c>
      <x:c r="H683" t="str">
        <x:v>Mid-Market</x:v>
      </x:c>
      <x:c r="I683" t="str">
        <x:v>Closed Lost</x:v>
      </x:c>
      <x:c r="J683" s="10" t="n">
        <x:v>46156</x:v>
      </x:c>
      <x:c r="K683" s="10" t="n">
        <x:v>46156</x:v>
      </x:c>
      <x:c r="L683" s="22" t="n">
        <x:v>34000</x:v>
      </x:c>
      <x:c r="M683" s="24" t="n">
        <x:v>0</x:v>
      </x:c>
      <x:c r="N683" s="24" t="n">
        <x:v>0</x:v>
      </x:c>
      <x:c r="O683" t="str">
        <x:v>No Decision</x:v>
      </x:c>
      <x:c r="P683" t="n">
        <x:v>4</x:v>
      </x:c>
      <x:c r="Q683" t="str">
        <x:f>IFERROR(XLOOKUP(E683,Lookups!$A$5:$A$24,Lookups!$B$5:$B$24),"Other")</x:f>
        <x:v>Webinar</x:v>
      </x:c>
      <x:c r="R683" t="str">
        <x:f>IFERROR(XLOOKUP(F683,Lookups!$D$5:$D$10,Lookups!$E$5:$E$10),"Unknown Product")</x:f>
        <x:v>Marketing Automation</x:v>
      </x:c>
      <x:c r="S683" t="str">
        <x:f>IFERROR(XLOOKUP(F683,Lookups!$D$5:$D$10,Lookups!$F$5:$F$10),"Unknown")</x:f>
        <x:v>Marketing</x:v>
      </x:c>
      <x:c r="T683" t="str">
        <x:f>IF(L683&gt;=50000,"Enterprise",IF(L683&gt;=20000,"Mid-Market","SMB"))</x:f>
        <x:v>Mid-Market</x:v>
      </x:c>
      <x:c r="U683" t="str">
        <x:f>IF(I683="Closed Won","Won",IF(I683="Closed Lost","Lost","Open"))</x:f>
        <x:v>Lost</x:v>
      </x:c>
      <x:c r="V683" s="22" t="n">
        <x:f>IF(U683="Won",L683*(1-M683),0)</x:f>
        <x:v>0</x:v>
      </x:c>
      <x:c r="W683" s="22" t="n">
        <x:f>IF(U683="Open",L683*N683,0)</x:f>
        <x:v>0</x:v>
      </x:c>
      <x:c r="X683" s="26" t="n">
        <x:f>IF(U683="Open","",IFERROR(K683-B683,""))</x:f>
        <x:v>31</x:v>
      </x:c>
      <x:c r="Y683" s="26" t="n">
        <x:f>IF(U683="Open",Lookups!$B$2-B683,X683)</x:f>
        <x:v>31</x:v>
      </x:c>
      <x:c r="Z683" t="str">
        <x:f>IF(AND(U683="Open",Y683&gt;30),"STALE","OK")</x:f>
        <x:v>OK</x:v>
      </x:c>
      <x:c r="AA683" t="str">
        <x:f>TEXT(B683,"yyyy-mm")</x:f>
        <x:v>2026-04</x:v>
      </x:c>
      <x:c r="AB683" t="str">
        <x:f>IF(K683="","",TEXT(K683,"yyyy-mm"))</x:f>
        <x:v>2026-05</x:v>
      </x:c>
      <x:c r="AC683" t="str">
        <x:f>"Q"&amp;ROUNDUP(MONTH(B683)/3,0)&amp;"-"&amp;YEAR(B683)</x:f>
        <x:v>Q2-2026</x:v>
      </x:c>
      <x:c r="AD683" s="26" t="n">
        <x:f>MIN(100,IF(H683="Enterprise",30,IF(H683="Mid-Market",22,14))+IF(T683="Enterprise",25,IF(T683="Mid-Market",18,10))+IF(Q683="Referral",25,IF(Q683="Organic Search",20,IF(Q683="Email",18,14)))+IF(G683="Technology",10,5))</x:f>
        <x:v>59</x:v>
      </x:c>
      <x:c r="AE683" t="str">
        <x:f>IF(U683&lt;&gt;"Open",U683,IF(N683&gt;=0.8,"Commit",IF(N683&gt;=0.5,"Best Case","Pipeline")))</x:f>
        <x:v>Lost</x:v>
      </x:c>
    </x:row>
    <x:row r="684">
      <x:c r="A684" t="str">
        <x:v>L00683</x:v>
      </x:c>
      <x:c r="B684" s="10" t="n">
        <x:v>45720</x:v>
      </x:c>
      <x:c r="C684" t="str">
        <x:v>Chi Le</x:v>
      </x:c>
      <x:c r="D684" t="str">
        <x:v>South</x:v>
      </x:c>
      <x:c r="E684" t="str">
        <x:v>Referral</x:v>
      </x:c>
      <x:c r="F684" t="str">
        <x:v>BI-PLUS</x:v>
      </x:c>
      <x:c r="G684" t="str">
        <x:v>Education</x:v>
      </x:c>
      <x:c r="H684" t="str">
        <x:v>SMB</x:v>
      </x:c>
      <x:c r="I684" t="str">
        <x:v>Closed Lost</x:v>
      </x:c>
      <x:c r="J684" s="10" t="n">
        <x:v>45769</x:v>
      </x:c>
      <x:c r="K684" s="10" t="n">
        <x:v>45769</x:v>
      </x:c>
      <x:c r="L684" s="22" t="n">
        <x:v>13000</x:v>
      </x:c>
      <x:c r="M684" s="24" t="n">
        <x:v>0</x:v>
      </x:c>
      <x:c r="N684" s="24" t="n">
        <x:v>0</x:v>
      </x:c>
      <x:c r="O684" t="str">
        <x:v>Budget</x:v>
      </x:c>
      <x:c r="P684" t="n">
        <x:v>4</x:v>
      </x:c>
      <x:c r="Q684" t="str">
        <x:f>IFERROR(XLOOKUP(E684,Lookups!$A$5:$A$24,Lookups!$B$5:$B$24),"Other")</x:f>
        <x:v>Referral</x:v>
      </x:c>
      <x:c r="R684" t="str">
        <x:f>IFERROR(XLOOKUP(F684,Lookups!$D$5:$D$10,Lookups!$E$5:$E$10),"Unknown Product")</x:f>
        <x:v>Analytics Plus</x:v>
      </x:c>
      <x:c r="S684" t="str">
        <x:f>IFERROR(XLOOKUP(F684,Lookups!$D$5:$D$10,Lookups!$F$5:$F$10),"Unknown")</x:f>
        <x:v>Analytics</x:v>
      </x:c>
      <x:c r="T684" t="str">
        <x:f>IF(L684&gt;=50000,"Enterprise",IF(L684&gt;=20000,"Mid-Market","SMB"))</x:f>
        <x:v>SMB</x:v>
      </x:c>
      <x:c r="U684" t="str">
        <x:f>IF(I684="Closed Won","Won",IF(I684="Closed Lost","Lost","Open"))</x:f>
        <x:v>Lost</x:v>
      </x:c>
      <x:c r="V684" s="22" t="n">
        <x:f>IF(U684="Won",L684*(1-M684),0)</x:f>
        <x:v>0</x:v>
      </x:c>
      <x:c r="W684" s="22" t="n">
        <x:f>IF(U684="Open",L684*N684,0)</x:f>
        <x:v>0</x:v>
      </x:c>
      <x:c r="X684" s="26" t="n">
        <x:f>IF(U684="Open","",IFERROR(K684-B684,""))</x:f>
        <x:v>49</x:v>
      </x:c>
      <x:c r="Y684" s="26" t="n">
        <x:f>IF(U684="Open",Lookups!$B$2-B684,X684)</x:f>
        <x:v>49</x:v>
      </x:c>
      <x:c r="Z684" t="str">
        <x:f>IF(AND(U684="Open",Y684&gt;30),"STALE","OK")</x:f>
        <x:v>OK</x:v>
      </x:c>
      <x:c r="AA684" t="str">
        <x:f>TEXT(B684,"yyyy-mm")</x:f>
        <x:v>2025-03</x:v>
      </x:c>
      <x:c r="AB684" t="str">
        <x:f>IF(K684="","",TEXT(K684,"yyyy-mm"))</x:f>
        <x:v>2025-04</x:v>
      </x:c>
      <x:c r="AC684" t="str">
        <x:f>"Q"&amp;ROUNDUP(MONTH(B684)/3,0)&amp;"-"&amp;YEAR(B684)</x:f>
        <x:v>Q1-2025</x:v>
      </x:c>
      <x:c r="AD684" s="26" t="n">
        <x:f>MIN(100,IF(H684="Enterprise",30,IF(H684="Mid-Market",22,14))+IF(T684="Enterprise",25,IF(T684="Mid-Market",18,10))+IF(Q684="Referral",25,IF(Q684="Organic Search",20,IF(Q684="Email",18,14)))+IF(G684="Technology",10,5))</x:f>
        <x:v>54</x:v>
      </x:c>
      <x:c r="AE684" t="str">
        <x:f>IF(U684&lt;&gt;"Open",U684,IF(N684&gt;=0.8,"Commit",IF(N684&gt;=0.5,"Best Case","Pipeline")))</x:f>
        <x:v>Lost</x:v>
      </x:c>
    </x:row>
    <x:row r="685">
      <x:c r="A685" t="str">
        <x:v>L00684</x:v>
      </x:c>
      <x:c r="B685" s="10" t="n">
        <x:v>46080</x:v>
      </x:c>
      <x:c r="C685" t="str">
        <x:v>Quynh Vu</x:v>
      </x:c>
      <x:c r="D685" t="str">
        <x:v>North</x:v>
      </x:c>
      <x:c r="E685" t="str">
        <x:v>SEO</x:v>
      </x:c>
      <x:c r="F685" t="str">
        <x:v>CRM-CORE</x:v>
      </x:c>
      <x:c r="G685" t="str">
        <x:v>Financial Services</x:v>
      </x:c>
      <x:c r="H685" t="str">
        <x:v>Enterprise</x:v>
      </x:c>
      <x:c r="I685" t="str">
        <x:v>Closed Lost</x:v>
      </x:c>
      <x:c r="J685" s="10" t="n">
        <x:v>46113</x:v>
      </x:c>
      <x:c r="K685" s="10" t="n">
        <x:v>46113</x:v>
      </x:c>
      <x:c r="L685" s="22" t="n">
        <x:v>29400</x:v>
      </x:c>
      <x:c r="M685" s="24" t="n">
        <x:v>0</x:v>
      </x:c>
      <x:c r="N685" s="24" t="n">
        <x:v>0</x:v>
      </x:c>
      <x:c r="O685" t="str">
        <x:v>Budget</x:v>
      </x:c>
      <x:c r="P685" t="n">
        <x:v>4</x:v>
      </x:c>
      <x:c r="Q685" t="str">
        <x:f>IFERROR(XLOOKUP(E685,Lookups!$A$5:$A$24,Lookups!$B$5:$B$24),"Other")</x:f>
        <x:v>Organic Search</x:v>
      </x:c>
      <x:c r="R685" t="str">
        <x:f>IFERROR(XLOOKUP(F685,Lookups!$D$5:$D$10,Lookups!$E$5:$E$10),"Unknown Product")</x:f>
        <x:v>NexaCRM Core</x:v>
      </x:c>
      <x:c r="S685" t="str">
        <x:f>IFERROR(XLOOKUP(F685,Lookups!$D$5:$D$10,Lookups!$F$5:$F$10),"Unknown")</x:f>
        <x:v>CRM</x:v>
      </x:c>
      <x:c r="T685" t="str">
        <x:f>IF(L685&gt;=50000,"Enterprise",IF(L685&gt;=20000,"Mid-Market","SMB"))</x:f>
        <x:v>Mid-Market</x:v>
      </x:c>
      <x:c r="U685" t="str">
        <x:f>IF(I685="Closed Won","Won",IF(I685="Closed Lost","Lost","Open"))</x:f>
        <x:v>Lost</x:v>
      </x:c>
      <x:c r="V685" s="22" t="n">
        <x:f>IF(U685="Won",L685*(1-M685),0)</x:f>
        <x:v>0</x:v>
      </x:c>
      <x:c r="W685" s="22" t="n">
        <x:f>IF(U685="Open",L685*N685,0)</x:f>
        <x:v>0</x:v>
      </x:c>
      <x:c r="X685" s="26" t="n">
        <x:f>IF(U685="Open","",IFERROR(K685-B685,""))</x:f>
        <x:v>33</x:v>
      </x:c>
      <x:c r="Y685" s="26" t="n">
        <x:f>IF(U685="Open",Lookups!$B$2-B685,X685)</x:f>
        <x:v>33</x:v>
      </x:c>
      <x:c r="Z685" t="str">
        <x:f>IF(AND(U685="Open",Y685&gt;30),"STALE","OK")</x:f>
        <x:v>OK</x:v>
      </x:c>
      <x:c r="AA685" t="str">
        <x:f>TEXT(B685,"yyyy-mm")</x:f>
        <x:v>2026-02</x:v>
      </x:c>
      <x:c r="AB685" t="str">
        <x:f>IF(K685="","",TEXT(K685,"yyyy-mm"))</x:f>
        <x:v>2026-04</x:v>
      </x:c>
      <x:c r="AC685" t="str">
        <x:f>"Q"&amp;ROUNDUP(MONTH(B685)/3,0)&amp;"-"&amp;YEAR(B685)</x:f>
        <x:v>Q1-2026</x:v>
      </x:c>
      <x:c r="AD685" s="26" t="n">
        <x:f>MIN(100,IF(H685="Enterprise",30,IF(H685="Mid-Market",22,14))+IF(T685="Enterprise",25,IF(T685="Mid-Market",18,10))+IF(Q685="Referral",25,IF(Q685="Organic Search",20,IF(Q685="Email",18,14)))+IF(G685="Technology",10,5))</x:f>
        <x:v>73</x:v>
      </x:c>
      <x:c r="AE685" t="str">
        <x:f>IF(U685&lt;&gt;"Open",U685,IF(N685&gt;=0.8,"Commit",IF(N685&gt;=0.5,"Best Case","Pipeline")))</x:f>
        <x:v>Lost</x:v>
      </x:c>
    </x:row>
    <x:row r="686">
      <x:c r="A686" t="str">
        <x:v>L00685</x:v>
      </x:c>
      <x:c r="B686" s="10" t="n">
        <x:v>46227</x:v>
      </x:c>
      <x:c r="C686" t="str">
        <x:v>Ha Vo</x:v>
      </x:c>
      <x:c r="D686" t="str">
        <x:v>North</x:v>
      </x:c>
      <x:c r="E686" t="str">
        <x:v>Google Ads</x:v>
      </x:c>
      <x:c r="F686" t="str">
        <x:v>CRM-CORE</x:v>
      </x:c>
      <x:c r="G686" t="str">
        <x:v>Professional Services</x:v>
      </x:c>
      <x:c r="H686" t="str">
        <x:v>Mid-Market</x:v>
      </x:c>
      <x:c r="I686" t="str">
        <x:v>Closed Lost</x:v>
      </x:c>
      <x:c r="J686" s="10" t="n">
        <x:v>46266</x:v>
      </x:c>
      <x:c r="K686" s="10" t="n">
        <x:v>46266</x:v>
      </x:c>
      <x:c r="L686" s="22" t="n">
        <x:v>17700</x:v>
      </x:c>
      <x:c r="M686" s="24" t="n">
        <x:v>0</x:v>
      </x:c>
      <x:c r="N686" s="24" t="n">
        <x:v>0</x:v>
      </x:c>
      <x:c r="O686" t="str">
        <x:v>Budget</x:v>
      </x:c>
      <x:c r="P686" t="n">
        <x:v>2</x:v>
      </x:c>
      <x:c r="Q686" t="str">
        <x:f>IFERROR(XLOOKUP(E686,Lookups!$A$5:$A$24,Lookups!$B$5:$B$24),"Other")</x:f>
        <x:v>Paid Search</x:v>
      </x:c>
      <x:c r="R686" t="str">
        <x:f>IFERROR(XLOOKUP(F686,Lookups!$D$5:$D$10,Lookups!$E$5:$E$10),"Unknown Product")</x:f>
        <x:v>NexaCRM Core</x:v>
      </x:c>
      <x:c r="S686" t="str">
        <x:f>IFERROR(XLOOKUP(F686,Lookups!$D$5:$D$10,Lookups!$F$5:$F$10),"Unknown")</x:f>
        <x:v>CRM</x:v>
      </x:c>
      <x:c r="T686" t="str">
        <x:f>IF(L686&gt;=50000,"Enterprise",IF(L686&gt;=20000,"Mid-Market","SMB"))</x:f>
        <x:v>SMB</x:v>
      </x:c>
      <x:c r="U686" t="str">
        <x:f>IF(I686="Closed Won","Won",IF(I686="Closed Lost","Lost","Open"))</x:f>
        <x:v>Lost</x:v>
      </x:c>
      <x:c r="V686" s="22" t="n">
        <x:f>IF(U686="Won",L686*(1-M686),0)</x:f>
        <x:v>0</x:v>
      </x:c>
      <x:c r="W686" s="22" t="n">
        <x:f>IF(U686="Open",L686*N686,0)</x:f>
        <x:v>0</x:v>
      </x:c>
      <x:c r="X686" s="26" t="n">
        <x:f>IF(U686="Open","",IFERROR(K686-B686,""))</x:f>
        <x:v>39</x:v>
      </x:c>
      <x:c r="Y686" s="26" t="n">
        <x:f>IF(U686="Open",Lookups!$B$2-B686,X686)</x:f>
        <x:v>39</x:v>
      </x:c>
      <x:c r="Z686" t="str">
        <x:f>IF(AND(U686="Open",Y686&gt;30),"STALE","OK")</x:f>
        <x:v>OK</x:v>
      </x:c>
      <x:c r="AA686" t="str">
        <x:f>TEXT(B686,"yyyy-mm")</x:f>
        <x:v>2026-07</x:v>
      </x:c>
      <x:c r="AB686" t="str">
        <x:f>IF(K686="","",TEXT(K686,"yyyy-mm"))</x:f>
        <x:v>2026-09</x:v>
      </x:c>
      <x:c r="AC686" t="str">
        <x:f>"Q"&amp;ROUNDUP(MONTH(B686)/3,0)&amp;"-"&amp;YEAR(B686)</x:f>
        <x:v>Q3-2026</x:v>
      </x:c>
      <x:c r="AD686" s="26" t="n">
        <x:f>MIN(100,IF(H686="Enterprise",30,IF(H686="Mid-Market",22,14))+IF(T686="Enterprise",25,IF(T686="Mid-Market",18,10))+IF(Q686="Referral",25,IF(Q686="Organic Search",20,IF(Q686="Email",18,14)))+IF(G686="Technology",10,5))</x:f>
        <x:v>51</x:v>
      </x:c>
      <x:c r="AE686" t="str">
        <x:f>IF(U686&lt;&gt;"Open",U686,IF(N686&gt;=0.8,"Commit",IF(N686&gt;=0.5,"Best Case","Pipeline")))</x:f>
        <x:v>Lost</x:v>
      </x:c>
    </x:row>
    <x:row r="687">
      <x:c r="A687" t="str">
        <x:v>L00686</x:v>
      </x:c>
      <x:c r="B687" s="10" t="n">
        <x:v>45821</x:v>
      </x:c>
      <x:c r="C687" t="str">
        <x:v>Chi Le</x:v>
      </x:c>
      <x:c r="D687" t="str">
        <x:v>South</x:v>
      </x:c>
      <x:c r="E687" t="str">
        <x:v>linkedin</x:v>
      </x:c>
      <x:c r="F687" t="str">
        <x:v>BI-PLUS</x:v>
      </x:c>
      <x:c r="G687" t="str">
        <x:v>Healthcare</x:v>
      </x:c>
      <x:c r="H687" t="str">
        <x:v>SMB</x:v>
      </x:c>
      <x:c r="I687" t="str">
        <x:v>Negotiation</x:v>
      </x:c>
      <x:c r="J687" s="10" t="n">
        <x:v>46148</x:v>
      </x:c>
      <x:c r="K687" s="10"/>
      <x:c r="L687" s="22" t="n">
        <x:v>15600</x:v>
      </x:c>
      <x:c r="M687" s="24" t="n">
        <x:v>0.03</x:v>
      </x:c>
      <x:c r="N687" s="24" t="n">
        <x:v>0.85</x:v>
      </x:c>
      <x:c r="O687" t="str"/>
      <x:c r="P687" t="n">
        <x:v>5</x:v>
      </x:c>
      <x:c r="Q687" t="str">
        <x:f>IFERROR(XLOOKUP(E687,Lookups!$A$5:$A$24,Lookups!$B$5:$B$24),"Other")</x:f>
        <x:v>LinkedIn</x:v>
      </x:c>
      <x:c r="R687" t="str">
        <x:f>IFERROR(XLOOKUP(F687,Lookups!$D$5:$D$10,Lookups!$E$5:$E$10),"Unknown Product")</x:f>
        <x:v>Analytics Plus</x:v>
      </x:c>
      <x:c r="S687" t="str">
        <x:f>IFERROR(XLOOKUP(F687,Lookups!$D$5:$D$10,Lookups!$F$5:$F$10),"Unknown")</x:f>
        <x:v>Analytics</x:v>
      </x:c>
      <x:c r="T687" t="str">
        <x:f>IF(L687&gt;=50000,"Enterprise",IF(L687&gt;=20000,"Mid-Market","SMB"))</x:f>
        <x:v>SMB</x:v>
      </x:c>
      <x:c r="U687" t="str">
        <x:f>IF(I687="Closed Won","Won",IF(I687="Closed Lost","Lost","Open"))</x:f>
        <x:v>Open</x:v>
      </x:c>
      <x:c r="V687" s="22" t="n">
        <x:f>IF(U687="Won",L687*(1-M687),0)</x:f>
        <x:v>0</x:v>
      </x:c>
      <x:c r="W687" s="22" t="n">
        <x:f>IF(U687="Open",L687*N687,0)</x:f>
        <x:v>13260</x:v>
      </x:c>
      <x:c r="X687" s="26" t="str">
        <x:f>IF(U687="Open","",IFERROR(K687-B687,""))</x:f>
      </x:c>
      <x:c r="Y687" s="26" t="n">
        <x:f>IF(U687="Open",Lookups!$B$2-B687,X687)</x:f>
        <x:v>445</x:v>
      </x:c>
      <x:c r="Z687" t="str">
        <x:f>IF(AND(U687="Open",Y687&gt;30),"STALE","OK")</x:f>
        <x:v>STALE</x:v>
      </x:c>
      <x:c r="AA687" t="str">
        <x:f>TEXT(B687,"yyyy-mm")</x:f>
        <x:v>2025-06</x:v>
      </x:c>
      <x:c r="AB687" t="str">
        <x:f>IF(K687="","",TEXT(K687,"yyyy-mm"))</x:f>
      </x:c>
      <x:c r="AC687" t="str">
        <x:f>"Q"&amp;ROUNDUP(MONTH(B687)/3,0)&amp;"-"&amp;YEAR(B687)</x:f>
        <x:v>Q2-2025</x:v>
      </x:c>
      <x:c r="AD687" s="26" t="n">
        <x:f>MIN(100,IF(H687="Enterprise",30,IF(H687="Mid-Market",22,14))+IF(T687="Enterprise",25,IF(T687="Mid-Market",18,10))+IF(Q687="Referral",25,IF(Q687="Organic Search",20,IF(Q687="Email",18,14)))+IF(G687="Technology",10,5))</x:f>
        <x:v>43</x:v>
      </x:c>
      <x:c r="AE687" t="str">
        <x:f>IF(U687&lt;&gt;"Open",U687,IF(N687&gt;=0.8,"Commit",IF(N687&gt;=0.5,"Best Case","Pipeline")))</x:f>
        <x:v>Commit</x:v>
      </x:c>
    </x:row>
    <x:row r="688">
      <x:c r="A688" t="str">
        <x:v>L00687</x:v>
      </x:c>
      <x:c r="B688" s="10" t="n">
        <x:v>45759</x:v>
      </x:c>
      <x:c r="C688" t="str">
        <x:v>Minh Do</x:v>
      </x:c>
      <x:c r="D688" t="str">
        <x:v>North</x:v>
      </x:c>
      <x:c r="E688" t="str">
        <x:v>google cpc</x:v>
      </x:c>
      <x:c r="F688" t="str">
        <x:v>MKT-AUTO</x:v>
      </x:c>
      <x:c r="G688" t="str">
        <x:v>Financial Services</x:v>
      </x:c>
      <x:c r="H688" t="str">
        <x:v>Mid-Market</x:v>
      </x:c>
      <x:c r="I688" t="str">
        <x:v>Negotiation</x:v>
      </x:c>
      <x:c r="J688" s="10" t="n">
        <x:v>45987</x:v>
      </x:c>
      <x:c r="K688" s="10"/>
      <x:c r="L688" s="22" t="n">
        <x:v>31100</x:v>
      </x:c>
      <x:c r="M688" s="24" t="n">
        <x:v>0</x:v>
      </x:c>
      <x:c r="N688" s="24" t="n">
        <x:v>0.85</x:v>
      </x:c>
      <x:c r="O688" t="str"/>
      <x:c r="P688" t="n">
        <x:v>5</x:v>
      </x:c>
      <x:c r="Q688" t="str">
        <x:f>IFERROR(XLOOKUP(E688,Lookups!$A$5:$A$24,Lookups!$B$5:$B$24),"Other")</x:f>
        <x:v>Paid Search</x:v>
      </x:c>
      <x:c r="R688" t="str">
        <x:f>IFERROR(XLOOKUP(F688,Lookups!$D$5:$D$10,Lookups!$E$5:$E$10),"Unknown Product")</x:f>
        <x:v>Marketing Automation</x:v>
      </x:c>
      <x:c r="S688" t="str">
        <x:f>IFERROR(XLOOKUP(F688,Lookups!$D$5:$D$10,Lookups!$F$5:$F$10),"Unknown")</x:f>
        <x:v>Marketing</x:v>
      </x:c>
      <x:c r="T688" t="str">
        <x:f>IF(L688&gt;=50000,"Enterprise",IF(L688&gt;=20000,"Mid-Market","SMB"))</x:f>
        <x:v>Mid-Market</x:v>
      </x:c>
      <x:c r="U688" t="str">
        <x:f>IF(I688="Closed Won","Won",IF(I688="Closed Lost","Lost","Open"))</x:f>
        <x:v>Open</x:v>
      </x:c>
      <x:c r="V688" s="22" t="n">
        <x:f>IF(U688="Won",L688*(1-M688),0)</x:f>
        <x:v>0</x:v>
      </x:c>
      <x:c r="W688" s="22" t="n">
        <x:f>IF(U688="Open",L688*N688,0)</x:f>
        <x:v>26435</x:v>
      </x:c>
      <x:c r="X688" s="26" t="str">
        <x:f>IF(U688="Open","",IFERROR(K688-B688,""))</x:f>
      </x:c>
      <x:c r="Y688" s="26" t="n">
        <x:f>IF(U688="Open",Lookups!$B$2-B688,X688)</x:f>
        <x:v>507</x:v>
      </x:c>
      <x:c r="Z688" t="str">
        <x:f>IF(AND(U688="Open",Y688&gt;30),"STALE","OK")</x:f>
        <x:v>STALE</x:v>
      </x:c>
      <x:c r="AA688" t="str">
        <x:f>TEXT(B688,"yyyy-mm")</x:f>
        <x:v>2025-04</x:v>
      </x:c>
      <x:c r="AB688" t="str">
        <x:f>IF(K688="","",TEXT(K688,"yyyy-mm"))</x:f>
      </x:c>
      <x:c r="AC688" t="str">
        <x:f>"Q"&amp;ROUNDUP(MONTH(B688)/3,0)&amp;"-"&amp;YEAR(B688)</x:f>
        <x:v>Q2-2025</x:v>
      </x:c>
      <x:c r="AD688" s="26" t="n">
        <x:f>MIN(100,IF(H688="Enterprise",30,IF(H688="Mid-Market",22,14))+IF(T688="Enterprise",25,IF(T688="Mid-Market",18,10))+IF(Q688="Referral",25,IF(Q688="Organic Search",20,IF(Q688="Email",18,14)))+IF(G688="Technology",10,5))</x:f>
        <x:v>59</x:v>
      </x:c>
      <x:c r="AE688" t="str">
        <x:f>IF(U688&lt;&gt;"Open",U688,IF(N688&gt;=0.8,"Commit",IF(N688&gt;=0.5,"Best Case","Pipeline")))</x:f>
        <x:v>Commit</x:v>
      </x:c>
    </x:row>
    <x:row r="689">
      <x:c r="A689" t="str">
        <x:v>L00688</x:v>
      </x:c>
      <x:c r="B689" s="10" t="n">
        <x:v>45943</x:v>
      </x:c>
      <x:c r="C689" t="str">
        <x:v>Bao Tran</x:v>
      </x:c>
      <x:c r="D689" t="str">
        <x:v>South</x:v>
      </x:c>
      <x:c r="E689" t="str">
        <x:v>Google Ads</x:v>
      </x:c>
      <x:c r="F689" t="str">
        <x:v>REV-OPS</x:v>
      </x:c>
      <x:c r="G689" t="str">
        <x:v>Professional Services</x:v>
      </x:c>
      <x:c r="H689" t="str">
        <x:v>SMB</x:v>
      </x:c>
      <x:c r="I689" t="str">
        <x:v>Closed Lost</x:v>
      </x:c>
      <x:c r="J689" s="10" t="n">
        <x:v>45973</x:v>
      </x:c>
      <x:c r="K689" s="10" t="n">
        <x:v>45973</x:v>
      </x:c>
      <x:c r="L689" s="22" t="n">
        <x:v>34200</x:v>
      </x:c>
      <x:c r="M689" s="24" t="n">
        <x:v>0</x:v>
      </x:c>
      <x:c r="N689" s="24" t="n">
        <x:v>0</x:v>
      </x:c>
      <x:c r="O689" t="str">
        <x:v>Price</x:v>
      </x:c>
      <x:c r="P689" t="n">
        <x:v>3</x:v>
      </x:c>
      <x:c r="Q689" t="str">
        <x:f>IFERROR(XLOOKUP(E689,Lookups!$A$5:$A$24,Lookups!$B$5:$B$24),"Other")</x:f>
        <x:v>Paid Search</x:v>
      </x:c>
      <x:c r="R689" t="str">
        <x:f>IFERROR(XLOOKUP(F689,Lookups!$D$5:$D$10,Lookups!$E$5:$E$10),"Unknown Product")</x:f>
        <x:v>Revenue Operations Suite</x:v>
      </x:c>
      <x:c r="S689" t="str">
        <x:f>IFERROR(XLOOKUP(F689,Lookups!$D$5:$D$10,Lookups!$F$5:$F$10),"Unknown")</x:f>
        <x:v>Revenue Ops</x:v>
      </x:c>
      <x:c r="T689" t="str">
        <x:f>IF(L689&gt;=50000,"Enterprise",IF(L689&gt;=20000,"Mid-Market","SMB"))</x:f>
        <x:v>Mid-Market</x:v>
      </x:c>
      <x:c r="U689" t="str">
        <x:f>IF(I689="Closed Won","Won",IF(I689="Closed Lost","Lost","Open"))</x:f>
        <x:v>Lost</x:v>
      </x:c>
      <x:c r="V689" s="22" t="n">
        <x:f>IF(U689="Won",L689*(1-M689),0)</x:f>
        <x:v>0</x:v>
      </x:c>
      <x:c r="W689" s="22" t="n">
        <x:f>IF(U689="Open",L689*N689,0)</x:f>
        <x:v>0</x:v>
      </x:c>
      <x:c r="X689" s="26" t="n">
        <x:f>IF(U689="Open","",IFERROR(K689-B689,""))</x:f>
        <x:v>30</x:v>
      </x:c>
      <x:c r="Y689" s="26" t="n">
        <x:f>IF(U689="Open",Lookups!$B$2-B689,X689)</x:f>
        <x:v>30</x:v>
      </x:c>
      <x:c r="Z689" t="str">
        <x:f>IF(AND(U689="Open",Y689&gt;30),"STALE","OK")</x:f>
        <x:v>OK</x:v>
      </x:c>
      <x:c r="AA689" t="str">
        <x:f>TEXT(B689,"yyyy-mm")</x:f>
        <x:v>2025-10</x:v>
      </x:c>
      <x:c r="AB689" t="str">
        <x:f>IF(K689="","",TEXT(K689,"yyyy-mm"))</x:f>
        <x:v>2025-11</x:v>
      </x:c>
      <x:c r="AC689" t="str">
        <x:f>"Q"&amp;ROUNDUP(MONTH(B689)/3,0)&amp;"-"&amp;YEAR(B689)</x:f>
        <x:v>Q4-2025</x:v>
      </x:c>
      <x:c r="AD689" s="26" t="n">
        <x:f>MIN(100,IF(H689="Enterprise",30,IF(H689="Mid-Market",22,14))+IF(T689="Enterprise",25,IF(T689="Mid-Market",18,10))+IF(Q689="Referral",25,IF(Q689="Organic Search",20,IF(Q689="Email",18,14)))+IF(G689="Technology",10,5))</x:f>
        <x:v>51</x:v>
      </x:c>
      <x:c r="AE689" t="str">
        <x:f>IF(U689&lt;&gt;"Open",U689,IF(N689&gt;=0.8,"Commit",IF(N689&gt;=0.5,"Best Case","Pipeline")))</x:f>
        <x:v>Lost</x:v>
      </x:c>
    </x:row>
    <x:row r="690">
      <x:c r="A690" t="str">
        <x:v>L00689</x:v>
      </x:c>
      <x:c r="B690" s="10" t="n">
        <x:v>45740</x:v>
      </x:c>
      <x:c r="C690" t="str">
        <x:v>Ha Vo</x:v>
      </x:c>
      <x:c r="D690" t="str">
        <x:v>North</x:v>
      </x:c>
      <x:c r="E690" t="str">
        <x:v>newsletter</x:v>
      </x:c>
      <x:c r="F690" t="str">
        <x:v>CS-CLOUD</x:v>
      </x:c>
      <x:c r="G690" t="str">
        <x:v>Professional Services</x:v>
      </x:c>
      <x:c r="H690" t="str">
        <x:v>Mid-Market</x:v>
      </x:c>
      <x:c r="I690" t="str">
        <x:v>Negotiation</x:v>
      </x:c>
      <x:c r="J690" s="10" t="n">
        <x:v>46166</x:v>
      </x:c>
      <x:c r="K690" s="10"/>
      <x:c r="L690" s="22" t="n">
        <x:v>26300</x:v>
      </x:c>
      <x:c r="M690" s="24" t="n">
        <x:v>0.03</x:v>
      </x:c>
      <x:c r="N690" s="24" t="n">
        <x:v>0.85</x:v>
      </x:c>
      <x:c r="O690" t="str"/>
      <x:c r="P690" t="n">
        <x:v>5</x:v>
      </x:c>
      <x:c r="Q690" t="str">
        <x:f>IFERROR(XLOOKUP(E690,Lookups!$A$5:$A$24,Lookups!$B$5:$B$24),"Other")</x:f>
        <x:v>Email</x:v>
      </x:c>
      <x:c r="R690" t="str">
        <x:f>IFERROR(XLOOKUP(F690,Lookups!$D$5:$D$10,Lookups!$E$5:$E$10),"Unknown Product")</x:f>
        <x:v>Service Cloud</x:v>
      </x:c>
      <x:c r="S690" t="str">
        <x:f>IFERROR(XLOOKUP(F690,Lookups!$D$5:$D$10,Lookups!$F$5:$F$10),"Unknown")</x:f>
        <x:v>Customer Service</x:v>
      </x:c>
      <x:c r="T690" t="str">
        <x:f>IF(L690&gt;=50000,"Enterprise",IF(L690&gt;=20000,"Mid-Market","SMB"))</x:f>
        <x:v>Mid-Market</x:v>
      </x:c>
      <x:c r="U690" t="str">
        <x:f>IF(I690="Closed Won","Won",IF(I690="Closed Lost","Lost","Open"))</x:f>
        <x:v>Open</x:v>
      </x:c>
      <x:c r="V690" s="22" t="n">
        <x:f>IF(U690="Won",L690*(1-M690),0)</x:f>
        <x:v>0</x:v>
      </x:c>
      <x:c r="W690" s="22" t="n">
        <x:f>IF(U690="Open",L690*N690,0)</x:f>
        <x:v>22355</x:v>
      </x:c>
      <x:c r="X690" s="26" t="str">
        <x:f>IF(U690="Open","",IFERROR(K690-B690,""))</x:f>
      </x:c>
      <x:c r="Y690" s="26" t="n">
        <x:f>IF(U690="Open",Lookups!$B$2-B690,X690)</x:f>
        <x:v>526</x:v>
      </x:c>
      <x:c r="Z690" t="str">
        <x:f>IF(AND(U690="Open",Y690&gt;30),"STALE","OK")</x:f>
        <x:v>STALE</x:v>
      </x:c>
      <x:c r="AA690" t="str">
        <x:f>TEXT(B690,"yyyy-mm")</x:f>
        <x:v>2025-03</x:v>
      </x:c>
      <x:c r="AB690" t="str">
        <x:f>IF(K690="","",TEXT(K690,"yyyy-mm"))</x:f>
      </x:c>
      <x:c r="AC690" t="str">
        <x:f>"Q"&amp;ROUNDUP(MONTH(B690)/3,0)&amp;"-"&amp;YEAR(B690)</x:f>
        <x:v>Q1-2025</x:v>
      </x:c>
      <x:c r="AD690" s="26" t="n">
        <x:f>MIN(100,IF(H690="Enterprise",30,IF(H690="Mid-Market",22,14))+IF(T690="Enterprise",25,IF(T690="Mid-Market",18,10))+IF(Q690="Referral",25,IF(Q690="Organic Search",20,IF(Q690="Email",18,14)))+IF(G690="Technology",10,5))</x:f>
        <x:v>63</x:v>
      </x:c>
      <x:c r="AE690" t="str">
        <x:f>IF(U690&lt;&gt;"Open",U690,IF(N690&gt;=0.8,"Commit",IF(N690&gt;=0.5,"Best Case","Pipeline")))</x:f>
        <x:v>Commit</x:v>
      </x:c>
    </x:row>
    <x:row r="691">
      <x:c r="A691" t="str">
        <x:v>L00690</x:v>
      </x:c>
      <x:c r="B691" s="10" t="n">
        <x:v>46120</x:v>
      </x:c>
      <x:c r="C691" t="str">
        <x:v>Ha Vo</x:v>
      </x:c>
      <x:c r="D691" t="str">
        <x:v>North</x:v>
      </x:c>
      <x:c r="E691" t="str">
        <x:v>SEM - Google</x:v>
      </x:c>
      <x:c r="F691" t="str">
        <x:v>CRM-CORE</x:v>
      </x:c>
      <x:c r="G691" t="str">
        <x:v>Technology</x:v>
      </x:c>
      <x:c r="H691" t="str">
        <x:v>SMB</x:v>
      </x:c>
      <x:c r="I691" t="str">
        <x:v>Closed Won</x:v>
      </x:c>
      <x:c r="J691" s="10" t="n">
        <x:v>46155</x:v>
      </x:c>
      <x:c r="K691" s="10" t="n">
        <x:v>46155</x:v>
      </x:c>
      <x:c r="L691" s="22" t="n">
        <x:v>6400</x:v>
      </x:c>
      <x:c r="M691" s="24" t="n">
        <x:v>0</x:v>
      </x:c>
      <x:c r="N691" s="24" t="n">
        <x:v>1</x:v>
      </x:c>
      <x:c r="O691" t="str"/>
      <x:c r="P691" t="n">
        <x:v>6</x:v>
      </x:c>
      <x:c r="Q691" t="str">
        <x:f>IFERROR(XLOOKUP(E691,Lookups!$A$5:$A$24,Lookups!$B$5:$B$24),"Other")</x:f>
        <x:v>Paid Search</x:v>
      </x:c>
      <x:c r="R691" t="str">
        <x:f>IFERROR(XLOOKUP(F691,Lookups!$D$5:$D$10,Lookups!$E$5:$E$10),"Unknown Product")</x:f>
        <x:v>NexaCRM Core</x:v>
      </x:c>
      <x:c r="S691" t="str">
        <x:f>IFERROR(XLOOKUP(F691,Lookups!$D$5:$D$10,Lookups!$F$5:$F$10),"Unknown")</x:f>
        <x:v>CRM</x:v>
      </x:c>
      <x:c r="T691" t="str">
        <x:f>IF(L691&gt;=50000,"Enterprise",IF(L691&gt;=20000,"Mid-Market","SMB"))</x:f>
        <x:v>SMB</x:v>
      </x:c>
      <x:c r="U691" t="str">
        <x:f>IF(I691="Closed Won","Won",IF(I691="Closed Lost","Lost","Open"))</x:f>
        <x:v>Won</x:v>
      </x:c>
      <x:c r="V691" s="22" t="n">
        <x:f>IF(U691="Won",L691*(1-M691),0)</x:f>
        <x:v>6400</x:v>
      </x:c>
      <x:c r="W691" s="22" t="n">
        <x:f>IF(U691="Open",L691*N691,0)</x:f>
        <x:v>0</x:v>
      </x:c>
      <x:c r="X691" s="26" t="n">
        <x:f>IF(U691="Open","",IFERROR(K691-B691,""))</x:f>
        <x:v>35</x:v>
      </x:c>
      <x:c r="Y691" s="26" t="n">
        <x:f>IF(U691="Open",Lookups!$B$2-B691,X691)</x:f>
        <x:v>35</x:v>
      </x:c>
      <x:c r="Z691" t="str">
        <x:f>IF(AND(U691="Open",Y691&gt;30),"STALE","OK")</x:f>
        <x:v>OK</x:v>
      </x:c>
      <x:c r="AA691" t="str">
        <x:f>TEXT(B691,"yyyy-mm")</x:f>
        <x:v>2026-04</x:v>
      </x:c>
      <x:c r="AB691" t="str">
        <x:f>IF(K691="","",TEXT(K691,"yyyy-mm"))</x:f>
        <x:v>2026-05</x:v>
      </x:c>
      <x:c r="AC691" t="str">
        <x:f>"Q"&amp;ROUNDUP(MONTH(B691)/3,0)&amp;"-"&amp;YEAR(B691)</x:f>
        <x:v>Q2-2026</x:v>
      </x:c>
      <x:c r="AD691" s="26" t="n">
        <x:f>MIN(100,IF(H691="Enterprise",30,IF(H691="Mid-Market",22,14))+IF(T691="Enterprise",25,IF(T691="Mid-Market",18,10))+IF(Q691="Referral",25,IF(Q691="Organic Search",20,IF(Q691="Email",18,14)))+IF(G691="Technology",10,5))</x:f>
        <x:v>48</x:v>
      </x:c>
      <x:c r="AE691" t="str">
        <x:f>IF(U691&lt;&gt;"Open",U691,IF(N691&gt;=0.8,"Commit",IF(N691&gt;=0.5,"Best Case","Pipeline")))</x:f>
        <x:v>Won</x:v>
      </x:c>
    </x:row>
    <x:row r="692">
      <x:c r="A692" t="str">
        <x:v>L00691</x:v>
      </x:c>
      <x:c r="B692" s="10" t="n">
        <x:v>46096</x:v>
      </x:c>
      <x:c r="C692" t="str">
        <x:v>Tuan Bui</x:v>
      </x:c>
      <x:c r="D692" t="str">
        <x:v>Central</x:v>
      </x:c>
      <x:c r="E692" t="str">
        <x:v>linkedin</x:v>
      </x:c>
      <x:c r="F692" t="str">
        <x:v>CRM-CORE</x:v>
      </x:c>
      <x:c r="G692" t="str">
        <x:v>Retail</x:v>
      </x:c>
      <x:c r="H692" t="str">
        <x:v>SMB</x:v>
      </x:c>
      <x:c r="I692" t="str">
        <x:v>Closed Lost</x:v>
      </x:c>
      <x:c r="J692" s="10" t="n">
        <x:v>46161</x:v>
      </x:c>
      <x:c r="K692" s="10" t="n">
        <x:v>46161</x:v>
      </x:c>
      <x:c r="L692" s="22" t="n">
        <x:v>8900</x:v>
      </x:c>
      <x:c r="M692" s="24" t="n">
        <x:v>0</x:v>
      </x:c>
      <x:c r="N692" s="24" t="n">
        <x:v>0</x:v>
      </x:c>
      <x:c r="O692" t="str">
        <x:v>Competitor</x:v>
      </x:c>
      <x:c r="P692" t="n">
        <x:v>4</x:v>
      </x:c>
      <x:c r="Q692" t="str">
        <x:f>IFERROR(XLOOKUP(E692,Lookups!$A$5:$A$24,Lookups!$B$5:$B$24),"Other")</x:f>
        <x:v>LinkedIn</x:v>
      </x:c>
      <x:c r="R692" t="str">
        <x:f>IFERROR(XLOOKUP(F692,Lookups!$D$5:$D$10,Lookups!$E$5:$E$10),"Unknown Product")</x:f>
        <x:v>NexaCRM Core</x:v>
      </x:c>
      <x:c r="S692" t="str">
        <x:f>IFERROR(XLOOKUP(F692,Lookups!$D$5:$D$10,Lookups!$F$5:$F$10),"Unknown")</x:f>
        <x:v>CRM</x:v>
      </x:c>
      <x:c r="T692" t="str">
        <x:f>IF(L692&gt;=50000,"Enterprise",IF(L692&gt;=20000,"Mid-Market","SMB"))</x:f>
        <x:v>SMB</x:v>
      </x:c>
      <x:c r="U692" t="str">
        <x:f>IF(I692="Closed Won","Won",IF(I692="Closed Lost","Lost","Open"))</x:f>
        <x:v>Lost</x:v>
      </x:c>
      <x:c r="V692" s="22" t="n">
        <x:f>IF(U692="Won",L692*(1-M692),0)</x:f>
        <x:v>0</x:v>
      </x:c>
      <x:c r="W692" s="22" t="n">
        <x:f>IF(U692="Open",L692*N692,0)</x:f>
        <x:v>0</x:v>
      </x:c>
      <x:c r="X692" s="26" t="n">
        <x:f>IF(U692="Open","",IFERROR(K692-B692,""))</x:f>
        <x:v>65</x:v>
      </x:c>
      <x:c r="Y692" s="26" t="n">
        <x:f>IF(U692="Open",Lookups!$B$2-B692,X692)</x:f>
        <x:v>65</x:v>
      </x:c>
      <x:c r="Z692" t="str">
        <x:f>IF(AND(U692="Open",Y692&gt;30),"STALE","OK")</x:f>
        <x:v>OK</x:v>
      </x:c>
      <x:c r="AA692" t="str">
        <x:f>TEXT(B692,"yyyy-mm")</x:f>
        <x:v>2026-03</x:v>
      </x:c>
      <x:c r="AB692" t="str">
        <x:f>IF(K692="","",TEXT(K692,"yyyy-mm"))</x:f>
        <x:v>2026-05</x:v>
      </x:c>
      <x:c r="AC692" t="str">
        <x:f>"Q"&amp;ROUNDUP(MONTH(B692)/3,0)&amp;"-"&amp;YEAR(B692)</x:f>
        <x:v>Q1-2026</x:v>
      </x:c>
      <x:c r="AD692" s="26" t="n">
        <x:f>MIN(100,IF(H692="Enterprise",30,IF(H692="Mid-Market",22,14))+IF(T692="Enterprise",25,IF(T692="Mid-Market",18,10))+IF(Q692="Referral",25,IF(Q692="Organic Search",20,IF(Q692="Email",18,14)))+IF(G692="Technology",10,5))</x:f>
        <x:v>43</x:v>
      </x:c>
      <x:c r="AE692" t="str">
        <x:f>IF(U692&lt;&gt;"Open",U692,IF(N692&gt;=0.8,"Commit",IF(N692&gt;=0.5,"Best Case","Pipeline")))</x:f>
        <x:v>Lost</x:v>
      </x:c>
    </x:row>
    <x:row r="693">
      <x:c r="A693" t="str">
        <x:v>L00692</x:v>
      </x:c>
      <x:c r="B693" s="10" t="n">
        <x:v>46022</x:v>
      </x:c>
      <x:c r="C693" t="str">
        <x:v>Minh Do</x:v>
      </x:c>
      <x:c r="D693" t="str">
        <x:v>North</x:v>
      </x:c>
      <x:c r="E693" t="str">
        <x:v>Partner Referral</x:v>
      </x:c>
      <x:c r="F693" t="str">
        <x:v>BI-PLUS</x:v>
      </x:c>
      <x:c r="G693" t="str">
        <x:v>Financial Services</x:v>
      </x:c>
      <x:c r="H693" t="str">
        <x:v>Mid-Market</x:v>
      </x:c>
      <x:c r="I693" t="str">
        <x:v>Closed Won</x:v>
      </x:c>
      <x:c r="J693" s="10" t="n">
        <x:v>46096</x:v>
      </x:c>
      <x:c r="K693" s="10" t="n">
        <x:v>46096</x:v>
      </x:c>
      <x:c r="L693" s="22" t="n">
        <x:v>43300</x:v>
      </x:c>
      <x:c r="M693" s="24" t="n">
        <x:v>0.1</x:v>
      </x:c>
      <x:c r="N693" s="24" t="n">
        <x:v>1</x:v>
      </x:c>
      <x:c r="O693" t="str"/>
      <x:c r="P693" t="n">
        <x:v>6</x:v>
      </x:c>
      <x:c r="Q693" t="str">
        <x:f>IFERROR(XLOOKUP(E693,Lookups!$A$5:$A$24,Lookups!$B$5:$B$24),"Other")</x:f>
        <x:v>Referral</x:v>
      </x:c>
      <x:c r="R693" t="str">
        <x:f>IFERROR(XLOOKUP(F693,Lookups!$D$5:$D$10,Lookups!$E$5:$E$10),"Unknown Product")</x:f>
        <x:v>Analytics Plus</x:v>
      </x:c>
      <x:c r="S693" t="str">
        <x:f>IFERROR(XLOOKUP(F693,Lookups!$D$5:$D$10,Lookups!$F$5:$F$10),"Unknown")</x:f>
        <x:v>Analytics</x:v>
      </x:c>
      <x:c r="T693" t="str">
        <x:f>IF(L693&gt;=50000,"Enterprise",IF(L693&gt;=20000,"Mid-Market","SMB"))</x:f>
        <x:v>Mid-Market</x:v>
      </x:c>
      <x:c r="U693" t="str">
        <x:f>IF(I693="Closed Won","Won",IF(I693="Closed Lost","Lost","Open"))</x:f>
        <x:v>Won</x:v>
      </x:c>
      <x:c r="V693" s="22" t="n">
        <x:f>IF(U693="Won",L693*(1-M693),0)</x:f>
        <x:v>38970</x:v>
      </x:c>
      <x:c r="W693" s="22" t="n">
        <x:f>IF(U693="Open",L693*N693,0)</x:f>
        <x:v>0</x:v>
      </x:c>
      <x:c r="X693" s="26" t="n">
        <x:f>IF(U693="Open","",IFERROR(K693-B693,""))</x:f>
        <x:v>74</x:v>
      </x:c>
      <x:c r="Y693" s="26" t="n">
        <x:f>IF(U693="Open",Lookups!$B$2-B693,X693)</x:f>
        <x:v>74</x:v>
      </x:c>
      <x:c r="Z693" t="str">
        <x:f>IF(AND(U693="Open",Y693&gt;30),"STALE","OK")</x:f>
        <x:v>OK</x:v>
      </x:c>
      <x:c r="AA693" t="str">
        <x:f>TEXT(B693,"yyyy-mm")</x:f>
        <x:v>2025-12</x:v>
      </x:c>
      <x:c r="AB693" t="str">
        <x:f>IF(K693="","",TEXT(K693,"yyyy-mm"))</x:f>
        <x:v>2026-03</x:v>
      </x:c>
      <x:c r="AC693" t="str">
        <x:f>"Q"&amp;ROUNDUP(MONTH(B693)/3,0)&amp;"-"&amp;YEAR(B693)</x:f>
        <x:v>Q4-2025</x:v>
      </x:c>
      <x:c r="AD693" s="26" t="n">
        <x:f>MIN(100,IF(H693="Enterprise",30,IF(H693="Mid-Market",22,14))+IF(T693="Enterprise",25,IF(T693="Mid-Market",18,10))+IF(Q693="Referral",25,IF(Q693="Organic Search",20,IF(Q693="Email",18,14)))+IF(G693="Technology",10,5))</x:f>
        <x:v>70</x:v>
      </x:c>
      <x:c r="AE693" t="str">
        <x:f>IF(U693&lt;&gt;"Open",U693,IF(N693&gt;=0.8,"Commit",IF(N693&gt;=0.5,"Best Case","Pipeline")))</x:f>
        <x:v>Won</x:v>
      </x:c>
    </x:row>
    <x:row r="694">
      <x:c r="A694" t="str">
        <x:v>L00693</x:v>
      </x:c>
      <x:c r="B694" s="10" t="n">
        <x:v>45729</x:v>
      </x:c>
      <x:c r="C694" t="str">
        <x:v>Minh Do</x:v>
      </x:c>
      <x:c r="D694" t="str">
        <x:v>North</x:v>
      </x:c>
      <x:c r="E694" t="str">
        <x:v>SEO</x:v>
      </x:c>
      <x:c r="F694" t="str">
        <x:v>CS-CLOUD</x:v>
      </x:c>
      <x:c r="G694" t="str">
        <x:v>Manufacturing</x:v>
      </x:c>
      <x:c r="H694" t="str">
        <x:v>SMB</x:v>
      </x:c>
      <x:c r="I694" t="str">
        <x:v>Closed Lost</x:v>
      </x:c>
      <x:c r="J694" s="10" t="n">
        <x:v>45757</x:v>
      </x:c>
      <x:c r="K694" s="10" t="n">
        <x:v>45757</x:v>
      </x:c>
      <x:c r="L694" s="22" t="n">
        <x:v>24700</x:v>
      </x:c>
      <x:c r="M694" s="24" t="n">
        <x:v>0</x:v>
      </x:c>
      <x:c r="N694" s="24" t="n">
        <x:v>0</x:v>
      </x:c>
      <x:c r="O694" t="str">
        <x:v>Competitor</x:v>
      </x:c>
      <x:c r="P694" t="n">
        <x:v>4</x:v>
      </x:c>
      <x:c r="Q694" t="str">
        <x:f>IFERROR(XLOOKUP(E694,Lookups!$A$5:$A$24,Lookups!$B$5:$B$24),"Other")</x:f>
        <x:v>Organic Search</x:v>
      </x:c>
      <x:c r="R694" t="str">
        <x:f>IFERROR(XLOOKUP(F694,Lookups!$D$5:$D$10,Lookups!$E$5:$E$10),"Unknown Product")</x:f>
        <x:v>Service Cloud</x:v>
      </x:c>
      <x:c r="S694" t="str">
        <x:f>IFERROR(XLOOKUP(F694,Lookups!$D$5:$D$10,Lookups!$F$5:$F$10),"Unknown")</x:f>
        <x:v>Customer Service</x:v>
      </x:c>
      <x:c r="T694" t="str">
        <x:f>IF(L694&gt;=50000,"Enterprise",IF(L694&gt;=20000,"Mid-Market","SMB"))</x:f>
        <x:v>Mid-Market</x:v>
      </x:c>
      <x:c r="U694" t="str">
        <x:f>IF(I694="Closed Won","Won",IF(I694="Closed Lost","Lost","Open"))</x:f>
        <x:v>Lost</x:v>
      </x:c>
      <x:c r="V694" s="22" t="n">
        <x:f>IF(U694="Won",L694*(1-M694),0)</x:f>
        <x:v>0</x:v>
      </x:c>
      <x:c r="W694" s="22" t="n">
        <x:f>IF(U694="Open",L694*N694,0)</x:f>
        <x:v>0</x:v>
      </x:c>
      <x:c r="X694" s="26" t="n">
        <x:f>IF(U694="Open","",IFERROR(K694-B694,""))</x:f>
        <x:v>28</x:v>
      </x:c>
      <x:c r="Y694" s="26" t="n">
        <x:f>IF(U694="Open",Lookups!$B$2-B694,X694)</x:f>
        <x:v>28</x:v>
      </x:c>
      <x:c r="Z694" t="str">
        <x:f>IF(AND(U694="Open",Y694&gt;30),"STALE","OK")</x:f>
        <x:v>OK</x:v>
      </x:c>
      <x:c r="AA694" t="str">
        <x:f>TEXT(B694,"yyyy-mm")</x:f>
        <x:v>2025-03</x:v>
      </x:c>
      <x:c r="AB694" t="str">
        <x:f>IF(K694="","",TEXT(K694,"yyyy-mm"))</x:f>
        <x:v>2025-04</x:v>
      </x:c>
      <x:c r="AC694" t="str">
        <x:f>"Q"&amp;ROUNDUP(MONTH(B694)/3,0)&amp;"-"&amp;YEAR(B694)</x:f>
        <x:v>Q1-2025</x:v>
      </x:c>
      <x:c r="AD694" s="26" t="n">
        <x:f>MIN(100,IF(H694="Enterprise",30,IF(H694="Mid-Market",22,14))+IF(T694="Enterprise",25,IF(T694="Mid-Market",18,10))+IF(Q694="Referral",25,IF(Q694="Organic Search",20,IF(Q694="Email",18,14)))+IF(G694="Technology",10,5))</x:f>
        <x:v>57</x:v>
      </x:c>
      <x:c r="AE694" t="str">
        <x:f>IF(U694&lt;&gt;"Open",U694,IF(N694&gt;=0.8,"Commit",IF(N694&gt;=0.5,"Best Case","Pipeline")))</x:f>
        <x:v>Lost</x:v>
      </x:c>
    </x:row>
    <x:row r="695">
      <x:c r="A695" t="str">
        <x:v>L00694</x:v>
      </x:c>
      <x:c r="B695" s="10" t="n">
        <x:v>46120</x:v>
      </x:c>
      <x:c r="C695" t="str">
        <x:v>Tuan Bui</x:v>
      </x:c>
      <x:c r="D695" t="str">
        <x:v>Central</x:v>
      </x:c>
      <x:c r="E695" t="str">
        <x:v>customer referral</x:v>
      </x:c>
      <x:c r="F695" t="str">
        <x:v>CS-CLOUD</x:v>
      </x:c>
      <x:c r="G695" t="str">
        <x:v>Manufacturing</x:v>
      </x:c>
      <x:c r="H695" t="str">
        <x:v>SMB</x:v>
      </x:c>
      <x:c r="I695" t="str">
        <x:v>Closed Lost</x:v>
      </x:c>
      <x:c r="J695" s="10" t="n">
        <x:v>46157</x:v>
      </x:c>
      <x:c r="K695" s="10" t="n">
        <x:v>46157</x:v>
      </x:c>
      <x:c r="L695" s="22" t="n">
        <x:v>23600</x:v>
      </x:c>
      <x:c r="M695" s="24" t="n">
        <x:v>0</x:v>
      </x:c>
      <x:c r="N695" s="24" t="n">
        <x:v>0</x:v>
      </x:c>
      <x:c r="O695" t="str">
        <x:v>No Decision</x:v>
      </x:c>
      <x:c r="P695" t="n">
        <x:v>3</x:v>
      </x:c>
      <x:c r="Q695" t="str">
        <x:f>IFERROR(XLOOKUP(E695,Lookups!$A$5:$A$24,Lookups!$B$5:$B$24),"Other")</x:f>
        <x:v>Referral</x:v>
      </x:c>
      <x:c r="R695" t="str">
        <x:f>IFERROR(XLOOKUP(F695,Lookups!$D$5:$D$10,Lookups!$E$5:$E$10),"Unknown Product")</x:f>
        <x:v>Service Cloud</x:v>
      </x:c>
      <x:c r="S695" t="str">
        <x:f>IFERROR(XLOOKUP(F695,Lookups!$D$5:$D$10,Lookups!$F$5:$F$10),"Unknown")</x:f>
        <x:v>Customer Service</x:v>
      </x:c>
      <x:c r="T695" t="str">
        <x:f>IF(L695&gt;=50000,"Enterprise",IF(L695&gt;=20000,"Mid-Market","SMB"))</x:f>
        <x:v>Mid-Market</x:v>
      </x:c>
      <x:c r="U695" t="str">
        <x:f>IF(I695="Closed Won","Won",IF(I695="Closed Lost","Lost","Open"))</x:f>
        <x:v>Lost</x:v>
      </x:c>
      <x:c r="V695" s="22" t="n">
        <x:f>IF(U695="Won",L695*(1-M695),0)</x:f>
        <x:v>0</x:v>
      </x:c>
      <x:c r="W695" s="22" t="n">
        <x:f>IF(U695="Open",L695*N695,0)</x:f>
        <x:v>0</x:v>
      </x:c>
      <x:c r="X695" s="26" t="n">
        <x:f>IF(U695="Open","",IFERROR(K695-B695,""))</x:f>
        <x:v>37</x:v>
      </x:c>
      <x:c r="Y695" s="26" t="n">
        <x:f>IF(U695="Open",Lookups!$B$2-B695,X695)</x:f>
        <x:v>37</x:v>
      </x:c>
      <x:c r="Z695" t="str">
        <x:f>IF(AND(U695="Open",Y695&gt;30),"STALE","OK")</x:f>
        <x:v>OK</x:v>
      </x:c>
      <x:c r="AA695" t="str">
        <x:f>TEXT(B695,"yyyy-mm")</x:f>
        <x:v>2026-04</x:v>
      </x:c>
      <x:c r="AB695" t="str">
        <x:f>IF(K695="","",TEXT(K695,"yyyy-mm"))</x:f>
        <x:v>2026-05</x:v>
      </x:c>
      <x:c r="AC695" t="str">
        <x:f>"Q"&amp;ROUNDUP(MONTH(B695)/3,0)&amp;"-"&amp;YEAR(B695)</x:f>
        <x:v>Q2-2026</x:v>
      </x:c>
      <x:c r="AD695" s="26" t="n">
        <x:f>MIN(100,IF(H695="Enterprise",30,IF(H695="Mid-Market",22,14))+IF(T695="Enterprise",25,IF(T695="Mid-Market",18,10))+IF(Q695="Referral",25,IF(Q695="Organic Search",20,IF(Q695="Email",18,14)))+IF(G695="Technology",10,5))</x:f>
        <x:v>62</x:v>
      </x:c>
      <x:c r="AE695" t="str">
        <x:f>IF(U695&lt;&gt;"Open",U695,IF(N695&gt;=0.8,"Commit",IF(N695&gt;=0.5,"Best Case","Pipeline")))</x:f>
        <x:v>Lost</x:v>
      </x:c>
    </x:row>
    <x:row r="696">
      <x:c r="A696" t="str">
        <x:v>L00695</x:v>
      </x:c>
      <x:c r="B696" s="10" t="n">
        <x:v>45822</x:v>
      </x:c>
      <x:c r="C696" t="str">
        <x:v>Bao Tran</x:v>
      </x:c>
      <x:c r="D696" t="str">
        <x:v>South</x:v>
      </x:c>
      <x:c r="E696" t="str">
        <x:v>Referral</x:v>
      </x:c>
      <x:c r="F696" t="str">
        <x:v>CS-CLOUD</x:v>
      </x:c>
      <x:c r="G696" t="str">
        <x:v>Manufacturing</x:v>
      </x:c>
      <x:c r="H696" t="str">
        <x:v>SMB</x:v>
      </x:c>
      <x:c r="I696" t="str">
        <x:v>Closed Lost</x:v>
      </x:c>
      <x:c r="J696" s="10" t="n">
        <x:v>45867</x:v>
      </x:c>
      <x:c r="K696" s="10" t="n">
        <x:v>45867</x:v>
      </x:c>
      <x:c r="L696" s="22" t="n">
        <x:v>17500</x:v>
      </x:c>
      <x:c r="M696" s="24" t="n">
        <x:v>0</x:v>
      </x:c>
      <x:c r="N696" s="24" t="n">
        <x:v>0</x:v>
      </x:c>
      <x:c r="O696" t="str">
        <x:v>Budget</x:v>
      </x:c>
      <x:c r="P696" t="n">
        <x:v>3</x:v>
      </x:c>
      <x:c r="Q696" t="str">
        <x:f>IFERROR(XLOOKUP(E696,Lookups!$A$5:$A$24,Lookups!$B$5:$B$24),"Other")</x:f>
        <x:v>Referral</x:v>
      </x:c>
      <x:c r="R696" t="str">
        <x:f>IFERROR(XLOOKUP(F696,Lookups!$D$5:$D$10,Lookups!$E$5:$E$10),"Unknown Product")</x:f>
        <x:v>Service Cloud</x:v>
      </x:c>
      <x:c r="S696" t="str">
        <x:f>IFERROR(XLOOKUP(F696,Lookups!$D$5:$D$10,Lookups!$F$5:$F$10),"Unknown")</x:f>
        <x:v>Customer Service</x:v>
      </x:c>
      <x:c r="T696" t="str">
        <x:f>IF(L696&gt;=50000,"Enterprise",IF(L696&gt;=20000,"Mid-Market","SMB"))</x:f>
        <x:v>SMB</x:v>
      </x:c>
      <x:c r="U696" t="str">
        <x:f>IF(I696="Closed Won","Won",IF(I696="Closed Lost","Lost","Open"))</x:f>
        <x:v>Lost</x:v>
      </x:c>
      <x:c r="V696" s="22" t="n">
        <x:f>IF(U696="Won",L696*(1-M696),0)</x:f>
        <x:v>0</x:v>
      </x:c>
      <x:c r="W696" s="22" t="n">
        <x:f>IF(U696="Open",L696*N696,0)</x:f>
        <x:v>0</x:v>
      </x:c>
      <x:c r="X696" s="26" t="n">
        <x:f>IF(U696="Open","",IFERROR(K696-B696,""))</x:f>
        <x:v>45</x:v>
      </x:c>
      <x:c r="Y696" s="26" t="n">
        <x:f>IF(U696="Open",Lookups!$B$2-B696,X696)</x:f>
        <x:v>45</x:v>
      </x:c>
      <x:c r="Z696" t="str">
        <x:f>IF(AND(U696="Open",Y696&gt;30),"STALE","OK")</x:f>
        <x:v>OK</x:v>
      </x:c>
      <x:c r="AA696" t="str">
        <x:f>TEXT(B696,"yyyy-mm")</x:f>
        <x:v>2025-06</x:v>
      </x:c>
      <x:c r="AB696" t="str">
        <x:f>IF(K696="","",TEXT(K696,"yyyy-mm"))</x:f>
        <x:v>2025-07</x:v>
      </x:c>
      <x:c r="AC696" t="str">
        <x:f>"Q"&amp;ROUNDUP(MONTH(B696)/3,0)&amp;"-"&amp;YEAR(B696)</x:f>
        <x:v>Q2-2025</x:v>
      </x:c>
      <x:c r="AD696" s="26" t="n">
        <x:f>MIN(100,IF(H696="Enterprise",30,IF(H696="Mid-Market",22,14))+IF(T696="Enterprise",25,IF(T696="Mid-Market",18,10))+IF(Q696="Referral",25,IF(Q696="Organic Search",20,IF(Q696="Email",18,14)))+IF(G696="Technology",10,5))</x:f>
        <x:v>54</x:v>
      </x:c>
      <x:c r="AE696" t="str">
        <x:f>IF(U696&lt;&gt;"Open",U696,IF(N696&gt;=0.8,"Commit",IF(N696&gt;=0.5,"Best Case","Pipeline")))</x:f>
        <x:v>Lost</x:v>
      </x:c>
    </x:row>
    <x:row r="697">
      <x:c r="A697" t="str">
        <x:v>L00696</x:v>
      </x:c>
      <x:c r="B697" s="10" t="n">
        <x:v>46069</x:v>
      </x:c>
      <x:c r="C697" t="str">
        <x:v>An Nguyen</x:v>
      </x:c>
      <x:c r="D697" t="str">
        <x:v>South</x:v>
      </x:c>
      <x:c r="E697" t="str">
        <x:v>linkedin</x:v>
      </x:c>
      <x:c r="F697" t="str">
        <x:v>CS-CLOUD</x:v>
      </x:c>
      <x:c r="G697" t="str">
        <x:v>Financial Services</x:v>
      </x:c>
      <x:c r="H697" t="str">
        <x:v>Mid-Market</x:v>
      </x:c>
      <x:c r="I697" t="str">
        <x:v>Closed Lost</x:v>
      </x:c>
      <x:c r="J697" s="10" t="n">
        <x:v>46114</x:v>
      </x:c>
      <x:c r="K697" s="10" t="n">
        <x:v>46114</x:v>
      </x:c>
      <x:c r="L697" s="22" t="n">
        <x:v>24300</x:v>
      </x:c>
      <x:c r="M697" s="24" t="n">
        <x:v>0</x:v>
      </x:c>
      <x:c r="N697" s="24" t="n">
        <x:v>0</x:v>
      </x:c>
      <x:c r="O697" t="str">
        <x:v>Budget</x:v>
      </x:c>
      <x:c r="P697" t="n">
        <x:v>2</x:v>
      </x:c>
      <x:c r="Q697" t="str">
        <x:f>IFERROR(XLOOKUP(E697,Lookups!$A$5:$A$24,Lookups!$B$5:$B$24),"Other")</x:f>
        <x:v>LinkedIn</x:v>
      </x:c>
      <x:c r="R697" t="str">
        <x:f>IFERROR(XLOOKUP(F697,Lookups!$D$5:$D$10,Lookups!$E$5:$E$10),"Unknown Product")</x:f>
        <x:v>Service Cloud</x:v>
      </x:c>
      <x:c r="S697" t="str">
        <x:f>IFERROR(XLOOKUP(F697,Lookups!$D$5:$D$10,Lookups!$F$5:$F$10),"Unknown")</x:f>
        <x:v>Customer Service</x:v>
      </x:c>
      <x:c r="T697" t="str">
        <x:f>IF(L697&gt;=50000,"Enterprise",IF(L697&gt;=20000,"Mid-Market","SMB"))</x:f>
        <x:v>Mid-Market</x:v>
      </x:c>
      <x:c r="U697" t="str">
        <x:f>IF(I697="Closed Won","Won",IF(I697="Closed Lost","Lost","Open"))</x:f>
        <x:v>Lost</x:v>
      </x:c>
      <x:c r="V697" s="22" t="n">
        <x:f>IF(U697="Won",L697*(1-M697),0)</x:f>
        <x:v>0</x:v>
      </x:c>
      <x:c r="W697" s="22" t="n">
        <x:f>IF(U697="Open",L697*N697,0)</x:f>
        <x:v>0</x:v>
      </x:c>
      <x:c r="X697" s="26" t="n">
        <x:f>IF(U697="Open","",IFERROR(K697-B697,""))</x:f>
        <x:v>45</x:v>
      </x:c>
      <x:c r="Y697" s="26" t="n">
        <x:f>IF(U697="Open",Lookups!$B$2-B697,X697)</x:f>
        <x:v>45</x:v>
      </x:c>
      <x:c r="Z697" t="str">
        <x:f>IF(AND(U697="Open",Y697&gt;30),"STALE","OK")</x:f>
        <x:v>OK</x:v>
      </x:c>
      <x:c r="AA697" t="str">
        <x:f>TEXT(B697,"yyyy-mm")</x:f>
        <x:v>2026-02</x:v>
      </x:c>
      <x:c r="AB697" t="str">
        <x:f>IF(K697="","",TEXT(K697,"yyyy-mm"))</x:f>
        <x:v>2026-04</x:v>
      </x:c>
      <x:c r="AC697" t="str">
        <x:f>"Q"&amp;ROUNDUP(MONTH(B697)/3,0)&amp;"-"&amp;YEAR(B697)</x:f>
        <x:v>Q1-2026</x:v>
      </x:c>
      <x:c r="AD697" s="26" t="n">
        <x:f>MIN(100,IF(H697="Enterprise",30,IF(H697="Mid-Market",22,14))+IF(T697="Enterprise",25,IF(T697="Mid-Market",18,10))+IF(Q697="Referral",25,IF(Q697="Organic Search",20,IF(Q697="Email",18,14)))+IF(G697="Technology",10,5))</x:f>
        <x:v>59</x:v>
      </x:c>
      <x:c r="AE697" t="str">
        <x:f>IF(U697&lt;&gt;"Open",U697,IF(N697&gt;=0.8,"Commit",IF(N697&gt;=0.5,"Best Case","Pipeline")))</x:f>
        <x:v>Lost</x:v>
      </x:c>
    </x:row>
    <x:row r="698">
      <x:c r="A698" t="str">
        <x:v>L00697</x:v>
      </x:c>
      <x:c r="B698" s="10" t="n">
        <x:v>46100</x:v>
      </x:c>
      <x:c r="C698" t="str">
        <x:v>Chi Le</x:v>
      </x:c>
      <x:c r="D698" t="str">
        <x:v>South</x:v>
      </x:c>
      <x:c r="E698" t="str">
        <x:v>linkedin</x:v>
      </x:c>
      <x:c r="F698" t="str">
        <x:v>BI-PLUS</x:v>
      </x:c>
      <x:c r="G698" t="str">
        <x:v>Technology</x:v>
      </x:c>
      <x:c r="H698" t="str">
        <x:v>Enterprise</x:v>
      </x:c>
      <x:c r="I698" t="str">
        <x:v>Closed Lost</x:v>
      </x:c>
      <x:c r="J698" s="10" t="n">
        <x:v>46118</x:v>
      </x:c>
      <x:c r="K698" s="10" t="n">
        <x:v>46118</x:v>
      </x:c>
      <x:c r="L698" s="22" t="n">
        <x:v>68900</x:v>
      </x:c>
      <x:c r="M698" s="24" t="n">
        <x:v>0</x:v>
      </x:c>
      <x:c r="N698" s="24" t="n">
        <x:v>0</x:v>
      </x:c>
      <x:c r="O698" t="str">
        <x:v>Budget</x:v>
      </x:c>
      <x:c r="P698" t="n">
        <x:v>4</x:v>
      </x:c>
      <x:c r="Q698" t="str">
        <x:f>IFERROR(XLOOKUP(E698,Lookups!$A$5:$A$24,Lookups!$B$5:$B$24),"Other")</x:f>
        <x:v>LinkedIn</x:v>
      </x:c>
      <x:c r="R698" t="str">
        <x:f>IFERROR(XLOOKUP(F698,Lookups!$D$5:$D$10,Lookups!$E$5:$E$10),"Unknown Product")</x:f>
        <x:v>Analytics Plus</x:v>
      </x:c>
      <x:c r="S698" t="str">
        <x:f>IFERROR(XLOOKUP(F698,Lookups!$D$5:$D$10,Lookups!$F$5:$F$10),"Unknown")</x:f>
        <x:v>Analytics</x:v>
      </x:c>
      <x:c r="T698" t="str">
        <x:f>IF(L698&gt;=50000,"Enterprise",IF(L698&gt;=20000,"Mid-Market","SMB"))</x:f>
        <x:v>Enterprise</x:v>
      </x:c>
      <x:c r="U698" t="str">
        <x:f>IF(I698="Closed Won","Won",IF(I698="Closed Lost","Lost","Open"))</x:f>
        <x:v>Lost</x:v>
      </x:c>
      <x:c r="V698" s="22" t="n">
        <x:f>IF(U698="Won",L698*(1-M698),0)</x:f>
        <x:v>0</x:v>
      </x:c>
      <x:c r="W698" s="22" t="n">
        <x:f>IF(U698="Open",L698*N698,0)</x:f>
        <x:v>0</x:v>
      </x:c>
      <x:c r="X698" s="26" t="n">
        <x:f>IF(U698="Open","",IFERROR(K698-B698,""))</x:f>
        <x:v>18</x:v>
      </x:c>
      <x:c r="Y698" s="26" t="n">
        <x:f>IF(U698="Open",Lookups!$B$2-B698,X698)</x:f>
        <x:v>18</x:v>
      </x:c>
      <x:c r="Z698" t="str">
        <x:f>IF(AND(U698="Open",Y698&gt;30),"STALE","OK")</x:f>
        <x:v>OK</x:v>
      </x:c>
      <x:c r="AA698" t="str">
        <x:f>TEXT(B698,"yyyy-mm")</x:f>
        <x:v>2026-03</x:v>
      </x:c>
      <x:c r="AB698" t="str">
        <x:f>IF(K698="","",TEXT(K698,"yyyy-mm"))</x:f>
        <x:v>2026-04</x:v>
      </x:c>
      <x:c r="AC698" t="str">
        <x:f>"Q"&amp;ROUNDUP(MONTH(B698)/3,0)&amp;"-"&amp;YEAR(B698)</x:f>
        <x:v>Q1-2026</x:v>
      </x:c>
      <x:c r="AD698" s="26" t="n">
        <x:f>MIN(100,IF(H698="Enterprise",30,IF(H698="Mid-Market",22,14))+IF(T698="Enterprise",25,IF(T698="Mid-Market",18,10))+IF(Q698="Referral",25,IF(Q698="Organic Search",20,IF(Q698="Email",18,14)))+IF(G698="Technology",10,5))</x:f>
        <x:v>79</x:v>
      </x:c>
      <x:c r="AE698" t="str">
        <x:f>IF(U698&lt;&gt;"Open",U698,IF(N698&gt;=0.8,"Commit",IF(N698&gt;=0.5,"Best Case","Pipeline")))</x:f>
        <x:v>Lost</x:v>
      </x:c>
    </x:row>
    <x:row r="699">
      <x:c r="A699" t="str">
        <x:v>L00698</x:v>
      </x:c>
      <x:c r="B699" s="10" t="n">
        <x:v>45977</x:v>
      </x:c>
      <x:c r="C699" t="str">
        <x:v>Chi Le</x:v>
      </x:c>
      <x:c r="D699" t="str">
        <x:v>South</x:v>
      </x:c>
      <x:c r="E699" t="str">
        <x:v>Partner Referral</x:v>
      </x:c>
      <x:c r="F699" t="str">
        <x:v>CS-CLOUD</x:v>
      </x:c>
      <x:c r="G699" t="str">
        <x:v>Technology</x:v>
      </x:c>
      <x:c r="H699" t="str">
        <x:v>SMB</x:v>
      </x:c>
      <x:c r="I699" t="str">
        <x:v>Closed Lost</x:v>
      </x:c>
      <x:c r="J699" s="10" t="n">
        <x:v>46052</x:v>
      </x:c>
      <x:c r="K699" s="10" t="n">
        <x:v>46052</x:v>
      </x:c>
      <x:c r="L699" s="22" t="n">
        <x:v>12400</x:v>
      </x:c>
      <x:c r="M699" s="24" t="n">
        <x:v>0</x:v>
      </x:c>
      <x:c r="N699" s="24" t="n">
        <x:v>0</x:v>
      </x:c>
      <x:c r="O699" t="str">
        <x:v>Feature Gap</x:v>
      </x:c>
      <x:c r="P699" t="n">
        <x:v>3</x:v>
      </x:c>
      <x:c r="Q699" t="str">
        <x:f>IFERROR(XLOOKUP(E699,Lookups!$A$5:$A$24,Lookups!$B$5:$B$24),"Other")</x:f>
        <x:v>Referral</x:v>
      </x:c>
      <x:c r="R699" t="str">
        <x:f>IFERROR(XLOOKUP(F699,Lookups!$D$5:$D$10,Lookups!$E$5:$E$10),"Unknown Product")</x:f>
        <x:v>Service Cloud</x:v>
      </x:c>
      <x:c r="S699" t="str">
        <x:f>IFERROR(XLOOKUP(F699,Lookups!$D$5:$D$10,Lookups!$F$5:$F$10),"Unknown")</x:f>
        <x:v>Customer Service</x:v>
      </x:c>
      <x:c r="T699" t="str">
        <x:f>IF(L699&gt;=50000,"Enterprise",IF(L699&gt;=20000,"Mid-Market","SMB"))</x:f>
        <x:v>SMB</x:v>
      </x:c>
      <x:c r="U699" t="str">
        <x:f>IF(I699="Closed Won","Won",IF(I699="Closed Lost","Lost","Open"))</x:f>
        <x:v>Lost</x:v>
      </x:c>
      <x:c r="V699" s="22" t="n">
        <x:f>IF(U699="Won",L699*(1-M699),0)</x:f>
        <x:v>0</x:v>
      </x:c>
      <x:c r="W699" s="22" t="n">
        <x:f>IF(U699="Open",L699*N699,0)</x:f>
        <x:v>0</x:v>
      </x:c>
      <x:c r="X699" s="26" t="n">
        <x:f>IF(U699="Open","",IFERROR(K699-B699,""))</x:f>
        <x:v>75</x:v>
      </x:c>
      <x:c r="Y699" s="26" t="n">
        <x:f>IF(U699="Open",Lookups!$B$2-B699,X699)</x:f>
        <x:v>75</x:v>
      </x:c>
      <x:c r="Z699" t="str">
        <x:f>IF(AND(U699="Open",Y699&gt;30),"STALE","OK")</x:f>
        <x:v>OK</x:v>
      </x:c>
      <x:c r="AA699" t="str">
        <x:f>TEXT(B699,"yyyy-mm")</x:f>
        <x:v>2025-11</x:v>
      </x:c>
      <x:c r="AB699" t="str">
        <x:f>IF(K699="","",TEXT(K699,"yyyy-mm"))</x:f>
        <x:v>2026-01</x:v>
      </x:c>
      <x:c r="AC699" t="str">
        <x:f>"Q"&amp;ROUNDUP(MONTH(B699)/3,0)&amp;"-"&amp;YEAR(B699)</x:f>
        <x:v>Q4-2025</x:v>
      </x:c>
      <x:c r="AD699" s="26" t="n">
        <x:f>MIN(100,IF(H699="Enterprise",30,IF(H699="Mid-Market",22,14))+IF(T699="Enterprise",25,IF(T699="Mid-Market",18,10))+IF(Q699="Referral",25,IF(Q699="Organic Search",20,IF(Q699="Email",18,14)))+IF(G699="Technology",10,5))</x:f>
        <x:v>59</x:v>
      </x:c>
      <x:c r="AE699" t="str">
        <x:f>IF(U699&lt;&gt;"Open",U699,IF(N699&gt;=0.8,"Commit",IF(N699&gt;=0.5,"Best Case","Pipeline")))</x:f>
        <x:v>Lost</x:v>
      </x:c>
    </x:row>
    <x:row r="700">
      <x:c r="A700" t="str">
        <x:v>L00699</x:v>
      </x:c>
      <x:c r="B700" s="10" t="n">
        <x:v>45669</x:v>
      </x:c>
      <x:c r="C700" t="str">
        <x:v>Chi Le</x:v>
      </x:c>
      <x:c r="D700" t="str">
        <x:v>South</x:v>
      </x:c>
      <x:c r="E700" t="str">
        <x:v>SEM - Google</x:v>
      </x:c>
      <x:c r="F700" t="str">
        <x:v>CRM-CORE</x:v>
      </x:c>
      <x:c r="G700" t="str">
        <x:v>Education</x:v>
      </x:c>
      <x:c r="H700" t="str">
        <x:v>SMB</x:v>
      </x:c>
      <x:c r="I700" t="str">
        <x:v>Closed Lost</x:v>
      </x:c>
      <x:c r="J700" s="10" t="n">
        <x:v>45740</x:v>
      </x:c>
      <x:c r="K700" s="10" t="n">
        <x:v>45740</x:v>
      </x:c>
      <x:c r="L700" s="22" t="n">
        <x:v>10400</x:v>
      </x:c>
      <x:c r="M700" s="24" t="n">
        <x:v>0</x:v>
      </x:c>
      <x:c r="N700" s="24" t="n">
        <x:v>0</x:v>
      </x:c>
      <x:c r="O700" t="str">
        <x:v>Price</x:v>
      </x:c>
      <x:c r="P700" t="n">
        <x:v>2</x:v>
      </x:c>
      <x:c r="Q700" t="str">
        <x:f>IFERROR(XLOOKUP(E700,Lookups!$A$5:$A$24,Lookups!$B$5:$B$24),"Other")</x:f>
        <x:v>Paid Search</x:v>
      </x:c>
      <x:c r="R700" t="str">
        <x:f>IFERROR(XLOOKUP(F700,Lookups!$D$5:$D$10,Lookups!$E$5:$E$10),"Unknown Product")</x:f>
        <x:v>NexaCRM Core</x:v>
      </x:c>
      <x:c r="S700" t="str">
        <x:f>IFERROR(XLOOKUP(F700,Lookups!$D$5:$D$10,Lookups!$F$5:$F$10),"Unknown")</x:f>
        <x:v>CRM</x:v>
      </x:c>
      <x:c r="T700" t="str">
        <x:f>IF(L700&gt;=50000,"Enterprise",IF(L700&gt;=20000,"Mid-Market","SMB"))</x:f>
        <x:v>SMB</x:v>
      </x:c>
      <x:c r="U700" t="str">
        <x:f>IF(I700="Closed Won","Won",IF(I700="Closed Lost","Lost","Open"))</x:f>
        <x:v>Lost</x:v>
      </x:c>
      <x:c r="V700" s="22" t="n">
        <x:f>IF(U700="Won",L700*(1-M700),0)</x:f>
        <x:v>0</x:v>
      </x:c>
      <x:c r="W700" s="22" t="n">
        <x:f>IF(U700="Open",L700*N700,0)</x:f>
        <x:v>0</x:v>
      </x:c>
      <x:c r="X700" s="26" t="n">
        <x:f>IF(U700="Open","",IFERROR(K700-B700,""))</x:f>
        <x:v>71</x:v>
      </x:c>
      <x:c r="Y700" s="26" t="n">
        <x:f>IF(U700="Open",Lookups!$B$2-B700,X700)</x:f>
        <x:v>71</x:v>
      </x:c>
      <x:c r="Z700" t="str">
        <x:f>IF(AND(U700="Open",Y700&gt;30),"STALE","OK")</x:f>
        <x:v>OK</x:v>
      </x:c>
      <x:c r="AA700" t="str">
        <x:f>TEXT(B700,"yyyy-mm")</x:f>
        <x:v>2025-01</x:v>
      </x:c>
      <x:c r="AB700" t="str">
        <x:f>IF(K700="","",TEXT(K700,"yyyy-mm"))</x:f>
        <x:v>2025-03</x:v>
      </x:c>
      <x:c r="AC700" t="str">
        <x:f>"Q"&amp;ROUNDUP(MONTH(B700)/3,0)&amp;"-"&amp;YEAR(B700)</x:f>
        <x:v>Q1-2025</x:v>
      </x:c>
      <x:c r="AD700" s="26" t="n">
        <x:f>MIN(100,IF(H700="Enterprise",30,IF(H700="Mid-Market",22,14))+IF(T700="Enterprise",25,IF(T700="Mid-Market",18,10))+IF(Q700="Referral",25,IF(Q700="Organic Search",20,IF(Q700="Email",18,14)))+IF(G700="Technology",10,5))</x:f>
        <x:v>43</x:v>
      </x:c>
      <x:c r="AE700" t="str">
        <x:f>IF(U700&lt;&gt;"Open",U700,IF(N700&gt;=0.8,"Commit",IF(N700&gt;=0.5,"Best Case","Pipeline")))</x:f>
        <x:v>Lost</x:v>
      </x:c>
    </x:row>
    <x:row r="701">
      <x:c r="A701" t="str">
        <x:v>L00700</x:v>
      </x:c>
      <x:c r="B701" s="10" t="n">
        <x:v>46023</x:v>
      </x:c>
      <x:c r="C701" t="str">
        <x:v>An Nguyen</x:v>
      </x:c>
      <x:c r="D701" t="str">
        <x:v>South</x:v>
      </x:c>
      <x:c r="E701" t="str">
        <x:v>customer referral</x:v>
      </x:c>
      <x:c r="F701" t="str">
        <x:v>CRM-CORE</x:v>
      </x:c>
      <x:c r="G701" t="str">
        <x:v>Technology</x:v>
      </x:c>
      <x:c r="H701" t="str">
        <x:v>SMB</x:v>
      </x:c>
      <x:c r="I701" t="str">
        <x:v>Closed Lost</x:v>
      </x:c>
      <x:c r="J701" s="10" t="n">
        <x:v>46077</x:v>
      </x:c>
      <x:c r="K701" s="10" t="n">
        <x:v>46077</x:v>
      </x:c>
      <x:c r="L701" s="22" t="n">
        <x:v>8400</x:v>
      </x:c>
      <x:c r="M701" s="24" t="n">
        <x:v>0</x:v>
      </x:c>
      <x:c r="N701" s="24" t="n">
        <x:v>0</x:v>
      </x:c>
      <x:c r="O701" t="str">
        <x:v>Competitor</x:v>
      </x:c>
      <x:c r="P701" t="n">
        <x:v>2</x:v>
      </x:c>
      <x:c r="Q701" t="str">
        <x:f>IFERROR(XLOOKUP(E701,Lookups!$A$5:$A$24,Lookups!$B$5:$B$24),"Other")</x:f>
        <x:v>Referral</x:v>
      </x:c>
      <x:c r="R701" t="str">
        <x:f>IFERROR(XLOOKUP(F701,Lookups!$D$5:$D$10,Lookups!$E$5:$E$10),"Unknown Product")</x:f>
        <x:v>NexaCRM Core</x:v>
      </x:c>
      <x:c r="S701" t="str">
        <x:f>IFERROR(XLOOKUP(F701,Lookups!$D$5:$D$10,Lookups!$F$5:$F$10),"Unknown")</x:f>
        <x:v>CRM</x:v>
      </x:c>
      <x:c r="T701" t="str">
        <x:f>IF(L701&gt;=50000,"Enterprise",IF(L701&gt;=20000,"Mid-Market","SMB"))</x:f>
        <x:v>SMB</x:v>
      </x:c>
      <x:c r="U701" t="str">
        <x:f>IF(I701="Closed Won","Won",IF(I701="Closed Lost","Lost","Open"))</x:f>
        <x:v>Lost</x:v>
      </x:c>
      <x:c r="V701" s="22" t="n">
        <x:f>IF(U701="Won",L701*(1-M701),0)</x:f>
        <x:v>0</x:v>
      </x:c>
      <x:c r="W701" s="22" t="n">
        <x:f>IF(U701="Open",L701*N701,0)</x:f>
        <x:v>0</x:v>
      </x:c>
      <x:c r="X701" s="26" t="n">
        <x:f>IF(U701="Open","",IFERROR(K701-B701,""))</x:f>
        <x:v>54</x:v>
      </x:c>
      <x:c r="Y701" s="26" t="n">
        <x:f>IF(U701="Open",Lookups!$B$2-B701,X701)</x:f>
        <x:v>54</x:v>
      </x:c>
      <x:c r="Z701" t="str">
        <x:f>IF(AND(U701="Open",Y701&gt;30),"STALE","OK")</x:f>
        <x:v>OK</x:v>
      </x:c>
      <x:c r="AA701" t="str">
        <x:f>TEXT(B701,"yyyy-mm")</x:f>
        <x:v>2026-01</x:v>
      </x:c>
      <x:c r="AB701" t="str">
        <x:f>IF(K701="","",TEXT(K701,"yyyy-mm"))</x:f>
        <x:v>2026-02</x:v>
      </x:c>
      <x:c r="AC701" t="str">
        <x:f>"Q"&amp;ROUNDUP(MONTH(B701)/3,0)&amp;"-"&amp;YEAR(B701)</x:f>
        <x:v>Q1-2026</x:v>
      </x:c>
      <x:c r="AD701" s="26" t="n">
        <x:f>MIN(100,IF(H701="Enterprise",30,IF(H701="Mid-Market",22,14))+IF(T701="Enterprise",25,IF(T701="Mid-Market",18,10))+IF(Q701="Referral",25,IF(Q701="Organic Search",20,IF(Q701="Email",18,14)))+IF(G701="Technology",10,5))</x:f>
        <x:v>59</x:v>
      </x:c>
      <x:c r="AE701" t="str">
        <x:f>IF(U701&lt;&gt;"Open",U701,IF(N701&gt;=0.8,"Commit",IF(N701&gt;=0.5,"Best Case","Pipeline")))</x:f>
        <x:v>Lost</x:v>
      </x:c>
    </x:row>
    <x:row r="702">
      <x:c r="A702" t="str">
        <x:v>L00701</x:v>
      </x:c>
      <x:c r="B702" s="10" t="n">
        <x:v>45935</x:v>
      </x:c>
      <x:c r="C702" t="str">
        <x:v>Tuan Bui</x:v>
      </x:c>
      <x:c r="D702" t="str">
        <x:v>Central</x:v>
      </x:c>
      <x:c r="E702" t="str">
        <x:v>newsletter</x:v>
      </x:c>
      <x:c r="F702" t="str">
        <x:v>CRM-CORE</x:v>
      </x:c>
      <x:c r="G702" t="str">
        <x:v>Financial Services</x:v>
      </x:c>
      <x:c r="H702" t="str">
        <x:v>Mid-Market</x:v>
      </x:c>
      <x:c r="I702" t="str">
        <x:v>Closed Won</x:v>
      </x:c>
      <x:c r="J702" s="10" t="n">
        <x:v>45998</x:v>
      </x:c>
      <x:c r="K702" s="10" t="n">
        <x:v>45998</x:v>
      </x:c>
      <x:c r="L702" s="22" t="n">
        <x:v>17700</x:v>
      </x:c>
      <x:c r="M702" s="24" t="n">
        <x:v>0.1</x:v>
      </x:c>
      <x:c r="N702" s="24" t="n">
        <x:v>1</x:v>
      </x:c>
      <x:c r="O702" t="str"/>
      <x:c r="P702" t="n">
        <x:v>6</x:v>
      </x:c>
      <x:c r="Q702" t="str">
        <x:f>IFERROR(XLOOKUP(E702,Lookups!$A$5:$A$24,Lookups!$B$5:$B$24),"Other")</x:f>
        <x:v>Email</x:v>
      </x:c>
      <x:c r="R702" t="str">
        <x:f>IFERROR(XLOOKUP(F702,Lookups!$D$5:$D$10,Lookups!$E$5:$E$10),"Unknown Product")</x:f>
        <x:v>NexaCRM Core</x:v>
      </x:c>
      <x:c r="S702" t="str">
        <x:f>IFERROR(XLOOKUP(F702,Lookups!$D$5:$D$10,Lookups!$F$5:$F$10),"Unknown")</x:f>
        <x:v>CRM</x:v>
      </x:c>
      <x:c r="T702" t="str">
        <x:f>IF(L702&gt;=50000,"Enterprise",IF(L702&gt;=20000,"Mid-Market","SMB"))</x:f>
        <x:v>SMB</x:v>
      </x:c>
      <x:c r="U702" t="str">
        <x:f>IF(I702="Closed Won","Won",IF(I702="Closed Lost","Lost","Open"))</x:f>
        <x:v>Won</x:v>
      </x:c>
      <x:c r="V702" s="22" t="n">
        <x:f>IF(U702="Won",L702*(1-M702),0)</x:f>
        <x:v>15930</x:v>
      </x:c>
      <x:c r="W702" s="22" t="n">
        <x:f>IF(U702="Open",L702*N702,0)</x:f>
        <x:v>0</x:v>
      </x:c>
      <x:c r="X702" s="26" t="n">
        <x:f>IF(U702="Open","",IFERROR(K702-B702,""))</x:f>
        <x:v>63</x:v>
      </x:c>
      <x:c r="Y702" s="26" t="n">
        <x:f>IF(U702="Open",Lookups!$B$2-B702,X702)</x:f>
        <x:v>63</x:v>
      </x:c>
      <x:c r="Z702" t="str">
        <x:f>IF(AND(U702="Open",Y702&gt;30),"STALE","OK")</x:f>
        <x:v>OK</x:v>
      </x:c>
      <x:c r="AA702" t="str">
        <x:f>TEXT(B702,"yyyy-mm")</x:f>
        <x:v>2025-10</x:v>
      </x:c>
      <x:c r="AB702" t="str">
        <x:f>IF(K702="","",TEXT(K702,"yyyy-mm"))</x:f>
        <x:v>2025-12</x:v>
      </x:c>
      <x:c r="AC702" t="str">
        <x:f>"Q"&amp;ROUNDUP(MONTH(B702)/3,0)&amp;"-"&amp;YEAR(B702)</x:f>
        <x:v>Q4-2025</x:v>
      </x:c>
      <x:c r="AD702" s="26" t="n">
        <x:f>MIN(100,IF(H702="Enterprise",30,IF(H702="Mid-Market",22,14))+IF(T702="Enterprise",25,IF(T702="Mid-Market",18,10))+IF(Q702="Referral",25,IF(Q702="Organic Search",20,IF(Q702="Email",18,14)))+IF(G702="Technology",10,5))</x:f>
        <x:v>55</x:v>
      </x:c>
      <x:c r="AE702" t="str">
        <x:f>IF(U702&lt;&gt;"Open",U702,IF(N702&gt;=0.8,"Commit",IF(N702&gt;=0.5,"Best Case","Pipeline")))</x:f>
        <x:v>Won</x:v>
      </x:c>
    </x:row>
    <x:row r="703">
      <x:c r="A703" t="str">
        <x:v>L00702</x:v>
      </x:c>
      <x:c r="B703" s="10" t="n">
        <x:v>45726</x:v>
      </x:c>
      <x:c r="C703" t="str">
        <x:v>Quynh Vu</x:v>
      </x:c>
      <x:c r="D703" t="str">
        <x:v>North</x:v>
      </x:c>
      <x:c r="E703" t="str">
        <x:v>Referral</x:v>
      </x:c>
      <x:c r="F703" t="str">
        <x:v>BI-PLUS</x:v>
      </x:c>
      <x:c r="G703" t="str">
        <x:v>Manufacturing</x:v>
      </x:c>
      <x:c r="H703" t="str">
        <x:v>Mid-Market</x:v>
      </x:c>
      <x:c r="I703" t="str">
        <x:v>Negotiation</x:v>
      </x:c>
      <x:c r="J703" s="10" t="n">
        <x:v>45927</x:v>
      </x:c>
      <x:c r="K703" s="10"/>
      <x:c r="L703" s="22" t="n">
        <x:v>51100</x:v>
      </x:c>
      <x:c r="M703" s="24" t="n">
        <x:v>0.03</x:v>
      </x:c>
      <x:c r="N703" s="24" t="n">
        <x:v>0.85</x:v>
      </x:c>
      <x:c r="O703" t="str"/>
      <x:c r="P703" t="n">
        <x:v>5</x:v>
      </x:c>
      <x:c r="Q703" t="str">
        <x:f>IFERROR(XLOOKUP(E703,Lookups!$A$5:$A$24,Lookups!$B$5:$B$24),"Other")</x:f>
        <x:v>Referral</x:v>
      </x:c>
      <x:c r="R703" t="str">
        <x:f>IFERROR(XLOOKUP(F703,Lookups!$D$5:$D$10,Lookups!$E$5:$E$10),"Unknown Product")</x:f>
        <x:v>Analytics Plus</x:v>
      </x:c>
      <x:c r="S703" t="str">
        <x:f>IFERROR(XLOOKUP(F703,Lookups!$D$5:$D$10,Lookups!$F$5:$F$10),"Unknown")</x:f>
        <x:v>Analytics</x:v>
      </x:c>
      <x:c r="T703" t="str">
        <x:f>IF(L703&gt;=50000,"Enterprise",IF(L703&gt;=20000,"Mid-Market","SMB"))</x:f>
        <x:v>Enterprise</x:v>
      </x:c>
      <x:c r="U703" t="str">
        <x:f>IF(I703="Closed Won","Won",IF(I703="Closed Lost","Lost","Open"))</x:f>
        <x:v>Open</x:v>
      </x:c>
      <x:c r="V703" s="22" t="n">
        <x:f>IF(U703="Won",L703*(1-M703),0)</x:f>
        <x:v>0</x:v>
      </x:c>
      <x:c r="W703" s="22" t="n">
        <x:f>IF(U703="Open",L703*N703,0)</x:f>
        <x:v>43435</x:v>
      </x:c>
      <x:c r="X703" s="26" t="str">
        <x:f>IF(U703="Open","",IFERROR(K703-B703,""))</x:f>
      </x:c>
      <x:c r="Y703" s="26" t="n">
        <x:f>IF(U703="Open",Lookups!$B$2-B703,X703)</x:f>
        <x:v>540</x:v>
      </x:c>
      <x:c r="Z703" t="str">
        <x:f>IF(AND(U703="Open",Y703&gt;30),"STALE","OK")</x:f>
        <x:v>STALE</x:v>
      </x:c>
      <x:c r="AA703" t="str">
        <x:f>TEXT(B703,"yyyy-mm")</x:f>
        <x:v>2025-03</x:v>
      </x:c>
      <x:c r="AB703" t="str">
        <x:f>IF(K703="","",TEXT(K703,"yyyy-mm"))</x:f>
      </x:c>
      <x:c r="AC703" t="str">
        <x:f>"Q"&amp;ROUNDUP(MONTH(B703)/3,0)&amp;"-"&amp;YEAR(B703)</x:f>
        <x:v>Q1-2025</x:v>
      </x:c>
      <x:c r="AD703" s="26" t="n">
        <x:f>MIN(100,IF(H703="Enterprise",30,IF(H703="Mid-Market",22,14))+IF(T703="Enterprise",25,IF(T703="Mid-Market",18,10))+IF(Q703="Referral",25,IF(Q703="Organic Search",20,IF(Q703="Email",18,14)))+IF(G703="Technology",10,5))</x:f>
        <x:v>77</x:v>
      </x:c>
      <x:c r="AE703" t="str">
        <x:f>IF(U703&lt;&gt;"Open",U703,IF(N703&gt;=0.8,"Commit",IF(N703&gt;=0.5,"Best Case","Pipeline")))</x:f>
        <x:v>Commit</x:v>
      </x:c>
    </x:row>
    <x:row r="704">
      <x:c r="A704" t="str">
        <x:v>L00703</x:v>
      </x:c>
      <x:c r="B704" s="10" t="n">
        <x:v>46160</x:v>
      </x:c>
      <x:c r="C704" t="str">
        <x:v>Tuan Bui</x:v>
      </x:c>
      <x:c r="D704" t="str">
        <x:v>Central</x:v>
      </x:c>
      <x:c r="E704" t="str">
        <x:v>LI Ads</x:v>
      </x:c>
      <x:c r="F704" t="str">
        <x:v>CRM-PRO</x:v>
      </x:c>
      <x:c r="G704" t="str">
        <x:v>Financial Services</x:v>
      </x:c>
      <x:c r="H704" t="str">
        <x:v>SMB</x:v>
      </x:c>
      <x:c r="I704" t="str">
        <x:v>Closed Lost</x:v>
      </x:c>
      <x:c r="J704" s="10" t="n">
        <x:v>46204</x:v>
      </x:c>
      <x:c r="K704" s="10" t="n">
        <x:v>46204</x:v>
      </x:c>
      <x:c r="L704" s="22" t="n">
        <x:v>22600</x:v>
      </x:c>
      <x:c r="M704" s="24" t="n">
        <x:v>0</x:v>
      </x:c>
      <x:c r="N704" s="24" t="n">
        <x:v>0</x:v>
      </x:c>
      <x:c r="O704" t="str">
        <x:v>No Decision</x:v>
      </x:c>
      <x:c r="P704" t="n">
        <x:v>4</x:v>
      </x:c>
      <x:c r="Q704" t="str">
        <x:f>IFERROR(XLOOKUP(E704,Lookups!$A$5:$A$24,Lookups!$B$5:$B$24),"Other")</x:f>
        <x:v>LinkedIn</x:v>
      </x:c>
      <x:c r="R704" t="str">
        <x:f>IFERROR(XLOOKUP(F704,Lookups!$D$5:$D$10,Lookups!$E$5:$E$10),"Unknown Product")</x:f>
        <x:v>NexaCRM Pro</x:v>
      </x:c>
      <x:c r="S704" t="str">
        <x:f>IFERROR(XLOOKUP(F704,Lookups!$D$5:$D$10,Lookups!$F$5:$F$10),"Unknown")</x:f>
        <x:v>CRM</x:v>
      </x:c>
      <x:c r="T704" t="str">
        <x:f>IF(L704&gt;=50000,"Enterprise",IF(L704&gt;=20000,"Mid-Market","SMB"))</x:f>
        <x:v>Mid-Market</x:v>
      </x:c>
      <x:c r="U704" t="str">
        <x:f>IF(I704="Closed Won","Won",IF(I704="Closed Lost","Lost","Open"))</x:f>
        <x:v>Lost</x:v>
      </x:c>
      <x:c r="V704" s="22" t="n">
        <x:f>IF(U704="Won",L704*(1-M704),0)</x:f>
        <x:v>0</x:v>
      </x:c>
      <x:c r="W704" s="22" t="n">
        <x:f>IF(U704="Open",L704*N704,0)</x:f>
        <x:v>0</x:v>
      </x:c>
      <x:c r="X704" s="26" t="n">
        <x:f>IF(U704="Open","",IFERROR(K704-B704,""))</x:f>
        <x:v>44</x:v>
      </x:c>
      <x:c r="Y704" s="26" t="n">
        <x:f>IF(U704="Open",Lookups!$B$2-B704,X704)</x:f>
        <x:v>44</x:v>
      </x:c>
      <x:c r="Z704" t="str">
        <x:f>IF(AND(U704="Open",Y704&gt;30),"STALE","OK")</x:f>
        <x:v>OK</x:v>
      </x:c>
      <x:c r="AA704" t="str">
        <x:f>TEXT(B704,"yyyy-mm")</x:f>
        <x:v>2026-05</x:v>
      </x:c>
      <x:c r="AB704" t="str">
        <x:f>IF(K704="","",TEXT(K704,"yyyy-mm"))</x:f>
        <x:v>2026-07</x:v>
      </x:c>
      <x:c r="AC704" t="str">
        <x:f>"Q"&amp;ROUNDUP(MONTH(B704)/3,0)&amp;"-"&amp;YEAR(B704)</x:f>
        <x:v>Q2-2026</x:v>
      </x:c>
      <x:c r="AD704" s="26" t="n">
        <x:f>MIN(100,IF(H704="Enterprise",30,IF(H704="Mid-Market",22,14))+IF(T704="Enterprise",25,IF(T704="Mid-Market",18,10))+IF(Q704="Referral",25,IF(Q704="Organic Search",20,IF(Q704="Email",18,14)))+IF(G704="Technology",10,5))</x:f>
        <x:v>51</x:v>
      </x:c>
      <x:c r="AE704" t="str">
        <x:f>IF(U704&lt;&gt;"Open",U704,IF(N704&gt;=0.8,"Commit",IF(N704&gt;=0.5,"Best Case","Pipeline")))</x:f>
        <x:v>Lost</x:v>
      </x:c>
    </x:row>
    <x:row r="705">
      <x:c r="A705" t="str">
        <x:v>L00704</x:v>
      </x:c>
      <x:c r="B705" s="10" t="n">
        <x:v>45800</x:v>
      </x:c>
      <x:c r="C705" t="str">
        <x:v>Quynh Vu</x:v>
      </x:c>
      <x:c r="D705" t="str">
        <x:v>North</x:v>
      </x:c>
      <x:c r="E705" t="str">
        <x:v>Referral</x:v>
      </x:c>
      <x:c r="F705" t="str">
        <x:v>REV-OPS</x:v>
      </x:c>
      <x:c r="G705" t="str">
        <x:v>Technology</x:v>
      </x:c>
      <x:c r="H705" t="str">
        <x:v>Mid-Market</x:v>
      </x:c>
      <x:c r="I705" t="str">
        <x:v>Closed Lost</x:v>
      </x:c>
      <x:c r="J705" s="10" t="n">
        <x:v>45864</x:v>
      </x:c>
      <x:c r="K705" s="10" t="n">
        <x:v>45864</x:v>
      </x:c>
      <x:c r="L705" s="22" t="n">
        <x:v>68500</x:v>
      </x:c>
      <x:c r="M705" s="24" t="n">
        <x:v>0</x:v>
      </x:c>
      <x:c r="N705" s="24" t="n">
        <x:v>0</x:v>
      </x:c>
      <x:c r="O705" t="str">
        <x:v>Competitor</x:v>
      </x:c>
      <x:c r="P705" t="n">
        <x:v>4</x:v>
      </x:c>
      <x:c r="Q705" t="str">
        <x:f>IFERROR(XLOOKUP(E705,Lookups!$A$5:$A$24,Lookups!$B$5:$B$24),"Other")</x:f>
        <x:v>Referral</x:v>
      </x:c>
      <x:c r="R705" t="str">
        <x:f>IFERROR(XLOOKUP(F705,Lookups!$D$5:$D$10,Lookups!$E$5:$E$10),"Unknown Product")</x:f>
        <x:v>Revenue Operations Suite</x:v>
      </x:c>
      <x:c r="S705" t="str">
        <x:f>IFERROR(XLOOKUP(F705,Lookups!$D$5:$D$10,Lookups!$F$5:$F$10),"Unknown")</x:f>
        <x:v>Revenue Ops</x:v>
      </x:c>
      <x:c r="T705" t="str">
        <x:f>IF(L705&gt;=50000,"Enterprise",IF(L705&gt;=20000,"Mid-Market","SMB"))</x:f>
        <x:v>Enterprise</x:v>
      </x:c>
      <x:c r="U705" t="str">
        <x:f>IF(I705="Closed Won","Won",IF(I705="Closed Lost","Lost","Open"))</x:f>
        <x:v>Lost</x:v>
      </x:c>
      <x:c r="V705" s="22" t="n">
        <x:f>IF(U705="Won",L705*(1-M705),0)</x:f>
        <x:v>0</x:v>
      </x:c>
      <x:c r="W705" s="22" t="n">
        <x:f>IF(U705="Open",L705*N705,0)</x:f>
        <x:v>0</x:v>
      </x:c>
      <x:c r="X705" s="26" t="n">
        <x:f>IF(U705="Open","",IFERROR(K705-B705,""))</x:f>
        <x:v>64</x:v>
      </x:c>
      <x:c r="Y705" s="26" t="n">
        <x:f>IF(U705="Open",Lookups!$B$2-B705,X705)</x:f>
        <x:v>64</x:v>
      </x:c>
      <x:c r="Z705" t="str">
        <x:f>IF(AND(U705="Open",Y705&gt;30),"STALE","OK")</x:f>
        <x:v>OK</x:v>
      </x:c>
      <x:c r="AA705" t="str">
        <x:f>TEXT(B705,"yyyy-mm")</x:f>
        <x:v>2025-05</x:v>
      </x:c>
      <x:c r="AB705" t="str">
        <x:f>IF(K705="","",TEXT(K705,"yyyy-mm"))</x:f>
        <x:v>2025-07</x:v>
      </x:c>
      <x:c r="AC705" t="str">
        <x:f>"Q"&amp;ROUNDUP(MONTH(B705)/3,0)&amp;"-"&amp;YEAR(B705)</x:f>
        <x:v>Q2-2025</x:v>
      </x:c>
      <x:c r="AD705" s="26" t="n">
        <x:f>MIN(100,IF(H705="Enterprise",30,IF(H705="Mid-Market",22,14))+IF(T705="Enterprise",25,IF(T705="Mid-Market",18,10))+IF(Q705="Referral",25,IF(Q705="Organic Search",20,IF(Q705="Email",18,14)))+IF(G705="Technology",10,5))</x:f>
        <x:v>82</x:v>
      </x:c>
      <x:c r="AE705" t="str">
        <x:f>IF(U705&lt;&gt;"Open",U705,IF(N705&gt;=0.8,"Commit",IF(N705&gt;=0.5,"Best Case","Pipeline")))</x:f>
        <x:v>Lost</x:v>
      </x:c>
    </x:row>
    <x:row r="706">
      <x:c r="A706" t="str">
        <x:v>L00705</x:v>
      </x:c>
      <x:c r="B706" s="10" t="n">
        <x:v>45707</x:v>
      </x:c>
      <x:c r="C706" t="str">
        <x:v>Duy Pham</x:v>
      </x:c>
      <x:c r="D706" t="str">
        <x:v>South</x:v>
      </x:c>
      <x:c r="E706" t="str">
        <x:v>customer referral</x:v>
      </x:c>
      <x:c r="F706" t="str">
        <x:v>CRM-CORE</x:v>
      </x:c>
      <x:c r="G706" t="str">
        <x:v>Financial Services</x:v>
      </x:c>
      <x:c r="H706" t="str">
        <x:v>SMB</x:v>
      </x:c>
      <x:c r="I706" t="str">
        <x:v>Closed Lost</x:v>
      </x:c>
      <x:c r="J706" s="10" t="n">
        <x:v>45747</x:v>
      </x:c>
      <x:c r="K706" s="10" t="n">
        <x:v>45747</x:v>
      </x:c>
      <x:c r="L706" s="22" t="n">
        <x:v>8500</x:v>
      </x:c>
      <x:c r="M706" s="24" t="n">
        <x:v>0</x:v>
      </x:c>
      <x:c r="N706" s="24" t="n">
        <x:v>0</x:v>
      </x:c>
      <x:c r="O706" t="str">
        <x:v>Budget</x:v>
      </x:c>
      <x:c r="P706" t="n">
        <x:v>4</x:v>
      </x:c>
      <x:c r="Q706" t="str">
        <x:f>IFERROR(XLOOKUP(E706,Lookups!$A$5:$A$24,Lookups!$B$5:$B$24),"Other")</x:f>
        <x:v>Referral</x:v>
      </x:c>
      <x:c r="R706" t="str">
        <x:f>IFERROR(XLOOKUP(F706,Lookups!$D$5:$D$10,Lookups!$E$5:$E$10),"Unknown Product")</x:f>
        <x:v>NexaCRM Core</x:v>
      </x:c>
      <x:c r="S706" t="str">
        <x:f>IFERROR(XLOOKUP(F706,Lookups!$D$5:$D$10,Lookups!$F$5:$F$10),"Unknown")</x:f>
        <x:v>CRM</x:v>
      </x:c>
      <x:c r="T706" t="str">
        <x:f>IF(L706&gt;=50000,"Enterprise",IF(L706&gt;=20000,"Mid-Market","SMB"))</x:f>
        <x:v>SMB</x:v>
      </x:c>
      <x:c r="U706" t="str">
        <x:f>IF(I706="Closed Won","Won",IF(I706="Closed Lost","Lost","Open"))</x:f>
        <x:v>Lost</x:v>
      </x:c>
      <x:c r="V706" s="22" t="n">
        <x:f>IF(U706="Won",L706*(1-M706),0)</x:f>
        <x:v>0</x:v>
      </x:c>
      <x:c r="W706" s="22" t="n">
        <x:f>IF(U706="Open",L706*N706,0)</x:f>
        <x:v>0</x:v>
      </x:c>
      <x:c r="X706" s="26" t="n">
        <x:f>IF(U706="Open","",IFERROR(K706-B706,""))</x:f>
        <x:v>40</x:v>
      </x:c>
      <x:c r="Y706" s="26" t="n">
        <x:f>IF(U706="Open",Lookups!$B$2-B706,X706)</x:f>
        <x:v>40</x:v>
      </x:c>
      <x:c r="Z706" t="str">
        <x:f>IF(AND(U706="Open",Y706&gt;30),"STALE","OK")</x:f>
        <x:v>OK</x:v>
      </x:c>
      <x:c r="AA706" t="str">
        <x:f>TEXT(B706,"yyyy-mm")</x:f>
        <x:v>2025-02</x:v>
      </x:c>
      <x:c r="AB706" t="str">
        <x:f>IF(K706="","",TEXT(K706,"yyyy-mm"))</x:f>
        <x:v>2025-03</x:v>
      </x:c>
      <x:c r="AC706" t="str">
        <x:f>"Q"&amp;ROUNDUP(MONTH(B706)/3,0)&amp;"-"&amp;YEAR(B706)</x:f>
        <x:v>Q1-2025</x:v>
      </x:c>
      <x:c r="AD706" s="26" t="n">
        <x:f>MIN(100,IF(H706="Enterprise",30,IF(H706="Mid-Market",22,14))+IF(T706="Enterprise",25,IF(T706="Mid-Market",18,10))+IF(Q706="Referral",25,IF(Q706="Organic Search",20,IF(Q706="Email",18,14)))+IF(G706="Technology",10,5))</x:f>
        <x:v>54</x:v>
      </x:c>
      <x:c r="AE706" t="str">
        <x:f>IF(U706&lt;&gt;"Open",U706,IF(N706&gt;=0.8,"Commit",IF(N706&gt;=0.5,"Best Case","Pipeline")))</x:f>
        <x:v>Lost</x:v>
      </x:c>
    </x:row>
    <x:row r="707">
      <x:c r="A707" t="str">
        <x:v>L00706</x:v>
      </x:c>
      <x:c r="B707" s="10" t="n">
        <x:v>45829</x:v>
      </x:c>
      <x:c r="C707" t="str">
        <x:v>Duy Pham</x:v>
      </x:c>
      <x:c r="D707" t="str">
        <x:v>South</x:v>
      </x:c>
      <x:c r="E707" t="str">
        <x:v>organic search</x:v>
      </x:c>
      <x:c r="F707" t="str">
        <x:v>BI-PLUS</x:v>
      </x:c>
      <x:c r="G707" t="str">
        <x:v>Financial Services</x:v>
      </x:c>
      <x:c r="H707" t="str">
        <x:v>Mid-Market</x:v>
      </x:c>
      <x:c r="I707" t="str">
        <x:v>Closed Lost</x:v>
      </x:c>
      <x:c r="J707" s="10" t="n">
        <x:v>45878</x:v>
      </x:c>
      <x:c r="K707" s="10" t="n">
        <x:v>45878</x:v>
      </x:c>
      <x:c r="L707" s="22" t="n">
        <x:v>52200</x:v>
      </x:c>
      <x:c r="M707" s="24" t="n">
        <x:v>0</x:v>
      </x:c>
      <x:c r="N707" s="24" t="n">
        <x:v>0</x:v>
      </x:c>
      <x:c r="O707" t="str">
        <x:v>Timing</x:v>
      </x:c>
      <x:c r="P707" t="n">
        <x:v>3</x:v>
      </x:c>
      <x:c r="Q707" t="str">
        <x:f>IFERROR(XLOOKUP(E707,Lookups!$A$5:$A$24,Lookups!$B$5:$B$24),"Other")</x:f>
        <x:v>Organic Search</x:v>
      </x:c>
      <x:c r="R707" t="str">
        <x:f>IFERROR(XLOOKUP(F707,Lookups!$D$5:$D$10,Lookups!$E$5:$E$10),"Unknown Product")</x:f>
        <x:v>Analytics Plus</x:v>
      </x:c>
      <x:c r="S707" t="str">
        <x:f>IFERROR(XLOOKUP(F707,Lookups!$D$5:$D$10,Lookups!$F$5:$F$10),"Unknown")</x:f>
        <x:v>Analytics</x:v>
      </x:c>
      <x:c r="T707" t="str">
        <x:f>IF(L707&gt;=50000,"Enterprise",IF(L707&gt;=20000,"Mid-Market","SMB"))</x:f>
        <x:v>Enterprise</x:v>
      </x:c>
      <x:c r="U707" t="str">
        <x:f>IF(I707="Closed Won","Won",IF(I707="Closed Lost","Lost","Open"))</x:f>
        <x:v>Lost</x:v>
      </x:c>
      <x:c r="V707" s="22" t="n">
        <x:f>IF(U707="Won",L707*(1-M707),0)</x:f>
        <x:v>0</x:v>
      </x:c>
      <x:c r="W707" s="22" t="n">
        <x:f>IF(U707="Open",L707*N707,0)</x:f>
        <x:v>0</x:v>
      </x:c>
      <x:c r="X707" s="26" t="n">
        <x:f>IF(U707="Open","",IFERROR(K707-B707,""))</x:f>
        <x:v>49</x:v>
      </x:c>
      <x:c r="Y707" s="26" t="n">
        <x:f>IF(U707="Open",Lookups!$B$2-B707,X707)</x:f>
        <x:v>49</x:v>
      </x:c>
      <x:c r="Z707" t="str">
        <x:f>IF(AND(U707="Open",Y707&gt;30),"STALE","OK")</x:f>
        <x:v>OK</x:v>
      </x:c>
      <x:c r="AA707" t="str">
        <x:f>TEXT(B707,"yyyy-mm")</x:f>
        <x:v>2025-06</x:v>
      </x:c>
      <x:c r="AB707" t="str">
        <x:f>IF(K707="","",TEXT(K707,"yyyy-mm"))</x:f>
        <x:v>2025-08</x:v>
      </x:c>
      <x:c r="AC707" t="str">
        <x:f>"Q"&amp;ROUNDUP(MONTH(B707)/3,0)&amp;"-"&amp;YEAR(B707)</x:f>
        <x:v>Q2-2025</x:v>
      </x:c>
      <x:c r="AD707" s="26" t="n">
        <x:f>MIN(100,IF(H707="Enterprise",30,IF(H707="Mid-Market",22,14))+IF(T707="Enterprise",25,IF(T707="Mid-Market",18,10))+IF(Q707="Referral",25,IF(Q707="Organic Search",20,IF(Q707="Email",18,14)))+IF(G707="Technology",10,5))</x:f>
        <x:v>72</x:v>
      </x:c>
      <x:c r="AE707" t="str">
        <x:f>IF(U707&lt;&gt;"Open",U707,IF(N707&gt;=0.8,"Commit",IF(N707&gt;=0.5,"Best Case","Pipeline")))</x:f>
        <x:v>Lost</x:v>
      </x:c>
    </x:row>
    <x:row r="708">
      <x:c r="A708" t="str">
        <x:v>L00707</x:v>
      </x:c>
      <x:c r="B708" s="10" t="n">
        <x:v>45784</x:v>
      </x:c>
      <x:c r="C708" t="str">
        <x:v>Chi Le</x:v>
      </x:c>
      <x:c r="D708" t="str">
        <x:v>South</x:v>
      </x:c>
      <x:c r="E708" t="str">
        <x:v>virtual event</x:v>
      </x:c>
      <x:c r="F708" t="str">
        <x:v>CRM-CORE</x:v>
      </x:c>
      <x:c r="G708" t="str">
        <x:v>Technology</x:v>
      </x:c>
      <x:c r="H708" t="str">
        <x:v>Mid-Market</x:v>
      </x:c>
      <x:c r="I708" t="str">
        <x:v>Closed Won</x:v>
      </x:c>
      <x:c r="J708" s="10" t="n">
        <x:v>45855</x:v>
      </x:c>
      <x:c r="K708" s="10" t="n">
        <x:v>45855</x:v>
      </x:c>
      <x:c r="L708" s="22" t="n">
        <x:v>15600</x:v>
      </x:c>
      <x:c r="M708" s="24" t="n">
        <x:v>0.1</x:v>
      </x:c>
      <x:c r="N708" s="24" t="n">
        <x:v>1</x:v>
      </x:c>
      <x:c r="O708" t="str"/>
      <x:c r="P708" t="n">
        <x:v>6</x:v>
      </x:c>
      <x:c r="Q708" t="str">
        <x:f>IFERROR(XLOOKUP(E708,Lookups!$A$5:$A$24,Lookups!$B$5:$B$24),"Other")</x:f>
        <x:v>Webinar</x:v>
      </x:c>
      <x:c r="R708" t="str">
        <x:f>IFERROR(XLOOKUP(F708,Lookups!$D$5:$D$10,Lookups!$E$5:$E$10),"Unknown Product")</x:f>
        <x:v>NexaCRM Core</x:v>
      </x:c>
      <x:c r="S708" t="str">
        <x:f>IFERROR(XLOOKUP(F708,Lookups!$D$5:$D$10,Lookups!$F$5:$F$10),"Unknown")</x:f>
        <x:v>CRM</x:v>
      </x:c>
      <x:c r="T708" t="str">
        <x:f>IF(L708&gt;=50000,"Enterprise",IF(L708&gt;=20000,"Mid-Market","SMB"))</x:f>
        <x:v>SMB</x:v>
      </x:c>
      <x:c r="U708" t="str">
        <x:f>IF(I708="Closed Won","Won",IF(I708="Closed Lost","Lost","Open"))</x:f>
        <x:v>Won</x:v>
      </x:c>
      <x:c r="V708" s="22" t="n">
        <x:f>IF(U708="Won",L708*(1-M708),0)</x:f>
        <x:v>14040</x:v>
      </x:c>
      <x:c r="W708" s="22" t="n">
        <x:f>IF(U708="Open",L708*N708,0)</x:f>
        <x:v>0</x:v>
      </x:c>
      <x:c r="X708" s="26" t="n">
        <x:f>IF(U708="Open","",IFERROR(K708-B708,""))</x:f>
        <x:v>71</x:v>
      </x:c>
      <x:c r="Y708" s="26" t="n">
        <x:f>IF(U708="Open",Lookups!$B$2-B708,X708)</x:f>
        <x:v>71</x:v>
      </x:c>
      <x:c r="Z708" t="str">
        <x:f>IF(AND(U708="Open",Y708&gt;30),"STALE","OK")</x:f>
        <x:v>OK</x:v>
      </x:c>
      <x:c r="AA708" t="str">
        <x:f>TEXT(B708,"yyyy-mm")</x:f>
        <x:v>2025-05</x:v>
      </x:c>
      <x:c r="AB708" t="str">
        <x:f>IF(K708="","",TEXT(K708,"yyyy-mm"))</x:f>
        <x:v>2025-07</x:v>
      </x:c>
      <x:c r="AC708" t="str">
        <x:f>"Q"&amp;ROUNDUP(MONTH(B708)/3,0)&amp;"-"&amp;YEAR(B708)</x:f>
        <x:v>Q2-2025</x:v>
      </x:c>
      <x:c r="AD708" s="26" t="n">
        <x:f>MIN(100,IF(H708="Enterprise",30,IF(H708="Mid-Market",22,14))+IF(T708="Enterprise",25,IF(T708="Mid-Market",18,10))+IF(Q708="Referral",25,IF(Q708="Organic Search",20,IF(Q708="Email",18,14)))+IF(G708="Technology",10,5))</x:f>
        <x:v>56</x:v>
      </x:c>
      <x:c r="AE708" t="str">
        <x:f>IF(U708&lt;&gt;"Open",U708,IF(N708&gt;=0.8,"Commit",IF(N708&gt;=0.5,"Best Case","Pipeline")))</x:f>
        <x:v>Won</x:v>
      </x:c>
    </x:row>
    <x:row r="709">
      <x:c r="A709" t="str">
        <x:v>L00708</x:v>
      </x:c>
      <x:c r="B709" s="10" t="n">
        <x:v>45875</x:v>
      </x:c>
      <x:c r="C709" t="str">
        <x:v>An Nguyen</x:v>
      </x:c>
      <x:c r="D709" t="str">
        <x:v>South</x:v>
      </x:c>
      <x:c r="E709" t="str">
        <x:v>LI Ads</x:v>
      </x:c>
      <x:c r="F709" t="str">
        <x:v>MKT-AUTO</x:v>
      </x:c>
      <x:c r="G709" t="str">
        <x:v>Healthcare</x:v>
      </x:c>
      <x:c r="H709" t="str">
        <x:v>Mid-Market</x:v>
      </x:c>
      <x:c r="I709" t="str">
        <x:v>Closed Won</x:v>
      </x:c>
      <x:c r="J709" s="10" t="n">
        <x:v>45930</x:v>
      </x:c>
      <x:c r="K709" s="10" t="n">
        <x:v>45930</x:v>
      </x:c>
      <x:c r="L709" s="22" t="n">
        <x:v>35000</x:v>
      </x:c>
      <x:c r="M709" s="24" t="n">
        <x:v>0.12</x:v>
      </x:c>
      <x:c r="N709" s="24" t="n">
        <x:v>1</x:v>
      </x:c>
      <x:c r="O709" t="str"/>
      <x:c r="P709" t="n">
        <x:v>6</x:v>
      </x:c>
      <x:c r="Q709" t="str">
        <x:f>IFERROR(XLOOKUP(E709,Lookups!$A$5:$A$24,Lookups!$B$5:$B$24),"Other")</x:f>
        <x:v>LinkedIn</x:v>
      </x:c>
      <x:c r="R709" t="str">
        <x:f>IFERROR(XLOOKUP(F709,Lookups!$D$5:$D$10,Lookups!$E$5:$E$10),"Unknown Product")</x:f>
        <x:v>Marketing Automation</x:v>
      </x:c>
      <x:c r="S709" t="str">
        <x:f>IFERROR(XLOOKUP(F709,Lookups!$D$5:$D$10,Lookups!$F$5:$F$10),"Unknown")</x:f>
        <x:v>Marketing</x:v>
      </x:c>
      <x:c r="T709" t="str">
        <x:f>IF(L709&gt;=50000,"Enterprise",IF(L709&gt;=20000,"Mid-Market","SMB"))</x:f>
        <x:v>Mid-Market</x:v>
      </x:c>
      <x:c r="U709" t="str">
        <x:f>IF(I709="Closed Won","Won",IF(I709="Closed Lost","Lost","Open"))</x:f>
        <x:v>Won</x:v>
      </x:c>
      <x:c r="V709" s="22" t="n">
        <x:f>IF(U709="Won",L709*(1-M709),0)</x:f>
        <x:v>30800</x:v>
      </x:c>
      <x:c r="W709" s="22" t="n">
        <x:f>IF(U709="Open",L709*N709,0)</x:f>
        <x:v>0</x:v>
      </x:c>
      <x:c r="X709" s="26" t="n">
        <x:f>IF(U709="Open","",IFERROR(K709-B709,""))</x:f>
        <x:v>55</x:v>
      </x:c>
      <x:c r="Y709" s="26" t="n">
        <x:f>IF(U709="Open",Lookups!$B$2-B709,X709)</x:f>
        <x:v>55</x:v>
      </x:c>
      <x:c r="Z709" t="str">
        <x:f>IF(AND(U709="Open",Y709&gt;30),"STALE","OK")</x:f>
        <x:v>OK</x:v>
      </x:c>
      <x:c r="AA709" t="str">
        <x:f>TEXT(B709,"yyyy-mm")</x:f>
        <x:v>2025-08</x:v>
      </x:c>
      <x:c r="AB709" t="str">
        <x:f>IF(K709="","",TEXT(K709,"yyyy-mm"))</x:f>
        <x:v>2025-09</x:v>
      </x:c>
      <x:c r="AC709" t="str">
        <x:f>"Q"&amp;ROUNDUP(MONTH(B709)/3,0)&amp;"-"&amp;YEAR(B709)</x:f>
        <x:v>Q3-2025</x:v>
      </x:c>
      <x:c r="AD709" s="26" t="n">
        <x:f>MIN(100,IF(H709="Enterprise",30,IF(H709="Mid-Market",22,14))+IF(T709="Enterprise",25,IF(T709="Mid-Market",18,10))+IF(Q709="Referral",25,IF(Q709="Organic Search",20,IF(Q709="Email",18,14)))+IF(G709="Technology",10,5))</x:f>
        <x:v>59</x:v>
      </x:c>
      <x:c r="AE709" t="str">
        <x:f>IF(U709&lt;&gt;"Open",U709,IF(N709&gt;=0.8,"Commit",IF(N709&gt;=0.5,"Best Case","Pipeline")))</x:f>
        <x:v>Won</x:v>
      </x:c>
    </x:row>
    <x:row r="710">
      <x:c r="A710" t="str">
        <x:v>L00709</x:v>
      </x:c>
      <x:c r="B710" s="10" t="n">
        <x:v>46138</x:v>
      </x:c>
      <x:c r="C710" t="str">
        <x:v>Minh Do</x:v>
      </x:c>
      <x:c r="D710" t="str">
        <x:v>North</x:v>
      </x:c>
      <x:c r="E710" t="str">
        <x:v>linkedin</x:v>
      </x:c>
      <x:c r="F710" t="str">
        <x:v>CRM-CORE</x:v>
      </x:c>
      <x:c r="G710" t="str">
        <x:v>Retail</x:v>
      </x:c>
      <x:c r="H710" t="str">
        <x:v>Enterprise</x:v>
      </x:c>
      <x:c r="I710" t="str">
        <x:v>Closed Lost</x:v>
      </x:c>
      <x:c r="J710" s="10" t="n">
        <x:v>46190</x:v>
      </x:c>
      <x:c r="K710" s="10" t="n">
        <x:v>46190</x:v>
      </x:c>
      <x:c r="L710" s="22" t="n">
        <x:v>26800</x:v>
      </x:c>
      <x:c r="M710" s="24" t="n">
        <x:v>0</x:v>
      </x:c>
      <x:c r="N710" s="24" t="n">
        <x:v>0</x:v>
      </x:c>
      <x:c r="O710" t="str">
        <x:v>No Decision</x:v>
      </x:c>
      <x:c r="P710" t="n">
        <x:v>5</x:v>
      </x:c>
      <x:c r="Q710" t="str">
        <x:f>IFERROR(XLOOKUP(E710,Lookups!$A$5:$A$24,Lookups!$B$5:$B$24),"Other")</x:f>
        <x:v>LinkedIn</x:v>
      </x:c>
      <x:c r="R710" t="str">
        <x:f>IFERROR(XLOOKUP(F710,Lookups!$D$5:$D$10,Lookups!$E$5:$E$10),"Unknown Product")</x:f>
        <x:v>NexaCRM Core</x:v>
      </x:c>
      <x:c r="S710" t="str">
        <x:f>IFERROR(XLOOKUP(F710,Lookups!$D$5:$D$10,Lookups!$F$5:$F$10),"Unknown")</x:f>
        <x:v>CRM</x:v>
      </x:c>
      <x:c r="T710" t="str">
        <x:f>IF(L710&gt;=50000,"Enterprise",IF(L710&gt;=20000,"Mid-Market","SMB"))</x:f>
        <x:v>Mid-Market</x:v>
      </x:c>
      <x:c r="U710" t="str">
        <x:f>IF(I710="Closed Won","Won",IF(I710="Closed Lost","Lost","Open"))</x:f>
        <x:v>Lost</x:v>
      </x:c>
      <x:c r="V710" s="22" t="n">
        <x:f>IF(U710="Won",L710*(1-M710),0)</x:f>
        <x:v>0</x:v>
      </x:c>
      <x:c r="W710" s="22" t="n">
        <x:f>IF(U710="Open",L710*N710,0)</x:f>
        <x:v>0</x:v>
      </x:c>
      <x:c r="X710" s="26" t="n">
        <x:f>IF(U710="Open","",IFERROR(K710-B710,""))</x:f>
        <x:v>52</x:v>
      </x:c>
      <x:c r="Y710" s="26" t="n">
        <x:f>IF(U710="Open",Lookups!$B$2-B710,X710)</x:f>
        <x:v>52</x:v>
      </x:c>
      <x:c r="Z710" t="str">
        <x:f>IF(AND(U710="Open",Y710&gt;30),"STALE","OK")</x:f>
        <x:v>OK</x:v>
      </x:c>
      <x:c r="AA710" t="str">
        <x:f>TEXT(B710,"yyyy-mm")</x:f>
        <x:v>2026-04</x:v>
      </x:c>
      <x:c r="AB710" t="str">
        <x:f>IF(K710="","",TEXT(K710,"yyyy-mm"))</x:f>
        <x:v>2026-06</x:v>
      </x:c>
      <x:c r="AC710" t="str">
        <x:f>"Q"&amp;ROUNDUP(MONTH(B710)/3,0)&amp;"-"&amp;YEAR(B710)</x:f>
        <x:v>Q2-2026</x:v>
      </x:c>
      <x:c r="AD710" s="26" t="n">
        <x:f>MIN(100,IF(H710="Enterprise",30,IF(H710="Mid-Market",22,14))+IF(T710="Enterprise",25,IF(T710="Mid-Market",18,10))+IF(Q710="Referral",25,IF(Q710="Organic Search",20,IF(Q710="Email",18,14)))+IF(G710="Technology",10,5))</x:f>
        <x:v>67</x:v>
      </x:c>
      <x:c r="AE710" t="str">
        <x:f>IF(U710&lt;&gt;"Open",U710,IF(N710&gt;=0.8,"Commit",IF(N710&gt;=0.5,"Best Case","Pipeline")))</x:f>
        <x:v>Lost</x:v>
      </x:c>
    </x:row>
    <x:row r="711">
      <x:c r="A711" t="str">
        <x:v>L00710</x:v>
      </x:c>
      <x:c r="B711" s="10" t="n">
        <x:v>45842</x:v>
      </x:c>
      <x:c r="C711" t="str">
        <x:v>Duy Pham</x:v>
      </x:c>
      <x:c r="D711" t="str">
        <x:v>South</x:v>
      </x:c>
      <x:c r="E711" t="str">
        <x:v>linkedin</x:v>
      </x:c>
      <x:c r="F711" t="str">
        <x:v>MKT-AUTO</x:v>
      </x:c>
      <x:c r="G711" t="str">
        <x:v>Manufacturing</x:v>
      </x:c>
      <x:c r="H711" t="str">
        <x:v>Enterprise</x:v>
      </x:c>
      <x:c r="I711" t="str">
        <x:v>Closed Lost</x:v>
      </x:c>
      <x:c r="J711" s="10" t="n">
        <x:v>45916</x:v>
      </x:c>
      <x:c r="K711" s="10" t="n">
        <x:v>45916</x:v>
      </x:c>
      <x:c r="L711" s="22" t="n">
        <x:v>53900</x:v>
      </x:c>
      <x:c r="M711" s="24" t="n">
        <x:v>0</x:v>
      </x:c>
      <x:c r="N711" s="24" t="n">
        <x:v>0</x:v>
      </x:c>
      <x:c r="O711" t="str">
        <x:v>Budget</x:v>
      </x:c>
      <x:c r="P711" t="n">
        <x:v>5</x:v>
      </x:c>
      <x:c r="Q711" t="str">
        <x:f>IFERROR(XLOOKUP(E711,Lookups!$A$5:$A$24,Lookups!$B$5:$B$24),"Other")</x:f>
        <x:v>LinkedIn</x:v>
      </x:c>
      <x:c r="R711" t="str">
        <x:f>IFERROR(XLOOKUP(F711,Lookups!$D$5:$D$10,Lookups!$E$5:$E$10),"Unknown Product")</x:f>
        <x:v>Marketing Automation</x:v>
      </x:c>
      <x:c r="S711" t="str">
        <x:f>IFERROR(XLOOKUP(F711,Lookups!$D$5:$D$10,Lookups!$F$5:$F$10),"Unknown")</x:f>
        <x:v>Marketing</x:v>
      </x:c>
      <x:c r="T711" t="str">
        <x:f>IF(L711&gt;=50000,"Enterprise",IF(L711&gt;=20000,"Mid-Market","SMB"))</x:f>
        <x:v>Enterprise</x:v>
      </x:c>
      <x:c r="U711" t="str">
        <x:f>IF(I711="Closed Won","Won",IF(I711="Closed Lost","Lost","Open"))</x:f>
        <x:v>Lost</x:v>
      </x:c>
      <x:c r="V711" s="22" t="n">
        <x:f>IF(U711="Won",L711*(1-M711),0)</x:f>
        <x:v>0</x:v>
      </x:c>
      <x:c r="W711" s="22" t="n">
        <x:f>IF(U711="Open",L711*N711,0)</x:f>
        <x:v>0</x:v>
      </x:c>
      <x:c r="X711" s="26" t="n">
        <x:f>IF(U711="Open","",IFERROR(K711-B711,""))</x:f>
        <x:v>74</x:v>
      </x:c>
      <x:c r="Y711" s="26" t="n">
        <x:f>IF(U711="Open",Lookups!$B$2-B711,X711)</x:f>
        <x:v>74</x:v>
      </x:c>
      <x:c r="Z711" t="str">
        <x:f>IF(AND(U711="Open",Y711&gt;30),"STALE","OK")</x:f>
        <x:v>OK</x:v>
      </x:c>
      <x:c r="AA711" t="str">
        <x:f>TEXT(B711,"yyyy-mm")</x:f>
        <x:v>2025-07</x:v>
      </x:c>
      <x:c r="AB711" t="str">
        <x:f>IF(K711="","",TEXT(K711,"yyyy-mm"))</x:f>
        <x:v>2025-09</x:v>
      </x:c>
      <x:c r="AC711" t="str">
        <x:f>"Q"&amp;ROUNDUP(MONTH(B711)/3,0)&amp;"-"&amp;YEAR(B711)</x:f>
        <x:v>Q3-2025</x:v>
      </x:c>
      <x:c r="AD711" s="26" t="n">
        <x:f>MIN(100,IF(H711="Enterprise",30,IF(H711="Mid-Market",22,14))+IF(T711="Enterprise",25,IF(T711="Mid-Market",18,10))+IF(Q711="Referral",25,IF(Q711="Organic Search",20,IF(Q711="Email",18,14)))+IF(G711="Technology",10,5))</x:f>
        <x:v>74</x:v>
      </x:c>
      <x:c r="AE711" t="str">
        <x:f>IF(U711&lt;&gt;"Open",U711,IF(N711&gt;=0.8,"Commit",IF(N711&gt;=0.5,"Best Case","Pipeline")))</x:f>
        <x:v>Lost</x:v>
      </x:c>
    </x:row>
    <x:row r="712">
      <x:c r="A712" t="str">
        <x:v>L00711</x:v>
      </x:c>
      <x:c r="B712" s="10" t="n">
        <x:v>45687</x:v>
      </x:c>
      <x:c r="C712" t="str">
        <x:v>Chi Le</x:v>
      </x:c>
      <x:c r="D712" t="str">
        <x:v>South</x:v>
      </x:c>
      <x:c r="E712" t="str">
        <x:v>Webinar</x:v>
      </x:c>
      <x:c r="F712" t="str">
        <x:v>CRM-CORE</x:v>
      </x:c>
      <x:c r="G712" t="str">
        <x:v>Healthcare</x:v>
      </x:c>
      <x:c r="H712" t="str">
        <x:v>Mid-Market</x:v>
      </x:c>
      <x:c r="I712" t="str">
        <x:v>Closed Lost</x:v>
      </x:c>
      <x:c r="J712" s="10" t="n">
        <x:v>45695</x:v>
      </x:c>
      <x:c r="K712" s="10" t="n">
        <x:v>45695</x:v>
      </x:c>
      <x:c r="L712" s="22" t="n">
        <x:v>10800</x:v>
      </x:c>
      <x:c r="M712" s="24" t="n">
        <x:v>0</x:v>
      </x:c>
      <x:c r="N712" s="24" t="n">
        <x:v>0</x:v>
      </x:c>
      <x:c r="O712" t="str">
        <x:v>Competitor</x:v>
      </x:c>
      <x:c r="P712" t="n">
        <x:v>2</x:v>
      </x:c>
      <x:c r="Q712" t="str">
        <x:f>IFERROR(XLOOKUP(E712,Lookups!$A$5:$A$24,Lookups!$B$5:$B$24),"Other")</x:f>
        <x:v>Webinar</x:v>
      </x:c>
      <x:c r="R712" t="str">
        <x:f>IFERROR(XLOOKUP(F712,Lookups!$D$5:$D$10,Lookups!$E$5:$E$10),"Unknown Product")</x:f>
        <x:v>NexaCRM Core</x:v>
      </x:c>
      <x:c r="S712" t="str">
        <x:f>IFERROR(XLOOKUP(F712,Lookups!$D$5:$D$10,Lookups!$F$5:$F$10),"Unknown")</x:f>
        <x:v>CRM</x:v>
      </x:c>
      <x:c r="T712" t="str">
        <x:f>IF(L712&gt;=50000,"Enterprise",IF(L712&gt;=20000,"Mid-Market","SMB"))</x:f>
        <x:v>SMB</x:v>
      </x:c>
      <x:c r="U712" t="str">
        <x:f>IF(I712="Closed Won","Won",IF(I712="Closed Lost","Lost","Open"))</x:f>
        <x:v>Lost</x:v>
      </x:c>
      <x:c r="V712" s="22" t="n">
        <x:f>IF(U712="Won",L712*(1-M712),0)</x:f>
        <x:v>0</x:v>
      </x:c>
      <x:c r="W712" s="22" t="n">
        <x:f>IF(U712="Open",L712*N712,0)</x:f>
        <x:v>0</x:v>
      </x:c>
      <x:c r="X712" s="26" t="n">
        <x:f>IF(U712="Open","",IFERROR(K712-B712,""))</x:f>
        <x:v>8</x:v>
      </x:c>
      <x:c r="Y712" s="26" t="n">
        <x:f>IF(U712="Open",Lookups!$B$2-B712,X712)</x:f>
        <x:v>8</x:v>
      </x:c>
      <x:c r="Z712" t="str">
        <x:f>IF(AND(U712="Open",Y712&gt;30),"STALE","OK")</x:f>
        <x:v>OK</x:v>
      </x:c>
      <x:c r="AA712" t="str">
        <x:f>TEXT(B712,"yyyy-mm")</x:f>
        <x:v>2025-01</x:v>
      </x:c>
      <x:c r="AB712" t="str">
        <x:f>IF(K712="","",TEXT(K712,"yyyy-mm"))</x:f>
        <x:v>2025-02</x:v>
      </x:c>
      <x:c r="AC712" t="str">
        <x:f>"Q"&amp;ROUNDUP(MONTH(B712)/3,0)&amp;"-"&amp;YEAR(B712)</x:f>
        <x:v>Q1-2025</x:v>
      </x:c>
      <x:c r="AD712" s="26" t="n">
        <x:f>MIN(100,IF(H712="Enterprise",30,IF(H712="Mid-Market",22,14))+IF(T712="Enterprise",25,IF(T712="Mid-Market",18,10))+IF(Q712="Referral",25,IF(Q712="Organic Search",20,IF(Q712="Email",18,14)))+IF(G712="Technology",10,5))</x:f>
        <x:v>51</x:v>
      </x:c>
      <x:c r="AE712" t="str">
        <x:f>IF(U712&lt;&gt;"Open",U712,IF(N712&gt;=0.8,"Commit",IF(N712&gt;=0.5,"Best Case","Pipeline")))</x:f>
        <x:v>Lost</x:v>
      </x:c>
    </x:row>
    <x:row r="713">
      <x:c r="A713" t="str">
        <x:v>L00712</x:v>
      </x:c>
      <x:c r="B713" s="10" t="n">
        <x:v>45976</x:v>
      </x:c>
      <x:c r="C713" t="str">
        <x:v>Duy Pham</x:v>
      </x:c>
      <x:c r="D713" t="str">
        <x:v>South</x:v>
      </x:c>
      <x:c r="E713" t="str">
        <x:v>customer referral</x:v>
      </x:c>
      <x:c r="F713" t="str">
        <x:v>CS-CLOUD</x:v>
      </x:c>
      <x:c r="G713" t="str">
        <x:v>Retail</x:v>
      </x:c>
      <x:c r="H713" t="str">
        <x:v>Enterprise</x:v>
      </x:c>
      <x:c r="I713" t="str">
        <x:v>Closed Lost</x:v>
      </x:c>
      <x:c r="J713" s="10" t="n">
        <x:v>46025</x:v>
      </x:c>
      <x:c r="K713" s="10" t="n">
        <x:v>46025</x:v>
      </x:c>
      <x:c r="L713" s="22" t="n">
        <x:v>53900</x:v>
      </x:c>
      <x:c r="M713" s="24" t="n">
        <x:v>0</x:v>
      </x:c>
      <x:c r="N713" s="24" t="n">
        <x:v>0</x:v>
      </x:c>
      <x:c r="O713" t="str">
        <x:v>Price</x:v>
      </x:c>
      <x:c r="P713" t="n">
        <x:v>5</x:v>
      </x:c>
      <x:c r="Q713" t="str">
        <x:f>IFERROR(XLOOKUP(E713,Lookups!$A$5:$A$24,Lookups!$B$5:$B$24),"Other")</x:f>
        <x:v>Referral</x:v>
      </x:c>
      <x:c r="R713" t="str">
        <x:f>IFERROR(XLOOKUP(F713,Lookups!$D$5:$D$10,Lookups!$E$5:$E$10),"Unknown Product")</x:f>
        <x:v>Service Cloud</x:v>
      </x:c>
      <x:c r="S713" t="str">
        <x:f>IFERROR(XLOOKUP(F713,Lookups!$D$5:$D$10,Lookups!$F$5:$F$10),"Unknown")</x:f>
        <x:v>Customer Service</x:v>
      </x:c>
      <x:c r="T713" t="str">
        <x:f>IF(L713&gt;=50000,"Enterprise",IF(L713&gt;=20000,"Mid-Market","SMB"))</x:f>
        <x:v>Enterprise</x:v>
      </x:c>
      <x:c r="U713" t="str">
        <x:f>IF(I713="Closed Won","Won",IF(I713="Closed Lost","Lost","Open"))</x:f>
        <x:v>Lost</x:v>
      </x:c>
      <x:c r="V713" s="22" t="n">
        <x:f>IF(U713="Won",L713*(1-M713),0)</x:f>
        <x:v>0</x:v>
      </x:c>
      <x:c r="W713" s="22" t="n">
        <x:f>IF(U713="Open",L713*N713,0)</x:f>
        <x:v>0</x:v>
      </x:c>
      <x:c r="X713" s="26" t="n">
        <x:f>IF(U713="Open","",IFERROR(K713-B713,""))</x:f>
        <x:v>49</x:v>
      </x:c>
      <x:c r="Y713" s="26" t="n">
        <x:f>IF(U713="Open",Lookups!$B$2-B713,X713)</x:f>
        <x:v>49</x:v>
      </x:c>
      <x:c r="Z713" t="str">
        <x:f>IF(AND(U713="Open",Y713&gt;30),"STALE","OK")</x:f>
        <x:v>OK</x:v>
      </x:c>
      <x:c r="AA713" t="str">
        <x:f>TEXT(B713,"yyyy-mm")</x:f>
        <x:v>2025-11</x:v>
      </x:c>
      <x:c r="AB713" t="str">
        <x:f>IF(K713="","",TEXT(K713,"yyyy-mm"))</x:f>
        <x:v>2026-01</x:v>
      </x:c>
      <x:c r="AC713" t="str">
        <x:f>"Q"&amp;ROUNDUP(MONTH(B713)/3,0)&amp;"-"&amp;YEAR(B713)</x:f>
        <x:v>Q4-2025</x:v>
      </x:c>
      <x:c r="AD713" s="26" t="n">
        <x:f>MIN(100,IF(H713="Enterprise",30,IF(H713="Mid-Market",22,14))+IF(T713="Enterprise",25,IF(T713="Mid-Market",18,10))+IF(Q713="Referral",25,IF(Q713="Organic Search",20,IF(Q713="Email",18,14)))+IF(G713="Technology",10,5))</x:f>
        <x:v>85</x:v>
      </x:c>
      <x:c r="AE713" t="str">
        <x:f>IF(U713&lt;&gt;"Open",U713,IF(N713&gt;=0.8,"Commit",IF(N713&gt;=0.5,"Best Case","Pipeline")))</x:f>
        <x:v>Lost</x:v>
      </x:c>
    </x:row>
    <x:row r="714">
      <x:c r="A714" t="str">
        <x:v>L00713</x:v>
      </x:c>
      <x:c r="B714" s="10" t="n">
        <x:v>45945</x:v>
      </x:c>
      <x:c r="C714" t="str">
        <x:v>Ha Vo</x:v>
      </x:c>
      <x:c r="D714" t="str">
        <x:v>North</x:v>
      </x:c>
      <x:c r="E714" t="str">
        <x:v>LI Ads</x:v>
      </x:c>
      <x:c r="F714" t="str">
        <x:v>CRM-PRO</x:v>
      </x:c>
      <x:c r="G714" t="str">
        <x:v>Manufacturing</x:v>
      </x:c>
      <x:c r="H714" t="str">
        <x:v>SMB</x:v>
      </x:c>
      <x:c r="I714" t="str">
        <x:v>Closed Lost</x:v>
      </x:c>
      <x:c r="J714" s="10" t="n">
        <x:v>45982</x:v>
      </x:c>
      <x:c r="K714" s="10" t="n">
        <x:v>45982</x:v>
      </x:c>
      <x:c r="L714" s="22" t="n">
        <x:v>21400</x:v>
      </x:c>
      <x:c r="M714" s="24" t="n">
        <x:v>0</x:v>
      </x:c>
      <x:c r="N714" s="24" t="n">
        <x:v>0</x:v>
      </x:c>
      <x:c r="O714" t="str">
        <x:v>Price</x:v>
      </x:c>
      <x:c r="P714" t="n">
        <x:v>5</x:v>
      </x:c>
      <x:c r="Q714" t="str">
        <x:f>IFERROR(XLOOKUP(E714,Lookups!$A$5:$A$24,Lookups!$B$5:$B$24),"Other")</x:f>
        <x:v>LinkedIn</x:v>
      </x:c>
      <x:c r="R714" t="str">
        <x:f>IFERROR(XLOOKUP(F714,Lookups!$D$5:$D$10,Lookups!$E$5:$E$10),"Unknown Product")</x:f>
        <x:v>NexaCRM Pro</x:v>
      </x:c>
      <x:c r="S714" t="str">
        <x:f>IFERROR(XLOOKUP(F714,Lookups!$D$5:$D$10,Lookups!$F$5:$F$10),"Unknown")</x:f>
        <x:v>CRM</x:v>
      </x:c>
      <x:c r="T714" t="str">
        <x:f>IF(L714&gt;=50000,"Enterprise",IF(L714&gt;=20000,"Mid-Market","SMB"))</x:f>
        <x:v>Mid-Market</x:v>
      </x:c>
      <x:c r="U714" t="str">
        <x:f>IF(I714="Closed Won","Won",IF(I714="Closed Lost","Lost","Open"))</x:f>
        <x:v>Lost</x:v>
      </x:c>
      <x:c r="V714" s="22" t="n">
        <x:f>IF(U714="Won",L714*(1-M714),0)</x:f>
        <x:v>0</x:v>
      </x:c>
      <x:c r="W714" s="22" t="n">
        <x:f>IF(U714="Open",L714*N714,0)</x:f>
        <x:v>0</x:v>
      </x:c>
      <x:c r="X714" s="26" t="n">
        <x:f>IF(U714="Open","",IFERROR(K714-B714,""))</x:f>
        <x:v>37</x:v>
      </x:c>
      <x:c r="Y714" s="26" t="n">
        <x:f>IF(U714="Open",Lookups!$B$2-B714,X714)</x:f>
        <x:v>37</x:v>
      </x:c>
      <x:c r="Z714" t="str">
        <x:f>IF(AND(U714="Open",Y714&gt;30),"STALE","OK")</x:f>
        <x:v>OK</x:v>
      </x:c>
      <x:c r="AA714" t="str">
        <x:f>TEXT(B714,"yyyy-mm")</x:f>
        <x:v>2025-10</x:v>
      </x:c>
      <x:c r="AB714" t="str">
        <x:f>IF(K714="","",TEXT(K714,"yyyy-mm"))</x:f>
        <x:v>2025-11</x:v>
      </x:c>
      <x:c r="AC714" t="str">
        <x:f>"Q"&amp;ROUNDUP(MONTH(B714)/3,0)&amp;"-"&amp;YEAR(B714)</x:f>
        <x:v>Q4-2025</x:v>
      </x:c>
      <x:c r="AD714" s="26" t="n">
        <x:f>MIN(100,IF(H714="Enterprise",30,IF(H714="Mid-Market",22,14))+IF(T714="Enterprise",25,IF(T714="Mid-Market",18,10))+IF(Q714="Referral",25,IF(Q714="Organic Search",20,IF(Q714="Email",18,14)))+IF(G714="Technology",10,5))</x:f>
        <x:v>51</x:v>
      </x:c>
      <x:c r="AE714" t="str">
        <x:f>IF(U714&lt;&gt;"Open",U714,IF(N714&gt;=0.8,"Commit",IF(N714&gt;=0.5,"Best Case","Pipeline")))</x:f>
        <x:v>Lost</x:v>
      </x:c>
    </x:row>
    <x:row r="715">
      <x:c r="A715" t="str">
        <x:v>L00714</x:v>
      </x:c>
      <x:c r="B715" s="10" t="n">
        <x:v>45698</x:v>
      </x:c>
      <x:c r="C715" t="str">
        <x:v>An Nguyen</x:v>
      </x:c>
      <x:c r="D715" t="str">
        <x:v>South</x:v>
      </x:c>
      <x:c r="E715" t="str">
        <x:v>Partner Referral</x:v>
      </x:c>
      <x:c r="F715" t="str">
        <x:v>CRM-CORE</x:v>
      </x:c>
      <x:c r="G715" t="str">
        <x:v>Manufacturing</x:v>
      </x:c>
      <x:c r="H715" t="str">
        <x:v>SMB</x:v>
      </x:c>
      <x:c r="I715" t="str">
        <x:v>Negotiation</x:v>
      </x:c>
      <x:c r="J715" s="10" t="n">
        <x:v>45977</x:v>
      </x:c>
      <x:c r="K715" s="10"/>
      <x:c r="L715" s="22" t="n">
        <x:v>8200</x:v>
      </x:c>
      <x:c r="M715" s="24" t="n">
        <x:v>0</x:v>
      </x:c>
      <x:c r="N715" s="24" t="n">
        <x:v>0.85</x:v>
      </x:c>
      <x:c r="O715" t="str"/>
      <x:c r="P715" t="n">
        <x:v>5</x:v>
      </x:c>
      <x:c r="Q715" t="str">
        <x:f>IFERROR(XLOOKUP(E715,Lookups!$A$5:$A$24,Lookups!$B$5:$B$24),"Other")</x:f>
        <x:v>Referral</x:v>
      </x:c>
      <x:c r="R715" t="str">
        <x:f>IFERROR(XLOOKUP(F715,Lookups!$D$5:$D$10,Lookups!$E$5:$E$10),"Unknown Product")</x:f>
        <x:v>NexaCRM Core</x:v>
      </x:c>
      <x:c r="S715" t="str">
        <x:f>IFERROR(XLOOKUP(F715,Lookups!$D$5:$D$10,Lookups!$F$5:$F$10),"Unknown")</x:f>
        <x:v>CRM</x:v>
      </x:c>
      <x:c r="T715" t="str">
        <x:f>IF(L715&gt;=50000,"Enterprise",IF(L715&gt;=20000,"Mid-Market","SMB"))</x:f>
        <x:v>SMB</x:v>
      </x:c>
      <x:c r="U715" t="str">
        <x:f>IF(I715="Closed Won","Won",IF(I715="Closed Lost","Lost","Open"))</x:f>
        <x:v>Open</x:v>
      </x:c>
      <x:c r="V715" s="22" t="n">
        <x:f>IF(U715="Won",L715*(1-M715),0)</x:f>
        <x:v>0</x:v>
      </x:c>
      <x:c r="W715" s="22" t="n">
        <x:f>IF(U715="Open",L715*N715,0)</x:f>
        <x:v>6970</x:v>
      </x:c>
      <x:c r="X715" s="26" t="str">
        <x:f>IF(U715="Open","",IFERROR(K715-B715,""))</x:f>
      </x:c>
      <x:c r="Y715" s="26" t="n">
        <x:f>IF(U715="Open",Lookups!$B$2-B715,X715)</x:f>
        <x:v>568</x:v>
      </x:c>
      <x:c r="Z715" t="str">
        <x:f>IF(AND(U715="Open",Y715&gt;30),"STALE","OK")</x:f>
        <x:v>STALE</x:v>
      </x:c>
      <x:c r="AA715" t="str">
        <x:f>TEXT(B715,"yyyy-mm")</x:f>
        <x:v>2025-02</x:v>
      </x:c>
      <x:c r="AB715" t="str">
        <x:f>IF(K715="","",TEXT(K715,"yyyy-mm"))</x:f>
      </x:c>
      <x:c r="AC715" t="str">
        <x:f>"Q"&amp;ROUNDUP(MONTH(B715)/3,0)&amp;"-"&amp;YEAR(B715)</x:f>
        <x:v>Q1-2025</x:v>
      </x:c>
      <x:c r="AD715" s="26" t="n">
        <x:f>MIN(100,IF(H715="Enterprise",30,IF(H715="Mid-Market",22,14))+IF(T715="Enterprise",25,IF(T715="Mid-Market",18,10))+IF(Q715="Referral",25,IF(Q715="Organic Search",20,IF(Q715="Email",18,14)))+IF(G715="Technology",10,5))</x:f>
        <x:v>54</x:v>
      </x:c>
      <x:c r="AE715" t="str">
        <x:f>IF(U715&lt;&gt;"Open",U715,IF(N715&gt;=0.8,"Commit",IF(N715&gt;=0.5,"Best Case","Pipeline")))</x:f>
        <x:v>Commit</x:v>
      </x:c>
    </x:row>
    <x:row r="716">
      <x:c r="A716" t="str">
        <x:v>L00715</x:v>
      </x:c>
      <x:c r="B716" s="10" t="n">
        <x:v>45788</x:v>
      </x:c>
      <x:c r="C716" t="str">
        <x:v>Bao Tran</x:v>
      </x:c>
      <x:c r="D716" t="str">
        <x:v>South</x:v>
      </x:c>
      <x:c r="E716" t="str">
        <x:v>Outbound</x:v>
      </x:c>
      <x:c r="F716" t="str">
        <x:v>MKT-AUTO</x:v>
      </x:c>
      <x:c r="G716" t="str">
        <x:v>Professional Services</x:v>
      </x:c>
      <x:c r="H716" t="str">
        <x:v>Mid-Market</x:v>
      </x:c>
      <x:c r="I716" t="str">
        <x:v>Closed Lost</x:v>
      </x:c>
      <x:c r="J716" s="10" t="n">
        <x:v>45858</x:v>
      </x:c>
      <x:c r="K716" s="10" t="n">
        <x:v>45858</x:v>
      </x:c>
      <x:c r="L716" s="22" t="n">
        <x:v>27600</x:v>
      </x:c>
      <x:c r="M716" s="24" t="n">
        <x:v>0</x:v>
      </x:c>
      <x:c r="N716" s="24" t="n">
        <x:v>0</x:v>
      </x:c>
      <x:c r="O716" t="str">
        <x:v>Competitor</x:v>
      </x:c>
      <x:c r="P716" t="n">
        <x:v>3</x:v>
      </x:c>
      <x:c r="Q716" t="str">
        <x:f>IFERROR(XLOOKUP(E716,Lookups!$A$5:$A$24,Lookups!$B$5:$B$24),"Other")</x:f>
        <x:v>Outbound</x:v>
      </x:c>
      <x:c r="R716" t="str">
        <x:f>IFERROR(XLOOKUP(F716,Lookups!$D$5:$D$10,Lookups!$E$5:$E$10),"Unknown Product")</x:f>
        <x:v>Marketing Automation</x:v>
      </x:c>
      <x:c r="S716" t="str">
        <x:f>IFERROR(XLOOKUP(F716,Lookups!$D$5:$D$10,Lookups!$F$5:$F$10),"Unknown")</x:f>
        <x:v>Marketing</x:v>
      </x:c>
      <x:c r="T716" t="str">
        <x:f>IF(L716&gt;=50000,"Enterprise",IF(L716&gt;=20000,"Mid-Market","SMB"))</x:f>
        <x:v>Mid-Market</x:v>
      </x:c>
      <x:c r="U716" t="str">
        <x:f>IF(I716="Closed Won","Won",IF(I716="Closed Lost","Lost","Open"))</x:f>
        <x:v>Lost</x:v>
      </x:c>
      <x:c r="V716" s="22" t="n">
        <x:f>IF(U716="Won",L716*(1-M716),0)</x:f>
        <x:v>0</x:v>
      </x:c>
      <x:c r="W716" s="22" t="n">
        <x:f>IF(U716="Open",L716*N716,0)</x:f>
        <x:v>0</x:v>
      </x:c>
      <x:c r="X716" s="26" t="n">
        <x:f>IF(U716="Open","",IFERROR(K716-B716,""))</x:f>
        <x:v>70</x:v>
      </x:c>
      <x:c r="Y716" s="26" t="n">
        <x:f>IF(U716="Open",Lookups!$B$2-B716,X716)</x:f>
        <x:v>70</x:v>
      </x:c>
      <x:c r="Z716" t="str">
        <x:f>IF(AND(U716="Open",Y716&gt;30),"STALE","OK")</x:f>
        <x:v>OK</x:v>
      </x:c>
      <x:c r="AA716" t="str">
        <x:f>TEXT(B716,"yyyy-mm")</x:f>
        <x:v>2025-05</x:v>
      </x:c>
      <x:c r="AB716" t="str">
        <x:f>IF(K716="","",TEXT(K716,"yyyy-mm"))</x:f>
        <x:v>2025-07</x:v>
      </x:c>
      <x:c r="AC716" t="str">
        <x:f>"Q"&amp;ROUNDUP(MONTH(B716)/3,0)&amp;"-"&amp;YEAR(B716)</x:f>
        <x:v>Q2-2025</x:v>
      </x:c>
      <x:c r="AD716" s="26" t="n">
        <x:f>MIN(100,IF(H716="Enterprise",30,IF(H716="Mid-Market",22,14))+IF(T716="Enterprise",25,IF(T716="Mid-Market",18,10))+IF(Q716="Referral",25,IF(Q716="Organic Search",20,IF(Q716="Email",18,14)))+IF(G716="Technology",10,5))</x:f>
        <x:v>59</x:v>
      </x:c>
      <x:c r="AE716" t="str">
        <x:f>IF(U716&lt;&gt;"Open",U716,IF(N716&gt;=0.8,"Commit",IF(N716&gt;=0.5,"Best Case","Pipeline")))</x:f>
        <x:v>Lost</x:v>
      </x:c>
    </x:row>
    <x:row r="717">
      <x:c r="A717" t="str">
        <x:v>L00716</x:v>
      </x:c>
      <x:c r="B717" s="10" t="n">
        <x:v>46217</x:v>
      </x:c>
      <x:c r="C717" t="str">
        <x:v>Bao Tran</x:v>
      </x:c>
      <x:c r="D717" t="str">
        <x:v>South</x:v>
      </x:c>
      <x:c r="E717" t="str">
        <x:v>SEM - Google</x:v>
      </x:c>
      <x:c r="F717" t="str">
        <x:v>CRM-PRO</x:v>
      </x:c>
      <x:c r="G717" t="str">
        <x:v>Financial Services</x:v>
      </x:c>
      <x:c r="H717" t="str">
        <x:v>SMB</x:v>
      </x:c>
      <x:c r="I717" t="str">
        <x:v>Closed Lost</x:v>
      </x:c>
      <x:c r="J717" s="10" t="n">
        <x:v>46235</x:v>
      </x:c>
      <x:c r="K717" s="10" t="n">
        <x:v>46235</x:v>
      </x:c>
      <x:c r="L717" s="22" t="n">
        <x:v>23600</x:v>
      </x:c>
      <x:c r="M717" s="24" t="n">
        <x:v>0</x:v>
      </x:c>
      <x:c r="N717" s="24" t="n">
        <x:v>0</x:v>
      </x:c>
      <x:c r="O717" t="str">
        <x:v>Budget</x:v>
      </x:c>
      <x:c r="P717" t="n">
        <x:v>4</x:v>
      </x:c>
      <x:c r="Q717" t="str">
        <x:f>IFERROR(XLOOKUP(E717,Lookups!$A$5:$A$24,Lookups!$B$5:$B$24),"Other")</x:f>
        <x:v>Paid Search</x:v>
      </x:c>
      <x:c r="R717" t="str">
        <x:f>IFERROR(XLOOKUP(F717,Lookups!$D$5:$D$10,Lookups!$E$5:$E$10),"Unknown Product")</x:f>
        <x:v>NexaCRM Pro</x:v>
      </x:c>
      <x:c r="S717" t="str">
        <x:f>IFERROR(XLOOKUP(F717,Lookups!$D$5:$D$10,Lookups!$F$5:$F$10),"Unknown")</x:f>
        <x:v>CRM</x:v>
      </x:c>
      <x:c r="T717" t="str">
        <x:f>IF(L717&gt;=50000,"Enterprise",IF(L717&gt;=20000,"Mid-Market","SMB"))</x:f>
        <x:v>Mid-Market</x:v>
      </x:c>
      <x:c r="U717" t="str">
        <x:f>IF(I717="Closed Won","Won",IF(I717="Closed Lost","Lost","Open"))</x:f>
        <x:v>Lost</x:v>
      </x:c>
      <x:c r="V717" s="22" t="n">
        <x:f>IF(U717="Won",L717*(1-M717),0)</x:f>
        <x:v>0</x:v>
      </x:c>
      <x:c r="W717" s="22" t="n">
        <x:f>IF(U717="Open",L717*N717,0)</x:f>
        <x:v>0</x:v>
      </x:c>
      <x:c r="X717" s="26" t="n">
        <x:f>IF(U717="Open","",IFERROR(K717-B717,""))</x:f>
        <x:v>18</x:v>
      </x:c>
      <x:c r="Y717" s="26" t="n">
        <x:f>IF(U717="Open",Lookups!$B$2-B717,X717)</x:f>
        <x:v>18</x:v>
      </x:c>
      <x:c r="Z717" t="str">
        <x:f>IF(AND(U717="Open",Y717&gt;30),"STALE","OK")</x:f>
        <x:v>OK</x:v>
      </x:c>
      <x:c r="AA717" t="str">
        <x:f>TEXT(B717,"yyyy-mm")</x:f>
        <x:v>2026-07</x:v>
      </x:c>
      <x:c r="AB717" t="str">
        <x:f>IF(K717="","",TEXT(K717,"yyyy-mm"))</x:f>
        <x:v>2026-08</x:v>
      </x:c>
      <x:c r="AC717" t="str">
        <x:f>"Q"&amp;ROUNDUP(MONTH(B717)/3,0)&amp;"-"&amp;YEAR(B717)</x:f>
        <x:v>Q3-2026</x:v>
      </x:c>
      <x:c r="AD717" s="26" t="n">
        <x:f>MIN(100,IF(H717="Enterprise",30,IF(H717="Mid-Market",22,14))+IF(T717="Enterprise",25,IF(T717="Mid-Market",18,10))+IF(Q717="Referral",25,IF(Q717="Organic Search",20,IF(Q717="Email",18,14)))+IF(G717="Technology",10,5))</x:f>
        <x:v>51</x:v>
      </x:c>
      <x:c r="AE717" t="str">
        <x:f>IF(U717&lt;&gt;"Open",U717,IF(N717&gt;=0.8,"Commit",IF(N717&gt;=0.5,"Best Case","Pipeline")))</x:f>
        <x:v>Lost</x:v>
      </x:c>
    </x:row>
    <x:row r="718">
      <x:c r="A718" t="str">
        <x:v>L00717</x:v>
      </x:c>
      <x:c r="B718" s="10" t="n">
        <x:v>45844</x:v>
      </x:c>
      <x:c r="C718" t="str">
        <x:v>Bao Tran</x:v>
      </x:c>
      <x:c r="D718" t="str">
        <x:v>South</x:v>
      </x:c>
      <x:c r="E718" t="str">
        <x:v>Outbound</x:v>
      </x:c>
      <x:c r="F718" t="str">
        <x:v>CRM-CORE</x:v>
      </x:c>
      <x:c r="G718" t="str">
        <x:v>Healthcare</x:v>
      </x:c>
      <x:c r="H718" t="str">
        <x:v>Mid-Market</x:v>
      </x:c>
      <x:c r="I718" t="str">
        <x:v>Closed Lost</x:v>
      </x:c>
      <x:c r="J718" s="10" t="n">
        <x:v>45873</x:v>
      </x:c>
      <x:c r="K718" s="10" t="n">
        <x:v>45873</x:v>
      </x:c>
      <x:c r="L718" s="22" t="n">
        <x:v>8200</x:v>
      </x:c>
      <x:c r="M718" s="24" t="n">
        <x:v>0</x:v>
      </x:c>
      <x:c r="N718" s="24" t="n">
        <x:v>0</x:v>
      </x:c>
      <x:c r="O718" t="str">
        <x:v>Competitor</x:v>
      </x:c>
      <x:c r="P718" t="n">
        <x:v>2</x:v>
      </x:c>
      <x:c r="Q718" t="str">
        <x:f>IFERROR(XLOOKUP(E718,Lookups!$A$5:$A$24,Lookups!$B$5:$B$24),"Other")</x:f>
        <x:v>Outbound</x:v>
      </x:c>
      <x:c r="R718" t="str">
        <x:f>IFERROR(XLOOKUP(F718,Lookups!$D$5:$D$10,Lookups!$E$5:$E$10),"Unknown Product")</x:f>
        <x:v>NexaCRM Core</x:v>
      </x:c>
      <x:c r="S718" t="str">
        <x:f>IFERROR(XLOOKUP(F718,Lookups!$D$5:$D$10,Lookups!$F$5:$F$10),"Unknown")</x:f>
        <x:v>CRM</x:v>
      </x:c>
      <x:c r="T718" t="str">
        <x:f>IF(L718&gt;=50000,"Enterprise",IF(L718&gt;=20000,"Mid-Market","SMB"))</x:f>
        <x:v>SMB</x:v>
      </x:c>
      <x:c r="U718" t="str">
        <x:f>IF(I718="Closed Won","Won",IF(I718="Closed Lost","Lost","Open"))</x:f>
        <x:v>Lost</x:v>
      </x:c>
      <x:c r="V718" s="22" t="n">
        <x:f>IF(U718="Won",L718*(1-M718),0)</x:f>
        <x:v>0</x:v>
      </x:c>
      <x:c r="W718" s="22" t="n">
        <x:f>IF(U718="Open",L718*N718,0)</x:f>
        <x:v>0</x:v>
      </x:c>
      <x:c r="X718" s="26" t="n">
        <x:f>IF(U718="Open","",IFERROR(K718-B718,""))</x:f>
        <x:v>29</x:v>
      </x:c>
      <x:c r="Y718" s="26" t="n">
        <x:f>IF(U718="Open",Lookups!$B$2-B718,X718)</x:f>
        <x:v>29</x:v>
      </x:c>
      <x:c r="Z718" t="str">
        <x:f>IF(AND(U718="Open",Y718&gt;30),"STALE","OK")</x:f>
        <x:v>OK</x:v>
      </x:c>
      <x:c r="AA718" t="str">
        <x:f>TEXT(B718,"yyyy-mm")</x:f>
        <x:v>2025-07</x:v>
      </x:c>
      <x:c r="AB718" t="str">
        <x:f>IF(K718="","",TEXT(K718,"yyyy-mm"))</x:f>
        <x:v>2025-08</x:v>
      </x:c>
      <x:c r="AC718" t="str">
        <x:f>"Q"&amp;ROUNDUP(MONTH(B718)/3,0)&amp;"-"&amp;YEAR(B718)</x:f>
        <x:v>Q3-2025</x:v>
      </x:c>
      <x:c r="AD718" s="26" t="n">
        <x:f>MIN(100,IF(H718="Enterprise",30,IF(H718="Mid-Market",22,14))+IF(T718="Enterprise",25,IF(T718="Mid-Market",18,10))+IF(Q718="Referral",25,IF(Q718="Organic Search",20,IF(Q718="Email",18,14)))+IF(G718="Technology",10,5))</x:f>
        <x:v>51</x:v>
      </x:c>
      <x:c r="AE718" t="str">
        <x:f>IF(U718&lt;&gt;"Open",U718,IF(N718&gt;=0.8,"Commit",IF(N718&gt;=0.5,"Best Case","Pipeline")))</x:f>
        <x:v>Lost</x:v>
      </x:c>
    </x:row>
    <x:row r="719">
      <x:c r="A719" t="str">
        <x:v>L00718</x:v>
      </x:c>
      <x:c r="B719" s="10" t="n">
        <x:v>46263</x:v>
      </x:c>
      <x:c r="C719" t="str">
        <x:v>Bao Tran</x:v>
      </x:c>
      <x:c r="D719" t="str">
        <x:v>South</x:v>
      </x:c>
      <x:c r="E719" t="str">
        <x:v>SEO</x:v>
      </x:c>
      <x:c r="F719" t="str">
        <x:v>CS-CLOUD</x:v>
      </x:c>
      <x:c r="G719" t="str">
        <x:v>Financial Services</x:v>
      </x:c>
      <x:c r="H719" t="str">
        <x:v>Mid-Market</x:v>
      </x:c>
      <x:c r="I719" t="str">
        <x:v>Qualified</x:v>
      </x:c>
      <x:c r="J719" s="10" t="n">
        <x:v>46265</x:v>
      </x:c>
      <x:c r="K719" s="10"/>
      <x:c r="L719" s="22" t="n">
        <x:v>36600</x:v>
      </x:c>
      <x:c r="M719" s="24" t="n">
        <x:v>0.05</x:v>
      </x:c>
      <x:c r="N719" s="24" t="n">
        <x:v>0.2</x:v>
      </x:c>
      <x:c r="O719" t="str"/>
      <x:c r="P719" t="n">
        <x:v>2</x:v>
      </x:c>
      <x:c r="Q719" t="str">
        <x:f>IFERROR(XLOOKUP(E719,Lookups!$A$5:$A$24,Lookups!$B$5:$B$24),"Other")</x:f>
        <x:v>Organic Search</x:v>
      </x:c>
      <x:c r="R719" t="str">
        <x:f>IFERROR(XLOOKUP(F719,Lookups!$D$5:$D$10,Lookups!$E$5:$E$10),"Unknown Product")</x:f>
        <x:v>Service Cloud</x:v>
      </x:c>
      <x:c r="S719" t="str">
        <x:f>IFERROR(XLOOKUP(F719,Lookups!$D$5:$D$10,Lookups!$F$5:$F$10),"Unknown")</x:f>
        <x:v>Customer Service</x:v>
      </x:c>
      <x:c r="T719" t="str">
        <x:f>IF(L719&gt;=50000,"Enterprise",IF(L719&gt;=20000,"Mid-Market","SMB"))</x:f>
        <x:v>Mid-Market</x:v>
      </x:c>
      <x:c r="U719" t="str">
        <x:f>IF(I719="Closed Won","Won",IF(I719="Closed Lost","Lost","Open"))</x:f>
        <x:v>Open</x:v>
      </x:c>
      <x:c r="V719" s="22" t="n">
        <x:f>IF(U719="Won",L719*(1-M719),0)</x:f>
        <x:v>0</x:v>
      </x:c>
      <x:c r="W719" s="22" t="n">
        <x:f>IF(U719="Open",L719*N719,0)</x:f>
        <x:v>7320</x:v>
      </x:c>
      <x:c r="X719" s="26" t="str">
        <x:f>IF(U719="Open","",IFERROR(K719-B719,""))</x:f>
      </x:c>
      <x:c r="Y719" s="26" t="n">
        <x:f>IF(U719="Open",Lookups!$B$2-B719,X719)</x:f>
        <x:v>3</x:v>
      </x:c>
      <x:c r="Z719" t="str">
        <x:f>IF(AND(U719="Open",Y719&gt;30),"STALE","OK")</x:f>
        <x:v>OK</x:v>
      </x:c>
      <x:c r="AA719" t="str">
        <x:f>TEXT(B719,"yyyy-mm")</x:f>
        <x:v>2026-08</x:v>
      </x:c>
      <x:c r="AB719" t="str">
        <x:f>IF(K719="","",TEXT(K719,"yyyy-mm"))</x:f>
      </x:c>
      <x:c r="AC719" t="str">
        <x:f>"Q"&amp;ROUNDUP(MONTH(B719)/3,0)&amp;"-"&amp;YEAR(B719)</x:f>
        <x:v>Q3-2026</x:v>
      </x:c>
      <x:c r="AD719" s="26" t="n">
        <x:f>MIN(100,IF(H719="Enterprise",30,IF(H719="Mid-Market",22,14))+IF(T719="Enterprise",25,IF(T719="Mid-Market",18,10))+IF(Q719="Referral",25,IF(Q719="Organic Search",20,IF(Q719="Email",18,14)))+IF(G719="Technology",10,5))</x:f>
        <x:v>65</x:v>
      </x:c>
      <x:c r="AE719" t="str">
        <x:f>IF(U719&lt;&gt;"Open",U719,IF(N719&gt;=0.8,"Commit",IF(N719&gt;=0.5,"Best Case","Pipeline")))</x:f>
        <x:v>Pipeline</x:v>
      </x:c>
    </x:row>
    <x:row r="720">
      <x:c r="A720" t="str">
        <x:v>L00719</x:v>
      </x:c>
      <x:c r="B720" s="10" t="n">
        <x:v>46152</x:v>
      </x:c>
      <x:c r="C720" t="str">
        <x:v>Tuan Bui</x:v>
      </x:c>
      <x:c r="D720" t="str">
        <x:v>Central</x:v>
      </x:c>
      <x:c r="E720" t="str">
        <x:v>linkedin</x:v>
      </x:c>
      <x:c r="F720" t="str">
        <x:v>CRM-PRO</x:v>
      </x:c>
      <x:c r="G720" t="str">
        <x:v>Retail</x:v>
      </x:c>
      <x:c r="H720" t="str">
        <x:v>SMB</x:v>
      </x:c>
      <x:c r="I720" t="str">
        <x:v>Closed Lost</x:v>
      </x:c>
      <x:c r="J720" s="10" t="n">
        <x:v>46189</x:v>
      </x:c>
      <x:c r="K720" s="10" t="n">
        <x:v>46189</x:v>
      </x:c>
      <x:c r="L720" s="22" t="n">
        <x:v>16100</x:v>
      </x:c>
      <x:c r="M720" s="24" t="n">
        <x:v>0</x:v>
      </x:c>
      <x:c r="N720" s="24" t="n">
        <x:v>0</x:v>
      </x:c>
      <x:c r="O720" t="str">
        <x:v>Feature Gap</x:v>
      </x:c>
      <x:c r="P720" t="n">
        <x:v>5</x:v>
      </x:c>
      <x:c r="Q720" t="str">
        <x:f>IFERROR(XLOOKUP(E720,Lookups!$A$5:$A$24,Lookups!$B$5:$B$24),"Other")</x:f>
        <x:v>LinkedIn</x:v>
      </x:c>
      <x:c r="R720" t="str">
        <x:f>IFERROR(XLOOKUP(F720,Lookups!$D$5:$D$10,Lookups!$E$5:$E$10),"Unknown Product")</x:f>
        <x:v>NexaCRM Pro</x:v>
      </x:c>
      <x:c r="S720" t="str">
        <x:f>IFERROR(XLOOKUP(F720,Lookups!$D$5:$D$10,Lookups!$F$5:$F$10),"Unknown")</x:f>
        <x:v>CRM</x:v>
      </x:c>
      <x:c r="T720" t="str">
        <x:f>IF(L720&gt;=50000,"Enterprise",IF(L720&gt;=20000,"Mid-Market","SMB"))</x:f>
        <x:v>SMB</x:v>
      </x:c>
      <x:c r="U720" t="str">
        <x:f>IF(I720="Closed Won","Won",IF(I720="Closed Lost","Lost","Open"))</x:f>
        <x:v>Lost</x:v>
      </x:c>
      <x:c r="V720" s="22" t="n">
        <x:f>IF(U720="Won",L720*(1-M720),0)</x:f>
        <x:v>0</x:v>
      </x:c>
      <x:c r="W720" s="22" t="n">
        <x:f>IF(U720="Open",L720*N720,0)</x:f>
        <x:v>0</x:v>
      </x:c>
      <x:c r="X720" s="26" t="n">
        <x:f>IF(U720="Open","",IFERROR(K720-B720,""))</x:f>
        <x:v>37</x:v>
      </x:c>
      <x:c r="Y720" s="26" t="n">
        <x:f>IF(U720="Open",Lookups!$B$2-B720,X720)</x:f>
        <x:v>37</x:v>
      </x:c>
      <x:c r="Z720" t="str">
        <x:f>IF(AND(U720="Open",Y720&gt;30),"STALE","OK")</x:f>
        <x:v>OK</x:v>
      </x:c>
      <x:c r="AA720" t="str">
        <x:f>TEXT(B720,"yyyy-mm")</x:f>
        <x:v>2026-05</x:v>
      </x:c>
      <x:c r="AB720" t="str">
        <x:f>IF(K720="","",TEXT(K720,"yyyy-mm"))</x:f>
        <x:v>2026-06</x:v>
      </x:c>
      <x:c r="AC720" t="str">
        <x:f>"Q"&amp;ROUNDUP(MONTH(B720)/3,0)&amp;"-"&amp;YEAR(B720)</x:f>
        <x:v>Q2-2026</x:v>
      </x:c>
      <x:c r="AD720" s="26" t="n">
        <x:f>MIN(100,IF(H720="Enterprise",30,IF(H720="Mid-Market",22,14))+IF(T720="Enterprise",25,IF(T720="Mid-Market",18,10))+IF(Q720="Referral",25,IF(Q720="Organic Search",20,IF(Q720="Email",18,14)))+IF(G720="Technology",10,5))</x:f>
        <x:v>43</x:v>
      </x:c>
      <x:c r="AE720" t="str">
        <x:f>IF(U720&lt;&gt;"Open",U720,IF(N720&gt;=0.8,"Commit",IF(N720&gt;=0.5,"Best Case","Pipeline")))</x:f>
        <x:v>Lost</x:v>
      </x:c>
    </x:row>
    <x:row r="721">
      <x:c r="A721" t="str">
        <x:v>L00720</x:v>
      </x:c>
      <x:c r="B721" s="10" t="n">
        <x:v>46180</x:v>
      </x:c>
      <x:c r="C721" t="str">
        <x:v>Tuan Bui</x:v>
      </x:c>
      <x:c r="D721" t="str">
        <x:v>Central</x:v>
      </x:c>
      <x:c r="E721" t="str">
        <x:v>LinkedIn Ads</x:v>
      </x:c>
      <x:c r="F721" t="str">
        <x:v>CS-CLOUD</x:v>
      </x:c>
      <x:c r="G721" t="str">
        <x:v>Manufacturing</x:v>
      </x:c>
      <x:c r="H721" t="str">
        <x:v>SMB</x:v>
      </x:c>
      <x:c r="I721" t="str">
        <x:v>Closed Lost</x:v>
      </x:c>
      <x:c r="J721" s="10" t="n">
        <x:v>46188</x:v>
      </x:c>
      <x:c r="K721" s="10" t="n">
        <x:v>46188</x:v>
      </x:c>
      <x:c r="L721" s="22" t="n">
        <x:v>14700</x:v>
      </x:c>
      <x:c r="M721" s="24" t="n">
        <x:v>0</x:v>
      </x:c>
      <x:c r="N721" s="24" t="n">
        <x:v>0</x:v>
      </x:c>
      <x:c r="O721" t="str">
        <x:v>Budget</x:v>
      </x:c>
      <x:c r="P721" t="n">
        <x:v>2</x:v>
      </x:c>
      <x:c r="Q721" t="str">
        <x:f>IFERROR(XLOOKUP(E721,Lookups!$A$5:$A$24,Lookups!$B$5:$B$24),"Other")</x:f>
        <x:v>LinkedIn</x:v>
      </x:c>
      <x:c r="R721" t="str">
        <x:f>IFERROR(XLOOKUP(F721,Lookups!$D$5:$D$10,Lookups!$E$5:$E$10),"Unknown Product")</x:f>
        <x:v>Service Cloud</x:v>
      </x:c>
      <x:c r="S721" t="str">
        <x:f>IFERROR(XLOOKUP(F721,Lookups!$D$5:$D$10,Lookups!$F$5:$F$10),"Unknown")</x:f>
        <x:v>Customer Service</x:v>
      </x:c>
      <x:c r="T721" t="str">
        <x:f>IF(L721&gt;=50000,"Enterprise",IF(L721&gt;=20000,"Mid-Market","SMB"))</x:f>
        <x:v>SMB</x:v>
      </x:c>
      <x:c r="U721" t="str">
        <x:f>IF(I721="Closed Won","Won",IF(I721="Closed Lost","Lost","Open"))</x:f>
        <x:v>Lost</x:v>
      </x:c>
      <x:c r="V721" s="22" t="n">
        <x:f>IF(U721="Won",L721*(1-M721),0)</x:f>
        <x:v>0</x:v>
      </x:c>
      <x:c r="W721" s="22" t="n">
        <x:f>IF(U721="Open",L721*N721,0)</x:f>
        <x:v>0</x:v>
      </x:c>
      <x:c r="X721" s="26" t="n">
        <x:f>IF(U721="Open","",IFERROR(K721-B721,""))</x:f>
        <x:v>8</x:v>
      </x:c>
      <x:c r="Y721" s="26" t="n">
        <x:f>IF(U721="Open",Lookups!$B$2-B721,X721)</x:f>
        <x:v>8</x:v>
      </x:c>
      <x:c r="Z721" t="str">
        <x:f>IF(AND(U721="Open",Y721&gt;30),"STALE","OK")</x:f>
        <x:v>OK</x:v>
      </x:c>
      <x:c r="AA721" t="str">
        <x:f>TEXT(B721,"yyyy-mm")</x:f>
        <x:v>2026-06</x:v>
      </x:c>
      <x:c r="AB721" t="str">
        <x:f>IF(K721="","",TEXT(K721,"yyyy-mm"))</x:f>
        <x:v>2026-06</x:v>
      </x:c>
      <x:c r="AC721" t="str">
        <x:f>"Q"&amp;ROUNDUP(MONTH(B721)/3,0)&amp;"-"&amp;YEAR(B721)</x:f>
        <x:v>Q2-2026</x:v>
      </x:c>
      <x:c r="AD721" s="26" t="n">
        <x:f>MIN(100,IF(H721="Enterprise",30,IF(H721="Mid-Market",22,14))+IF(T721="Enterprise",25,IF(T721="Mid-Market",18,10))+IF(Q721="Referral",25,IF(Q721="Organic Search",20,IF(Q721="Email",18,14)))+IF(G721="Technology",10,5))</x:f>
        <x:v>43</x:v>
      </x:c>
      <x:c r="AE721" t="str">
        <x:f>IF(U721&lt;&gt;"Open",U721,IF(N721&gt;=0.8,"Commit",IF(N721&gt;=0.5,"Best Case","Pipeline")))</x:f>
        <x:v>Lost</x:v>
      </x:c>
    </x:row>
    <x:row r="722">
      <x:c r="A722" t="str">
        <x:v>L00721</x:v>
      </x:c>
      <x:c r="B722" s="10" t="n">
        <x:v>46092</x:v>
      </x:c>
      <x:c r="C722" t="str">
        <x:v>Tuan Bui</x:v>
      </x:c>
      <x:c r="D722" t="str">
        <x:v>Central</x:v>
      </x:c>
      <x:c r="E722" t="str">
        <x:v>Google Ads</x:v>
      </x:c>
      <x:c r="F722" t="str">
        <x:v>CS-CLOUD</x:v>
      </x:c>
      <x:c r="G722" t="str">
        <x:v>Technology</x:v>
      </x:c>
      <x:c r="H722" t="str">
        <x:v>Mid-Market</x:v>
      </x:c>
      <x:c r="I722" t="str">
        <x:v>Closed Lost</x:v>
      </x:c>
      <x:c r="J722" s="10" t="n">
        <x:v>46152</x:v>
      </x:c>
      <x:c r="K722" s="10" t="n">
        <x:v>46152</x:v>
      </x:c>
      <x:c r="L722" s="22" t="n">
        <x:v>36600</x:v>
      </x:c>
      <x:c r="M722" s="24" t="n">
        <x:v>0</x:v>
      </x:c>
      <x:c r="N722" s="24" t="n">
        <x:v>0</x:v>
      </x:c>
      <x:c r="O722" t="str">
        <x:v>Price</x:v>
      </x:c>
      <x:c r="P722" t="n">
        <x:v>5</x:v>
      </x:c>
      <x:c r="Q722" t="str">
        <x:f>IFERROR(XLOOKUP(E722,Lookups!$A$5:$A$24,Lookups!$B$5:$B$24),"Other")</x:f>
        <x:v>Paid Search</x:v>
      </x:c>
      <x:c r="R722" t="str">
        <x:f>IFERROR(XLOOKUP(F722,Lookups!$D$5:$D$10,Lookups!$E$5:$E$10),"Unknown Product")</x:f>
        <x:v>Service Cloud</x:v>
      </x:c>
      <x:c r="S722" t="str">
        <x:f>IFERROR(XLOOKUP(F722,Lookups!$D$5:$D$10,Lookups!$F$5:$F$10),"Unknown")</x:f>
        <x:v>Customer Service</x:v>
      </x:c>
      <x:c r="T722" t="str">
        <x:f>IF(L722&gt;=50000,"Enterprise",IF(L722&gt;=20000,"Mid-Market","SMB"))</x:f>
        <x:v>Mid-Market</x:v>
      </x:c>
      <x:c r="U722" t="str">
        <x:f>IF(I722="Closed Won","Won",IF(I722="Closed Lost","Lost","Open"))</x:f>
        <x:v>Lost</x:v>
      </x:c>
      <x:c r="V722" s="22" t="n">
        <x:f>IF(U722="Won",L722*(1-M722),0)</x:f>
        <x:v>0</x:v>
      </x:c>
      <x:c r="W722" s="22" t="n">
        <x:f>IF(U722="Open",L722*N722,0)</x:f>
        <x:v>0</x:v>
      </x:c>
      <x:c r="X722" s="26" t="n">
        <x:f>IF(U722="Open","",IFERROR(K722-B722,""))</x:f>
        <x:v>60</x:v>
      </x:c>
      <x:c r="Y722" s="26" t="n">
        <x:f>IF(U722="Open",Lookups!$B$2-B722,X722)</x:f>
        <x:v>60</x:v>
      </x:c>
      <x:c r="Z722" t="str">
        <x:f>IF(AND(U722="Open",Y722&gt;30),"STALE","OK")</x:f>
        <x:v>OK</x:v>
      </x:c>
      <x:c r="AA722" t="str">
        <x:f>TEXT(B722,"yyyy-mm")</x:f>
        <x:v>2026-03</x:v>
      </x:c>
      <x:c r="AB722" t="str">
        <x:f>IF(K722="","",TEXT(K722,"yyyy-mm"))</x:f>
        <x:v>2026-05</x:v>
      </x:c>
      <x:c r="AC722" t="str">
        <x:f>"Q"&amp;ROUNDUP(MONTH(B722)/3,0)&amp;"-"&amp;YEAR(B722)</x:f>
        <x:v>Q1-2026</x:v>
      </x:c>
      <x:c r="AD722" s="26" t="n">
        <x:f>MIN(100,IF(H722="Enterprise",30,IF(H722="Mid-Market",22,14))+IF(T722="Enterprise",25,IF(T722="Mid-Market",18,10))+IF(Q722="Referral",25,IF(Q722="Organic Search",20,IF(Q722="Email",18,14)))+IF(G722="Technology",10,5))</x:f>
        <x:v>64</x:v>
      </x:c>
      <x:c r="AE722" t="str">
        <x:f>IF(U722&lt;&gt;"Open",U722,IF(N722&gt;=0.8,"Commit",IF(N722&gt;=0.5,"Best Case","Pipeline")))</x:f>
        <x:v>Lost</x:v>
      </x:c>
    </x:row>
    <x:row r="723">
      <x:c r="A723" t="str">
        <x:v>L00722</x:v>
      </x:c>
      <x:c r="B723" s="10" t="n">
        <x:v>46244</x:v>
      </x:c>
      <x:c r="C723" t="str">
        <x:v>Tuan Bui</x:v>
      </x:c>
      <x:c r="D723" t="str">
        <x:v>Central</x:v>
      </x:c>
      <x:c r="E723" t="str">
        <x:v>LI Ads</x:v>
      </x:c>
      <x:c r="F723" t="str">
        <x:v>CRM-PRO</x:v>
      </x:c>
      <x:c r="G723" t="str">
        <x:v>Education</x:v>
      </x:c>
      <x:c r="H723" t="str">
        <x:v>SMB</x:v>
      </x:c>
      <x:c r="I723" t="str">
        <x:v>New</x:v>
      </x:c>
      <x:c r="J723" s="10" t="n">
        <x:v>46261</x:v>
      </x:c>
      <x:c r="K723" s="10"/>
      <x:c r="L723" s="22" t="n">
        <x:v>22700</x:v>
      </x:c>
      <x:c r="M723" s="24" t="n">
        <x:v>0</x:v>
      </x:c>
      <x:c r="N723" s="24" t="n">
        <x:v>0.05</x:v>
      </x:c>
      <x:c r="O723" t="str"/>
      <x:c r="P723" t="n">
        <x:v>1</x:v>
      </x:c>
      <x:c r="Q723" t="str">
        <x:f>IFERROR(XLOOKUP(E723,Lookups!$A$5:$A$24,Lookups!$B$5:$B$24),"Other")</x:f>
        <x:v>LinkedIn</x:v>
      </x:c>
      <x:c r="R723" t="str">
        <x:f>IFERROR(XLOOKUP(F723,Lookups!$D$5:$D$10,Lookups!$E$5:$E$10),"Unknown Product")</x:f>
        <x:v>NexaCRM Pro</x:v>
      </x:c>
      <x:c r="S723" t="str">
        <x:f>IFERROR(XLOOKUP(F723,Lookups!$D$5:$D$10,Lookups!$F$5:$F$10),"Unknown")</x:f>
        <x:v>CRM</x:v>
      </x:c>
      <x:c r="T723" t="str">
        <x:f>IF(L723&gt;=50000,"Enterprise",IF(L723&gt;=20000,"Mid-Market","SMB"))</x:f>
        <x:v>Mid-Market</x:v>
      </x:c>
      <x:c r="U723" t="str">
        <x:f>IF(I723="Closed Won","Won",IF(I723="Closed Lost","Lost","Open"))</x:f>
        <x:v>Open</x:v>
      </x:c>
      <x:c r="V723" s="22" t="n">
        <x:f>IF(U723="Won",L723*(1-M723),0)</x:f>
        <x:v>0</x:v>
      </x:c>
      <x:c r="W723" s="22" t="n">
        <x:f>IF(U723="Open",L723*N723,0)</x:f>
        <x:v>1135</x:v>
      </x:c>
      <x:c r="X723" s="26" t="str">
        <x:f>IF(U723="Open","",IFERROR(K723-B723,""))</x:f>
      </x:c>
      <x:c r="Y723" s="26" t="n">
        <x:f>IF(U723="Open",Lookups!$B$2-B723,X723)</x:f>
        <x:v>22</x:v>
      </x:c>
      <x:c r="Z723" t="str">
        <x:f>IF(AND(U723="Open",Y723&gt;30),"STALE","OK")</x:f>
        <x:v>OK</x:v>
      </x:c>
      <x:c r="AA723" t="str">
        <x:f>TEXT(B723,"yyyy-mm")</x:f>
        <x:v>2026-08</x:v>
      </x:c>
      <x:c r="AB723" t="str">
        <x:f>IF(K723="","",TEXT(K723,"yyyy-mm"))</x:f>
      </x:c>
      <x:c r="AC723" t="str">
        <x:f>"Q"&amp;ROUNDUP(MONTH(B723)/3,0)&amp;"-"&amp;YEAR(B723)</x:f>
        <x:v>Q3-2026</x:v>
      </x:c>
      <x:c r="AD723" s="26" t="n">
        <x:f>MIN(100,IF(H723="Enterprise",30,IF(H723="Mid-Market",22,14))+IF(T723="Enterprise",25,IF(T723="Mid-Market",18,10))+IF(Q723="Referral",25,IF(Q723="Organic Search",20,IF(Q723="Email",18,14)))+IF(G723="Technology",10,5))</x:f>
        <x:v>51</x:v>
      </x:c>
      <x:c r="AE723" t="str">
        <x:f>IF(U723&lt;&gt;"Open",U723,IF(N723&gt;=0.8,"Commit",IF(N723&gt;=0.5,"Best Case","Pipeline")))</x:f>
        <x:v>Pipeline</x:v>
      </x:c>
    </x:row>
    <x:row r="724">
      <x:c r="A724" t="str">
        <x:v>L00723</x:v>
      </x:c>
      <x:c r="B724" s="10" t="n">
        <x:v>45862</x:v>
      </x:c>
      <x:c r="C724" t="str">
        <x:v>An Nguyen</x:v>
      </x:c>
      <x:c r="D724" t="str">
        <x:v>South</x:v>
      </x:c>
      <x:c r="E724" t="str">
        <x:v>SEO</x:v>
      </x:c>
      <x:c r="F724" t="str">
        <x:v>CRM-CORE</x:v>
      </x:c>
      <x:c r="G724" t="str">
        <x:v>Manufacturing</x:v>
      </x:c>
      <x:c r="H724" t="str">
        <x:v>Mid-Market</x:v>
      </x:c>
      <x:c r="I724" t="str">
        <x:v>Closed Won</x:v>
      </x:c>
      <x:c r="J724" s="10" t="n">
        <x:v>45874</x:v>
      </x:c>
      <x:c r="K724" s="10" t="n">
        <x:v>45874</x:v>
      </x:c>
      <x:c r="L724" s="22" t="n">
        <x:v>18600</x:v>
      </x:c>
      <x:c r="M724" s="24" t="n">
        <x:v>0</x:v>
      </x:c>
      <x:c r="N724" s="24" t="n">
        <x:v>1</x:v>
      </x:c>
      <x:c r="O724" t="str"/>
      <x:c r="P724" t="n">
        <x:v>6</x:v>
      </x:c>
      <x:c r="Q724" t="str">
        <x:f>IFERROR(XLOOKUP(E724,Lookups!$A$5:$A$24,Lookups!$B$5:$B$24),"Other")</x:f>
        <x:v>Organic Search</x:v>
      </x:c>
      <x:c r="R724" t="str">
        <x:f>IFERROR(XLOOKUP(F724,Lookups!$D$5:$D$10,Lookups!$E$5:$E$10),"Unknown Product")</x:f>
        <x:v>NexaCRM Core</x:v>
      </x:c>
      <x:c r="S724" t="str">
        <x:f>IFERROR(XLOOKUP(F724,Lookups!$D$5:$D$10,Lookups!$F$5:$F$10),"Unknown")</x:f>
        <x:v>CRM</x:v>
      </x:c>
      <x:c r="T724" t="str">
        <x:f>IF(L724&gt;=50000,"Enterprise",IF(L724&gt;=20000,"Mid-Market","SMB"))</x:f>
        <x:v>SMB</x:v>
      </x:c>
      <x:c r="U724" t="str">
        <x:f>IF(I724="Closed Won","Won",IF(I724="Closed Lost","Lost","Open"))</x:f>
        <x:v>Won</x:v>
      </x:c>
      <x:c r="V724" s="22" t="n">
        <x:f>IF(U724="Won",L724*(1-M724),0)</x:f>
        <x:v>18600</x:v>
      </x:c>
      <x:c r="W724" s="22" t="n">
        <x:f>IF(U724="Open",L724*N724,0)</x:f>
        <x:v>0</x:v>
      </x:c>
      <x:c r="X724" s="26" t="n">
        <x:f>IF(U724="Open","",IFERROR(K724-B724,""))</x:f>
        <x:v>12</x:v>
      </x:c>
      <x:c r="Y724" s="26" t="n">
        <x:f>IF(U724="Open",Lookups!$B$2-B724,X724)</x:f>
        <x:v>12</x:v>
      </x:c>
      <x:c r="Z724" t="str">
        <x:f>IF(AND(U724="Open",Y724&gt;30),"STALE","OK")</x:f>
        <x:v>OK</x:v>
      </x:c>
      <x:c r="AA724" t="str">
        <x:f>TEXT(B724,"yyyy-mm")</x:f>
        <x:v>2025-07</x:v>
      </x:c>
      <x:c r="AB724" t="str">
        <x:f>IF(K724="","",TEXT(K724,"yyyy-mm"))</x:f>
        <x:v>2025-08</x:v>
      </x:c>
      <x:c r="AC724" t="str">
        <x:f>"Q"&amp;ROUNDUP(MONTH(B724)/3,0)&amp;"-"&amp;YEAR(B724)</x:f>
        <x:v>Q3-2025</x:v>
      </x:c>
      <x:c r="AD724" s="26" t="n">
        <x:f>MIN(100,IF(H724="Enterprise",30,IF(H724="Mid-Market",22,14))+IF(T724="Enterprise",25,IF(T724="Mid-Market",18,10))+IF(Q724="Referral",25,IF(Q724="Organic Search",20,IF(Q724="Email",18,14)))+IF(G724="Technology",10,5))</x:f>
        <x:v>57</x:v>
      </x:c>
      <x:c r="AE724" t="str">
        <x:f>IF(U724&lt;&gt;"Open",U724,IF(N724&gt;=0.8,"Commit",IF(N724&gt;=0.5,"Best Case","Pipeline")))</x:f>
        <x:v>Won</x:v>
      </x:c>
    </x:row>
    <x:row r="725">
      <x:c r="A725" t="str">
        <x:v>L00724</x:v>
      </x:c>
      <x:c r="B725" s="10" t="n">
        <x:v>46079</x:v>
      </x:c>
      <x:c r="C725" t="str">
        <x:v>Ha Vo</x:v>
      </x:c>
      <x:c r="D725" t="str">
        <x:v>North</x:v>
      </x:c>
      <x:c r="E725" t="str">
        <x:v>SEO</x:v>
      </x:c>
      <x:c r="F725" t="str">
        <x:v>MKT-AUTO</x:v>
      </x:c>
      <x:c r="G725" t="str">
        <x:v>Professional Services</x:v>
      </x:c>
      <x:c r="H725" t="str">
        <x:v>Mid-Market</x:v>
      </x:c>
      <x:c r="I725" t="str">
        <x:v>Closed Lost</x:v>
      </x:c>
      <x:c r="J725" s="10" t="n">
        <x:v>46150</x:v>
      </x:c>
      <x:c r="K725" s="10" t="n">
        <x:v>46150</x:v>
      </x:c>
      <x:c r="L725" s="22" t="n">
        <x:v>26200</x:v>
      </x:c>
      <x:c r="M725" s="24" t="n">
        <x:v>0</x:v>
      </x:c>
      <x:c r="N725" s="24" t="n">
        <x:v>0</x:v>
      </x:c>
      <x:c r="O725" t="str">
        <x:v>Competitor</x:v>
      </x:c>
      <x:c r="P725" t="n">
        <x:v>2</x:v>
      </x:c>
      <x:c r="Q725" t="str">
        <x:f>IFERROR(XLOOKUP(E725,Lookups!$A$5:$A$24,Lookups!$B$5:$B$24),"Other")</x:f>
        <x:v>Organic Search</x:v>
      </x:c>
      <x:c r="R725" t="str">
        <x:f>IFERROR(XLOOKUP(F725,Lookups!$D$5:$D$10,Lookups!$E$5:$E$10),"Unknown Product")</x:f>
        <x:v>Marketing Automation</x:v>
      </x:c>
      <x:c r="S725" t="str">
        <x:f>IFERROR(XLOOKUP(F725,Lookups!$D$5:$D$10,Lookups!$F$5:$F$10),"Unknown")</x:f>
        <x:v>Marketing</x:v>
      </x:c>
      <x:c r="T725" t="str">
        <x:f>IF(L725&gt;=50000,"Enterprise",IF(L725&gt;=20000,"Mid-Market","SMB"))</x:f>
        <x:v>Mid-Market</x:v>
      </x:c>
      <x:c r="U725" t="str">
        <x:f>IF(I725="Closed Won","Won",IF(I725="Closed Lost","Lost","Open"))</x:f>
        <x:v>Lost</x:v>
      </x:c>
      <x:c r="V725" s="22" t="n">
        <x:f>IF(U725="Won",L725*(1-M725),0)</x:f>
        <x:v>0</x:v>
      </x:c>
      <x:c r="W725" s="22" t="n">
        <x:f>IF(U725="Open",L725*N725,0)</x:f>
        <x:v>0</x:v>
      </x:c>
      <x:c r="X725" s="26" t="n">
        <x:f>IF(U725="Open","",IFERROR(K725-B725,""))</x:f>
        <x:v>71</x:v>
      </x:c>
      <x:c r="Y725" s="26" t="n">
        <x:f>IF(U725="Open",Lookups!$B$2-B725,X725)</x:f>
        <x:v>71</x:v>
      </x:c>
      <x:c r="Z725" t="str">
        <x:f>IF(AND(U725="Open",Y725&gt;30),"STALE","OK")</x:f>
        <x:v>OK</x:v>
      </x:c>
      <x:c r="AA725" t="str">
        <x:f>TEXT(B725,"yyyy-mm")</x:f>
        <x:v>2026-02</x:v>
      </x:c>
      <x:c r="AB725" t="str">
        <x:f>IF(K725="","",TEXT(K725,"yyyy-mm"))</x:f>
        <x:v>2026-05</x:v>
      </x:c>
      <x:c r="AC725" t="str">
        <x:f>"Q"&amp;ROUNDUP(MONTH(B725)/3,0)&amp;"-"&amp;YEAR(B725)</x:f>
        <x:v>Q1-2026</x:v>
      </x:c>
      <x:c r="AD725" s="26" t="n">
        <x:f>MIN(100,IF(H725="Enterprise",30,IF(H725="Mid-Market",22,14))+IF(T725="Enterprise",25,IF(T725="Mid-Market",18,10))+IF(Q725="Referral",25,IF(Q725="Organic Search",20,IF(Q725="Email",18,14)))+IF(G725="Technology",10,5))</x:f>
        <x:v>65</x:v>
      </x:c>
      <x:c r="AE725" t="str">
        <x:f>IF(U725&lt;&gt;"Open",U725,IF(N725&gt;=0.8,"Commit",IF(N725&gt;=0.5,"Best Case","Pipeline")))</x:f>
        <x:v>Lost</x:v>
      </x:c>
    </x:row>
    <x:row r="726">
      <x:c r="A726" t="str">
        <x:v>L00725</x:v>
      </x:c>
      <x:c r="B726" s="10" t="n">
        <x:v>45771</x:v>
      </x:c>
      <x:c r="C726" t="str">
        <x:v>Ha Vo</x:v>
      </x:c>
      <x:c r="D726" t="str">
        <x:v>North</x:v>
      </x:c>
      <x:c r="E726" t="str">
        <x:v>newsletter</x:v>
      </x:c>
      <x:c r="F726" t="str">
        <x:v>MKT-AUTO</x:v>
      </x:c>
      <x:c r="G726" t="str">
        <x:v>Healthcare</x:v>
      </x:c>
      <x:c r="H726" t="str">
        <x:v>SMB</x:v>
      </x:c>
      <x:c r="I726" t="str">
        <x:v>Closed Lost</x:v>
      </x:c>
      <x:c r="J726" s="10" t="n">
        <x:v>45826</x:v>
      </x:c>
      <x:c r="K726" s="10" t="n">
        <x:v>45826</x:v>
      </x:c>
      <x:c r="L726" s="22" t="n">
        <x:v>15300</x:v>
      </x:c>
      <x:c r="M726" s="24" t="n">
        <x:v>0</x:v>
      </x:c>
      <x:c r="N726" s="24" t="n">
        <x:v>0</x:v>
      </x:c>
      <x:c r="O726" t="str">
        <x:v>Price</x:v>
      </x:c>
      <x:c r="P726" t="n">
        <x:v>4</x:v>
      </x:c>
      <x:c r="Q726" t="str">
        <x:f>IFERROR(XLOOKUP(E726,Lookups!$A$5:$A$24,Lookups!$B$5:$B$24),"Other")</x:f>
        <x:v>Email</x:v>
      </x:c>
      <x:c r="R726" t="str">
        <x:f>IFERROR(XLOOKUP(F726,Lookups!$D$5:$D$10,Lookups!$E$5:$E$10),"Unknown Product")</x:f>
        <x:v>Marketing Automation</x:v>
      </x:c>
      <x:c r="S726" t="str">
        <x:f>IFERROR(XLOOKUP(F726,Lookups!$D$5:$D$10,Lookups!$F$5:$F$10),"Unknown")</x:f>
        <x:v>Marketing</x:v>
      </x:c>
      <x:c r="T726" t="str">
        <x:f>IF(L726&gt;=50000,"Enterprise",IF(L726&gt;=20000,"Mid-Market","SMB"))</x:f>
        <x:v>SMB</x:v>
      </x:c>
      <x:c r="U726" t="str">
        <x:f>IF(I726="Closed Won","Won",IF(I726="Closed Lost","Lost","Open"))</x:f>
        <x:v>Lost</x:v>
      </x:c>
      <x:c r="V726" s="22" t="n">
        <x:f>IF(U726="Won",L726*(1-M726),0)</x:f>
        <x:v>0</x:v>
      </x:c>
      <x:c r="W726" s="22" t="n">
        <x:f>IF(U726="Open",L726*N726,0)</x:f>
        <x:v>0</x:v>
      </x:c>
      <x:c r="X726" s="26" t="n">
        <x:f>IF(U726="Open","",IFERROR(K726-B726,""))</x:f>
        <x:v>55</x:v>
      </x:c>
      <x:c r="Y726" s="26" t="n">
        <x:f>IF(U726="Open",Lookups!$B$2-B726,X726)</x:f>
        <x:v>55</x:v>
      </x:c>
      <x:c r="Z726" t="str">
        <x:f>IF(AND(U726="Open",Y726&gt;30),"STALE","OK")</x:f>
        <x:v>OK</x:v>
      </x:c>
      <x:c r="AA726" t="str">
        <x:f>TEXT(B726,"yyyy-mm")</x:f>
        <x:v>2025-04</x:v>
      </x:c>
      <x:c r="AB726" t="str">
        <x:f>IF(K726="","",TEXT(K726,"yyyy-mm"))</x:f>
        <x:v>2025-06</x:v>
      </x:c>
      <x:c r="AC726" t="str">
        <x:f>"Q"&amp;ROUNDUP(MONTH(B726)/3,0)&amp;"-"&amp;YEAR(B726)</x:f>
        <x:v>Q2-2025</x:v>
      </x:c>
      <x:c r="AD726" s="26" t="n">
        <x:f>MIN(100,IF(H726="Enterprise",30,IF(H726="Mid-Market",22,14))+IF(T726="Enterprise",25,IF(T726="Mid-Market",18,10))+IF(Q726="Referral",25,IF(Q726="Organic Search",20,IF(Q726="Email",18,14)))+IF(G726="Technology",10,5))</x:f>
        <x:v>47</x:v>
      </x:c>
      <x:c r="AE726" t="str">
        <x:f>IF(U726&lt;&gt;"Open",U726,IF(N726&gt;=0.8,"Commit",IF(N726&gt;=0.5,"Best Case","Pipeline")))</x:f>
        <x:v>Lost</x:v>
      </x:c>
    </x:row>
    <x:row r="727">
      <x:c r="A727" t="str">
        <x:v>L00726</x:v>
      </x:c>
      <x:c r="B727" s="10" t="n">
        <x:v>45910</x:v>
      </x:c>
      <x:c r="C727" t="str">
        <x:v>Bao Tran</x:v>
      </x:c>
      <x:c r="D727" t="str">
        <x:v>South</x:v>
      </x:c>
      <x:c r="E727" t="str">
        <x:v>newsletter</x:v>
      </x:c>
      <x:c r="F727" t="str">
        <x:v>MKT-AUTO</x:v>
      </x:c>
      <x:c r="G727" t="str">
        <x:v>Technology</x:v>
      </x:c>
      <x:c r="H727" t="str">
        <x:v>SMB</x:v>
      </x:c>
      <x:c r="I727" t="str">
        <x:v>Closed Won</x:v>
      </x:c>
      <x:c r="J727" s="10" t="n">
        <x:v>45981</x:v>
      </x:c>
      <x:c r="K727" s="10" t="n">
        <x:v>45981</x:v>
      </x:c>
      <x:c r="L727" s="22" t="n">
        <x:v>15900</x:v>
      </x:c>
      <x:c r="M727" s="24" t="n">
        <x:v>0.05</x:v>
      </x:c>
      <x:c r="N727" s="24" t="n">
        <x:v>1</x:v>
      </x:c>
      <x:c r="O727" t="str"/>
      <x:c r="P727" t="n">
        <x:v>6</x:v>
      </x:c>
      <x:c r="Q727" t="str">
        <x:f>IFERROR(XLOOKUP(E727,Lookups!$A$5:$A$24,Lookups!$B$5:$B$24),"Other")</x:f>
        <x:v>Email</x:v>
      </x:c>
      <x:c r="R727" t="str">
        <x:f>IFERROR(XLOOKUP(F727,Lookups!$D$5:$D$10,Lookups!$E$5:$E$10),"Unknown Product")</x:f>
        <x:v>Marketing Automation</x:v>
      </x:c>
      <x:c r="S727" t="str">
        <x:f>IFERROR(XLOOKUP(F727,Lookups!$D$5:$D$10,Lookups!$F$5:$F$10),"Unknown")</x:f>
        <x:v>Marketing</x:v>
      </x:c>
      <x:c r="T727" t="str">
        <x:f>IF(L727&gt;=50000,"Enterprise",IF(L727&gt;=20000,"Mid-Market","SMB"))</x:f>
        <x:v>SMB</x:v>
      </x:c>
      <x:c r="U727" t="str">
        <x:f>IF(I727="Closed Won","Won",IF(I727="Closed Lost","Lost","Open"))</x:f>
        <x:v>Won</x:v>
      </x:c>
      <x:c r="V727" s="22" t="n">
        <x:f>IF(U727="Won",L727*(1-M727),0)</x:f>
        <x:v>15105</x:v>
      </x:c>
      <x:c r="W727" s="22" t="n">
        <x:f>IF(U727="Open",L727*N727,0)</x:f>
        <x:v>0</x:v>
      </x:c>
      <x:c r="X727" s="26" t="n">
        <x:f>IF(U727="Open","",IFERROR(K727-B727,""))</x:f>
        <x:v>71</x:v>
      </x:c>
      <x:c r="Y727" s="26" t="n">
        <x:f>IF(U727="Open",Lookups!$B$2-B727,X727)</x:f>
        <x:v>71</x:v>
      </x:c>
      <x:c r="Z727" t="str">
        <x:f>IF(AND(U727="Open",Y727&gt;30),"STALE","OK")</x:f>
        <x:v>OK</x:v>
      </x:c>
      <x:c r="AA727" t="str">
        <x:f>TEXT(B727,"yyyy-mm")</x:f>
        <x:v>2025-09</x:v>
      </x:c>
      <x:c r="AB727" t="str">
        <x:f>IF(K727="","",TEXT(K727,"yyyy-mm"))</x:f>
        <x:v>2025-11</x:v>
      </x:c>
      <x:c r="AC727" t="str">
        <x:f>"Q"&amp;ROUNDUP(MONTH(B727)/3,0)&amp;"-"&amp;YEAR(B727)</x:f>
        <x:v>Q3-2025</x:v>
      </x:c>
      <x:c r="AD727" s="26" t="n">
        <x:f>MIN(100,IF(H727="Enterprise",30,IF(H727="Mid-Market",22,14))+IF(T727="Enterprise",25,IF(T727="Mid-Market",18,10))+IF(Q727="Referral",25,IF(Q727="Organic Search",20,IF(Q727="Email",18,14)))+IF(G727="Technology",10,5))</x:f>
        <x:v>52</x:v>
      </x:c>
      <x:c r="AE727" t="str">
        <x:f>IF(U727&lt;&gt;"Open",U727,IF(N727&gt;=0.8,"Commit",IF(N727&gt;=0.5,"Best Case","Pipeline")))</x:f>
        <x:v>Won</x:v>
      </x:c>
    </x:row>
    <x:row r="728">
      <x:c r="A728" t="str">
        <x:v>L00727</x:v>
      </x:c>
      <x:c r="B728" s="10" t="n">
        <x:v>45796</x:v>
      </x:c>
      <x:c r="C728" t="str">
        <x:v>Quynh Vu</x:v>
      </x:c>
      <x:c r="D728" t="str">
        <x:v>North</x:v>
      </x:c>
      <x:c r="E728" t="str">
        <x:v>SEM - Google</x:v>
      </x:c>
      <x:c r="F728" t="str">
        <x:v>CRM-PRO</x:v>
      </x:c>
      <x:c r="G728" t="str">
        <x:v>Education</x:v>
      </x:c>
      <x:c r="H728" t="str">
        <x:v>Mid-Market</x:v>
      </x:c>
      <x:c r="I728" t="str">
        <x:v>Closed Lost</x:v>
      </x:c>
      <x:c r="J728" s="10" t="n">
        <x:v>45865</x:v>
      </x:c>
      <x:c r="K728" s="10" t="n">
        <x:v>45865</x:v>
      </x:c>
      <x:c r="L728" s="22" t="n">
        <x:v>22800</x:v>
      </x:c>
      <x:c r="M728" s="24" t="n">
        <x:v>0</x:v>
      </x:c>
      <x:c r="N728" s="24" t="n">
        <x:v>0</x:v>
      </x:c>
      <x:c r="O728" t="str">
        <x:v>Budget</x:v>
      </x:c>
      <x:c r="P728" t="n">
        <x:v>4</x:v>
      </x:c>
      <x:c r="Q728" t="str">
        <x:f>IFERROR(XLOOKUP(E728,Lookups!$A$5:$A$24,Lookups!$B$5:$B$24),"Other")</x:f>
        <x:v>Paid Search</x:v>
      </x:c>
      <x:c r="R728" t="str">
        <x:f>IFERROR(XLOOKUP(F728,Lookups!$D$5:$D$10,Lookups!$E$5:$E$10),"Unknown Product")</x:f>
        <x:v>NexaCRM Pro</x:v>
      </x:c>
      <x:c r="S728" t="str">
        <x:f>IFERROR(XLOOKUP(F728,Lookups!$D$5:$D$10,Lookups!$F$5:$F$10),"Unknown")</x:f>
        <x:v>CRM</x:v>
      </x:c>
      <x:c r="T728" t="str">
        <x:f>IF(L728&gt;=50000,"Enterprise",IF(L728&gt;=20000,"Mid-Market","SMB"))</x:f>
        <x:v>Mid-Market</x:v>
      </x:c>
      <x:c r="U728" t="str">
        <x:f>IF(I728="Closed Won","Won",IF(I728="Closed Lost","Lost","Open"))</x:f>
        <x:v>Lost</x:v>
      </x:c>
      <x:c r="V728" s="22" t="n">
        <x:f>IF(U728="Won",L728*(1-M728),0)</x:f>
        <x:v>0</x:v>
      </x:c>
      <x:c r="W728" s="22" t="n">
        <x:f>IF(U728="Open",L728*N728,0)</x:f>
        <x:v>0</x:v>
      </x:c>
      <x:c r="X728" s="26" t="n">
        <x:f>IF(U728="Open","",IFERROR(K728-B728,""))</x:f>
        <x:v>69</x:v>
      </x:c>
      <x:c r="Y728" s="26" t="n">
        <x:f>IF(U728="Open",Lookups!$B$2-B728,X728)</x:f>
        <x:v>69</x:v>
      </x:c>
      <x:c r="Z728" t="str">
        <x:f>IF(AND(U728="Open",Y728&gt;30),"STALE","OK")</x:f>
        <x:v>OK</x:v>
      </x:c>
      <x:c r="AA728" t="str">
        <x:f>TEXT(B728,"yyyy-mm")</x:f>
        <x:v>2025-05</x:v>
      </x:c>
      <x:c r="AB728" t="str">
        <x:f>IF(K728="","",TEXT(K728,"yyyy-mm"))</x:f>
        <x:v>2025-07</x:v>
      </x:c>
      <x:c r="AC728" t="str">
        <x:f>"Q"&amp;ROUNDUP(MONTH(B728)/3,0)&amp;"-"&amp;YEAR(B728)</x:f>
        <x:v>Q2-2025</x:v>
      </x:c>
      <x:c r="AD728" s="26" t="n">
        <x:f>MIN(100,IF(H728="Enterprise",30,IF(H728="Mid-Market",22,14))+IF(T728="Enterprise",25,IF(T728="Mid-Market",18,10))+IF(Q728="Referral",25,IF(Q728="Organic Search",20,IF(Q728="Email",18,14)))+IF(G728="Technology",10,5))</x:f>
        <x:v>59</x:v>
      </x:c>
      <x:c r="AE728" t="str">
        <x:f>IF(U728&lt;&gt;"Open",U728,IF(N728&gt;=0.8,"Commit",IF(N728&gt;=0.5,"Best Case","Pipeline")))</x:f>
        <x:v>Lost</x:v>
      </x:c>
    </x:row>
    <x:row r="729">
      <x:c r="A729" t="str">
        <x:v>L00728</x:v>
      </x:c>
      <x:c r="B729" s="10" t="n">
        <x:v>46241</x:v>
      </x:c>
      <x:c r="C729" t="str">
        <x:v>Bao Tran</x:v>
      </x:c>
      <x:c r="D729" t="str">
        <x:v>South</x:v>
      </x:c>
      <x:c r="E729" t="str">
        <x:v>SEO</x:v>
      </x:c>
      <x:c r="F729" t="str">
        <x:v>CRM-PRO</x:v>
      </x:c>
      <x:c r="G729" t="str">
        <x:v>Professional Services</x:v>
      </x:c>
      <x:c r="H729" t="str">
        <x:v>SMB</x:v>
      </x:c>
      <x:c r="I729" t="str">
        <x:v>New</x:v>
      </x:c>
      <x:c r="J729" s="10" t="n">
        <x:v>46255</x:v>
      </x:c>
      <x:c r="K729" s="10"/>
      <x:c r="L729" s="22" t="n">
        <x:v>19800</x:v>
      </x:c>
      <x:c r="M729" s="24" t="n">
        <x:v>0</x:v>
      </x:c>
      <x:c r="N729" s="24" t="n">
        <x:v>0.05</x:v>
      </x:c>
      <x:c r="O729" t="str"/>
      <x:c r="P729" t="n">
        <x:v>1</x:v>
      </x:c>
      <x:c r="Q729" t="str">
        <x:f>IFERROR(XLOOKUP(E729,Lookups!$A$5:$A$24,Lookups!$B$5:$B$24),"Other")</x:f>
        <x:v>Organic Search</x:v>
      </x:c>
      <x:c r="R729" t="str">
        <x:f>IFERROR(XLOOKUP(F729,Lookups!$D$5:$D$10,Lookups!$E$5:$E$10),"Unknown Product")</x:f>
        <x:v>NexaCRM Pro</x:v>
      </x:c>
      <x:c r="S729" t="str">
        <x:f>IFERROR(XLOOKUP(F729,Lookups!$D$5:$D$10,Lookups!$F$5:$F$10),"Unknown")</x:f>
        <x:v>CRM</x:v>
      </x:c>
      <x:c r="T729" t="str">
        <x:f>IF(L729&gt;=50000,"Enterprise",IF(L729&gt;=20000,"Mid-Market","SMB"))</x:f>
        <x:v>SMB</x:v>
      </x:c>
      <x:c r="U729" t="str">
        <x:f>IF(I729="Closed Won","Won",IF(I729="Closed Lost","Lost","Open"))</x:f>
        <x:v>Open</x:v>
      </x:c>
      <x:c r="V729" s="22" t="n">
        <x:f>IF(U729="Won",L729*(1-M729),0)</x:f>
        <x:v>0</x:v>
      </x:c>
      <x:c r="W729" s="22" t="n">
        <x:f>IF(U729="Open",L729*N729,0)</x:f>
        <x:v>990</x:v>
      </x:c>
      <x:c r="X729" s="26" t="str">
        <x:f>IF(U729="Open","",IFERROR(K729-B729,""))</x:f>
      </x:c>
      <x:c r="Y729" s="26" t="n">
        <x:f>IF(U729="Open",Lookups!$B$2-B729,X729)</x:f>
        <x:v>25</x:v>
      </x:c>
      <x:c r="Z729" t="str">
        <x:f>IF(AND(U729="Open",Y729&gt;30),"STALE","OK")</x:f>
        <x:v>OK</x:v>
      </x:c>
      <x:c r="AA729" t="str">
        <x:f>TEXT(B729,"yyyy-mm")</x:f>
        <x:v>2026-08</x:v>
      </x:c>
      <x:c r="AB729" t="str">
        <x:f>IF(K729="","",TEXT(K729,"yyyy-mm"))</x:f>
      </x:c>
      <x:c r="AC729" t="str">
        <x:f>"Q"&amp;ROUNDUP(MONTH(B729)/3,0)&amp;"-"&amp;YEAR(B729)</x:f>
        <x:v>Q3-2026</x:v>
      </x:c>
      <x:c r="AD729" s="26" t="n">
        <x:f>MIN(100,IF(H729="Enterprise",30,IF(H729="Mid-Market",22,14))+IF(T729="Enterprise",25,IF(T729="Mid-Market",18,10))+IF(Q729="Referral",25,IF(Q729="Organic Search",20,IF(Q729="Email",18,14)))+IF(G729="Technology",10,5))</x:f>
        <x:v>49</x:v>
      </x:c>
      <x:c r="AE729" t="str">
        <x:f>IF(U729&lt;&gt;"Open",U729,IF(N729&gt;=0.8,"Commit",IF(N729&gt;=0.5,"Best Case","Pipeline")))</x:f>
        <x:v>Pipeline</x:v>
      </x:c>
    </x:row>
    <x:row r="730">
      <x:c r="A730" t="str">
        <x:v>L00729</x:v>
      </x:c>
      <x:c r="B730" s="10" t="n">
        <x:v>45680</x:v>
      </x:c>
      <x:c r="C730" t="str">
        <x:v>Tuan Bui</x:v>
      </x:c>
      <x:c r="D730" t="str">
        <x:v>Central</x:v>
      </x:c>
      <x:c r="E730" t="str">
        <x:v>Google Ads</x:v>
      </x:c>
      <x:c r="F730" t="str">
        <x:v>CRM-PRO</x:v>
      </x:c>
      <x:c r="G730" t="str">
        <x:v>Healthcare</x:v>
      </x:c>
      <x:c r="H730" t="str">
        <x:v>Mid-Market</x:v>
      </x:c>
      <x:c r="I730" t="str">
        <x:v>Negotiation</x:v>
      </x:c>
      <x:c r="J730" s="10" t="n">
        <x:v>45971</x:v>
      </x:c>
      <x:c r="K730" s="10"/>
      <x:c r="L730" s="22" t="n">
        <x:v>32000</x:v>
      </x:c>
      <x:c r="M730" s="24" t="n">
        <x:v>0</x:v>
      </x:c>
      <x:c r="N730" s="24" t="n">
        <x:v>0.85</x:v>
      </x:c>
      <x:c r="O730" t="str"/>
      <x:c r="P730" t="n">
        <x:v>5</x:v>
      </x:c>
      <x:c r="Q730" t="str">
        <x:f>IFERROR(XLOOKUP(E730,Lookups!$A$5:$A$24,Lookups!$B$5:$B$24),"Other")</x:f>
        <x:v>Paid Search</x:v>
      </x:c>
      <x:c r="R730" t="str">
        <x:f>IFERROR(XLOOKUP(F730,Lookups!$D$5:$D$10,Lookups!$E$5:$E$10),"Unknown Product")</x:f>
        <x:v>NexaCRM Pro</x:v>
      </x:c>
      <x:c r="S730" t="str">
        <x:f>IFERROR(XLOOKUP(F730,Lookups!$D$5:$D$10,Lookups!$F$5:$F$10),"Unknown")</x:f>
        <x:v>CRM</x:v>
      </x:c>
      <x:c r="T730" t="str">
        <x:f>IF(L730&gt;=50000,"Enterprise",IF(L730&gt;=20000,"Mid-Market","SMB"))</x:f>
        <x:v>Mid-Market</x:v>
      </x:c>
      <x:c r="U730" t="str">
        <x:f>IF(I730="Closed Won","Won",IF(I730="Closed Lost","Lost","Open"))</x:f>
        <x:v>Open</x:v>
      </x:c>
      <x:c r="V730" s="22" t="n">
        <x:f>IF(U730="Won",L730*(1-M730),0)</x:f>
        <x:v>0</x:v>
      </x:c>
      <x:c r="W730" s="22" t="n">
        <x:f>IF(U730="Open",L730*N730,0)</x:f>
        <x:v>27200</x:v>
      </x:c>
      <x:c r="X730" s="26" t="str">
        <x:f>IF(U730="Open","",IFERROR(K730-B730,""))</x:f>
      </x:c>
      <x:c r="Y730" s="26" t="n">
        <x:f>IF(U730="Open",Lookups!$B$2-B730,X730)</x:f>
        <x:v>586</x:v>
      </x:c>
      <x:c r="Z730" t="str">
        <x:f>IF(AND(U730="Open",Y730&gt;30),"STALE","OK")</x:f>
        <x:v>STALE</x:v>
      </x:c>
      <x:c r="AA730" t="str">
        <x:f>TEXT(B730,"yyyy-mm")</x:f>
        <x:v>2025-01</x:v>
      </x:c>
      <x:c r="AB730" t="str">
        <x:f>IF(K730="","",TEXT(K730,"yyyy-mm"))</x:f>
      </x:c>
      <x:c r="AC730" t="str">
        <x:f>"Q"&amp;ROUNDUP(MONTH(B730)/3,0)&amp;"-"&amp;YEAR(B730)</x:f>
        <x:v>Q1-2025</x:v>
      </x:c>
      <x:c r="AD730" s="26" t="n">
        <x:f>MIN(100,IF(H730="Enterprise",30,IF(H730="Mid-Market",22,14))+IF(T730="Enterprise",25,IF(T730="Mid-Market",18,10))+IF(Q730="Referral",25,IF(Q730="Organic Search",20,IF(Q730="Email",18,14)))+IF(G730="Technology",10,5))</x:f>
        <x:v>59</x:v>
      </x:c>
      <x:c r="AE730" t="str">
        <x:f>IF(U730&lt;&gt;"Open",U730,IF(N730&gt;=0.8,"Commit",IF(N730&gt;=0.5,"Best Case","Pipeline")))</x:f>
        <x:v>Commit</x:v>
      </x:c>
    </x:row>
    <x:row r="731">
      <x:c r="A731" t="str">
        <x:v>L00730</x:v>
      </x:c>
      <x:c r="B731" s="10" t="n">
        <x:v>45954</x:v>
      </x:c>
      <x:c r="C731" t="str">
        <x:v>Bao Tran</x:v>
      </x:c>
      <x:c r="D731" t="str">
        <x:v>South</x:v>
      </x:c>
      <x:c r="E731" t="str">
        <x:v>Webinar</x:v>
      </x:c>
      <x:c r="F731" t="str">
        <x:v>MKT-AUTO</x:v>
      </x:c>
      <x:c r="G731" t="str">
        <x:v>Retail</x:v>
      </x:c>
      <x:c r="H731" t="str">
        <x:v>SMB</x:v>
      </x:c>
      <x:c r="I731" t="str">
        <x:v>Closed Lost</x:v>
      </x:c>
      <x:c r="J731" s="10" t="n">
        <x:v>46014</x:v>
      </x:c>
      <x:c r="K731" s="10" t="n">
        <x:v>46014</x:v>
      </x:c>
      <x:c r="L731" s="22" t="n">
        <x:v>13300</x:v>
      </x:c>
      <x:c r="M731" s="24" t="n">
        <x:v>0</x:v>
      </x:c>
      <x:c r="N731" s="24" t="n">
        <x:v>0</x:v>
      </x:c>
      <x:c r="O731" t="str">
        <x:v>No Decision</x:v>
      </x:c>
      <x:c r="P731" t="n">
        <x:v>5</x:v>
      </x:c>
      <x:c r="Q731" t="str">
        <x:f>IFERROR(XLOOKUP(E731,Lookups!$A$5:$A$24,Lookups!$B$5:$B$24),"Other")</x:f>
        <x:v>Webinar</x:v>
      </x:c>
      <x:c r="R731" t="str">
        <x:f>IFERROR(XLOOKUP(F731,Lookups!$D$5:$D$10,Lookups!$E$5:$E$10),"Unknown Product")</x:f>
        <x:v>Marketing Automation</x:v>
      </x:c>
      <x:c r="S731" t="str">
        <x:f>IFERROR(XLOOKUP(F731,Lookups!$D$5:$D$10,Lookups!$F$5:$F$10),"Unknown")</x:f>
        <x:v>Marketing</x:v>
      </x:c>
      <x:c r="T731" t="str">
        <x:f>IF(L731&gt;=50000,"Enterprise",IF(L731&gt;=20000,"Mid-Market","SMB"))</x:f>
        <x:v>SMB</x:v>
      </x:c>
      <x:c r="U731" t="str">
        <x:f>IF(I731="Closed Won","Won",IF(I731="Closed Lost","Lost","Open"))</x:f>
        <x:v>Lost</x:v>
      </x:c>
      <x:c r="V731" s="22" t="n">
        <x:f>IF(U731="Won",L731*(1-M731),0)</x:f>
        <x:v>0</x:v>
      </x:c>
      <x:c r="W731" s="22" t="n">
        <x:f>IF(U731="Open",L731*N731,0)</x:f>
        <x:v>0</x:v>
      </x:c>
      <x:c r="X731" s="26" t="n">
        <x:f>IF(U731="Open","",IFERROR(K731-B731,""))</x:f>
        <x:v>60</x:v>
      </x:c>
      <x:c r="Y731" s="26" t="n">
        <x:f>IF(U731="Open",Lookups!$B$2-B731,X731)</x:f>
        <x:v>60</x:v>
      </x:c>
      <x:c r="Z731" t="str">
        <x:f>IF(AND(U731="Open",Y731&gt;30),"STALE","OK")</x:f>
        <x:v>OK</x:v>
      </x:c>
      <x:c r="AA731" t="str">
        <x:f>TEXT(B731,"yyyy-mm")</x:f>
        <x:v>2025-10</x:v>
      </x:c>
      <x:c r="AB731" t="str">
        <x:f>IF(K731="","",TEXT(K731,"yyyy-mm"))</x:f>
        <x:v>2025-12</x:v>
      </x:c>
      <x:c r="AC731" t="str">
        <x:f>"Q"&amp;ROUNDUP(MONTH(B731)/3,0)&amp;"-"&amp;YEAR(B731)</x:f>
        <x:v>Q4-2025</x:v>
      </x:c>
      <x:c r="AD731" s="26" t="n">
        <x:f>MIN(100,IF(H731="Enterprise",30,IF(H731="Mid-Market",22,14))+IF(T731="Enterprise",25,IF(T731="Mid-Market",18,10))+IF(Q731="Referral",25,IF(Q731="Organic Search",20,IF(Q731="Email",18,14)))+IF(G731="Technology",10,5))</x:f>
        <x:v>43</x:v>
      </x:c>
      <x:c r="AE731" t="str">
        <x:f>IF(U731&lt;&gt;"Open",U731,IF(N731&gt;=0.8,"Commit",IF(N731&gt;=0.5,"Best Case","Pipeline")))</x:f>
        <x:v>Lost</x:v>
      </x:c>
    </x:row>
    <x:row r="732">
      <x:c r="A732" t="str">
        <x:v>L00731</x:v>
      </x:c>
      <x:c r="B732" s="10" t="n">
        <x:v>45740</x:v>
      </x:c>
      <x:c r="C732" t="str">
        <x:v>Tuan Bui</x:v>
      </x:c>
      <x:c r="D732" t="str">
        <x:v>Central</x:v>
      </x:c>
      <x:c r="E732" t="str">
        <x:v>linkedin</x:v>
      </x:c>
      <x:c r="F732" t="str">
        <x:v>CRM-PRO</x:v>
      </x:c>
      <x:c r="G732" t="str">
        <x:v>Retail</x:v>
      </x:c>
      <x:c r="H732" t="str">
        <x:v>SMB</x:v>
      </x:c>
      <x:c r="I732" t="str">
        <x:v>Closed Lost</x:v>
      </x:c>
      <x:c r="J732" s="10" t="n">
        <x:v>45786</x:v>
      </x:c>
      <x:c r="K732" s="10" t="n">
        <x:v>45786</x:v>
      </x:c>
      <x:c r="L732" s="22" t="n">
        <x:v>20700</x:v>
      </x:c>
      <x:c r="M732" s="24" t="n">
        <x:v>0</x:v>
      </x:c>
      <x:c r="N732" s="24" t="n">
        <x:v>0</x:v>
      </x:c>
      <x:c r="O732" t="str">
        <x:v>Price</x:v>
      </x:c>
      <x:c r="P732" t="n">
        <x:v>2</x:v>
      </x:c>
      <x:c r="Q732" t="str">
        <x:f>IFERROR(XLOOKUP(E732,Lookups!$A$5:$A$24,Lookups!$B$5:$B$24),"Other")</x:f>
        <x:v>LinkedIn</x:v>
      </x:c>
      <x:c r="R732" t="str">
        <x:f>IFERROR(XLOOKUP(F732,Lookups!$D$5:$D$10,Lookups!$E$5:$E$10),"Unknown Product")</x:f>
        <x:v>NexaCRM Pro</x:v>
      </x:c>
      <x:c r="S732" t="str">
        <x:f>IFERROR(XLOOKUP(F732,Lookups!$D$5:$D$10,Lookups!$F$5:$F$10),"Unknown")</x:f>
        <x:v>CRM</x:v>
      </x:c>
      <x:c r="T732" t="str">
        <x:f>IF(L732&gt;=50000,"Enterprise",IF(L732&gt;=20000,"Mid-Market","SMB"))</x:f>
        <x:v>Mid-Market</x:v>
      </x:c>
      <x:c r="U732" t="str">
        <x:f>IF(I732="Closed Won","Won",IF(I732="Closed Lost","Lost","Open"))</x:f>
        <x:v>Lost</x:v>
      </x:c>
      <x:c r="V732" s="22" t="n">
        <x:f>IF(U732="Won",L732*(1-M732),0)</x:f>
        <x:v>0</x:v>
      </x:c>
      <x:c r="W732" s="22" t="n">
        <x:f>IF(U732="Open",L732*N732,0)</x:f>
        <x:v>0</x:v>
      </x:c>
      <x:c r="X732" s="26" t="n">
        <x:f>IF(U732="Open","",IFERROR(K732-B732,""))</x:f>
        <x:v>46</x:v>
      </x:c>
      <x:c r="Y732" s="26" t="n">
        <x:f>IF(U732="Open",Lookups!$B$2-B732,X732)</x:f>
        <x:v>46</x:v>
      </x:c>
      <x:c r="Z732" t="str">
        <x:f>IF(AND(U732="Open",Y732&gt;30),"STALE","OK")</x:f>
        <x:v>OK</x:v>
      </x:c>
      <x:c r="AA732" t="str">
        <x:f>TEXT(B732,"yyyy-mm")</x:f>
        <x:v>2025-03</x:v>
      </x:c>
      <x:c r="AB732" t="str">
        <x:f>IF(K732="","",TEXT(K732,"yyyy-mm"))</x:f>
        <x:v>2025-05</x:v>
      </x:c>
      <x:c r="AC732" t="str">
        <x:f>"Q"&amp;ROUNDUP(MONTH(B732)/3,0)&amp;"-"&amp;YEAR(B732)</x:f>
        <x:v>Q1-2025</x:v>
      </x:c>
      <x:c r="AD732" s="26" t="n">
        <x:f>MIN(100,IF(H732="Enterprise",30,IF(H732="Mid-Market",22,14))+IF(T732="Enterprise",25,IF(T732="Mid-Market",18,10))+IF(Q732="Referral",25,IF(Q732="Organic Search",20,IF(Q732="Email",18,14)))+IF(G732="Technology",10,5))</x:f>
        <x:v>51</x:v>
      </x:c>
      <x:c r="AE732" t="str">
        <x:f>IF(U732&lt;&gt;"Open",U732,IF(N732&gt;=0.8,"Commit",IF(N732&gt;=0.5,"Best Case","Pipeline")))</x:f>
        <x:v>Lost</x:v>
      </x:c>
    </x:row>
    <x:row r="733">
      <x:c r="A733" t="str">
        <x:v>L00732</x:v>
      </x:c>
      <x:c r="B733" s="10" t="n">
        <x:v>46199</x:v>
      </x:c>
      <x:c r="C733" t="str">
        <x:v>Ha Vo</x:v>
      </x:c>
      <x:c r="D733" t="str">
        <x:v>North</x:v>
      </x:c>
      <x:c r="E733" t="str">
        <x:v>Google Ads</x:v>
      </x:c>
      <x:c r="F733" t="str">
        <x:v>REV-OPS</x:v>
      </x:c>
      <x:c r="G733" t="str">
        <x:v>Retail</x:v>
      </x:c>
      <x:c r="H733" t="str">
        <x:v>Mid-Market</x:v>
      </x:c>
      <x:c r="I733" t="str">
        <x:v>Qualified</x:v>
      </x:c>
      <x:c r="J733" s="10" t="n">
        <x:v>46235</x:v>
      </x:c>
      <x:c r="K733" s="10"/>
      <x:c r="L733" s="22" t="n">
        <x:v>48800</x:v>
      </x:c>
      <x:c r="M733" s="24" t="n">
        <x:v>0</x:v>
      </x:c>
      <x:c r="N733" s="24" t="n">
        <x:v>0.2</x:v>
      </x:c>
      <x:c r="O733" t="str"/>
      <x:c r="P733" t="n">
        <x:v>2</x:v>
      </x:c>
      <x:c r="Q733" t="str">
        <x:f>IFERROR(XLOOKUP(E733,Lookups!$A$5:$A$24,Lookups!$B$5:$B$24),"Other")</x:f>
        <x:v>Paid Search</x:v>
      </x:c>
      <x:c r="R733" t="str">
        <x:f>IFERROR(XLOOKUP(F733,Lookups!$D$5:$D$10,Lookups!$E$5:$E$10),"Unknown Product")</x:f>
        <x:v>Revenue Operations Suite</x:v>
      </x:c>
      <x:c r="S733" t="str">
        <x:f>IFERROR(XLOOKUP(F733,Lookups!$D$5:$D$10,Lookups!$F$5:$F$10),"Unknown")</x:f>
        <x:v>Revenue Ops</x:v>
      </x:c>
      <x:c r="T733" t="str">
        <x:f>IF(L733&gt;=50000,"Enterprise",IF(L733&gt;=20000,"Mid-Market","SMB"))</x:f>
        <x:v>Mid-Market</x:v>
      </x:c>
      <x:c r="U733" t="str">
        <x:f>IF(I733="Closed Won","Won",IF(I733="Closed Lost","Lost","Open"))</x:f>
        <x:v>Open</x:v>
      </x:c>
      <x:c r="V733" s="22" t="n">
        <x:f>IF(U733="Won",L733*(1-M733),0)</x:f>
        <x:v>0</x:v>
      </x:c>
      <x:c r="W733" s="22" t="n">
        <x:f>IF(U733="Open",L733*N733,0)</x:f>
        <x:v>9760</x:v>
      </x:c>
      <x:c r="X733" s="26" t="str">
        <x:f>IF(U733="Open","",IFERROR(K733-B733,""))</x:f>
      </x:c>
      <x:c r="Y733" s="26" t="n">
        <x:f>IF(U733="Open",Lookups!$B$2-B733,X733)</x:f>
        <x:v>67</x:v>
      </x:c>
      <x:c r="Z733" t="str">
        <x:f>IF(AND(U733="Open",Y733&gt;30),"STALE","OK")</x:f>
        <x:v>STALE</x:v>
      </x:c>
      <x:c r="AA733" t="str">
        <x:f>TEXT(B733,"yyyy-mm")</x:f>
        <x:v>2026-06</x:v>
      </x:c>
      <x:c r="AB733" t="str">
        <x:f>IF(K733="","",TEXT(K733,"yyyy-mm"))</x:f>
      </x:c>
      <x:c r="AC733" t="str">
        <x:f>"Q"&amp;ROUNDUP(MONTH(B733)/3,0)&amp;"-"&amp;YEAR(B733)</x:f>
        <x:v>Q2-2026</x:v>
      </x:c>
      <x:c r="AD733" s="26" t="n">
        <x:f>MIN(100,IF(H733="Enterprise",30,IF(H733="Mid-Market",22,14))+IF(T733="Enterprise",25,IF(T733="Mid-Market",18,10))+IF(Q733="Referral",25,IF(Q733="Organic Search",20,IF(Q733="Email",18,14)))+IF(G733="Technology",10,5))</x:f>
        <x:v>59</x:v>
      </x:c>
      <x:c r="AE733" t="str">
        <x:f>IF(U733&lt;&gt;"Open",U733,IF(N733&gt;=0.8,"Commit",IF(N733&gt;=0.5,"Best Case","Pipeline")))</x:f>
        <x:v>Pipeline</x:v>
      </x:c>
    </x:row>
    <x:row r="734">
      <x:c r="A734" t="str">
        <x:v>L00733</x:v>
      </x:c>
      <x:c r="B734" s="10" t="n">
        <x:v>45921</x:v>
      </x:c>
      <x:c r="C734" t="str">
        <x:v>Bao Tran</x:v>
      </x:c>
      <x:c r="D734" t="str">
        <x:v>South</x:v>
      </x:c>
      <x:c r="E734" t="str">
        <x:v>linkedin</x:v>
      </x:c>
      <x:c r="F734" t="str">
        <x:v>CRM-PRO</x:v>
      </x:c>
      <x:c r="G734" t="str">
        <x:v>Professional Services</x:v>
      </x:c>
      <x:c r="H734" t="str">
        <x:v>SMB</x:v>
      </x:c>
      <x:c r="I734" t="str">
        <x:v>Closed Won</x:v>
      </x:c>
      <x:c r="J734" s="10" t="n">
        <x:v>45970</x:v>
      </x:c>
      <x:c r="K734" s="10" t="n">
        <x:v>45970</x:v>
      </x:c>
      <x:c r="L734" s="22" t="n">
        <x:v>11300</x:v>
      </x:c>
      <x:c r="M734" s="24" t="n">
        <x:v>0.12</x:v>
      </x:c>
      <x:c r="N734" s="24" t="n">
        <x:v>1</x:v>
      </x:c>
      <x:c r="O734" t="str"/>
      <x:c r="P734" t="n">
        <x:v>6</x:v>
      </x:c>
      <x:c r="Q734" t="str">
        <x:f>IFERROR(XLOOKUP(E734,Lookups!$A$5:$A$24,Lookups!$B$5:$B$24),"Other")</x:f>
        <x:v>LinkedIn</x:v>
      </x:c>
      <x:c r="R734" t="str">
        <x:f>IFERROR(XLOOKUP(F734,Lookups!$D$5:$D$10,Lookups!$E$5:$E$10),"Unknown Product")</x:f>
        <x:v>NexaCRM Pro</x:v>
      </x:c>
      <x:c r="S734" t="str">
        <x:f>IFERROR(XLOOKUP(F734,Lookups!$D$5:$D$10,Lookups!$F$5:$F$10),"Unknown")</x:f>
        <x:v>CRM</x:v>
      </x:c>
      <x:c r="T734" t="str">
        <x:f>IF(L734&gt;=50000,"Enterprise",IF(L734&gt;=20000,"Mid-Market","SMB"))</x:f>
        <x:v>SMB</x:v>
      </x:c>
      <x:c r="U734" t="str">
        <x:f>IF(I734="Closed Won","Won",IF(I734="Closed Lost","Lost","Open"))</x:f>
        <x:v>Won</x:v>
      </x:c>
      <x:c r="V734" s="22" t="n">
        <x:f>IF(U734="Won",L734*(1-M734),0)</x:f>
        <x:v>9944</x:v>
      </x:c>
      <x:c r="W734" s="22" t="n">
        <x:f>IF(U734="Open",L734*N734,0)</x:f>
        <x:v>0</x:v>
      </x:c>
      <x:c r="X734" s="26" t="n">
        <x:f>IF(U734="Open","",IFERROR(K734-B734,""))</x:f>
        <x:v>49</x:v>
      </x:c>
      <x:c r="Y734" s="26" t="n">
        <x:f>IF(U734="Open",Lookups!$B$2-B734,X734)</x:f>
        <x:v>49</x:v>
      </x:c>
      <x:c r="Z734" t="str">
        <x:f>IF(AND(U734="Open",Y734&gt;30),"STALE","OK")</x:f>
        <x:v>OK</x:v>
      </x:c>
      <x:c r="AA734" t="str">
        <x:f>TEXT(B734,"yyyy-mm")</x:f>
        <x:v>2025-09</x:v>
      </x:c>
      <x:c r="AB734" t="str">
        <x:f>IF(K734="","",TEXT(K734,"yyyy-mm"))</x:f>
        <x:v>2025-11</x:v>
      </x:c>
      <x:c r="AC734" t="str">
        <x:f>"Q"&amp;ROUNDUP(MONTH(B734)/3,0)&amp;"-"&amp;YEAR(B734)</x:f>
        <x:v>Q3-2025</x:v>
      </x:c>
      <x:c r="AD734" s="26" t="n">
        <x:f>MIN(100,IF(H734="Enterprise",30,IF(H734="Mid-Market",22,14))+IF(T734="Enterprise",25,IF(T734="Mid-Market",18,10))+IF(Q734="Referral",25,IF(Q734="Organic Search",20,IF(Q734="Email",18,14)))+IF(G734="Technology",10,5))</x:f>
        <x:v>43</x:v>
      </x:c>
      <x:c r="AE734" t="str">
        <x:f>IF(U734&lt;&gt;"Open",U734,IF(N734&gt;=0.8,"Commit",IF(N734&gt;=0.5,"Best Case","Pipeline")))</x:f>
        <x:v>Won</x:v>
      </x:c>
    </x:row>
    <x:row r="735">
      <x:c r="A735" t="str">
        <x:v>L00734</x:v>
      </x:c>
      <x:c r="B735" s="10" t="n">
        <x:v>46088</x:v>
      </x:c>
      <x:c r="C735" t="str">
        <x:v>Quynh Vu</x:v>
      </x:c>
      <x:c r="D735" t="str">
        <x:v>North</x:v>
      </x:c>
      <x:c r="E735" t="str">
        <x:v>Webinar</x:v>
      </x:c>
      <x:c r="F735" t="str">
        <x:v>BI-PLUS</x:v>
      </x:c>
      <x:c r="G735" t="str">
        <x:v>Manufacturing</x:v>
      </x:c>
      <x:c r="H735" t="str">
        <x:v>SMB</x:v>
      </x:c>
      <x:c r="I735" t="str">
        <x:v>Closed Lost</x:v>
      </x:c>
      <x:c r="J735" s="10" t="n">
        <x:v>46142</x:v>
      </x:c>
      <x:c r="K735" s="10" t="n">
        <x:v>46142</x:v>
      </x:c>
      <x:c r="L735" s="22" t="n">
        <x:v>23600</x:v>
      </x:c>
      <x:c r="M735" s="24" t="n">
        <x:v>0</x:v>
      </x:c>
      <x:c r="N735" s="24" t="n">
        <x:v>0</x:v>
      </x:c>
      <x:c r="O735" t="str">
        <x:v>Competitor</x:v>
      </x:c>
      <x:c r="P735" t="n">
        <x:v>5</x:v>
      </x:c>
      <x:c r="Q735" t="str">
        <x:f>IFERROR(XLOOKUP(E735,Lookups!$A$5:$A$24,Lookups!$B$5:$B$24),"Other")</x:f>
        <x:v>Webinar</x:v>
      </x:c>
      <x:c r="R735" t="str">
        <x:f>IFERROR(XLOOKUP(F735,Lookups!$D$5:$D$10,Lookups!$E$5:$E$10),"Unknown Product")</x:f>
        <x:v>Analytics Plus</x:v>
      </x:c>
      <x:c r="S735" t="str">
        <x:f>IFERROR(XLOOKUP(F735,Lookups!$D$5:$D$10,Lookups!$F$5:$F$10),"Unknown")</x:f>
        <x:v>Analytics</x:v>
      </x:c>
      <x:c r="T735" t="str">
        <x:f>IF(L735&gt;=50000,"Enterprise",IF(L735&gt;=20000,"Mid-Market","SMB"))</x:f>
        <x:v>Mid-Market</x:v>
      </x:c>
      <x:c r="U735" t="str">
        <x:f>IF(I735="Closed Won","Won",IF(I735="Closed Lost","Lost","Open"))</x:f>
        <x:v>Lost</x:v>
      </x:c>
      <x:c r="V735" s="22" t="n">
        <x:f>IF(U735="Won",L735*(1-M735),0)</x:f>
        <x:v>0</x:v>
      </x:c>
      <x:c r="W735" s="22" t="n">
        <x:f>IF(U735="Open",L735*N735,0)</x:f>
        <x:v>0</x:v>
      </x:c>
      <x:c r="X735" s="26" t="n">
        <x:f>IF(U735="Open","",IFERROR(K735-B735,""))</x:f>
        <x:v>54</x:v>
      </x:c>
      <x:c r="Y735" s="26" t="n">
        <x:f>IF(U735="Open",Lookups!$B$2-B735,X735)</x:f>
        <x:v>54</x:v>
      </x:c>
      <x:c r="Z735" t="str">
        <x:f>IF(AND(U735="Open",Y735&gt;30),"STALE","OK")</x:f>
        <x:v>OK</x:v>
      </x:c>
      <x:c r="AA735" t="str">
        <x:f>TEXT(B735,"yyyy-mm")</x:f>
        <x:v>2026-03</x:v>
      </x:c>
      <x:c r="AB735" t="str">
        <x:f>IF(K735="","",TEXT(K735,"yyyy-mm"))</x:f>
        <x:v>2026-04</x:v>
      </x:c>
      <x:c r="AC735" t="str">
        <x:f>"Q"&amp;ROUNDUP(MONTH(B735)/3,0)&amp;"-"&amp;YEAR(B735)</x:f>
        <x:v>Q1-2026</x:v>
      </x:c>
      <x:c r="AD735" s="26" t="n">
        <x:f>MIN(100,IF(H735="Enterprise",30,IF(H735="Mid-Market",22,14))+IF(T735="Enterprise",25,IF(T735="Mid-Market",18,10))+IF(Q735="Referral",25,IF(Q735="Organic Search",20,IF(Q735="Email",18,14)))+IF(G735="Technology",10,5))</x:f>
        <x:v>51</x:v>
      </x:c>
      <x:c r="AE735" t="str">
        <x:f>IF(U735&lt;&gt;"Open",U735,IF(N735&gt;=0.8,"Commit",IF(N735&gt;=0.5,"Best Case","Pipeline")))</x:f>
        <x:v>Lost</x:v>
      </x:c>
    </x:row>
    <x:row r="736">
      <x:c r="A736" t="str">
        <x:v>L00735</x:v>
      </x:c>
      <x:c r="B736" s="10" t="n">
        <x:v>45694</x:v>
      </x:c>
      <x:c r="C736" t="str">
        <x:v>Chi Le</x:v>
      </x:c>
      <x:c r="D736" t="str">
        <x:v>South</x:v>
      </x:c>
      <x:c r="E736" t="str">
        <x:v>Webinar</x:v>
      </x:c>
      <x:c r="F736" t="str">
        <x:v>CRM-PRO</x:v>
      </x:c>
      <x:c r="G736" t="str">
        <x:v>Professional Services</x:v>
      </x:c>
      <x:c r="H736" t="str">
        <x:v>Mid-Market</x:v>
      </x:c>
      <x:c r="I736" t="str">
        <x:v>Closed Won</x:v>
      </x:c>
      <x:c r="J736" s="10" t="n">
        <x:v>45744</x:v>
      </x:c>
      <x:c r="K736" s="10" t="n">
        <x:v>45744</x:v>
      </x:c>
      <x:c r="L736" s="22" t="n">
        <x:v>35900</x:v>
      </x:c>
      <x:c r="M736" s="24" t="n">
        <x:v>0.08</x:v>
      </x:c>
      <x:c r="N736" s="24" t="n">
        <x:v>1</x:v>
      </x:c>
      <x:c r="O736" t="str"/>
      <x:c r="P736" t="n">
        <x:v>6</x:v>
      </x:c>
      <x:c r="Q736" t="str">
        <x:f>IFERROR(XLOOKUP(E736,Lookups!$A$5:$A$24,Lookups!$B$5:$B$24),"Other")</x:f>
        <x:v>Webinar</x:v>
      </x:c>
      <x:c r="R736" t="str">
        <x:f>IFERROR(XLOOKUP(F736,Lookups!$D$5:$D$10,Lookups!$E$5:$E$10),"Unknown Product")</x:f>
        <x:v>NexaCRM Pro</x:v>
      </x:c>
      <x:c r="S736" t="str">
        <x:f>IFERROR(XLOOKUP(F736,Lookups!$D$5:$D$10,Lookups!$F$5:$F$10),"Unknown")</x:f>
        <x:v>CRM</x:v>
      </x:c>
      <x:c r="T736" t="str">
        <x:f>IF(L736&gt;=50000,"Enterprise",IF(L736&gt;=20000,"Mid-Market","SMB"))</x:f>
        <x:v>Mid-Market</x:v>
      </x:c>
      <x:c r="U736" t="str">
        <x:f>IF(I736="Closed Won","Won",IF(I736="Closed Lost","Lost","Open"))</x:f>
        <x:v>Won</x:v>
      </x:c>
      <x:c r="V736" s="22" t="n">
        <x:f>IF(U736="Won",L736*(1-M736),0)</x:f>
        <x:v>33028</x:v>
      </x:c>
      <x:c r="W736" s="22" t="n">
        <x:f>IF(U736="Open",L736*N736,0)</x:f>
        <x:v>0</x:v>
      </x:c>
      <x:c r="X736" s="26" t="n">
        <x:f>IF(U736="Open","",IFERROR(K736-B736,""))</x:f>
        <x:v>50</x:v>
      </x:c>
      <x:c r="Y736" s="26" t="n">
        <x:f>IF(U736="Open",Lookups!$B$2-B736,X736)</x:f>
        <x:v>50</x:v>
      </x:c>
      <x:c r="Z736" t="str">
        <x:f>IF(AND(U736="Open",Y736&gt;30),"STALE","OK")</x:f>
        <x:v>OK</x:v>
      </x:c>
      <x:c r="AA736" t="str">
        <x:f>TEXT(B736,"yyyy-mm")</x:f>
        <x:v>2025-02</x:v>
      </x:c>
      <x:c r="AB736" t="str">
        <x:f>IF(K736="","",TEXT(K736,"yyyy-mm"))</x:f>
        <x:v>2025-03</x:v>
      </x:c>
      <x:c r="AC736" t="str">
        <x:f>"Q"&amp;ROUNDUP(MONTH(B736)/3,0)&amp;"-"&amp;YEAR(B736)</x:f>
        <x:v>Q1-2025</x:v>
      </x:c>
      <x:c r="AD736" s="26" t="n">
        <x:f>MIN(100,IF(H736="Enterprise",30,IF(H736="Mid-Market",22,14))+IF(T736="Enterprise",25,IF(T736="Mid-Market",18,10))+IF(Q736="Referral",25,IF(Q736="Organic Search",20,IF(Q736="Email",18,14)))+IF(G736="Technology",10,5))</x:f>
        <x:v>59</x:v>
      </x:c>
      <x:c r="AE736" t="str">
        <x:f>IF(U736&lt;&gt;"Open",U736,IF(N736&gt;=0.8,"Commit",IF(N736&gt;=0.5,"Best Case","Pipeline")))</x:f>
        <x:v>Won</x:v>
      </x:c>
    </x:row>
    <x:row r="737">
      <x:c r="A737" t="str">
        <x:v>L00736</x:v>
      </x:c>
      <x:c r="B737" s="10" t="n">
        <x:v>45716</x:v>
      </x:c>
      <x:c r="C737" t="str">
        <x:v>Chi Le</x:v>
      </x:c>
      <x:c r="D737" t="str">
        <x:v>South</x:v>
      </x:c>
      <x:c r="E737" t="str">
        <x:v>Webinar</x:v>
      </x:c>
      <x:c r="F737" t="str">
        <x:v>CRM-CORE</x:v>
      </x:c>
      <x:c r="G737" t="str">
        <x:v>Financial Services</x:v>
      </x:c>
      <x:c r="H737" t="str">
        <x:v>Mid-Market</x:v>
      </x:c>
      <x:c r="I737" t="str">
        <x:v>Closed Won</x:v>
      </x:c>
      <x:c r="J737" s="10" t="n">
        <x:v>45796</x:v>
      </x:c>
      <x:c r="K737" s="10" t="n">
        <x:v>45796</x:v>
      </x:c>
      <x:c r="L737" s="22" t="n">
        <x:v>11300</x:v>
      </x:c>
      <x:c r="M737" s="24" t="n">
        <x:v>0.05</x:v>
      </x:c>
      <x:c r="N737" s="24" t="n">
        <x:v>1</x:v>
      </x:c>
      <x:c r="O737" t="str"/>
      <x:c r="P737" t="n">
        <x:v>6</x:v>
      </x:c>
      <x:c r="Q737" t="str">
        <x:f>IFERROR(XLOOKUP(E737,Lookups!$A$5:$A$24,Lookups!$B$5:$B$24),"Other")</x:f>
        <x:v>Webinar</x:v>
      </x:c>
      <x:c r="R737" t="str">
        <x:f>IFERROR(XLOOKUP(F737,Lookups!$D$5:$D$10,Lookups!$E$5:$E$10),"Unknown Product")</x:f>
        <x:v>NexaCRM Core</x:v>
      </x:c>
      <x:c r="S737" t="str">
        <x:f>IFERROR(XLOOKUP(F737,Lookups!$D$5:$D$10,Lookups!$F$5:$F$10),"Unknown")</x:f>
        <x:v>CRM</x:v>
      </x:c>
      <x:c r="T737" t="str">
        <x:f>IF(L737&gt;=50000,"Enterprise",IF(L737&gt;=20000,"Mid-Market","SMB"))</x:f>
        <x:v>SMB</x:v>
      </x:c>
      <x:c r="U737" t="str">
        <x:f>IF(I737="Closed Won","Won",IF(I737="Closed Lost","Lost","Open"))</x:f>
        <x:v>Won</x:v>
      </x:c>
      <x:c r="V737" s="22" t="n">
        <x:f>IF(U737="Won",L737*(1-M737),0)</x:f>
        <x:v>10735</x:v>
      </x:c>
      <x:c r="W737" s="22" t="n">
        <x:f>IF(U737="Open",L737*N737,0)</x:f>
        <x:v>0</x:v>
      </x:c>
      <x:c r="X737" s="26" t="n">
        <x:f>IF(U737="Open","",IFERROR(K737-B737,""))</x:f>
        <x:v>80</x:v>
      </x:c>
      <x:c r="Y737" s="26" t="n">
        <x:f>IF(U737="Open",Lookups!$B$2-B737,X737)</x:f>
        <x:v>80</x:v>
      </x:c>
      <x:c r="Z737" t="str">
        <x:f>IF(AND(U737="Open",Y737&gt;30),"STALE","OK")</x:f>
        <x:v>OK</x:v>
      </x:c>
      <x:c r="AA737" t="str">
        <x:f>TEXT(B737,"yyyy-mm")</x:f>
        <x:v>2025-02</x:v>
      </x:c>
      <x:c r="AB737" t="str">
        <x:f>IF(K737="","",TEXT(K737,"yyyy-mm"))</x:f>
        <x:v>2025-05</x:v>
      </x:c>
      <x:c r="AC737" t="str">
        <x:f>"Q"&amp;ROUNDUP(MONTH(B737)/3,0)&amp;"-"&amp;YEAR(B737)</x:f>
        <x:v>Q1-2025</x:v>
      </x:c>
      <x:c r="AD737" s="26" t="n">
        <x:f>MIN(100,IF(H737="Enterprise",30,IF(H737="Mid-Market",22,14))+IF(T737="Enterprise",25,IF(T737="Mid-Market",18,10))+IF(Q737="Referral",25,IF(Q737="Organic Search",20,IF(Q737="Email",18,14)))+IF(G737="Technology",10,5))</x:f>
        <x:v>51</x:v>
      </x:c>
      <x:c r="AE737" t="str">
        <x:f>IF(U737&lt;&gt;"Open",U737,IF(N737&gt;=0.8,"Commit",IF(N737&gt;=0.5,"Best Case","Pipeline")))</x:f>
        <x:v>Won</x:v>
      </x:c>
    </x:row>
    <x:row r="738">
      <x:c r="A738" t="str">
        <x:v>L00737</x:v>
      </x:c>
      <x:c r="B738" s="10" t="n">
        <x:v>45867</x:v>
      </x:c>
      <x:c r="C738" t="str">
        <x:v>Quynh Vu</x:v>
      </x:c>
      <x:c r="D738" t="str">
        <x:v>North</x:v>
      </x:c>
      <x:c r="E738" t="str">
        <x:v>SEM - Google</x:v>
      </x:c>
      <x:c r="F738" t="str">
        <x:v>CRM-CORE</x:v>
      </x:c>
      <x:c r="G738" t="str">
        <x:v>Education</x:v>
      </x:c>
      <x:c r="H738" t="str">
        <x:v>SMB</x:v>
      </x:c>
      <x:c r="I738" t="str">
        <x:v>Closed Lost</x:v>
      </x:c>
      <x:c r="J738" s="10" t="n">
        <x:v>45899</x:v>
      </x:c>
      <x:c r="K738" s="10" t="n">
        <x:v>45899</x:v>
      </x:c>
      <x:c r="L738" s="22" t="n">
        <x:v>7800</x:v>
      </x:c>
      <x:c r="M738" s="24" t="n">
        <x:v>0</x:v>
      </x:c>
      <x:c r="N738" s="24" t="n">
        <x:v>0</x:v>
      </x:c>
      <x:c r="O738" t="str">
        <x:v>Feature Gap</x:v>
      </x:c>
      <x:c r="P738" t="n">
        <x:v>5</x:v>
      </x:c>
      <x:c r="Q738" t="str">
        <x:f>IFERROR(XLOOKUP(E738,Lookups!$A$5:$A$24,Lookups!$B$5:$B$24),"Other")</x:f>
        <x:v>Paid Search</x:v>
      </x:c>
      <x:c r="R738" t="str">
        <x:f>IFERROR(XLOOKUP(F738,Lookups!$D$5:$D$10,Lookups!$E$5:$E$10),"Unknown Product")</x:f>
        <x:v>NexaCRM Core</x:v>
      </x:c>
      <x:c r="S738" t="str">
        <x:f>IFERROR(XLOOKUP(F738,Lookups!$D$5:$D$10,Lookups!$F$5:$F$10),"Unknown")</x:f>
        <x:v>CRM</x:v>
      </x:c>
      <x:c r="T738" t="str">
        <x:f>IF(L738&gt;=50000,"Enterprise",IF(L738&gt;=20000,"Mid-Market","SMB"))</x:f>
        <x:v>SMB</x:v>
      </x:c>
      <x:c r="U738" t="str">
        <x:f>IF(I738="Closed Won","Won",IF(I738="Closed Lost","Lost","Open"))</x:f>
        <x:v>Lost</x:v>
      </x:c>
      <x:c r="V738" s="22" t="n">
        <x:f>IF(U738="Won",L738*(1-M738),0)</x:f>
        <x:v>0</x:v>
      </x:c>
      <x:c r="W738" s="22" t="n">
        <x:f>IF(U738="Open",L738*N738,0)</x:f>
        <x:v>0</x:v>
      </x:c>
      <x:c r="X738" s="26" t="n">
        <x:f>IF(U738="Open","",IFERROR(K738-B738,""))</x:f>
        <x:v>32</x:v>
      </x:c>
      <x:c r="Y738" s="26" t="n">
        <x:f>IF(U738="Open",Lookups!$B$2-B738,X738)</x:f>
        <x:v>32</x:v>
      </x:c>
      <x:c r="Z738" t="str">
        <x:f>IF(AND(U738="Open",Y738&gt;30),"STALE","OK")</x:f>
        <x:v>OK</x:v>
      </x:c>
      <x:c r="AA738" t="str">
        <x:f>TEXT(B738,"yyyy-mm")</x:f>
        <x:v>2025-07</x:v>
      </x:c>
      <x:c r="AB738" t="str">
        <x:f>IF(K738="","",TEXT(K738,"yyyy-mm"))</x:f>
        <x:v>2025-08</x:v>
      </x:c>
      <x:c r="AC738" t="str">
        <x:f>"Q"&amp;ROUNDUP(MONTH(B738)/3,0)&amp;"-"&amp;YEAR(B738)</x:f>
        <x:v>Q3-2025</x:v>
      </x:c>
      <x:c r="AD738" s="26" t="n">
        <x:f>MIN(100,IF(H738="Enterprise",30,IF(H738="Mid-Market",22,14))+IF(T738="Enterprise",25,IF(T738="Mid-Market",18,10))+IF(Q738="Referral",25,IF(Q738="Organic Search",20,IF(Q738="Email",18,14)))+IF(G738="Technology",10,5))</x:f>
        <x:v>43</x:v>
      </x:c>
      <x:c r="AE738" t="str">
        <x:f>IF(U738&lt;&gt;"Open",U738,IF(N738&gt;=0.8,"Commit",IF(N738&gt;=0.5,"Best Case","Pipeline")))</x:f>
        <x:v>Lost</x:v>
      </x:c>
    </x:row>
    <x:row r="739">
      <x:c r="A739" t="str">
        <x:v>L00738</x:v>
      </x:c>
      <x:c r="B739" s="10" t="n">
        <x:v>45973</x:v>
      </x:c>
      <x:c r="C739" t="str">
        <x:v>Chi Le</x:v>
      </x:c>
      <x:c r="D739" t="str">
        <x:v>South</x:v>
      </x:c>
      <x:c r="E739" t="str">
        <x:v>Google Organic</x:v>
      </x:c>
      <x:c r="F739" t="str">
        <x:v>CRM-PRO</x:v>
      </x:c>
      <x:c r="G739" t="str">
        <x:v>Financial Services</x:v>
      </x:c>
      <x:c r="H739" t="str">
        <x:v>SMB</x:v>
      </x:c>
      <x:c r="I739" t="str">
        <x:v>Closed Won</x:v>
      </x:c>
      <x:c r="J739" s="10" t="n">
        <x:v>45985</x:v>
      </x:c>
      <x:c r="K739" s="10" t="n">
        <x:v>45985</x:v>
      </x:c>
      <x:c r="L739" s="22" t="n">
        <x:v>25500</x:v>
      </x:c>
      <x:c r="M739" s="24" t="n">
        <x:v>0.08</x:v>
      </x:c>
      <x:c r="N739" s="24" t="n">
        <x:v>1</x:v>
      </x:c>
      <x:c r="O739" t="str"/>
      <x:c r="P739" t="n">
        <x:v>6</x:v>
      </x:c>
      <x:c r="Q739" t="str">
        <x:f>IFERROR(XLOOKUP(E739,Lookups!$A$5:$A$24,Lookups!$B$5:$B$24),"Other")</x:f>
        <x:v>Organic Search</x:v>
      </x:c>
      <x:c r="R739" t="str">
        <x:f>IFERROR(XLOOKUP(F739,Lookups!$D$5:$D$10,Lookups!$E$5:$E$10),"Unknown Product")</x:f>
        <x:v>NexaCRM Pro</x:v>
      </x:c>
      <x:c r="S739" t="str">
        <x:f>IFERROR(XLOOKUP(F739,Lookups!$D$5:$D$10,Lookups!$F$5:$F$10),"Unknown")</x:f>
        <x:v>CRM</x:v>
      </x:c>
      <x:c r="T739" t="str">
        <x:f>IF(L739&gt;=50000,"Enterprise",IF(L739&gt;=20000,"Mid-Market","SMB"))</x:f>
        <x:v>Mid-Market</x:v>
      </x:c>
      <x:c r="U739" t="str">
        <x:f>IF(I739="Closed Won","Won",IF(I739="Closed Lost","Lost","Open"))</x:f>
        <x:v>Won</x:v>
      </x:c>
      <x:c r="V739" s="22" t="n">
        <x:f>IF(U739="Won",L739*(1-M739),0)</x:f>
        <x:v>23460</x:v>
      </x:c>
      <x:c r="W739" s="22" t="n">
        <x:f>IF(U739="Open",L739*N739,0)</x:f>
        <x:v>0</x:v>
      </x:c>
      <x:c r="X739" s="26" t="n">
        <x:f>IF(U739="Open","",IFERROR(K739-B739,""))</x:f>
        <x:v>12</x:v>
      </x:c>
      <x:c r="Y739" s="26" t="n">
        <x:f>IF(U739="Open",Lookups!$B$2-B739,X739)</x:f>
        <x:v>12</x:v>
      </x:c>
      <x:c r="Z739" t="str">
        <x:f>IF(AND(U739="Open",Y739&gt;30),"STALE","OK")</x:f>
        <x:v>OK</x:v>
      </x:c>
      <x:c r="AA739" t="str">
        <x:f>TEXT(B739,"yyyy-mm")</x:f>
        <x:v>2025-11</x:v>
      </x:c>
      <x:c r="AB739" t="str">
        <x:f>IF(K739="","",TEXT(K739,"yyyy-mm"))</x:f>
        <x:v>2025-11</x:v>
      </x:c>
      <x:c r="AC739" t="str">
        <x:f>"Q"&amp;ROUNDUP(MONTH(B739)/3,0)&amp;"-"&amp;YEAR(B739)</x:f>
        <x:v>Q4-2025</x:v>
      </x:c>
      <x:c r="AD739" s="26" t="n">
        <x:f>MIN(100,IF(H739="Enterprise",30,IF(H739="Mid-Market",22,14))+IF(T739="Enterprise",25,IF(T739="Mid-Market",18,10))+IF(Q739="Referral",25,IF(Q739="Organic Search",20,IF(Q739="Email",18,14)))+IF(G739="Technology",10,5))</x:f>
        <x:v>57</x:v>
      </x:c>
      <x:c r="AE739" t="str">
        <x:f>IF(U739&lt;&gt;"Open",U739,IF(N739&gt;=0.8,"Commit",IF(N739&gt;=0.5,"Best Case","Pipeline")))</x:f>
        <x:v>Won</x:v>
      </x:c>
    </x:row>
    <x:row r="740">
      <x:c r="A740" t="str">
        <x:v>L00739</x:v>
      </x:c>
      <x:c r="B740" s="10" t="n">
        <x:v>46228</x:v>
      </x:c>
      <x:c r="C740" t="str">
        <x:v>Tuan Bui</x:v>
      </x:c>
      <x:c r="D740" t="str">
        <x:v>Central</x:v>
      </x:c>
      <x:c r="E740" t="str">
        <x:v>Google Ads</x:v>
      </x:c>
      <x:c r="F740" t="str">
        <x:v>CRM-CORE</x:v>
      </x:c>
      <x:c r="G740" t="str">
        <x:v>Manufacturing</x:v>
      </x:c>
      <x:c r="H740" t="str">
        <x:v>Mid-Market</x:v>
      </x:c>
      <x:c r="I740" t="str">
        <x:v>New</x:v>
      </x:c>
      <x:c r="J740" s="10" t="n">
        <x:v>46259</x:v>
      </x:c>
      <x:c r="K740" s="10"/>
      <x:c r="L740" s="22" t="n">
        <x:v>13300</x:v>
      </x:c>
      <x:c r="M740" s="24" t="n">
        <x:v>0.03</x:v>
      </x:c>
      <x:c r="N740" s="24" t="n">
        <x:v>0.05</x:v>
      </x:c>
      <x:c r="O740" t="str"/>
      <x:c r="P740" t="n">
        <x:v>1</x:v>
      </x:c>
      <x:c r="Q740" t="str">
        <x:f>IFERROR(XLOOKUP(E740,Lookups!$A$5:$A$24,Lookups!$B$5:$B$24),"Other")</x:f>
        <x:v>Paid Search</x:v>
      </x:c>
      <x:c r="R740" t="str">
        <x:f>IFERROR(XLOOKUP(F740,Lookups!$D$5:$D$10,Lookups!$E$5:$E$10),"Unknown Product")</x:f>
        <x:v>NexaCRM Core</x:v>
      </x:c>
      <x:c r="S740" t="str">
        <x:f>IFERROR(XLOOKUP(F740,Lookups!$D$5:$D$10,Lookups!$F$5:$F$10),"Unknown")</x:f>
        <x:v>CRM</x:v>
      </x:c>
      <x:c r="T740" t="str">
        <x:f>IF(L740&gt;=50000,"Enterprise",IF(L740&gt;=20000,"Mid-Market","SMB"))</x:f>
        <x:v>SMB</x:v>
      </x:c>
      <x:c r="U740" t="str">
        <x:f>IF(I740="Closed Won","Won",IF(I740="Closed Lost","Lost","Open"))</x:f>
        <x:v>Open</x:v>
      </x:c>
      <x:c r="V740" s="22" t="n">
        <x:f>IF(U740="Won",L740*(1-M740),0)</x:f>
        <x:v>0</x:v>
      </x:c>
      <x:c r="W740" s="22" t="n">
        <x:f>IF(U740="Open",L740*N740,0)</x:f>
        <x:v>665</x:v>
      </x:c>
      <x:c r="X740" s="26" t="str">
        <x:f>IF(U740="Open","",IFERROR(K740-B740,""))</x:f>
      </x:c>
      <x:c r="Y740" s="26" t="n">
        <x:f>IF(U740="Open",Lookups!$B$2-B740,X740)</x:f>
        <x:v>38</x:v>
      </x:c>
      <x:c r="Z740" t="str">
        <x:f>IF(AND(U740="Open",Y740&gt;30),"STALE","OK")</x:f>
        <x:v>STALE</x:v>
      </x:c>
      <x:c r="AA740" t="str">
        <x:f>TEXT(B740,"yyyy-mm")</x:f>
        <x:v>2026-07</x:v>
      </x:c>
      <x:c r="AB740" t="str">
        <x:f>IF(K740="","",TEXT(K740,"yyyy-mm"))</x:f>
      </x:c>
      <x:c r="AC740" t="str">
        <x:f>"Q"&amp;ROUNDUP(MONTH(B740)/3,0)&amp;"-"&amp;YEAR(B740)</x:f>
        <x:v>Q3-2026</x:v>
      </x:c>
      <x:c r="AD740" s="26" t="n">
        <x:f>MIN(100,IF(H740="Enterprise",30,IF(H740="Mid-Market",22,14))+IF(T740="Enterprise",25,IF(T740="Mid-Market",18,10))+IF(Q740="Referral",25,IF(Q740="Organic Search",20,IF(Q740="Email",18,14)))+IF(G740="Technology",10,5))</x:f>
        <x:v>51</x:v>
      </x:c>
      <x:c r="AE740" t="str">
        <x:f>IF(U740&lt;&gt;"Open",U740,IF(N740&gt;=0.8,"Commit",IF(N740&gt;=0.5,"Best Case","Pipeline")))</x:f>
        <x:v>Pipeline</x:v>
      </x:c>
    </x:row>
    <x:row r="741">
      <x:c r="A741" t="str">
        <x:v>L00740</x:v>
      </x:c>
      <x:c r="B741" s="10" t="n">
        <x:v>46188</x:v>
      </x:c>
      <x:c r="C741" t="str">
        <x:v>An Nguyen</x:v>
      </x:c>
      <x:c r="D741" t="str">
        <x:v>South</x:v>
      </x:c>
      <x:c r="E741" t="str">
        <x:v>Google Ads</x:v>
      </x:c>
      <x:c r="F741" t="str">
        <x:v>CRM-PRO</x:v>
      </x:c>
      <x:c r="G741" t="str">
        <x:v>Technology</x:v>
      </x:c>
      <x:c r="H741" t="str">
        <x:v>SMB</x:v>
      </x:c>
      <x:c r="I741" t="str">
        <x:v>Closed Lost</x:v>
      </x:c>
      <x:c r="J741" s="10" t="n">
        <x:v>46266</x:v>
      </x:c>
      <x:c r="K741" s="10" t="n">
        <x:v>46266</x:v>
      </x:c>
      <x:c r="L741" s="22" t="n">
        <x:v>25300</x:v>
      </x:c>
      <x:c r="M741" s="24" t="n">
        <x:v>0</x:v>
      </x:c>
      <x:c r="N741" s="24" t="n">
        <x:v>0</x:v>
      </x:c>
      <x:c r="O741" t="str">
        <x:v>Timing</x:v>
      </x:c>
      <x:c r="P741" t="n">
        <x:v>3</x:v>
      </x:c>
      <x:c r="Q741" t="str">
        <x:f>IFERROR(XLOOKUP(E741,Lookups!$A$5:$A$24,Lookups!$B$5:$B$24),"Other")</x:f>
        <x:v>Paid Search</x:v>
      </x:c>
      <x:c r="R741" t="str">
        <x:f>IFERROR(XLOOKUP(F741,Lookups!$D$5:$D$10,Lookups!$E$5:$E$10),"Unknown Product")</x:f>
        <x:v>NexaCRM Pro</x:v>
      </x:c>
      <x:c r="S741" t="str">
        <x:f>IFERROR(XLOOKUP(F741,Lookups!$D$5:$D$10,Lookups!$F$5:$F$10),"Unknown")</x:f>
        <x:v>CRM</x:v>
      </x:c>
      <x:c r="T741" t="str">
        <x:f>IF(L741&gt;=50000,"Enterprise",IF(L741&gt;=20000,"Mid-Market","SMB"))</x:f>
        <x:v>Mid-Market</x:v>
      </x:c>
      <x:c r="U741" t="str">
        <x:f>IF(I741="Closed Won","Won",IF(I741="Closed Lost","Lost","Open"))</x:f>
        <x:v>Lost</x:v>
      </x:c>
      <x:c r="V741" s="22" t="n">
        <x:f>IF(U741="Won",L741*(1-M741),0)</x:f>
        <x:v>0</x:v>
      </x:c>
      <x:c r="W741" s="22" t="n">
        <x:f>IF(U741="Open",L741*N741,0)</x:f>
        <x:v>0</x:v>
      </x:c>
      <x:c r="X741" s="26" t="n">
        <x:f>IF(U741="Open","",IFERROR(K741-B741,""))</x:f>
        <x:v>78</x:v>
      </x:c>
      <x:c r="Y741" s="26" t="n">
        <x:f>IF(U741="Open",Lookups!$B$2-B741,X741)</x:f>
        <x:v>78</x:v>
      </x:c>
      <x:c r="Z741" t="str">
        <x:f>IF(AND(U741="Open",Y741&gt;30),"STALE","OK")</x:f>
        <x:v>OK</x:v>
      </x:c>
      <x:c r="AA741" t="str">
        <x:f>TEXT(B741,"yyyy-mm")</x:f>
        <x:v>2026-06</x:v>
      </x:c>
      <x:c r="AB741" t="str">
        <x:f>IF(K741="","",TEXT(K741,"yyyy-mm"))</x:f>
        <x:v>2026-09</x:v>
      </x:c>
      <x:c r="AC741" t="str">
        <x:f>"Q"&amp;ROUNDUP(MONTH(B741)/3,0)&amp;"-"&amp;YEAR(B741)</x:f>
        <x:v>Q2-2026</x:v>
      </x:c>
      <x:c r="AD741" s="26" t="n">
        <x:f>MIN(100,IF(H741="Enterprise",30,IF(H741="Mid-Market",22,14))+IF(T741="Enterprise",25,IF(T741="Mid-Market",18,10))+IF(Q741="Referral",25,IF(Q741="Organic Search",20,IF(Q741="Email",18,14)))+IF(G741="Technology",10,5))</x:f>
        <x:v>56</x:v>
      </x:c>
      <x:c r="AE741" t="str">
        <x:f>IF(U741&lt;&gt;"Open",U741,IF(N741&gt;=0.8,"Commit",IF(N741&gt;=0.5,"Best Case","Pipeline")))</x:f>
        <x:v>Lost</x:v>
      </x:c>
    </x:row>
    <x:row r="742">
      <x:c r="A742" t="str">
        <x:v>L00741</x:v>
      </x:c>
      <x:c r="B742" s="10" t="n">
        <x:v>45760</x:v>
      </x:c>
      <x:c r="C742" t="str">
        <x:v>Duy Pham</x:v>
      </x:c>
      <x:c r="D742" t="str">
        <x:v>South</x:v>
      </x:c>
      <x:c r="E742" t="str">
        <x:v>google cpc</x:v>
      </x:c>
      <x:c r="F742" t="str">
        <x:v>BI-PLUS</x:v>
      </x:c>
      <x:c r="G742" t="str">
        <x:v>Professional Services</x:v>
      </x:c>
      <x:c r="H742" t="str">
        <x:v>SMB</x:v>
      </x:c>
      <x:c r="I742" t="str">
        <x:v>Closed Lost</x:v>
      </x:c>
      <x:c r="J742" s="10" t="n">
        <x:v>45793</x:v>
      </x:c>
      <x:c r="K742" s="10" t="n">
        <x:v>45793</x:v>
      </x:c>
      <x:c r="L742" s="22" t="n">
        <x:v>29000</x:v>
      </x:c>
      <x:c r="M742" s="24" t="n">
        <x:v>0</x:v>
      </x:c>
      <x:c r="N742" s="24" t="n">
        <x:v>0</x:v>
      </x:c>
      <x:c r="O742" t="str">
        <x:v>Budget</x:v>
      </x:c>
      <x:c r="P742" t="n">
        <x:v>2</x:v>
      </x:c>
      <x:c r="Q742" t="str">
        <x:f>IFERROR(XLOOKUP(E742,Lookups!$A$5:$A$24,Lookups!$B$5:$B$24),"Other")</x:f>
        <x:v>Paid Search</x:v>
      </x:c>
      <x:c r="R742" t="str">
        <x:f>IFERROR(XLOOKUP(F742,Lookups!$D$5:$D$10,Lookups!$E$5:$E$10),"Unknown Product")</x:f>
        <x:v>Analytics Plus</x:v>
      </x:c>
      <x:c r="S742" t="str">
        <x:f>IFERROR(XLOOKUP(F742,Lookups!$D$5:$D$10,Lookups!$F$5:$F$10),"Unknown")</x:f>
        <x:v>Analytics</x:v>
      </x:c>
      <x:c r="T742" t="str">
        <x:f>IF(L742&gt;=50000,"Enterprise",IF(L742&gt;=20000,"Mid-Market","SMB"))</x:f>
        <x:v>Mid-Market</x:v>
      </x:c>
      <x:c r="U742" t="str">
        <x:f>IF(I742="Closed Won","Won",IF(I742="Closed Lost","Lost","Open"))</x:f>
        <x:v>Lost</x:v>
      </x:c>
      <x:c r="V742" s="22" t="n">
        <x:f>IF(U742="Won",L742*(1-M742),0)</x:f>
        <x:v>0</x:v>
      </x:c>
      <x:c r="W742" s="22" t="n">
        <x:f>IF(U742="Open",L742*N742,0)</x:f>
        <x:v>0</x:v>
      </x:c>
      <x:c r="X742" s="26" t="n">
        <x:f>IF(U742="Open","",IFERROR(K742-B742,""))</x:f>
        <x:v>33</x:v>
      </x:c>
      <x:c r="Y742" s="26" t="n">
        <x:f>IF(U742="Open",Lookups!$B$2-B742,X742)</x:f>
        <x:v>33</x:v>
      </x:c>
      <x:c r="Z742" t="str">
        <x:f>IF(AND(U742="Open",Y742&gt;30),"STALE","OK")</x:f>
        <x:v>OK</x:v>
      </x:c>
      <x:c r="AA742" t="str">
        <x:f>TEXT(B742,"yyyy-mm")</x:f>
        <x:v>2025-04</x:v>
      </x:c>
      <x:c r="AB742" t="str">
        <x:f>IF(K742="","",TEXT(K742,"yyyy-mm"))</x:f>
        <x:v>2025-05</x:v>
      </x:c>
      <x:c r="AC742" t="str">
        <x:f>"Q"&amp;ROUNDUP(MONTH(B742)/3,0)&amp;"-"&amp;YEAR(B742)</x:f>
        <x:v>Q2-2025</x:v>
      </x:c>
      <x:c r="AD742" s="26" t="n">
        <x:f>MIN(100,IF(H742="Enterprise",30,IF(H742="Mid-Market",22,14))+IF(T742="Enterprise",25,IF(T742="Mid-Market",18,10))+IF(Q742="Referral",25,IF(Q742="Organic Search",20,IF(Q742="Email",18,14)))+IF(G742="Technology",10,5))</x:f>
        <x:v>51</x:v>
      </x:c>
      <x:c r="AE742" t="str">
        <x:f>IF(U742&lt;&gt;"Open",U742,IF(N742&gt;=0.8,"Commit",IF(N742&gt;=0.5,"Best Case","Pipeline")))</x:f>
        <x:v>Lost</x:v>
      </x:c>
    </x:row>
    <x:row r="743">
      <x:c r="A743" t="str">
        <x:v>L00742</x:v>
      </x:c>
      <x:c r="B743" s="10" t="n">
        <x:v>45662</x:v>
      </x:c>
      <x:c r="C743" t="str">
        <x:v>Quynh Vu</x:v>
      </x:c>
      <x:c r="D743" t="str">
        <x:v>North</x:v>
      </x:c>
      <x:c r="E743" t="str">
        <x:v>Partner Referral</x:v>
      </x:c>
      <x:c r="F743" t="str">
        <x:v>CRM-PRO</x:v>
      </x:c>
      <x:c r="G743" t="str">
        <x:v>Healthcare</x:v>
      </x:c>
      <x:c r="H743" t="str">
        <x:v>SMB</x:v>
      </x:c>
      <x:c r="I743" t="str">
        <x:v>Closed Lost</x:v>
      </x:c>
      <x:c r="J743" s="10" t="n">
        <x:v>45712</x:v>
      </x:c>
      <x:c r="K743" s="10" t="n">
        <x:v>45712</x:v>
      </x:c>
      <x:c r="L743" s="22" t="n">
        <x:v>18500</x:v>
      </x:c>
      <x:c r="M743" s="24" t="n">
        <x:v>0</x:v>
      </x:c>
      <x:c r="N743" s="24" t="n">
        <x:v>0</x:v>
      </x:c>
      <x:c r="O743" t="str">
        <x:v>Competitor</x:v>
      </x:c>
      <x:c r="P743" t="n">
        <x:v>4</x:v>
      </x:c>
      <x:c r="Q743" t="str">
        <x:f>IFERROR(XLOOKUP(E743,Lookups!$A$5:$A$24,Lookups!$B$5:$B$24),"Other")</x:f>
        <x:v>Referral</x:v>
      </x:c>
      <x:c r="R743" t="str">
        <x:f>IFERROR(XLOOKUP(F743,Lookups!$D$5:$D$10,Lookups!$E$5:$E$10),"Unknown Product")</x:f>
        <x:v>NexaCRM Pro</x:v>
      </x:c>
      <x:c r="S743" t="str">
        <x:f>IFERROR(XLOOKUP(F743,Lookups!$D$5:$D$10,Lookups!$F$5:$F$10),"Unknown")</x:f>
        <x:v>CRM</x:v>
      </x:c>
      <x:c r="T743" t="str">
        <x:f>IF(L743&gt;=50000,"Enterprise",IF(L743&gt;=20000,"Mid-Market","SMB"))</x:f>
        <x:v>SMB</x:v>
      </x:c>
      <x:c r="U743" t="str">
        <x:f>IF(I743="Closed Won","Won",IF(I743="Closed Lost","Lost","Open"))</x:f>
        <x:v>Lost</x:v>
      </x:c>
      <x:c r="V743" s="22" t="n">
        <x:f>IF(U743="Won",L743*(1-M743),0)</x:f>
        <x:v>0</x:v>
      </x:c>
      <x:c r="W743" s="22" t="n">
        <x:f>IF(U743="Open",L743*N743,0)</x:f>
        <x:v>0</x:v>
      </x:c>
      <x:c r="X743" s="26" t="n">
        <x:f>IF(U743="Open","",IFERROR(K743-B743,""))</x:f>
        <x:v>50</x:v>
      </x:c>
      <x:c r="Y743" s="26" t="n">
        <x:f>IF(U743="Open",Lookups!$B$2-B743,X743)</x:f>
        <x:v>50</x:v>
      </x:c>
      <x:c r="Z743" t="str">
        <x:f>IF(AND(U743="Open",Y743&gt;30),"STALE","OK")</x:f>
        <x:v>OK</x:v>
      </x:c>
      <x:c r="AA743" t="str">
        <x:f>TEXT(B743,"yyyy-mm")</x:f>
        <x:v>2025-01</x:v>
      </x:c>
      <x:c r="AB743" t="str">
        <x:f>IF(K743="","",TEXT(K743,"yyyy-mm"))</x:f>
        <x:v>2025-02</x:v>
      </x:c>
      <x:c r="AC743" t="str">
        <x:f>"Q"&amp;ROUNDUP(MONTH(B743)/3,0)&amp;"-"&amp;YEAR(B743)</x:f>
        <x:v>Q1-2025</x:v>
      </x:c>
      <x:c r="AD743" s="26" t="n">
        <x:f>MIN(100,IF(H743="Enterprise",30,IF(H743="Mid-Market",22,14))+IF(T743="Enterprise",25,IF(T743="Mid-Market",18,10))+IF(Q743="Referral",25,IF(Q743="Organic Search",20,IF(Q743="Email",18,14)))+IF(G743="Technology",10,5))</x:f>
        <x:v>54</x:v>
      </x:c>
      <x:c r="AE743" t="str">
        <x:f>IF(U743&lt;&gt;"Open",U743,IF(N743&gt;=0.8,"Commit",IF(N743&gt;=0.5,"Best Case","Pipeline")))</x:f>
        <x:v>Lost</x:v>
      </x:c>
    </x:row>
    <x:row r="744">
      <x:c r="A744" t="str">
        <x:v>L00743</x:v>
      </x:c>
      <x:c r="B744" s="10" t="n">
        <x:v>45764</x:v>
      </x:c>
      <x:c r="C744" t="str">
        <x:v>Ha Vo</x:v>
      </x:c>
      <x:c r="D744" t="str">
        <x:v>North</x:v>
      </x:c>
      <x:c r="E744" t="str">
        <x:v>Webinar</x:v>
      </x:c>
      <x:c r="F744" t="str">
        <x:v>MKT-AUTO</x:v>
      </x:c>
      <x:c r="G744" t="str">
        <x:v>Retail</x:v>
      </x:c>
      <x:c r="H744" t="str">
        <x:v>Mid-Market</x:v>
      </x:c>
      <x:c r="I744" t="str">
        <x:v>Closed Lost</x:v>
      </x:c>
      <x:c r="J744" s="10" t="n">
        <x:v>45809</x:v>
      </x:c>
      <x:c r="K744" s="10" t="n">
        <x:v>45809</x:v>
      </x:c>
      <x:c r="L744" s="22" t="n">
        <x:v>29100</x:v>
      </x:c>
      <x:c r="M744" s="24" t="n">
        <x:v>0</x:v>
      </x:c>
      <x:c r="N744" s="24" t="n">
        <x:v>0</x:v>
      </x:c>
      <x:c r="O744" t="str">
        <x:v>Timing</x:v>
      </x:c>
      <x:c r="P744" t="n">
        <x:v>2</x:v>
      </x:c>
      <x:c r="Q744" t="str">
        <x:f>IFERROR(XLOOKUP(E744,Lookups!$A$5:$A$24,Lookups!$B$5:$B$24),"Other")</x:f>
        <x:v>Webinar</x:v>
      </x:c>
      <x:c r="R744" t="str">
        <x:f>IFERROR(XLOOKUP(F744,Lookups!$D$5:$D$10,Lookups!$E$5:$E$10),"Unknown Product")</x:f>
        <x:v>Marketing Automation</x:v>
      </x:c>
      <x:c r="S744" t="str">
        <x:f>IFERROR(XLOOKUP(F744,Lookups!$D$5:$D$10,Lookups!$F$5:$F$10),"Unknown")</x:f>
        <x:v>Marketing</x:v>
      </x:c>
      <x:c r="T744" t="str">
        <x:f>IF(L744&gt;=50000,"Enterprise",IF(L744&gt;=20000,"Mid-Market","SMB"))</x:f>
        <x:v>Mid-Market</x:v>
      </x:c>
      <x:c r="U744" t="str">
        <x:f>IF(I744="Closed Won","Won",IF(I744="Closed Lost","Lost","Open"))</x:f>
        <x:v>Lost</x:v>
      </x:c>
      <x:c r="V744" s="22" t="n">
        <x:f>IF(U744="Won",L744*(1-M744),0)</x:f>
        <x:v>0</x:v>
      </x:c>
      <x:c r="W744" s="22" t="n">
        <x:f>IF(U744="Open",L744*N744,0)</x:f>
        <x:v>0</x:v>
      </x:c>
      <x:c r="X744" s="26" t="n">
        <x:f>IF(U744="Open","",IFERROR(K744-B744,""))</x:f>
        <x:v>45</x:v>
      </x:c>
      <x:c r="Y744" s="26" t="n">
        <x:f>IF(U744="Open",Lookups!$B$2-B744,X744)</x:f>
        <x:v>45</x:v>
      </x:c>
      <x:c r="Z744" t="str">
        <x:f>IF(AND(U744="Open",Y744&gt;30),"STALE","OK")</x:f>
        <x:v>OK</x:v>
      </x:c>
      <x:c r="AA744" t="str">
        <x:f>TEXT(B744,"yyyy-mm")</x:f>
        <x:v>2025-04</x:v>
      </x:c>
      <x:c r="AB744" t="str">
        <x:f>IF(K744="","",TEXT(K744,"yyyy-mm"))</x:f>
        <x:v>2025-06</x:v>
      </x:c>
      <x:c r="AC744" t="str">
        <x:f>"Q"&amp;ROUNDUP(MONTH(B744)/3,0)&amp;"-"&amp;YEAR(B744)</x:f>
        <x:v>Q2-2025</x:v>
      </x:c>
      <x:c r="AD744" s="26" t="n">
        <x:f>MIN(100,IF(H744="Enterprise",30,IF(H744="Mid-Market",22,14))+IF(T744="Enterprise",25,IF(T744="Mid-Market",18,10))+IF(Q744="Referral",25,IF(Q744="Organic Search",20,IF(Q744="Email",18,14)))+IF(G744="Technology",10,5))</x:f>
        <x:v>59</x:v>
      </x:c>
      <x:c r="AE744" t="str">
        <x:f>IF(U744&lt;&gt;"Open",U744,IF(N744&gt;=0.8,"Commit",IF(N744&gt;=0.5,"Best Case","Pipeline")))</x:f>
        <x:v>Lost</x:v>
      </x:c>
    </x:row>
    <x:row r="745">
      <x:c r="A745" t="str">
        <x:v>L00744</x:v>
      </x:c>
      <x:c r="B745" s="10" t="n">
        <x:v>46035</x:v>
      </x:c>
      <x:c r="C745" t="str">
        <x:v>Quynh Vu</x:v>
      </x:c>
      <x:c r="D745" t="str">
        <x:v>North</x:v>
      </x:c>
      <x:c r="E745" t="str">
        <x:v>Outbound</x:v>
      </x:c>
      <x:c r="F745" t="str">
        <x:v>MKT-AUTO</x:v>
      </x:c>
      <x:c r="G745" t="str">
        <x:v>Financial Services</x:v>
      </x:c>
      <x:c r="H745" t="str">
        <x:v>Mid-Market</x:v>
      </x:c>
      <x:c r="I745" t="str">
        <x:v>Closed Lost</x:v>
      </x:c>
      <x:c r="J745" s="10" t="n">
        <x:v>46085</x:v>
      </x:c>
      <x:c r="K745" s="10" t="n">
        <x:v>46085</x:v>
      </x:c>
      <x:c r="L745" s="22" t="n">
        <x:v>27900</x:v>
      </x:c>
      <x:c r="M745" s="24" t="n">
        <x:v>0</x:v>
      </x:c>
      <x:c r="N745" s="24" t="n">
        <x:v>0</x:v>
      </x:c>
      <x:c r="O745" t="str">
        <x:v>Competitor</x:v>
      </x:c>
      <x:c r="P745" t="n">
        <x:v>4</x:v>
      </x:c>
      <x:c r="Q745" t="str">
        <x:f>IFERROR(XLOOKUP(E745,Lookups!$A$5:$A$24,Lookups!$B$5:$B$24),"Other")</x:f>
        <x:v>Outbound</x:v>
      </x:c>
      <x:c r="R745" t="str">
        <x:f>IFERROR(XLOOKUP(F745,Lookups!$D$5:$D$10,Lookups!$E$5:$E$10),"Unknown Product")</x:f>
        <x:v>Marketing Automation</x:v>
      </x:c>
      <x:c r="S745" t="str">
        <x:f>IFERROR(XLOOKUP(F745,Lookups!$D$5:$D$10,Lookups!$F$5:$F$10),"Unknown")</x:f>
        <x:v>Marketing</x:v>
      </x:c>
      <x:c r="T745" t="str">
        <x:f>IF(L745&gt;=50000,"Enterprise",IF(L745&gt;=20000,"Mid-Market","SMB"))</x:f>
        <x:v>Mid-Market</x:v>
      </x:c>
      <x:c r="U745" t="str">
        <x:f>IF(I745="Closed Won","Won",IF(I745="Closed Lost","Lost","Open"))</x:f>
        <x:v>Lost</x:v>
      </x:c>
      <x:c r="V745" s="22" t="n">
        <x:f>IF(U745="Won",L745*(1-M745),0)</x:f>
        <x:v>0</x:v>
      </x:c>
      <x:c r="W745" s="22" t="n">
        <x:f>IF(U745="Open",L745*N745,0)</x:f>
        <x:v>0</x:v>
      </x:c>
      <x:c r="X745" s="26" t="n">
        <x:f>IF(U745="Open","",IFERROR(K745-B745,""))</x:f>
        <x:v>50</x:v>
      </x:c>
      <x:c r="Y745" s="26" t="n">
        <x:f>IF(U745="Open",Lookups!$B$2-B745,X745)</x:f>
        <x:v>50</x:v>
      </x:c>
      <x:c r="Z745" t="str">
        <x:f>IF(AND(U745="Open",Y745&gt;30),"STALE","OK")</x:f>
        <x:v>OK</x:v>
      </x:c>
      <x:c r="AA745" t="str">
        <x:f>TEXT(B745,"yyyy-mm")</x:f>
        <x:v>2026-01</x:v>
      </x:c>
      <x:c r="AB745" t="str">
        <x:f>IF(K745="","",TEXT(K745,"yyyy-mm"))</x:f>
        <x:v>2026-03</x:v>
      </x:c>
      <x:c r="AC745" t="str">
        <x:f>"Q"&amp;ROUNDUP(MONTH(B745)/3,0)&amp;"-"&amp;YEAR(B745)</x:f>
        <x:v>Q1-2026</x:v>
      </x:c>
      <x:c r="AD745" s="26" t="n">
        <x:f>MIN(100,IF(H745="Enterprise",30,IF(H745="Mid-Market",22,14))+IF(T745="Enterprise",25,IF(T745="Mid-Market",18,10))+IF(Q745="Referral",25,IF(Q745="Organic Search",20,IF(Q745="Email",18,14)))+IF(G745="Technology",10,5))</x:f>
        <x:v>59</x:v>
      </x:c>
      <x:c r="AE745" t="str">
        <x:f>IF(U745&lt;&gt;"Open",U745,IF(N745&gt;=0.8,"Commit",IF(N745&gt;=0.5,"Best Case","Pipeline")))</x:f>
        <x:v>Lost</x:v>
      </x:c>
    </x:row>
    <x:row r="746">
      <x:c r="A746" t="str">
        <x:v>L00745</x:v>
      </x:c>
      <x:c r="B746" s="10" t="n">
        <x:v>45891</x:v>
      </x:c>
      <x:c r="C746" t="str">
        <x:v>Bao Tran</x:v>
      </x:c>
      <x:c r="D746" t="str">
        <x:v>South</x:v>
      </x:c>
      <x:c r="E746" t="str">
        <x:v>Google Organic</x:v>
      </x:c>
      <x:c r="F746" t="str">
        <x:v>BI-PLUS</x:v>
      </x:c>
      <x:c r="G746" t="str">
        <x:v>Technology</x:v>
      </x:c>
      <x:c r="H746" t="str">
        <x:v>Mid-Market</x:v>
      </x:c>
      <x:c r="I746" t="str">
        <x:v>Closed Won</x:v>
      </x:c>
      <x:c r="J746" s="10" t="n">
        <x:v>45915</x:v>
      </x:c>
      <x:c r="K746" s="10" t="n">
        <x:v>45915</x:v>
      </x:c>
      <x:c r="L746" s="22" t="n">
        <x:v>41700</x:v>
      </x:c>
      <x:c r="M746" s="24" t="n">
        <x:v>0.03</x:v>
      </x:c>
      <x:c r="N746" s="24" t="n">
        <x:v>1</x:v>
      </x:c>
      <x:c r="O746" t="str"/>
      <x:c r="P746" t="n">
        <x:v>6</x:v>
      </x:c>
      <x:c r="Q746" t="str">
        <x:f>IFERROR(XLOOKUP(E746,Lookups!$A$5:$A$24,Lookups!$B$5:$B$24),"Other")</x:f>
        <x:v>Organic Search</x:v>
      </x:c>
      <x:c r="R746" t="str">
        <x:f>IFERROR(XLOOKUP(F746,Lookups!$D$5:$D$10,Lookups!$E$5:$E$10),"Unknown Product")</x:f>
        <x:v>Analytics Plus</x:v>
      </x:c>
      <x:c r="S746" t="str">
        <x:f>IFERROR(XLOOKUP(F746,Lookups!$D$5:$D$10,Lookups!$F$5:$F$10),"Unknown")</x:f>
        <x:v>Analytics</x:v>
      </x:c>
      <x:c r="T746" t="str">
        <x:f>IF(L746&gt;=50000,"Enterprise",IF(L746&gt;=20000,"Mid-Market","SMB"))</x:f>
        <x:v>Mid-Market</x:v>
      </x:c>
      <x:c r="U746" t="str">
        <x:f>IF(I746="Closed Won","Won",IF(I746="Closed Lost","Lost","Open"))</x:f>
        <x:v>Won</x:v>
      </x:c>
      <x:c r="V746" s="22" t="n">
        <x:f>IF(U746="Won",L746*(1-M746),0)</x:f>
        <x:v>40449</x:v>
      </x:c>
      <x:c r="W746" s="22" t="n">
        <x:f>IF(U746="Open",L746*N746,0)</x:f>
        <x:v>0</x:v>
      </x:c>
      <x:c r="X746" s="26" t="n">
        <x:f>IF(U746="Open","",IFERROR(K746-B746,""))</x:f>
        <x:v>24</x:v>
      </x:c>
      <x:c r="Y746" s="26" t="n">
        <x:f>IF(U746="Open",Lookups!$B$2-B746,X746)</x:f>
        <x:v>24</x:v>
      </x:c>
      <x:c r="Z746" t="str">
        <x:f>IF(AND(U746="Open",Y746&gt;30),"STALE","OK")</x:f>
        <x:v>OK</x:v>
      </x:c>
      <x:c r="AA746" t="str">
        <x:f>TEXT(B746,"yyyy-mm")</x:f>
        <x:v>2025-08</x:v>
      </x:c>
      <x:c r="AB746" t="str">
        <x:f>IF(K746="","",TEXT(K746,"yyyy-mm"))</x:f>
        <x:v>2025-09</x:v>
      </x:c>
      <x:c r="AC746" t="str">
        <x:f>"Q"&amp;ROUNDUP(MONTH(B746)/3,0)&amp;"-"&amp;YEAR(B746)</x:f>
        <x:v>Q3-2025</x:v>
      </x:c>
      <x:c r="AD746" s="26" t="n">
        <x:f>MIN(100,IF(H746="Enterprise",30,IF(H746="Mid-Market",22,14))+IF(T746="Enterprise",25,IF(T746="Mid-Market",18,10))+IF(Q746="Referral",25,IF(Q746="Organic Search",20,IF(Q746="Email",18,14)))+IF(G746="Technology",10,5))</x:f>
        <x:v>70</x:v>
      </x:c>
      <x:c r="AE746" t="str">
        <x:f>IF(U746&lt;&gt;"Open",U746,IF(N746&gt;=0.8,"Commit",IF(N746&gt;=0.5,"Best Case","Pipeline")))</x:f>
        <x:v>Won</x:v>
      </x:c>
    </x:row>
    <x:row r="747">
      <x:c r="A747" t="str">
        <x:v>L00746</x:v>
      </x:c>
      <x:c r="B747" s="10" t="n">
        <x:v>46136</x:v>
      </x:c>
      <x:c r="C747" t="str">
        <x:v>An Nguyen</x:v>
      </x:c>
      <x:c r="D747" t="str">
        <x:v>South</x:v>
      </x:c>
      <x:c r="E747" t="str">
        <x:v>SEO</x:v>
      </x:c>
      <x:c r="F747" t="str">
        <x:v>MKT-AUTO</x:v>
      </x:c>
      <x:c r="G747" t="str">
        <x:v>Healthcare</x:v>
      </x:c>
      <x:c r="H747" t="str">
        <x:v>SMB</x:v>
      </x:c>
      <x:c r="I747" t="str">
        <x:v>Closed Lost</x:v>
      </x:c>
      <x:c r="J747" s="10" t="n">
        <x:v>46178</x:v>
      </x:c>
      <x:c r="K747" s="10" t="n">
        <x:v>46178</x:v>
      </x:c>
      <x:c r="L747" s="22" t="n">
        <x:v>15600</x:v>
      </x:c>
      <x:c r="M747" s="24" t="n">
        <x:v>0</x:v>
      </x:c>
      <x:c r="N747" s="24" t="n">
        <x:v>0</x:v>
      </x:c>
      <x:c r="O747" t="str">
        <x:v>Price</x:v>
      </x:c>
      <x:c r="P747" t="n">
        <x:v>3</x:v>
      </x:c>
      <x:c r="Q747" t="str">
        <x:f>IFERROR(XLOOKUP(E747,Lookups!$A$5:$A$24,Lookups!$B$5:$B$24),"Other")</x:f>
        <x:v>Organic Search</x:v>
      </x:c>
      <x:c r="R747" t="str">
        <x:f>IFERROR(XLOOKUP(F747,Lookups!$D$5:$D$10,Lookups!$E$5:$E$10),"Unknown Product")</x:f>
        <x:v>Marketing Automation</x:v>
      </x:c>
      <x:c r="S747" t="str">
        <x:f>IFERROR(XLOOKUP(F747,Lookups!$D$5:$D$10,Lookups!$F$5:$F$10),"Unknown")</x:f>
        <x:v>Marketing</x:v>
      </x:c>
      <x:c r="T747" t="str">
        <x:f>IF(L747&gt;=50000,"Enterprise",IF(L747&gt;=20000,"Mid-Market","SMB"))</x:f>
        <x:v>SMB</x:v>
      </x:c>
      <x:c r="U747" t="str">
        <x:f>IF(I747="Closed Won","Won",IF(I747="Closed Lost","Lost","Open"))</x:f>
        <x:v>Lost</x:v>
      </x:c>
      <x:c r="V747" s="22" t="n">
        <x:f>IF(U747="Won",L747*(1-M747),0)</x:f>
        <x:v>0</x:v>
      </x:c>
      <x:c r="W747" s="22" t="n">
        <x:f>IF(U747="Open",L747*N747,0)</x:f>
        <x:v>0</x:v>
      </x:c>
      <x:c r="X747" s="26" t="n">
        <x:f>IF(U747="Open","",IFERROR(K747-B747,""))</x:f>
        <x:v>42</x:v>
      </x:c>
      <x:c r="Y747" s="26" t="n">
        <x:f>IF(U747="Open",Lookups!$B$2-B747,X747)</x:f>
        <x:v>42</x:v>
      </x:c>
      <x:c r="Z747" t="str">
        <x:f>IF(AND(U747="Open",Y747&gt;30),"STALE","OK")</x:f>
        <x:v>OK</x:v>
      </x:c>
      <x:c r="AA747" t="str">
        <x:f>TEXT(B747,"yyyy-mm")</x:f>
        <x:v>2026-04</x:v>
      </x:c>
      <x:c r="AB747" t="str">
        <x:f>IF(K747="","",TEXT(K747,"yyyy-mm"))</x:f>
        <x:v>2026-06</x:v>
      </x:c>
      <x:c r="AC747" t="str">
        <x:f>"Q"&amp;ROUNDUP(MONTH(B747)/3,0)&amp;"-"&amp;YEAR(B747)</x:f>
        <x:v>Q2-2026</x:v>
      </x:c>
      <x:c r="AD747" s="26" t="n">
        <x:f>MIN(100,IF(H747="Enterprise",30,IF(H747="Mid-Market",22,14))+IF(T747="Enterprise",25,IF(T747="Mid-Market",18,10))+IF(Q747="Referral",25,IF(Q747="Organic Search",20,IF(Q747="Email",18,14)))+IF(G747="Technology",10,5))</x:f>
        <x:v>49</x:v>
      </x:c>
      <x:c r="AE747" t="str">
        <x:f>IF(U747&lt;&gt;"Open",U747,IF(N747&gt;=0.8,"Commit",IF(N747&gt;=0.5,"Best Case","Pipeline")))</x:f>
        <x:v>Lost</x:v>
      </x:c>
    </x:row>
    <x:row r="748">
      <x:c r="A748" t="str">
        <x:v>L00747</x:v>
      </x:c>
      <x:c r="B748" s="10" t="n">
        <x:v>46065</x:v>
      </x:c>
      <x:c r="C748" t="str">
        <x:v>Ha Vo</x:v>
      </x:c>
      <x:c r="D748" t="str">
        <x:v>North</x:v>
      </x:c>
      <x:c r="E748" t="str">
        <x:v>SDR Outreach</x:v>
      </x:c>
      <x:c r="F748" t="str">
        <x:v>BI-PLUS</x:v>
      </x:c>
      <x:c r="G748" t="str">
        <x:v>Technology</x:v>
      </x:c>
      <x:c r="H748" t="str">
        <x:v>Mid-Market</x:v>
      </x:c>
      <x:c r="I748" t="str">
        <x:v>Closed Lost</x:v>
      </x:c>
      <x:c r="J748" s="10" t="n">
        <x:v>46114</x:v>
      </x:c>
      <x:c r="K748" s="10" t="n">
        <x:v>46114</x:v>
      </x:c>
      <x:c r="L748" s="22" t="n">
        <x:v>26200</x:v>
      </x:c>
      <x:c r="M748" s="24" t="n">
        <x:v>0</x:v>
      </x:c>
      <x:c r="N748" s="24" t="n">
        <x:v>0</x:v>
      </x:c>
      <x:c r="O748" t="str">
        <x:v>Timing</x:v>
      </x:c>
      <x:c r="P748" t="n">
        <x:v>2</x:v>
      </x:c>
      <x:c r="Q748" t="str">
        <x:f>IFERROR(XLOOKUP(E748,Lookups!$A$5:$A$24,Lookups!$B$5:$B$24),"Other")</x:f>
        <x:v>Outbound</x:v>
      </x:c>
      <x:c r="R748" t="str">
        <x:f>IFERROR(XLOOKUP(F748,Lookups!$D$5:$D$10,Lookups!$E$5:$E$10),"Unknown Product")</x:f>
        <x:v>Analytics Plus</x:v>
      </x:c>
      <x:c r="S748" t="str">
        <x:f>IFERROR(XLOOKUP(F748,Lookups!$D$5:$D$10,Lookups!$F$5:$F$10),"Unknown")</x:f>
        <x:v>Analytics</x:v>
      </x:c>
      <x:c r="T748" t="str">
        <x:f>IF(L748&gt;=50000,"Enterprise",IF(L748&gt;=20000,"Mid-Market","SMB"))</x:f>
        <x:v>Mid-Market</x:v>
      </x:c>
      <x:c r="U748" t="str">
        <x:f>IF(I748="Closed Won","Won",IF(I748="Closed Lost","Lost","Open"))</x:f>
        <x:v>Lost</x:v>
      </x:c>
      <x:c r="V748" s="22" t="n">
        <x:f>IF(U748="Won",L748*(1-M748),0)</x:f>
        <x:v>0</x:v>
      </x:c>
      <x:c r="W748" s="22" t="n">
        <x:f>IF(U748="Open",L748*N748,0)</x:f>
        <x:v>0</x:v>
      </x:c>
      <x:c r="X748" s="26" t="n">
        <x:f>IF(U748="Open","",IFERROR(K748-B748,""))</x:f>
        <x:v>49</x:v>
      </x:c>
      <x:c r="Y748" s="26" t="n">
        <x:f>IF(U748="Open",Lookups!$B$2-B748,X748)</x:f>
        <x:v>49</x:v>
      </x:c>
      <x:c r="Z748" t="str">
        <x:f>IF(AND(U748="Open",Y748&gt;30),"STALE","OK")</x:f>
        <x:v>OK</x:v>
      </x:c>
      <x:c r="AA748" t="str">
        <x:f>TEXT(B748,"yyyy-mm")</x:f>
        <x:v>2026-02</x:v>
      </x:c>
      <x:c r="AB748" t="str">
        <x:f>IF(K748="","",TEXT(K748,"yyyy-mm"))</x:f>
        <x:v>2026-04</x:v>
      </x:c>
      <x:c r="AC748" t="str">
        <x:f>"Q"&amp;ROUNDUP(MONTH(B748)/3,0)&amp;"-"&amp;YEAR(B748)</x:f>
        <x:v>Q1-2026</x:v>
      </x:c>
      <x:c r="AD748" s="26" t="n">
        <x:f>MIN(100,IF(H748="Enterprise",30,IF(H748="Mid-Market",22,14))+IF(T748="Enterprise",25,IF(T748="Mid-Market",18,10))+IF(Q748="Referral",25,IF(Q748="Organic Search",20,IF(Q748="Email",18,14)))+IF(G748="Technology",10,5))</x:f>
        <x:v>64</x:v>
      </x:c>
      <x:c r="AE748" t="str">
        <x:f>IF(U748&lt;&gt;"Open",U748,IF(N748&gt;=0.8,"Commit",IF(N748&gt;=0.5,"Best Case","Pipeline")))</x:f>
        <x:v>Lost</x:v>
      </x:c>
    </x:row>
    <x:row r="749">
      <x:c r="A749" t="str">
        <x:v>L00748</x:v>
      </x:c>
      <x:c r="B749" s="10" t="n">
        <x:v>46225</x:v>
      </x:c>
      <x:c r="C749" t="str">
        <x:v>An Nguyen</x:v>
      </x:c>
      <x:c r="D749" t="str">
        <x:v>South</x:v>
      </x:c>
      <x:c r="E749" t="str">
        <x:v>linkedin</x:v>
      </x:c>
      <x:c r="F749" t="str">
        <x:v>MKT-AUTO</x:v>
      </x:c>
      <x:c r="G749" t="str">
        <x:v>Retail</x:v>
      </x:c>
      <x:c r="H749" t="str">
        <x:v>Enterprise</x:v>
      </x:c>
      <x:c r="I749" t="str">
        <x:v>Qualified</x:v>
      </x:c>
      <x:c r="J749" s="10" t="n">
        <x:v>46261</x:v>
      </x:c>
      <x:c r="K749" s="10"/>
      <x:c r="L749" s="22" t="n">
        <x:v>50800</x:v>
      </x:c>
      <x:c r="M749" s="24" t="n">
        <x:v>0</x:v>
      </x:c>
      <x:c r="N749" s="24" t="n">
        <x:v>0.2</x:v>
      </x:c>
      <x:c r="O749" t="str"/>
      <x:c r="P749" t="n">
        <x:v>2</x:v>
      </x:c>
      <x:c r="Q749" t="str">
        <x:f>IFERROR(XLOOKUP(E749,Lookups!$A$5:$A$24,Lookups!$B$5:$B$24),"Other")</x:f>
        <x:v>LinkedIn</x:v>
      </x:c>
      <x:c r="R749" t="str">
        <x:f>IFERROR(XLOOKUP(F749,Lookups!$D$5:$D$10,Lookups!$E$5:$E$10),"Unknown Product")</x:f>
        <x:v>Marketing Automation</x:v>
      </x:c>
      <x:c r="S749" t="str">
        <x:f>IFERROR(XLOOKUP(F749,Lookups!$D$5:$D$10,Lookups!$F$5:$F$10),"Unknown")</x:f>
        <x:v>Marketing</x:v>
      </x:c>
      <x:c r="T749" t="str">
        <x:f>IF(L749&gt;=50000,"Enterprise",IF(L749&gt;=20000,"Mid-Market","SMB"))</x:f>
        <x:v>Enterprise</x:v>
      </x:c>
      <x:c r="U749" t="str">
        <x:f>IF(I749="Closed Won","Won",IF(I749="Closed Lost","Lost","Open"))</x:f>
        <x:v>Open</x:v>
      </x:c>
      <x:c r="V749" s="22" t="n">
        <x:f>IF(U749="Won",L749*(1-M749),0)</x:f>
        <x:v>0</x:v>
      </x:c>
      <x:c r="W749" s="22" t="n">
        <x:f>IF(U749="Open",L749*N749,0)</x:f>
        <x:v>10160</x:v>
      </x:c>
      <x:c r="X749" s="26" t="str">
        <x:f>IF(U749="Open","",IFERROR(K749-B749,""))</x:f>
      </x:c>
      <x:c r="Y749" s="26" t="n">
        <x:f>IF(U749="Open",Lookups!$B$2-B749,X749)</x:f>
        <x:v>41</x:v>
      </x:c>
      <x:c r="Z749" t="str">
        <x:f>IF(AND(U749="Open",Y749&gt;30),"STALE","OK")</x:f>
        <x:v>STALE</x:v>
      </x:c>
      <x:c r="AA749" t="str">
        <x:f>TEXT(B749,"yyyy-mm")</x:f>
        <x:v>2026-07</x:v>
      </x:c>
      <x:c r="AB749" t="str">
        <x:f>IF(K749="","",TEXT(K749,"yyyy-mm"))</x:f>
      </x:c>
      <x:c r="AC749" t="str">
        <x:f>"Q"&amp;ROUNDUP(MONTH(B749)/3,0)&amp;"-"&amp;YEAR(B749)</x:f>
        <x:v>Q3-2026</x:v>
      </x:c>
      <x:c r="AD749" s="26" t="n">
        <x:f>MIN(100,IF(H749="Enterprise",30,IF(H749="Mid-Market",22,14))+IF(T749="Enterprise",25,IF(T749="Mid-Market",18,10))+IF(Q749="Referral",25,IF(Q749="Organic Search",20,IF(Q749="Email",18,14)))+IF(G749="Technology",10,5))</x:f>
        <x:v>74</x:v>
      </x:c>
      <x:c r="AE749" t="str">
        <x:f>IF(U749&lt;&gt;"Open",U749,IF(N749&gt;=0.8,"Commit",IF(N749&gt;=0.5,"Best Case","Pipeline")))</x:f>
        <x:v>Pipeline</x:v>
      </x:c>
    </x:row>
    <x:row r="750">
      <x:c r="A750" t="str">
        <x:v>L00749</x:v>
      </x:c>
      <x:c r="B750" s="10" t="n">
        <x:v>46264</x:v>
      </x:c>
      <x:c r="C750" t="str">
        <x:v>Quynh Vu</x:v>
      </x:c>
      <x:c r="D750" t="str">
        <x:v>North</x:v>
      </x:c>
      <x:c r="E750" t="str">
        <x:v>Google Organic</x:v>
      </x:c>
      <x:c r="F750" t="str">
        <x:v>BI-PLUS</x:v>
      </x:c>
      <x:c r="G750" t="str">
        <x:v>Financial Services</x:v>
      </x:c>
      <x:c r="H750" t="str">
        <x:v>Mid-Market</x:v>
      </x:c>
      <x:c r="I750" t="str">
        <x:v>New</x:v>
      </x:c>
      <x:c r="J750" s="10" t="n">
        <x:v>46266</x:v>
      </x:c>
      <x:c r="K750" s="10"/>
      <x:c r="L750" s="22" t="n">
        <x:v>51100</x:v>
      </x:c>
      <x:c r="M750" s="24" t="n">
        <x:v>0</x:v>
      </x:c>
      <x:c r="N750" s="24" t="n">
        <x:v>0.05</x:v>
      </x:c>
      <x:c r="O750" t="str"/>
      <x:c r="P750" t="n">
        <x:v>1</x:v>
      </x:c>
      <x:c r="Q750" t="str">
        <x:f>IFERROR(XLOOKUP(E750,Lookups!$A$5:$A$24,Lookups!$B$5:$B$24),"Other")</x:f>
        <x:v>Organic Search</x:v>
      </x:c>
      <x:c r="R750" t="str">
        <x:f>IFERROR(XLOOKUP(F750,Lookups!$D$5:$D$10,Lookups!$E$5:$E$10),"Unknown Product")</x:f>
        <x:v>Analytics Plus</x:v>
      </x:c>
      <x:c r="S750" t="str">
        <x:f>IFERROR(XLOOKUP(F750,Lookups!$D$5:$D$10,Lookups!$F$5:$F$10),"Unknown")</x:f>
        <x:v>Analytics</x:v>
      </x:c>
      <x:c r="T750" t="str">
        <x:f>IF(L750&gt;=50000,"Enterprise",IF(L750&gt;=20000,"Mid-Market","SMB"))</x:f>
        <x:v>Enterprise</x:v>
      </x:c>
      <x:c r="U750" t="str">
        <x:f>IF(I750="Closed Won","Won",IF(I750="Closed Lost","Lost","Open"))</x:f>
        <x:v>Open</x:v>
      </x:c>
      <x:c r="V750" s="22" t="n">
        <x:f>IF(U750="Won",L750*(1-M750),0)</x:f>
        <x:v>0</x:v>
      </x:c>
      <x:c r="W750" s="22" t="n">
        <x:f>IF(U750="Open",L750*N750,0)</x:f>
        <x:v>2555</x:v>
      </x:c>
      <x:c r="X750" s="26" t="str">
        <x:f>IF(U750="Open","",IFERROR(K750-B750,""))</x:f>
      </x:c>
      <x:c r="Y750" s="26" t="n">
        <x:f>IF(U750="Open",Lookups!$B$2-B750,X750)</x:f>
        <x:v>2</x:v>
      </x:c>
      <x:c r="Z750" t="str">
        <x:f>IF(AND(U750="Open",Y750&gt;30),"STALE","OK")</x:f>
        <x:v>OK</x:v>
      </x:c>
      <x:c r="AA750" t="str">
        <x:f>TEXT(B750,"yyyy-mm")</x:f>
        <x:v>2026-08</x:v>
      </x:c>
      <x:c r="AB750" t="str">
        <x:f>IF(K750="","",TEXT(K750,"yyyy-mm"))</x:f>
      </x:c>
      <x:c r="AC750" t="str">
        <x:f>"Q"&amp;ROUNDUP(MONTH(B750)/3,0)&amp;"-"&amp;YEAR(B750)</x:f>
        <x:v>Q3-2026</x:v>
      </x:c>
      <x:c r="AD750" s="26" t="n">
        <x:f>MIN(100,IF(H750="Enterprise",30,IF(H750="Mid-Market",22,14))+IF(T750="Enterprise",25,IF(T750="Mid-Market",18,10))+IF(Q750="Referral",25,IF(Q750="Organic Search",20,IF(Q750="Email",18,14)))+IF(G750="Technology",10,5))</x:f>
        <x:v>72</x:v>
      </x:c>
      <x:c r="AE750" t="str">
        <x:f>IF(U750&lt;&gt;"Open",U750,IF(N750&gt;=0.8,"Commit",IF(N750&gt;=0.5,"Best Case","Pipeline")))</x:f>
        <x:v>Pipeline</x:v>
      </x:c>
    </x:row>
    <x:row r="751">
      <x:c r="A751" t="str">
        <x:v>L00750</x:v>
      </x:c>
      <x:c r="B751" s="10" t="n">
        <x:v>45782</x:v>
      </x:c>
      <x:c r="C751" t="str">
        <x:v>Chi Le</x:v>
      </x:c>
      <x:c r="D751" t="str">
        <x:v>South</x:v>
      </x:c>
      <x:c r="E751" t="str">
        <x:v>organic search</x:v>
      </x:c>
      <x:c r="F751" t="str">
        <x:v>REV-OPS</x:v>
      </x:c>
      <x:c r="G751" t="str">
        <x:v>Technology</x:v>
      </x:c>
      <x:c r="H751" t="str">
        <x:v>Mid-Market</x:v>
      </x:c>
      <x:c r="I751" t="str">
        <x:v>Closed Lost</x:v>
      </x:c>
      <x:c r="J751" s="10" t="n">
        <x:v>45799</x:v>
      </x:c>
      <x:c r="K751" s="10" t="n">
        <x:v>45799</x:v>
      </x:c>
      <x:c r="L751" s="22" t="n">
        <x:v>62900</x:v>
      </x:c>
      <x:c r="M751" s="24" t="n">
        <x:v>0</x:v>
      </x:c>
      <x:c r="N751" s="24" t="n">
        <x:v>0</x:v>
      </x:c>
      <x:c r="O751" t="str">
        <x:v>Feature Gap</x:v>
      </x:c>
      <x:c r="P751" t="n">
        <x:v>2</x:v>
      </x:c>
      <x:c r="Q751" t="str">
        <x:f>IFERROR(XLOOKUP(E751,Lookups!$A$5:$A$24,Lookups!$B$5:$B$24),"Other")</x:f>
        <x:v>Organic Search</x:v>
      </x:c>
      <x:c r="R751" t="str">
        <x:f>IFERROR(XLOOKUP(F751,Lookups!$D$5:$D$10,Lookups!$E$5:$E$10),"Unknown Product")</x:f>
        <x:v>Revenue Operations Suite</x:v>
      </x:c>
      <x:c r="S751" t="str">
        <x:f>IFERROR(XLOOKUP(F751,Lookups!$D$5:$D$10,Lookups!$F$5:$F$10),"Unknown")</x:f>
        <x:v>Revenue Ops</x:v>
      </x:c>
      <x:c r="T751" t="str">
        <x:f>IF(L751&gt;=50000,"Enterprise",IF(L751&gt;=20000,"Mid-Market","SMB"))</x:f>
        <x:v>Enterprise</x:v>
      </x:c>
      <x:c r="U751" t="str">
        <x:f>IF(I751="Closed Won","Won",IF(I751="Closed Lost","Lost","Open"))</x:f>
        <x:v>Lost</x:v>
      </x:c>
      <x:c r="V751" s="22" t="n">
        <x:f>IF(U751="Won",L751*(1-M751),0)</x:f>
        <x:v>0</x:v>
      </x:c>
      <x:c r="W751" s="22" t="n">
        <x:f>IF(U751="Open",L751*N751,0)</x:f>
        <x:v>0</x:v>
      </x:c>
      <x:c r="X751" s="26" t="n">
        <x:f>IF(U751="Open","",IFERROR(K751-B751,""))</x:f>
        <x:v>17</x:v>
      </x:c>
      <x:c r="Y751" s="26" t="n">
        <x:f>IF(U751="Open",Lookups!$B$2-B751,X751)</x:f>
        <x:v>17</x:v>
      </x:c>
      <x:c r="Z751" t="str">
        <x:f>IF(AND(U751="Open",Y751&gt;30),"STALE","OK")</x:f>
        <x:v>OK</x:v>
      </x:c>
      <x:c r="AA751" t="str">
        <x:f>TEXT(B751,"yyyy-mm")</x:f>
        <x:v>2025-05</x:v>
      </x:c>
      <x:c r="AB751" t="str">
        <x:f>IF(K751="","",TEXT(K751,"yyyy-mm"))</x:f>
        <x:v>2025-05</x:v>
      </x:c>
      <x:c r="AC751" t="str">
        <x:f>"Q"&amp;ROUNDUP(MONTH(B751)/3,0)&amp;"-"&amp;YEAR(B751)</x:f>
        <x:v>Q2-2025</x:v>
      </x:c>
      <x:c r="AD751" s="26" t="n">
        <x:f>MIN(100,IF(H751="Enterprise",30,IF(H751="Mid-Market",22,14))+IF(T751="Enterprise",25,IF(T751="Mid-Market",18,10))+IF(Q751="Referral",25,IF(Q751="Organic Search",20,IF(Q751="Email",18,14)))+IF(G751="Technology",10,5))</x:f>
        <x:v>77</x:v>
      </x:c>
      <x:c r="AE751" t="str">
        <x:f>IF(U751&lt;&gt;"Open",U751,IF(N751&gt;=0.8,"Commit",IF(N751&gt;=0.5,"Best Case","Pipeline")))</x:f>
        <x:v>Lost</x:v>
      </x:c>
    </x:row>
    <x:row r="752">
      <x:c r="A752" t="str">
        <x:v>L00751</x:v>
      </x:c>
      <x:c r="B752" s="10" t="n">
        <x:v>45876</x:v>
      </x:c>
      <x:c r="C752" t="str">
        <x:v>An Nguyen</x:v>
      </x:c>
      <x:c r="D752" t="str">
        <x:v>South</x:v>
      </x:c>
      <x:c r="E752" t="str">
        <x:v>organic search</x:v>
      </x:c>
      <x:c r="F752" t="str">
        <x:v>REV-OPS</x:v>
      </x:c>
      <x:c r="G752" t="str">
        <x:v>Financial Services</x:v>
      </x:c>
      <x:c r="H752" t="str">
        <x:v>SMB</x:v>
      </x:c>
      <x:c r="I752" t="str">
        <x:v>Closed Lost</x:v>
      </x:c>
      <x:c r="J752" s="10" t="n">
        <x:v>45921</x:v>
      </x:c>
      <x:c r="K752" s="10" t="n">
        <x:v>45921</x:v>
      </x:c>
      <x:c r="L752" s="22" t="n">
        <x:v>37500</x:v>
      </x:c>
      <x:c r="M752" s="24" t="n">
        <x:v>0</x:v>
      </x:c>
      <x:c r="N752" s="24" t="n">
        <x:v>0</x:v>
      </x:c>
      <x:c r="O752" t="str">
        <x:v>Timing</x:v>
      </x:c>
      <x:c r="P752" t="n">
        <x:v>4</x:v>
      </x:c>
      <x:c r="Q752" t="str">
        <x:f>IFERROR(XLOOKUP(E752,Lookups!$A$5:$A$24,Lookups!$B$5:$B$24),"Other")</x:f>
        <x:v>Organic Search</x:v>
      </x:c>
      <x:c r="R752" t="str">
        <x:f>IFERROR(XLOOKUP(F752,Lookups!$D$5:$D$10,Lookups!$E$5:$E$10),"Unknown Product")</x:f>
        <x:v>Revenue Operations Suite</x:v>
      </x:c>
      <x:c r="S752" t="str">
        <x:f>IFERROR(XLOOKUP(F752,Lookups!$D$5:$D$10,Lookups!$F$5:$F$10),"Unknown")</x:f>
        <x:v>Revenue Ops</x:v>
      </x:c>
      <x:c r="T752" t="str">
        <x:f>IF(L752&gt;=50000,"Enterprise",IF(L752&gt;=20000,"Mid-Market","SMB"))</x:f>
        <x:v>Mid-Market</x:v>
      </x:c>
      <x:c r="U752" t="str">
        <x:f>IF(I752="Closed Won","Won",IF(I752="Closed Lost","Lost","Open"))</x:f>
        <x:v>Lost</x:v>
      </x:c>
      <x:c r="V752" s="22" t="n">
        <x:f>IF(U752="Won",L752*(1-M752),0)</x:f>
        <x:v>0</x:v>
      </x:c>
      <x:c r="W752" s="22" t="n">
        <x:f>IF(U752="Open",L752*N752,0)</x:f>
        <x:v>0</x:v>
      </x:c>
      <x:c r="X752" s="26" t="n">
        <x:f>IF(U752="Open","",IFERROR(K752-B752,""))</x:f>
        <x:v>45</x:v>
      </x:c>
      <x:c r="Y752" s="26" t="n">
        <x:f>IF(U752="Open",Lookups!$B$2-B752,X752)</x:f>
        <x:v>45</x:v>
      </x:c>
      <x:c r="Z752" t="str">
        <x:f>IF(AND(U752="Open",Y752&gt;30),"STALE","OK")</x:f>
        <x:v>OK</x:v>
      </x:c>
      <x:c r="AA752" t="str">
        <x:f>TEXT(B752,"yyyy-mm")</x:f>
        <x:v>2025-08</x:v>
      </x:c>
      <x:c r="AB752" t="str">
        <x:f>IF(K752="","",TEXT(K752,"yyyy-mm"))</x:f>
        <x:v>2025-09</x:v>
      </x:c>
      <x:c r="AC752" t="str">
        <x:f>"Q"&amp;ROUNDUP(MONTH(B752)/3,0)&amp;"-"&amp;YEAR(B752)</x:f>
        <x:v>Q3-2025</x:v>
      </x:c>
      <x:c r="AD752" s="26" t="n">
        <x:f>MIN(100,IF(H752="Enterprise",30,IF(H752="Mid-Market",22,14))+IF(T752="Enterprise",25,IF(T752="Mid-Market",18,10))+IF(Q752="Referral",25,IF(Q752="Organic Search",20,IF(Q752="Email",18,14)))+IF(G752="Technology",10,5))</x:f>
        <x:v>57</x:v>
      </x:c>
      <x:c r="AE752" t="str">
        <x:f>IF(U752&lt;&gt;"Open",U752,IF(N752&gt;=0.8,"Commit",IF(N752&gt;=0.5,"Best Case","Pipeline")))</x:f>
        <x:v>Lost</x:v>
      </x:c>
    </x:row>
    <x:row r="753">
      <x:c r="A753" t="str">
        <x:v>L00752</x:v>
      </x:c>
      <x:c r="B753" s="10" t="n">
        <x:v>46156</x:v>
      </x:c>
      <x:c r="C753" t="str">
        <x:v>Bao Tran</x:v>
      </x:c>
      <x:c r="D753" t="str">
        <x:v>South</x:v>
      </x:c>
      <x:c r="E753" t="str">
        <x:v>virtual event</x:v>
      </x:c>
      <x:c r="F753" t="str">
        <x:v>CRM-PRO</x:v>
      </x:c>
      <x:c r="G753" t="str">
        <x:v>Healthcare</x:v>
      </x:c>
      <x:c r="H753" t="str">
        <x:v>Mid-Market</x:v>
      </x:c>
      <x:c r="I753" t="str">
        <x:v>Proposal</x:v>
      </x:c>
      <x:c r="J753" s="10" t="n">
        <x:v>46213</x:v>
      </x:c>
      <x:c r="K753" s="10"/>
      <x:c r="L753" s="22" t="n">
        <x:v>31800</x:v>
      </x:c>
      <x:c r="M753" s="24" t="n">
        <x:v>0.05</x:v>
      </x:c>
      <x:c r="N753" s="24" t="n">
        <x:v>0.65</x:v>
      </x:c>
      <x:c r="O753" t="str"/>
      <x:c r="P753" t="n">
        <x:v>4</x:v>
      </x:c>
      <x:c r="Q753" t="str">
        <x:f>IFERROR(XLOOKUP(E753,Lookups!$A$5:$A$24,Lookups!$B$5:$B$24),"Other")</x:f>
        <x:v>Webinar</x:v>
      </x:c>
      <x:c r="R753" t="str">
        <x:f>IFERROR(XLOOKUP(F753,Lookups!$D$5:$D$10,Lookups!$E$5:$E$10),"Unknown Product")</x:f>
        <x:v>NexaCRM Pro</x:v>
      </x:c>
      <x:c r="S753" t="str">
        <x:f>IFERROR(XLOOKUP(F753,Lookups!$D$5:$D$10,Lookups!$F$5:$F$10),"Unknown")</x:f>
        <x:v>CRM</x:v>
      </x:c>
      <x:c r="T753" t="str">
        <x:f>IF(L753&gt;=50000,"Enterprise",IF(L753&gt;=20000,"Mid-Market","SMB"))</x:f>
        <x:v>Mid-Market</x:v>
      </x:c>
      <x:c r="U753" t="str">
        <x:f>IF(I753="Closed Won","Won",IF(I753="Closed Lost","Lost","Open"))</x:f>
        <x:v>Open</x:v>
      </x:c>
      <x:c r="V753" s="22" t="n">
        <x:f>IF(U753="Won",L753*(1-M753),0)</x:f>
        <x:v>0</x:v>
      </x:c>
      <x:c r="W753" s="22" t="n">
        <x:f>IF(U753="Open",L753*N753,0)</x:f>
        <x:v>20670</x:v>
      </x:c>
      <x:c r="X753" s="26" t="str">
        <x:f>IF(U753="Open","",IFERROR(K753-B753,""))</x:f>
      </x:c>
      <x:c r="Y753" s="26" t="n">
        <x:f>IF(U753="Open",Lookups!$B$2-B753,X753)</x:f>
        <x:v>110</x:v>
      </x:c>
      <x:c r="Z753" t="str">
        <x:f>IF(AND(U753="Open",Y753&gt;30),"STALE","OK")</x:f>
        <x:v>STALE</x:v>
      </x:c>
      <x:c r="AA753" t="str">
        <x:f>TEXT(B753,"yyyy-mm")</x:f>
        <x:v>2026-05</x:v>
      </x:c>
      <x:c r="AB753" t="str">
        <x:f>IF(K753="","",TEXT(K753,"yyyy-mm"))</x:f>
      </x:c>
      <x:c r="AC753" t="str">
        <x:f>"Q"&amp;ROUNDUP(MONTH(B753)/3,0)&amp;"-"&amp;YEAR(B753)</x:f>
        <x:v>Q2-2026</x:v>
      </x:c>
      <x:c r="AD753" s="26" t="n">
        <x:f>MIN(100,IF(H753="Enterprise",30,IF(H753="Mid-Market",22,14))+IF(T753="Enterprise",25,IF(T753="Mid-Market",18,10))+IF(Q753="Referral",25,IF(Q753="Organic Search",20,IF(Q753="Email",18,14)))+IF(G753="Technology",10,5))</x:f>
        <x:v>59</x:v>
      </x:c>
      <x:c r="AE753" t="str">
        <x:f>IF(U753&lt;&gt;"Open",U753,IF(N753&gt;=0.8,"Commit",IF(N753&gt;=0.5,"Best Case","Pipeline")))</x:f>
        <x:v>Best Case</x:v>
      </x:c>
    </x:row>
    <x:row r="754">
      <x:c r="A754" t="str">
        <x:v>L00753</x:v>
      </x:c>
      <x:c r="B754" s="10" t="n">
        <x:v>45853</x:v>
      </x:c>
      <x:c r="C754" t="str">
        <x:v>Ha Vo</x:v>
      </x:c>
      <x:c r="D754" t="str">
        <x:v>North</x:v>
      </x:c>
      <x:c r="E754" t="str">
        <x:v>Partner Referral</x:v>
      </x:c>
      <x:c r="F754" t="str">
        <x:v>BI-PLUS</x:v>
      </x:c>
      <x:c r="G754" t="str">
        <x:v>Education</x:v>
      </x:c>
      <x:c r="H754" t="str">
        <x:v>SMB</x:v>
      </x:c>
      <x:c r="I754" t="str">
        <x:v>Closed Lost</x:v>
      </x:c>
      <x:c r="J754" s="10" t="n">
        <x:v>45875</x:v>
      </x:c>
      <x:c r="K754" s="10" t="n">
        <x:v>45875</x:v>
      </x:c>
      <x:c r="L754" s="22" t="n">
        <x:v>13500</x:v>
      </x:c>
      <x:c r="M754" s="24" t="n">
        <x:v>0</x:v>
      </x:c>
      <x:c r="N754" s="24" t="n">
        <x:v>0</x:v>
      </x:c>
      <x:c r="O754" t="str">
        <x:v>Budget</x:v>
      </x:c>
      <x:c r="P754" t="n">
        <x:v>3</x:v>
      </x:c>
      <x:c r="Q754" t="str">
        <x:f>IFERROR(XLOOKUP(E754,Lookups!$A$5:$A$24,Lookups!$B$5:$B$24),"Other")</x:f>
        <x:v>Referral</x:v>
      </x:c>
      <x:c r="R754" t="str">
        <x:f>IFERROR(XLOOKUP(F754,Lookups!$D$5:$D$10,Lookups!$E$5:$E$10),"Unknown Product")</x:f>
        <x:v>Analytics Plus</x:v>
      </x:c>
      <x:c r="S754" t="str">
        <x:f>IFERROR(XLOOKUP(F754,Lookups!$D$5:$D$10,Lookups!$F$5:$F$10),"Unknown")</x:f>
        <x:v>Analytics</x:v>
      </x:c>
      <x:c r="T754" t="str">
        <x:f>IF(L754&gt;=50000,"Enterprise",IF(L754&gt;=20000,"Mid-Market","SMB"))</x:f>
        <x:v>SMB</x:v>
      </x:c>
      <x:c r="U754" t="str">
        <x:f>IF(I754="Closed Won","Won",IF(I754="Closed Lost","Lost","Open"))</x:f>
        <x:v>Lost</x:v>
      </x:c>
      <x:c r="V754" s="22" t="n">
        <x:f>IF(U754="Won",L754*(1-M754),0)</x:f>
        <x:v>0</x:v>
      </x:c>
      <x:c r="W754" s="22" t="n">
        <x:f>IF(U754="Open",L754*N754,0)</x:f>
        <x:v>0</x:v>
      </x:c>
      <x:c r="X754" s="26" t="n">
        <x:f>IF(U754="Open","",IFERROR(K754-B754,""))</x:f>
        <x:v>22</x:v>
      </x:c>
      <x:c r="Y754" s="26" t="n">
        <x:f>IF(U754="Open",Lookups!$B$2-B754,X754)</x:f>
        <x:v>22</x:v>
      </x:c>
      <x:c r="Z754" t="str">
        <x:f>IF(AND(U754="Open",Y754&gt;30),"STALE","OK")</x:f>
        <x:v>OK</x:v>
      </x:c>
      <x:c r="AA754" t="str">
        <x:f>TEXT(B754,"yyyy-mm")</x:f>
        <x:v>2025-07</x:v>
      </x:c>
      <x:c r="AB754" t="str">
        <x:f>IF(K754="","",TEXT(K754,"yyyy-mm"))</x:f>
        <x:v>2025-08</x:v>
      </x:c>
      <x:c r="AC754" t="str">
        <x:f>"Q"&amp;ROUNDUP(MONTH(B754)/3,0)&amp;"-"&amp;YEAR(B754)</x:f>
        <x:v>Q3-2025</x:v>
      </x:c>
      <x:c r="AD754" s="26" t="n">
        <x:f>MIN(100,IF(H754="Enterprise",30,IF(H754="Mid-Market",22,14))+IF(T754="Enterprise",25,IF(T754="Mid-Market",18,10))+IF(Q754="Referral",25,IF(Q754="Organic Search",20,IF(Q754="Email",18,14)))+IF(G754="Technology",10,5))</x:f>
        <x:v>54</x:v>
      </x:c>
      <x:c r="AE754" t="str">
        <x:f>IF(U754&lt;&gt;"Open",U754,IF(N754&gt;=0.8,"Commit",IF(N754&gt;=0.5,"Best Case","Pipeline")))</x:f>
        <x:v>Lost</x:v>
      </x:c>
    </x:row>
    <x:row r="755">
      <x:c r="A755" t="str">
        <x:v>L00754</x:v>
      </x:c>
      <x:c r="B755" s="10" t="n">
        <x:v>46012</x:v>
      </x:c>
      <x:c r="C755" t="str">
        <x:v>Tuan Bui</x:v>
      </x:c>
      <x:c r="D755" t="str">
        <x:v>Central</x:v>
      </x:c>
      <x:c r="E755" t="str">
        <x:v>LinkedIn Ads</x:v>
      </x:c>
      <x:c r="F755" t="str">
        <x:v>CRM-PRO</x:v>
      </x:c>
      <x:c r="G755" t="str">
        <x:v>Manufacturing</x:v>
      </x:c>
      <x:c r="H755" t="str">
        <x:v>SMB</x:v>
      </x:c>
      <x:c r="I755" t="str">
        <x:v>Closed Lost</x:v>
      </x:c>
      <x:c r="J755" s="10" t="n">
        <x:v>46020</x:v>
      </x:c>
      <x:c r="K755" s="10" t="n">
        <x:v>46020</x:v>
      </x:c>
      <x:c r="L755" s="22" t="n">
        <x:v>15800</x:v>
      </x:c>
      <x:c r="M755" s="24" t="n">
        <x:v>0</x:v>
      </x:c>
      <x:c r="N755" s="24" t="n">
        <x:v>0</x:v>
      </x:c>
      <x:c r="O755" t="str">
        <x:v>No Decision</x:v>
      </x:c>
      <x:c r="P755" t="n">
        <x:v>2</x:v>
      </x:c>
      <x:c r="Q755" t="str">
        <x:f>IFERROR(XLOOKUP(E755,Lookups!$A$5:$A$24,Lookups!$B$5:$B$24),"Other")</x:f>
        <x:v>LinkedIn</x:v>
      </x:c>
      <x:c r="R755" t="str">
        <x:f>IFERROR(XLOOKUP(F755,Lookups!$D$5:$D$10,Lookups!$E$5:$E$10),"Unknown Product")</x:f>
        <x:v>NexaCRM Pro</x:v>
      </x:c>
      <x:c r="S755" t="str">
        <x:f>IFERROR(XLOOKUP(F755,Lookups!$D$5:$D$10,Lookups!$F$5:$F$10),"Unknown")</x:f>
        <x:v>CRM</x:v>
      </x:c>
      <x:c r="T755" t="str">
        <x:f>IF(L755&gt;=50000,"Enterprise",IF(L755&gt;=20000,"Mid-Market","SMB"))</x:f>
        <x:v>SMB</x:v>
      </x:c>
      <x:c r="U755" t="str">
        <x:f>IF(I755="Closed Won","Won",IF(I755="Closed Lost","Lost","Open"))</x:f>
        <x:v>Lost</x:v>
      </x:c>
      <x:c r="V755" s="22" t="n">
        <x:f>IF(U755="Won",L755*(1-M755),0)</x:f>
        <x:v>0</x:v>
      </x:c>
      <x:c r="W755" s="22" t="n">
        <x:f>IF(U755="Open",L755*N755,0)</x:f>
        <x:v>0</x:v>
      </x:c>
      <x:c r="X755" s="26" t="n">
        <x:f>IF(U755="Open","",IFERROR(K755-B755,""))</x:f>
        <x:v>8</x:v>
      </x:c>
      <x:c r="Y755" s="26" t="n">
        <x:f>IF(U755="Open",Lookups!$B$2-B755,X755)</x:f>
        <x:v>8</x:v>
      </x:c>
      <x:c r="Z755" t="str">
        <x:f>IF(AND(U755="Open",Y755&gt;30),"STALE","OK")</x:f>
        <x:v>OK</x:v>
      </x:c>
      <x:c r="AA755" t="str">
        <x:f>TEXT(B755,"yyyy-mm")</x:f>
        <x:v>2025-12</x:v>
      </x:c>
      <x:c r="AB755" t="str">
        <x:f>IF(K755="","",TEXT(K755,"yyyy-mm"))</x:f>
        <x:v>2025-12</x:v>
      </x:c>
      <x:c r="AC755" t="str">
        <x:f>"Q"&amp;ROUNDUP(MONTH(B755)/3,0)&amp;"-"&amp;YEAR(B755)</x:f>
        <x:v>Q4-2025</x:v>
      </x:c>
      <x:c r="AD755" s="26" t="n">
        <x:f>MIN(100,IF(H755="Enterprise",30,IF(H755="Mid-Market",22,14))+IF(T755="Enterprise",25,IF(T755="Mid-Market",18,10))+IF(Q755="Referral",25,IF(Q755="Organic Search",20,IF(Q755="Email",18,14)))+IF(G755="Technology",10,5))</x:f>
        <x:v>43</x:v>
      </x:c>
      <x:c r="AE755" t="str">
        <x:f>IF(U755&lt;&gt;"Open",U755,IF(N755&gt;=0.8,"Commit",IF(N755&gt;=0.5,"Best Case","Pipeline")))</x:f>
        <x:v>Lost</x:v>
      </x:c>
    </x:row>
    <x:row r="756">
      <x:c r="A756" t="str">
        <x:v>L00755</x:v>
      </x:c>
      <x:c r="B756" s="10" t="n">
        <x:v>45781</x:v>
      </x:c>
      <x:c r="C756" t="str">
        <x:v>Tuan Bui</x:v>
      </x:c>
      <x:c r="D756" t="str">
        <x:v>Central</x:v>
      </x:c>
      <x:c r="E756" t="str">
        <x:v>google cpc</x:v>
      </x:c>
      <x:c r="F756" t="str">
        <x:v>MKT-AUTO</x:v>
      </x:c>
      <x:c r="G756" t="str">
        <x:v>Technology</x:v>
      </x:c>
      <x:c r="H756" t="str">
        <x:v>SMB</x:v>
      </x:c>
      <x:c r="I756" t="str">
        <x:v>Closed Lost</x:v>
      </x:c>
      <x:c r="J756" s="10" t="n">
        <x:v>45867</x:v>
      </x:c>
      <x:c r="K756" s="10" t="n">
        <x:v>45867</x:v>
      </x:c>
      <x:c r="L756" s="22" t="n">
        <x:v>17000</x:v>
      </x:c>
      <x:c r="M756" s="24" t="n">
        <x:v>0</x:v>
      </x:c>
      <x:c r="N756" s="24" t="n">
        <x:v>0</x:v>
      </x:c>
      <x:c r="O756" t="str">
        <x:v>Budget</x:v>
      </x:c>
      <x:c r="P756" t="n">
        <x:v>5</x:v>
      </x:c>
      <x:c r="Q756" t="str">
        <x:f>IFERROR(XLOOKUP(E756,Lookups!$A$5:$A$24,Lookups!$B$5:$B$24),"Other")</x:f>
        <x:v>Paid Search</x:v>
      </x:c>
      <x:c r="R756" t="str">
        <x:f>IFERROR(XLOOKUP(F756,Lookups!$D$5:$D$10,Lookups!$E$5:$E$10),"Unknown Product")</x:f>
        <x:v>Marketing Automation</x:v>
      </x:c>
      <x:c r="S756" t="str">
        <x:f>IFERROR(XLOOKUP(F756,Lookups!$D$5:$D$10,Lookups!$F$5:$F$10),"Unknown")</x:f>
        <x:v>Marketing</x:v>
      </x:c>
      <x:c r="T756" t="str">
        <x:f>IF(L756&gt;=50000,"Enterprise",IF(L756&gt;=20000,"Mid-Market","SMB"))</x:f>
        <x:v>SMB</x:v>
      </x:c>
      <x:c r="U756" t="str">
        <x:f>IF(I756="Closed Won","Won",IF(I756="Closed Lost","Lost","Open"))</x:f>
        <x:v>Lost</x:v>
      </x:c>
      <x:c r="V756" s="22" t="n">
        <x:f>IF(U756="Won",L756*(1-M756),0)</x:f>
        <x:v>0</x:v>
      </x:c>
      <x:c r="W756" s="22" t="n">
        <x:f>IF(U756="Open",L756*N756,0)</x:f>
        <x:v>0</x:v>
      </x:c>
      <x:c r="X756" s="26" t="n">
        <x:f>IF(U756="Open","",IFERROR(K756-B756,""))</x:f>
        <x:v>86</x:v>
      </x:c>
      <x:c r="Y756" s="26" t="n">
        <x:f>IF(U756="Open",Lookups!$B$2-B756,X756)</x:f>
        <x:v>86</x:v>
      </x:c>
      <x:c r="Z756" t="str">
        <x:f>IF(AND(U756="Open",Y756&gt;30),"STALE","OK")</x:f>
        <x:v>OK</x:v>
      </x:c>
      <x:c r="AA756" t="str">
        <x:f>TEXT(B756,"yyyy-mm")</x:f>
        <x:v>2025-05</x:v>
      </x:c>
      <x:c r="AB756" t="str">
        <x:f>IF(K756="","",TEXT(K756,"yyyy-mm"))</x:f>
        <x:v>2025-07</x:v>
      </x:c>
      <x:c r="AC756" t="str">
        <x:f>"Q"&amp;ROUNDUP(MONTH(B756)/3,0)&amp;"-"&amp;YEAR(B756)</x:f>
        <x:v>Q2-2025</x:v>
      </x:c>
      <x:c r="AD756" s="26" t="n">
        <x:f>MIN(100,IF(H756="Enterprise",30,IF(H756="Mid-Market",22,14))+IF(T756="Enterprise",25,IF(T756="Mid-Market",18,10))+IF(Q756="Referral",25,IF(Q756="Organic Search",20,IF(Q756="Email",18,14)))+IF(G756="Technology",10,5))</x:f>
        <x:v>48</x:v>
      </x:c>
      <x:c r="AE756" t="str">
        <x:f>IF(U756&lt;&gt;"Open",U756,IF(N756&gt;=0.8,"Commit",IF(N756&gt;=0.5,"Best Case","Pipeline")))</x:f>
        <x:v>Lost</x:v>
      </x:c>
    </x:row>
    <x:row r="757">
      <x:c r="A757" t="str">
        <x:v>L00756</x:v>
      </x:c>
      <x:c r="B757" s="10" t="n">
        <x:v>46256</x:v>
      </x:c>
      <x:c r="C757" t="str">
        <x:v>Tuan Bui</x:v>
      </x:c>
      <x:c r="D757" t="str">
        <x:v>Central</x:v>
      </x:c>
      <x:c r="E757" t="str">
        <x:v>virtual event</x:v>
      </x:c>
      <x:c r="F757" t="str">
        <x:v>CRM-CORE</x:v>
      </x:c>
      <x:c r="G757" t="str">
        <x:v>Retail</x:v>
      </x:c>
      <x:c r="H757" t="str">
        <x:v>Mid-Market</x:v>
      </x:c>
      <x:c r="I757" t="str">
        <x:v>Qualified</x:v>
      </x:c>
      <x:c r="J757" s="10" t="n">
        <x:v>46262</x:v>
      </x:c>
      <x:c r="K757" s="10"/>
      <x:c r="L757" s="22" t="n">
        <x:v>13900</x:v>
      </x:c>
      <x:c r="M757" s="24" t="n">
        <x:v>0</x:v>
      </x:c>
      <x:c r="N757" s="24" t="n">
        <x:v>0.2</x:v>
      </x:c>
      <x:c r="O757" t="str"/>
      <x:c r="P757" t="n">
        <x:v>2</x:v>
      </x:c>
      <x:c r="Q757" t="str">
        <x:f>IFERROR(XLOOKUP(E757,Lookups!$A$5:$A$24,Lookups!$B$5:$B$24),"Other")</x:f>
        <x:v>Webinar</x:v>
      </x:c>
      <x:c r="R757" t="str">
        <x:f>IFERROR(XLOOKUP(F757,Lookups!$D$5:$D$10,Lookups!$E$5:$E$10),"Unknown Product")</x:f>
        <x:v>NexaCRM Core</x:v>
      </x:c>
      <x:c r="S757" t="str">
        <x:f>IFERROR(XLOOKUP(F757,Lookups!$D$5:$D$10,Lookups!$F$5:$F$10),"Unknown")</x:f>
        <x:v>CRM</x:v>
      </x:c>
      <x:c r="T757" t="str">
        <x:f>IF(L757&gt;=50000,"Enterprise",IF(L757&gt;=20000,"Mid-Market","SMB"))</x:f>
        <x:v>SMB</x:v>
      </x:c>
      <x:c r="U757" t="str">
        <x:f>IF(I757="Closed Won","Won",IF(I757="Closed Lost","Lost","Open"))</x:f>
        <x:v>Open</x:v>
      </x:c>
      <x:c r="V757" s="22" t="n">
        <x:f>IF(U757="Won",L757*(1-M757),0)</x:f>
        <x:v>0</x:v>
      </x:c>
      <x:c r="W757" s="22" t="n">
        <x:f>IF(U757="Open",L757*N757,0)</x:f>
        <x:v>2780</x:v>
      </x:c>
      <x:c r="X757" s="26" t="str">
        <x:f>IF(U757="Open","",IFERROR(K757-B757,""))</x:f>
      </x:c>
      <x:c r="Y757" s="26" t="n">
        <x:f>IF(U757="Open",Lookups!$B$2-B757,X757)</x:f>
        <x:v>10</x:v>
      </x:c>
      <x:c r="Z757" t="str">
        <x:f>IF(AND(U757="Open",Y757&gt;30),"STALE","OK")</x:f>
        <x:v>OK</x:v>
      </x:c>
      <x:c r="AA757" t="str">
        <x:f>TEXT(B757,"yyyy-mm")</x:f>
        <x:v>2026-08</x:v>
      </x:c>
      <x:c r="AB757" t="str">
        <x:f>IF(K757="","",TEXT(K757,"yyyy-mm"))</x:f>
      </x:c>
      <x:c r="AC757" t="str">
        <x:f>"Q"&amp;ROUNDUP(MONTH(B757)/3,0)&amp;"-"&amp;YEAR(B757)</x:f>
        <x:v>Q3-2026</x:v>
      </x:c>
      <x:c r="AD757" s="26" t="n">
        <x:f>MIN(100,IF(H757="Enterprise",30,IF(H757="Mid-Market",22,14))+IF(T757="Enterprise",25,IF(T757="Mid-Market",18,10))+IF(Q757="Referral",25,IF(Q757="Organic Search",20,IF(Q757="Email",18,14)))+IF(G757="Technology",10,5))</x:f>
        <x:v>51</x:v>
      </x:c>
      <x:c r="AE757" t="str">
        <x:f>IF(U757&lt;&gt;"Open",U757,IF(N757&gt;=0.8,"Commit",IF(N757&gt;=0.5,"Best Case","Pipeline")))</x:f>
        <x:v>Pipeline</x:v>
      </x:c>
    </x:row>
    <x:row r="758">
      <x:c r="A758" t="str">
        <x:v>L00757</x:v>
      </x:c>
      <x:c r="B758" s="10" t="n">
        <x:v>45849</x:v>
      </x:c>
      <x:c r="C758" t="str">
        <x:v>Duy Pham</x:v>
      </x:c>
      <x:c r="D758" t="str">
        <x:v>South</x:v>
      </x:c>
      <x:c r="E758" t="str">
        <x:v>organic search</x:v>
      </x:c>
      <x:c r="F758" t="str">
        <x:v>REV-OPS</x:v>
      </x:c>
      <x:c r="G758" t="str">
        <x:v>Manufacturing</x:v>
      </x:c>
      <x:c r="H758" t="str">
        <x:v>Mid-Market</x:v>
      </x:c>
      <x:c r="I758" t="str">
        <x:v>Closed Lost</x:v>
      </x:c>
      <x:c r="J758" s="10" t="n">
        <x:v>45911</x:v>
      </x:c>
      <x:c r="K758" s="10" t="n">
        <x:v>45911</x:v>
      </x:c>
      <x:c r="L758" s="22" t="n">
        <x:v>67200</x:v>
      </x:c>
      <x:c r="M758" s="24" t="n">
        <x:v>0</x:v>
      </x:c>
      <x:c r="N758" s="24" t="n">
        <x:v>0</x:v>
      </x:c>
      <x:c r="O758" t="str">
        <x:v>Budget</x:v>
      </x:c>
      <x:c r="P758" t="n">
        <x:v>5</x:v>
      </x:c>
      <x:c r="Q758" t="str">
        <x:f>IFERROR(XLOOKUP(E758,Lookups!$A$5:$A$24,Lookups!$B$5:$B$24),"Other")</x:f>
        <x:v>Organic Search</x:v>
      </x:c>
      <x:c r="R758" t="str">
        <x:f>IFERROR(XLOOKUP(F758,Lookups!$D$5:$D$10,Lookups!$E$5:$E$10),"Unknown Product")</x:f>
        <x:v>Revenue Operations Suite</x:v>
      </x:c>
      <x:c r="S758" t="str">
        <x:f>IFERROR(XLOOKUP(F758,Lookups!$D$5:$D$10,Lookups!$F$5:$F$10),"Unknown")</x:f>
        <x:v>Revenue Ops</x:v>
      </x:c>
      <x:c r="T758" t="str">
        <x:f>IF(L758&gt;=50000,"Enterprise",IF(L758&gt;=20000,"Mid-Market","SMB"))</x:f>
        <x:v>Enterprise</x:v>
      </x:c>
      <x:c r="U758" t="str">
        <x:f>IF(I758="Closed Won","Won",IF(I758="Closed Lost","Lost","Open"))</x:f>
        <x:v>Lost</x:v>
      </x:c>
      <x:c r="V758" s="22" t="n">
        <x:f>IF(U758="Won",L758*(1-M758),0)</x:f>
        <x:v>0</x:v>
      </x:c>
      <x:c r="W758" s="22" t="n">
        <x:f>IF(U758="Open",L758*N758,0)</x:f>
        <x:v>0</x:v>
      </x:c>
      <x:c r="X758" s="26" t="n">
        <x:f>IF(U758="Open","",IFERROR(K758-B758,""))</x:f>
        <x:v>62</x:v>
      </x:c>
      <x:c r="Y758" s="26" t="n">
        <x:f>IF(U758="Open",Lookups!$B$2-B758,X758)</x:f>
        <x:v>62</x:v>
      </x:c>
      <x:c r="Z758" t="str">
        <x:f>IF(AND(U758="Open",Y758&gt;30),"STALE","OK")</x:f>
        <x:v>OK</x:v>
      </x:c>
      <x:c r="AA758" t="str">
        <x:f>TEXT(B758,"yyyy-mm")</x:f>
        <x:v>2025-07</x:v>
      </x:c>
      <x:c r="AB758" t="str">
        <x:f>IF(K758="","",TEXT(K758,"yyyy-mm"))</x:f>
        <x:v>2025-09</x:v>
      </x:c>
      <x:c r="AC758" t="str">
        <x:f>"Q"&amp;ROUNDUP(MONTH(B758)/3,0)&amp;"-"&amp;YEAR(B758)</x:f>
        <x:v>Q3-2025</x:v>
      </x:c>
      <x:c r="AD758" s="26" t="n">
        <x:f>MIN(100,IF(H758="Enterprise",30,IF(H758="Mid-Market",22,14))+IF(T758="Enterprise",25,IF(T758="Mid-Market",18,10))+IF(Q758="Referral",25,IF(Q758="Organic Search",20,IF(Q758="Email",18,14)))+IF(G758="Technology",10,5))</x:f>
        <x:v>72</x:v>
      </x:c>
      <x:c r="AE758" t="str">
        <x:f>IF(U758&lt;&gt;"Open",U758,IF(N758&gt;=0.8,"Commit",IF(N758&gt;=0.5,"Best Case","Pipeline")))</x:f>
        <x:v>Lost</x:v>
      </x:c>
    </x:row>
    <x:row r="759">
      <x:c r="A759" t="str">
        <x:v>L00758</x:v>
      </x:c>
      <x:c r="B759" s="10" t="n">
        <x:v>46065</x:v>
      </x:c>
      <x:c r="C759" t="str">
        <x:v>Tuan Bui</x:v>
      </x:c>
      <x:c r="D759" t="str">
        <x:v>Central</x:v>
      </x:c>
      <x:c r="E759" t="str">
        <x:v>SEO</x:v>
      </x:c>
      <x:c r="F759" t="str">
        <x:v>REV-OPS</x:v>
      </x:c>
      <x:c r="G759" t="str">
        <x:v>Retail</x:v>
      </x:c>
      <x:c r="H759" t="str">
        <x:v>Enterprise</x:v>
      </x:c>
      <x:c r="I759" t="str">
        <x:v>Closed Lost</x:v>
      </x:c>
      <x:c r="J759" s="10" t="n">
        <x:v>46100</x:v>
      </x:c>
      <x:c r="K759" s="10" t="n">
        <x:v>46100</x:v>
      </x:c>
      <x:c r="L759" s="22" t="n">
        <x:v>119400</x:v>
      </x:c>
      <x:c r="M759" s="24" t="n">
        <x:v>0</x:v>
      </x:c>
      <x:c r="N759" s="24" t="n">
        <x:v>0</x:v>
      </x:c>
      <x:c r="O759" t="str">
        <x:v>Feature Gap</x:v>
      </x:c>
      <x:c r="P759" t="n">
        <x:v>5</x:v>
      </x:c>
      <x:c r="Q759" t="str">
        <x:f>IFERROR(XLOOKUP(E759,Lookups!$A$5:$A$24,Lookups!$B$5:$B$24),"Other")</x:f>
        <x:v>Organic Search</x:v>
      </x:c>
      <x:c r="R759" t="str">
        <x:f>IFERROR(XLOOKUP(F759,Lookups!$D$5:$D$10,Lookups!$E$5:$E$10),"Unknown Product")</x:f>
        <x:v>Revenue Operations Suite</x:v>
      </x:c>
      <x:c r="S759" t="str">
        <x:f>IFERROR(XLOOKUP(F759,Lookups!$D$5:$D$10,Lookups!$F$5:$F$10),"Unknown")</x:f>
        <x:v>Revenue Ops</x:v>
      </x:c>
      <x:c r="T759" t="str">
        <x:f>IF(L759&gt;=50000,"Enterprise",IF(L759&gt;=20000,"Mid-Market","SMB"))</x:f>
        <x:v>Enterprise</x:v>
      </x:c>
      <x:c r="U759" t="str">
        <x:f>IF(I759="Closed Won","Won",IF(I759="Closed Lost","Lost","Open"))</x:f>
        <x:v>Lost</x:v>
      </x:c>
      <x:c r="V759" s="22" t="n">
        <x:f>IF(U759="Won",L759*(1-M759),0)</x:f>
        <x:v>0</x:v>
      </x:c>
      <x:c r="W759" s="22" t="n">
        <x:f>IF(U759="Open",L759*N759,0)</x:f>
        <x:v>0</x:v>
      </x:c>
      <x:c r="X759" s="26" t="n">
        <x:f>IF(U759="Open","",IFERROR(K759-B759,""))</x:f>
        <x:v>35</x:v>
      </x:c>
      <x:c r="Y759" s="26" t="n">
        <x:f>IF(U759="Open",Lookups!$B$2-B759,X759)</x:f>
        <x:v>35</x:v>
      </x:c>
      <x:c r="Z759" t="str">
        <x:f>IF(AND(U759="Open",Y759&gt;30),"STALE","OK")</x:f>
        <x:v>OK</x:v>
      </x:c>
      <x:c r="AA759" t="str">
        <x:f>TEXT(B759,"yyyy-mm")</x:f>
        <x:v>2026-02</x:v>
      </x:c>
      <x:c r="AB759" t="str">
        <x:f>IF(K759="","",TEXT(K759,"yyyy-mm"))</x:f>
        <x:v>2026-03</x:v>
      </x:c>
      <x:c r="AC759" t="str">
        <x:f>"Q"&amp;ROUNDUP(MONTH(B759)/3,0)&amp;"-"&amp;YEAR(B759)</x:f>
        <x:v>Q1-2026</x:v>
      </x:c>
      <x:c r="AD759" s="26" t="n">
        <x:f>MIN(100,IF(H759="Enterprise",30,IF(H759="Mid-Market",22,14))+IF(T759="Enterprise",25,IF(T759="Mid-Market",18,10))+IF(Q759="Referral",25,IF(Q759="Organic Search",20,IF(Q759="Email",18,14)))+IF(G759="Technology",10,5))</x:f>
        <x:v>80</x:v>
      </x:c>
      <x:c r="AE759" t="str">
        <x:f>IF(U759&lt;&gt;"Open",U759,IF(N759&gt;=0.8,"Commit",IF(N759&gt;=0.5,"Best Case","Pipeline")))</x:f>
        <x:v>Lost</x:v>
      </x:c>
    </x:row>
    <x:row r="760">
      <x:c r="A760" t="str">
        <x:v>L00759</x:v>
      </x:c>
      <x:c r="B760" s="10" t="n">
        <x:v>46194</x:v>
      </x:c>
      <x:c r="C760" t="str">
        <x:v>Duy Pham</x:v>
      </x:c>
      <x:c r="D760" t="str">
        <x:v>South</x:v>
      </x:c>
      <x:c r="E760" t="str">
        <x:v>SEM - Google</x:v>
      </x:c>
      <x:c r="F760" t="str">
        <x:v>CS-CLOUD</x:v>
      </x:c>
      <x:c r="G760" t="str">
        <x:v>Manufacturing</x:v>
      </x:c>
      <x:c r="H760" t="str">
        <x:v>SMB</x:v>
      </x:c>
      <x:c r="I760" t="str">
        <x:v>Closed Lost</x:v>
      </x:c>
      <x:c r="J760" s="10" t="n">
        <x:v>46266</x:v>
      </x:c>
      <x:c r="K760" s="10" t="n">
        <x:v>46266</x:v>
      </x:c>
      <x:c r="L760" s="22" t="n">
        <x:v>15600</x:v>
      </x:c>
      <x:c r="M760" s="24" t="n">
        <x:v>0</x:v>
      </x:c>
      <x:c r="N760" s="24" t="n">
        <x:v>0</x:v>
      </x:c>
      <x:c r="O760" t="str">
        <x:v>Price</x:v>
      </x:c>
      <x:c r="P760" t="n">
        <x:v>2</x:v>
      </x:c>
      <x:c r="Q760" t="str">
        <x:f>IFERROR(XLOOKUP(E760,Lookups!$A$5:$A$24,Lookups!$B$5:$B$24),"Other")</x:f>
        <x:v>Paid Search</x:v>
      </x:c>
      <x:c r="R760" t="str">
        <x:f>IFERROR(XLOOKUP(F760,Lookups!$D$5:$D$10,Lookups!$E$5:$E$10),"Unknown Product")</x:f>
        <x:v>Service Cloud</x:v>
      </x:c>
      <x:c r="S760" t="str">
        <x:f>IFERROR(XLOOKUP(F760,Lookups!$D$5:$D$10,Lookups!$F$5:$F$10),"Unknown")</x:f>
        <x:v>Customer Service</x:v>
      </x:c>
      <x:c r="T760" t="str">
        <x:f>IF(L760&gt;=50000,"Enterprise",IF(L760&gt;=20000,"Mid-Market","SMB"))</x:f>
        <x:v>SMB</x:v>
      </x:c>
      <x:c r="U760" t="str">
        <x:f>IF(I760="Closed Won","Won",IF(I760="Closed Lost","Lost","Open"))</x:f>
        <x:v>Lost</x:v>
      </x:c>
      <x:c r="V760" s="22" t="n">
        <x:f>IF(U760="Won",L760*(1-M760),0)</x:f>
        <x:v>0</x:v>
      </x:c>
      <x:c r="W760" s="22" t="n">
        <x:f>IF(U760="Open",L760*N760,0)</x:f>
        <x:v>0</x:v>
      </x:c>
      <x:c r="X760" s="26" t="n">
        <x:f>IF(U760="Open","",IFERROR(K760-B760,""))</x:f>
        <x:v>72</x:v>
      </x:c>
      <x:c r="Y760" s="26" t="n">
        <x:f>IF(U760="Open",Lookups!$B$2-B760,X760)</x:f>
        <x:v>72</x:v>
      </x:c>
      <x:c r="Z760" t="str">
        <x:f>IF(AND(U760="Open",Y760&gt;30),"STALE","OK")</x:f>
        <x:v>OK</x:v>
      </x:c>
      <x:c r="AA760" t="str">
        <x:f>TEXT(B760,"yyyy-mm")</x:f>
        <x:v>2026-06</x:v>
      </x:c>
      <x:c r="AB760" t="str">
        <x:f>IF(K760="","",TEXT(K760,"yyyy-mm"))</x:f>
        <x:v>2026-09</x:v>
      </x:c>
      <x:c r="AC760" t="str">
        <x:f>"Q"&amp;ROUNDUP(MONTH(B760)/3,0)&amp;"-"&amp;YEAR(B760)</x:f>
        <x:v>Q2-2026</x:v>
      </x:c>
      <x:c r="AD760" s="26" t="n">
        <x:f>MIN(100,IF(H760="Enterprise",30,IF(H760="Mid-Market",22,14))+IF(T760="Enterprise",25,IF(T760="Mid-Market",18,10))+IF(Q760="Referral",25,IF(Q760="Organic Search",20,IF(Q760="Email",18,14)))+IF(G760="Technology",10,5))</x:f>
        <x:v>43</x:v>
      </x:c>
      <x:c r="AE760" t="str">
        <x:f>IF(U760&lt;&gt;"Open",U760,IF(N760&gt;=0.8,"Commit",IF(N760&gt;=0.5,"Best Case","Pipeline")))</x:f>
        <x:v>Lost</x:v>
      </x:c>
    </x:row>
    <x:row r="761">
      <x:c r="A761" t="str">
        <x:v>L00760</x:v>
      </x:c>
      <x:c r="B761" s="10" t="n">
        <x:v>46018</x:v>
      </x:c>
      <x:c r="C761" t="str">
        <x:v>Duy Pham</x:v>
      </x:c>
      <x:c r="D761" t="str">
        <x:v>South</x:v>
      </x:c>
      <x:c r="E761" t="str">
        <x:v>LI Ads</x:v>
      </x:c>
      <x:c r="F761" t="str">
        <x:v>CRM-PRO</x:v>
      </x:c>
      <x:c r="G761" t="str">
        <x:v>Education</x:v>
      </x:c>
      <x:c r="H761" t="str">
        <x:v>SMB</x:v>
      </x:c>
      <x:c r="I761" t="str">
        <x:v>Closed Lost</x:v>
      </x:c>
      <x:c r="J761" s="10" t="n">
        <x:v>46055</x:v>
      </x:c>
      <x:c r="K761" s="10" t="n">
        <x:v>46055</x:v>
      </x:c>
      <x:c r="L761" s="22" t="n">
        <x:v>18400</x:v>
      </x:c>
      <x:c r="M761" s="24" t="n">
        <x:v>0</x:v>
      </x:c>
      <x:c r="N761" s="24" t="n">
        <x:v>0</x:v>
      </x:c>
      <x:c r="O761" t="str">
        <x:v>No Decision</x:v>
      </x:c>
      <x:c r="P761" t="n">
        <x:v>3</x:v>
      </x:c>
      <x:c r="Q761" t="str">
        <x:f>IFERROR(XLOOKUP(E761,Lookups!$A$5:$A$24,Lookups!$B$5:$B$24),"Other")</x:f>
        <x:v>LinkedIn</x:v>
      </x:c>
      <x:c r="R761" t="str">
        <x:f>IFERROR(XLOOKUP(F761,Lookups!$D$5:$D$10,Lookups!$E$5:$E$10),"Unknown Product")</x:f>
        <x:v>NexaCRM Pro</x:v>
      </x:c>
      <x:c r="S761" t="str">
        <x:f>IFERROR(XLOOKUP(F761,Lookups!$D$5:$D$10,Lookups!$F$5:$F$10),"Unknown")</x:f>
        <x:v>CRM</x:v>
      </x:c>
      <x:c r="T761" t="str">
        <x:f>IF(L761&gt;=50000,"Enterprise",IF(L761&gt;=20000,"Mid-Market","SMB"))</x:f>
        <x:v>SMB</x:v>
      </x:c>
      <x:c r="U761" t="str">
        <x:f>IF(I761="Closed Won","Won",IF(I761="Closed Lost","Lost","Open"))</x:f>
        <x:v>Lost</x:v>
      </x:c>
      <x:c r="V761" s="22" t="n">
        <x:f>IF(U761="Won",L761*(1-M761),0)</x:f>
        <x:v>0</x:v>
      </x:c>
      <x:c r="W761" s="22" t="n">
        <x:f>IF(U761="Open",L761*N761,0)</x:f>
        <x:v>0</x:v>
      </x:c>
      <x:c r="X761" s="26" t="n">
        <x:f>IF(U761="Open","",IFERROR(K761-B761,""))</x:f>
        <x:v>37</x:v>
      </x:c>
      <x:c r="Y761" s="26" t="n">
        <x:f>IF(U761="Open",Lookups!$B$2-B761,X761)</x:f>
        <x:v>37</x:v>
      </x:c>
      <x:c r="Z761" t="str">
        <x:f>IF(AND(U761="Open",Y761&gt;30),"STALE","OK")</x:f>
        <x:v>OK</x:v>
      </x:c>
      <x:c r="AA761" t="str">
        <x:f>TEXT(B761,"yyyy-mm")</x:f>
        <x:v>2025-12</x:v>
      </x:c>
      <x:c r="AB761" t="str">
        <x:f>IF(K761="","",TEXT(K761,"yyyy-mm"))</x:f>
        <x:v>2026-02</x:v>
      </x:c>
      <x:c r="AC761" t="str">
        <x:f>"Q"&amp;ROUNDUP(MONTH(B761)/3,0)&amp;"-"&amp;YEAR(B761)</x:f>
        <x:v>Q4-2025</x:v>
      </x:c>
      <x:c r="AD761" s="26" t="n">
        <x:f>MIN(100,IF(H761="Enterprise",30,IF(H761="Mid-Market",22,14))+IF(T761="Enterprise",25,IF(T761="Mid-Market",18,10))+IF(Q761="Referral",25,IF(Q761="Organic Search",20,IF(Q761="Email",18,14)))+IF(G761="Technology",10,5))</x:f>
        <x:v>43</x:v>
      </x:c>
      <x:c r="AE761" t="str">
        <x:f>IF(U761&lt;&gt;"Open",U761,IF(N761&gt;=0.8,"Commit",IF(N761&gt;=0.5,"Best Case","Pipeline")))</x:f>
        <x:v>Lost</x:v>
      </x:c>
    </x:row>
    <x:row r="762">
      <x:c r="A762" t="str">
        <x:v>L00761</x:v>
      </x:c>
      <x:c r="B762" s="10" t="n">
        <x:v>46007</x:v>
      </x:c>
      <x:c r="C762" t="str">
        <x:v>Bao Tran</x:v>
      </x:c>
      <x:c r="D762" t="str">
        <x:v>South</x:v>
      </x:c>
      <x:c r="E762" t="str">
        <x:v>Cold Email</x:v>
      </x:c>
      <x:c r="F762" t="str">
        <x:v>REV-OPS</x:v>
      </x:c>
      <x:c r="G762" t="str">
        <x:v>Technology</x:v>
      </x:c>
      <x:c r="H762" t="str">
        <x:v>Mid-Market</x:v>
      </x:c>
      <x:c r="I762" t="str">
        <x:v>Negotiation</x:v>
      </x:c>
      <x:c r="J762" s="10" t="n">
        <x:v>46164</x:v>
      </x:c>
      <x:c r="K762" s="10"/>
      <x:c r="L762" s="22" t="n">
        <x:v>70300</x:v>
      </x:c>
      <x:c r="M762" s="24" t="n">
        <x:v>0.05</x:v>
      </x:c>
      <x:c r="N762" s="24" t="n">
        <x:v>0.85</x:v>
      </x:c>
      <x:c r="O762" t="str"/>
      <x:c r="P762" t="n">
        <x:v>5</x:v>
      </x:c>
      <x:c r="Q762" t="str">
        <x:f>IFERROR(XLOOKUP(E762,Lookups!$A$5:$A$24,Lookups!$B$5:$B$24),"Other")</x:f>
        <x:v>Outbound</x:v>
      </x:c>
      <x:c r="R762" t="str">
        <x:f>IFERROR(XLOOKUP(F762,Lookups!$D$5:$D$10,Lookups!$E$5:$E$10),"Unknown Product")</x:f>
        <x:v>Revenue Operations Suite</x:v>
      </x:c>
      <x:c r="S762" t="str">
        <x:f>IFERROR(XLOOKUP(F762,Lookups!$D$5:$D$10,Lookups!$F$5:$F$10),"Unknown")</x:f>
        <x:v>Revenue Ops</x:v>
      </x:c>
      <x:c r="T762" t="str">
        <x:f>IF(L762&gt;=50000,"Enterprise",IF(L762&gt;=20000,"Mid-Market","SMB"))</x:f>
        <x:v>Enterprise</x:v>
      </x:c>
      <x:c r="U762" t="str">
        <x:f>IF(I762="Closed Won","Won",IF(I762="Closed Lost","Lost","Open"))</x:f>
        <x:v>Open</x:v>
      </x:c>
      <x:c r="V762" s="22" t="n">
        <x:f>IF(U762="Won",L762*(1-M762),0)</x:f>
        <x:v>0</x:v>
      </x:c>
      <x:c r="W762" s="22" t="n">
        <x:f>IF(U762="Open",L762*N762,0)</x:f>
        <x:v>59755</x:v>
      </x:c>
      <x:c r="X762" s="26" t="str">
        <x:f>IF(U762="Open","",IFERROR(K762-B762,""))</x:f>
      </x:c>
      <x:c r="Y762" s="26" t="n">
        <x:f>IF(U762="Open",Lookups!$B$2-B762,X762)</x:f>
        <x:v>259</x:v>
      </x:c>
      <x:c r="Z762" t="str">
        <x:f>IF(AND(U762="Open",Y762&gt;30),"STALE","OK")</x:f>
        <x:v>STALE</x:v>
      </x:c>
      <x:c r="AA762" t="str">
        <x:f>TEXT(B762,"yyyy-mm")</x:f>
        <x:v>2025-12</x:v>
      </x:c>
      <x:c r="AB762" t="str">
        <x:f>IF(K762="","",TEXT(K762,"yyyy-mm"))</x:f>
      </x:c>
      <x:c r="AC762" t="str">
        <x:f>"Q"&amp;ROUNDUP(MONTH(B762)/3,0)&amp;"-"&amp;YEAR(B762)</x:f>
        <x:v>Q4-2025</x:v>
      </x:c>
      <x:c r="AD762" s="26" t="n">
        <x:f>MIN(100,IF(H762="Enterprise",30,IF(H762="Mid-Market",22,14))+IF(T762="Enterprise",25,IF(T762="Mid-Market",18,10))+IF(Q762="Referral",25,IF(Q762="Organic Search",20,IF(Q762="Email",18,14)))+IF(G762="Technology",10,5))</x:f>
        <x:v>71</x:v>
      </x:c>
      <x:c r="AE762" t="str">
        <x:f>IF(U762&lt;&gt;"Open",U762,IF(N762&gt;=0.8,"Commit",IF(N762&gt;=0.5,"Best Case","Pipeline")))</x:f>
        <x:v>Commit</x:v>
      </x:c>
    </x:row>
    <x:row r="763">
      <x:c r="A763" t="str">
        <x:v>L00762</x:v>
      </x:c>
      <x:c r="B763" s="10" t="n">
        <x:v>46215</x:v>
      </x:c>
      <x:c r="C763" t="str">
        <x:v>Bao Tran</x:v>
      </x:c>
      <x:c r="D763" t="str">
        <x:v>South</x:v>
      </x:c>
      <x:c r="E763" t="str">
        <x:v>Email Campaign</x:v>
      </x:c>
      <x:c r="F763" t="str">
        <x:v>CS-CLOUD</x:v>
      </x:c>
      <x:c r="G763" t="str">
        <x:v>Financial Services</x:v>
      </x:c>
      <x:c r="H763" t="str">
        <x:v>Enterprise</x:v>
      </x:c>
      <x:c r="I763" t="str">
        <x:v>Demo / Meeting</x:v>
      </x:c>
      <x:c r="J763" s="10" t="n">
        <x:v>46246</x:v>
      </x:c>
      <x:c r="K763" s="10"/>
      <x:c r="L763" s="22" t="n">
        <x:v>86100</x:v>
      </x:c>
      <x:c r="M763" s="24" t="n">
        <x:v>0</x:v>
      </x:c>
      <x:c r="N763" s="24" t="n">
        <x:v>0.4</x:v>
      </x:c>
      <x:c r="O763" t="str"/>
      <x:c r="P763" t="n">
        <x:v>3</x:v>
      </x:c>
      <x:c r="Q763" t="str">
        <x:f>IFERROR(XLOOKUP(E763,Lookups!$A$5:$A$24,Lookups!$B$5:$B$24),"Other")</x:f>
        <x:v>Email</x:v>
      </x:c>
      <x:c r="R763" t="str">
        <x:f>IFERROR(XLOOKUP(F763,Lookups!$D$5:$D$10,Lookups!$E$5:$E$10),"Unknown Product")</x:f>
        <x:v>Service Cloud</x:v>
      </x:c>
      <x:c r="S763" t="str">
        <x:f>IFERROR(XLOOKUP(F763,Lookups!$D$5:$D$10,Lookups!$F$5:$F$10),"Unknown")</x:f>
        <x:v>Customer Service</x:v>
      </x:c>
      <x:c r="T763" t="str">
        <x:f>IF(L763&gt;=50000,"Enterprise",IF(L763&gt;=20000,"Mid-Market","SMB"))</x:f>
        <x:v>Enterprise</x:v>
      </x:c>
      <x:c r="U763" t="str">
        <x:f>IF(I763="Closed Won","Won",IF(I763="Closed Lost","Lost","Open"))</x:f>
        <x:v>Open</x:v>
      </x:c>
      <x:c r="V763" s="22" t="n">
        <x:f>IF(U763="Won",L763*(1-M763),0)</x:f>
        <x:v>0</x:v>
      </x:c>
      <x:c r="W763" s="22" t="n">
        <x:f>IF(U763="Open",L763*N763,0)</x:f>
        <x:v>34440</x:v>
      </x:c>
      <x:c r="X763" s="26" t="str">
        <x:f>IF(U763="Open","",IFERROR(K763-B763,""))</x:f>
      </x:c>
      <x:c r="Y763" s="26" t="n">
        <x:f>IF(U763="Open",Lookups!$B$2-B763,X763)</x:f>
        <x:v>51</x:v>
      </x:c>
      <x:c r="Z763" t="str">
        <x:f>IF(AND(U763="Open",Y763&gt;30),"STALE","OK")</x:f>
        <x:v>STALE</x:v>
      </x:c>
      <x:c r="AA763" t="str">
        <x:f>TEXT(B763,"yyyy-mm")</x:f>
        <x:v>2026-07</x:v>
      </x:c>
      <x:c r="AB763" t="str">
        <x:f>IF(K763="","",TEXT(K763,"yyyy-mm"))</x:f>
      </x:c>
      <x:c r="AC763" t="str">
        <x:f>"Q"&amp;ROUNDUP(MONTH(B763)/3,0)&amp;"-"&amp;YEAR(B763)</x:f>
        <x:v>Q3-2026</x:v>
      </x:c>
      <x:c r="AD763" s="26" t="n">
        <x:f>MIN(100,IF(H763="Enterprise",30,IF(H763="Mid-Market",22,14))+IF(T763="Enterprise",25,IF(T763="Mid-Market",18,10))+IF(Q763="Referral",25,IF(Q763="Organic Search",20,IF(Q763="Email",18,14)))+IF(G763="Technology",10,5))</x:f>
        <x:v>78</x:v>
      </x:c>
      <x:c r="AE763" t="str">
        <x:f>IF(U763&lt;&gt;"Open",U763,IF(N763&gt;=0.8,"Commit",IF(N763&gt;=0.5,"Best Case","Pipeline")))</x:f>
        <x:v>Pipeline</x:v>
      </x:c>
    </x:row>
    <x:row r="764">
      <x:c r="A764" t="str">
        <x:v>L00763</x:v>
      </x:c>
      <x:c r="B764" s="10" t="n">
        <x:v>46016</x:v>
      </x:c>
      <x:c r="C764" t="str">
        <x:v>Minh Do</x:v>
      </x:c>
      <x:c r="D764" t="str">
        <x:v>North</x:v>
      </x:c>
      <x:c r="E764" t="str">
        <x:v>Partner Referral</x:v>
      </x:c>
      <x:c r="F764" t="str">
        <x:v>CS-CLOUD</x:v>
      </x:c>
      <x:c r="G764" t="str">
        <x:v>Healthcare</x:v>
      </x:c>
      <x:c r="H764" t="str">
        <x:v>SMB</x:v>
      </x:c>
      <x:c r="I764" t="str">
        <x:v>Closed Lost</x:v>
      </x:c>
      <x:c r="J764" s="10" t="n">
        <x:v>46066</x:v>
      </x:c>
      <x:c r="K764" s="10" t="n">
        <x:v>46066</x:v>
      </x:c>
      <x:c r="L764" s="22" t="n">
        <x:v>19900</x:v>
      </x:c>
      <x:c r="M764" s="24" t="n">
        <x:v>0</x:v>
      </x:c>
      <x:c r="N764" s="24" t="n">
        <x:v>0</x:v>
      </x:c>
      <x:c r="O764" t="str">
        <x:v>No Decision</x:v>
      </x:c>
      <x:c r="P764" t="n">
        <x:v>5</x:v>
      </x:c>
      <x:c r="Q764" t="str">
        <x:f>IFERROR(XLOOKUP(E764,Lookups!$A$5:$A$24,Lookups!$B$5:$B$24),"Other")</x:f>
        <x:v>Referral</x:v>
      </x:c>
      <x:c r="R764" t="str">
        <x:f>IFERROR(XLOOKUP(F764,Lookups!$D$5:$D$10,Lookups!$E$5:$E$10),"Unknown Product")</x:f>
        <x:v>Service Cloud</x:v>
      </x:c>
      <x:c r="S764" t="str">
        <x:f>IFERROR(XLOOKUP(F764,Lookups!$D$5:$D$10,Lookups!$F$5:$F$10),"Unknown")</x:f>
        <x:v>Customer Service</x:v>
      </x:c>
      <x:c r="T764" t="str">
        <x:f>IF(L764&gt;=50000,"Enterprise",IF(L764&gt;=20000,"Mid-Market","SMB"))</x:f>
        <x:v>SMB</x:v>
      </x:c>
      <x:c r="U764" t="str">
        <x:f>IF(I764="Closed Won","Won",IF(I764="Closed Lost","Lost","Open"))</x:f>
        <x:v>Lost</x:v>
      </x:c>
      <x:c r="V764" s="22" t="n">
        <x:f>IF(U764="Won",L764*(1-M764),0)</x:f>
        <x:v>0</x:v>
      </x:c>
      <x:c r="W764" s="22" t="n">
        <x:f>IF(U764="Open",L764*N764,0)</x:f>
        <x:v>0</x:v>
      </x:c>
      <x:c r="X764" s="26" t="n">
        <x:f>IF(U764="Open","",IFERROR(K764-B764,""))</x:f>
        <x:v>50</x:v>
      </x:c>
      <x:c r="Y764" s="26" t="n">
        <x:f>IF(U764="Open",Lookups!$B$2-B764,X764)</x:f>
        <x:v>50</x:v>
      </x:c>
      <x:c r="Z764" t="str">
        <x:f>IF(AND(U764="Open",Y764&gt;30),"STALE","OK")</x:f>
        <x:v>OK</x:v>
      </x:c>
      <x:c r="AA764" t="str">
        <x:f>TEXT(B764,"yyyy-mm")</x:f>
        <x:v>2025-12</x:v>
      </x:c>
      <x:c r="AB764" t="str">
        <x:f>IF(K764="","",TEXT(K764,"yyyy-mm"))</x:f>
        <x:v>2026-02</x:v>
      </x:c>
      <x:c r="AC764" t="str">
        <x:f>"Q"&amp;ROUNDUP(MONTH(B764)/3,0)&amp;"-"&amp;YEAR(B764)</x:f>
        <x:v>Q4-2025</x:v>
      </x:c>
      <x:c r="AD764" s="26" t="n">
        <x:f>MIN(100,IF(H764="Enterprise",30,IF(H764="Mid-Market",22,14))+IF(T764="Enterprise",25,IF(T764="Mid-Market",18,10))+IF(Q764="Referral",25,IF(Q764="Organic Search",20,IF(Q764="Email",18,14)))+IF(G764="Technology",10,5))</x:f>
        <x:v>54</x:v>
      </x:c>
      <x:c r="AE764" t="str">
        <x:f>IF(U764&lt;&gt;"Open",U764,IF(N764&gt;=0.8,"Commit",IF(N764&gt;=0.5,"Best Case","Pipeline")))</x:f>
        <x:v>Lost</x:v>
      </x:c>
    </x:row>
    <x:row r="765">
      <x:c r="A765" t="str">
        <x:v>L00764</x:v>
      </x:c>
      <x:c r="B765" s="10" t="n">
        <x:v>45879</x:v>
      </x:c>
      <x:c r="C765" t="str">
        <x:v>Ha Vo</x:v>
      </x:c>
      <x:c r="D765" t="str">
        <x:v>North</x:v>
      </x:c>
      <x:c r="E765" t="str">
        <x:v>Partner Referral</x:v>
      </x:c>
      <x:c r="F765" t="str">
        <x:v>MKT-AUTO</x:v>
      </x:c>
      <x:c r="G765" t="str">
        <x:v>Financial Services</x:v>
      </x:c>
      <x:c r="H765" t="str">
        <x:v>SMB</x:v>
      </x:c>
      <x:c r="I765" t="str">
        <x:v>Closed Lost</x:v>
      </x:c>
      <x:c r="J765" s="10" t="n">
        <x:v>45903</x:v>
      </x:c>
      <x:c r="K765" s="10" t="n">
        <x:v>45903</x:v>
      </x:c>
      <x:c r="L765" s="22" t="n">
        <x:v>15300</x:v>
      </x:c>
      <x:c r="M765" s="24" t="n">
        <x:v>0</x:v>
      </x:c>
      <x:c r="N765" s="24" t="n">
        <x:v>0</x:v>
      </x:c>
      <x:c r="O765" t="str">
        <x:v>No Decision</x:v>
      </x:c>
      <x:c r="P765" t="n">
        <x:v>5</x:v>
      </x:c>
      <x:c r="Q765" t="str">
        <x:f>IFERROR(XLOOKUP(E765,Lookups!$A$5:$A$24,Lookups!$B$5:$B$24),"Other")</x:f>
        <x:v>Referral</x:v>
      </x:c>
      <x:c r="R765" t="str">
        <x:f>IFERROR(XLOOKUP(F765,Lookups!$D$5:$D$10,Lookups!$E$5:$E$10),"Unknown Product")</x:f>
        <x:v>Marketing Automation</x:v>
      </x:c>
      <x:c r="S765" t="str">
        <x:f>IFERROR(XLOOKUP(F765,Lookups!$D$5:$D$10,Lookups!$F$5:$F$10),"Unknown")</x:f>
        <x:v>Marketing</x:v>
      </x:c>
      <x:c r="T765" t="str">
        <x:f>IF(L765&gt;=50000,"Enterprise",IF(L765&gt;=20000,"Mid-Market","SMB"))</x:f>
        <x:v>SMB</x:v>
      </x:c>
      <x:c r="U765" t="str">
        <x:f>IF(I765="Closed Won","Won",IF(I765="Closed Lost","Lost","Open"))</x:f>
        <x:v>Lost</x:v>
      </x:c>
      <x:c r="V765" s="22" t="n">
        <x:f>IF(U765="Won",L765*(1-M765),0)</x:f>
        <x:v>0</x:v>
      </x:c>
      <x:c r="W765" s="22" t="n">
        <x:f>IF(U765="Open",L765*N765,0)</x:f>
        <x:v>0</x:v>
      </x:c>
      <x:c r="X765" s="26" t="n">
        <x:f>IF(U765="Open","",IFERROR(K765-B765,""))</x:f>
        <x:v>24</x:v>
      </x:c>
      <x:c r="Y765" s="26" t="n">
        <x:f>IF(U765="Open",Lookups!$B$2-B765,X765)</x:f>
        <x:v>24</x:v>
      </x:c>
      <x:c r="Z765" t="str">
        <x:f>IF(AND(U765="Open",Y765&gt;30),"STALE","OK")</x:f>
        <x:v>OK</x:v>
      </x:c>
      <x:c r="AA765" t="str">
        <x:f>TEXT(B765,"yyyy-mm")</x:f>
        <x:v>2025-08</x:v>
      </x:c>
      <x:c r="AB765" t="str">
        <x:f>IF(K765="","",TEXT(K765,"yyyy-mm"))</x:f>
        <x:v>2025-09</x:v>
      </x:c>
      <x:c r="AC765" t="str">
        <x:f>"Q"&amp;ROUNDUP(MONTH(B765)/3,0)&amp;"-"&amp;YEAR(B765)</x:f>
        <x:v>Q3-2025</x:v>
      </x:c>
      <x:c r="AD765" s="26" t="n">
        <x:f>MIN(100,IF(H765="Enterprise",30,IF(H765="Mid-Market",22,14))+IF(T765="Enterprise",25,IF(T765="Mid-Market",18,10))+IF(Q765="Referral",25,IF(Q765="Organic Search",20,IF(Q765="Email",18,14)))+IF(G765="Technology",10,5))</x:f>
        <x:v>54</x:v>
      </x:c>
      <x:c r="AE765" t="str">
        <x:f>IF(U765&lt;&gt;"Open",U765,IF(N765&gt;=0.8,"Commit",IF(N765&gt;=0.5,"Best Case","Pipeline")))</x:f>
        <x:v>Lost</x:v>
      </x:c>
    </x:row>
    <x:row r="766">
      <x:c r="A766" t="str">
        <x:v>L00765</x:v>
      </x:c>
      <x:c r="B766" s="10" t="n">
        <x:v>45769</x:v>
      </x:c>
      <x:c r="C766" t="str">
        <x:v>Chi Le</x:v>
      </x:c>
      <x:c r="D766" t="str">
        <x:v>South</x:v>
      </x:c>
      <x:c r="E766" t="str">
        <x:v>organic search</x:v>
      </x:c>
      <x:c r="F766" t="str">
        <x:v>CS-CLOUD</x:v>
      </x:c>
      <x:c r="G766" t="str">
        <x:v>Education</x:v>
      </x:c>
      <x:c r="H766" t="str">
        <x:v>Mid-Market</x:v>
      </x:c>
      <x:c r="I766" t="str">
        <x:v>Closed Lost</x:v>
      </x:c>
      <x:c r="J766" s="10" t="n">
        <x:v>45777</x:v>
      </x:c>
      <x:c r="K766" s="10" t="n">
        <x:v>45777</x:v>
      </x:c>
      <x:c r="L766" s="22" t="n">
        <x:v>41500</x:v>
      </x:c>
      <x:c r="M766" s="24" t="n">
        <x:v>0</x:v>
      </x:c>
      <x:c r="N766" s="24" t="n">
        <x:v>0</x:v>
      </x:c>
      <x:c r="O766" t="str">
        <x:v>Price</x:v>
      </x:c>
      <x:c r="P766" t="n">
        <x:v>4</x:v>
      </x:c>
      <x:c r="Q766" t="str">
        <x:f>IFERROR(XLOOKUP(E766,Lookups!$A$5:$A$24,Lookups!$B$5:$B$24),"Other")</x:f>
        <x:v>Organic Search</x:v>
      </x:c>
      <x:c r="R766" t="str">
        <x:f>IFERROR(XLOOKUP(F766,Lookups!$D$5:$D$10,Lookups!$E$5:$E$10),"Unknown Product")</x:f>
        <x:v>Service Cloud</x:v>
      </x:c>
      <x:c r="S766" t="str">
        <x:f>IFERROR(XLOOKUP(F766,Lookups!$D$5:$D$10,Lookups!$F$5:$F$10),"Unknown")</x:f>
        <x:v>Customer Service</x:v>
      </x:c>
      <x:c r="T766" t="str">
        <x:f>IF(L766&gt;=50000,"Enterprise",IF(L766&gt;=20000,"Mid-Market","SMB"))</x:f>
        <x:v>Mid-Market</x:v>
      </x:c>
      <x:c r="U766" t="str">
        <x:f>IF(I766="Closed Won","Won",IF(I766="Closed Lost","Lost","Open"))</x:f>
        <x:v>Lost</x:v>
      </x:c>
      <x:c r="V766" s="22" t="n">
        <x:f>IF(U766="Won",L766*(1-M766),0)</x:f>
        <x:v>0</x:v>
      </x:c>
      <x:c r="W766" s="22" t="n">
        <x:f>IF(U766="Open",L766*N766,0)</x:f>
        <x:v>0</x:v>
      </x:c>
      <x:c r="X766" s="26" t="n">
        <x:f>IF(U766="Open","",IFERROR(K766-B766,""))</x:f>
        <x:v>8</x:v>
      </x:c>
      <x:c r="Y766" s="26" t="n">
        <x:f>IF(U766="Open",Lookups!$B$2-B766,X766)</x:f>
        <x:v>8</x:v>
      </x:c>
      <x:c r="Z766" t="str">
        <x:f>IF(AND(U766="Open",Y766&gt;30),"STALE","OK")</x:f>
        <x:v>OK</x:v>
      </x:c>
      <x:c r="AA766" t="str">
        <x:f>TEXT(B766,"yyyy-mm")</x:f>
        <x:v>2025-04</x:v>
      </x:c>
      <x:c r="AB766" t="str">
        <x:f>IF(K766="","",TEXT(K766,"yyyy-mm"))</x:f>
        <x:v>2025-04</x:v>
      </x:c>
      <x:c r="AC766" t="str">
        <x:f>"Q"&amp;ROUNDUP(MONTH(B766)/3,0)&amp;"-"&amp;YEAR(B766)</x:f>
        <x:v>Q2-2025</x:v>
      </x:c>
      <x:c r="AD766" s="26" t="n">
        <x:f>MIN(100,IF(H766="Enterprise",30,IF(H766="Mid-Market",22,14))+IF(T766="Enterprise",25,IF(T766="Mid-Market",18,10))+IF(Q766="Referral",25,IF(Q766="Organic Search",20,IF(Q766="Email",18,14)))+IF(G766="Technology",10,5))</x:f>
        <x:v>65</x:v>
      </x:c>
      <x:c r="AE766" t="str">
        <x:f>IF(U766&lt;&gt;"Open",U766,IF(N766&gt;=0.8,"Commit",IF(N766&gt;=0.5,"Best Case","Pipeline")))</x:f>
        <x:v>Lost</x:v>
      </x:c>
    </x:row>
    <x:row r="767">
      <x:c r="A767" t="str">
        <x:v>L00766</x:v>
      </x:c>
      <x:c r="B767" s="10" t="n">
        <x:v>45998</x:v>
      </x:c>
      <x:c r="C767" t="str">
        <x:v>Quynh Vu</x:v>
      </x:c>
      <x:c r="D767" t="str">
        <x:v>North</x:v>
      </x:c>
      <x:c r="E767" t="str">
        <x:v>Google Organic</x:v>
      </x:c>
      <x:c r="F767" t="str">
        <x:v>CRM-PRO</x:v>
      </x:c>
      <x:c r="G767" t="str">
        <x:v>Healthcare</x:v>
      </x:c>
      <x:c r="H767" t="str">
        <x:v>Enterprise</x:v>
      </x:c>
      <x:c r="I767" t="str">
        <x:v>Closed Won</x:v>
      </x:c>
      <x:c r="J767" s="10" t="n">
        <x:v>46086</x:v>
      </x:c>
      <x:c r="K767" s="10" t="n">
        <x:v>46086</x:v>
      </x:c>
      <x:c r="L767" s="22" t="n">
        <x:v>89100</x:v>
      </x:c>
      <x:c r="M767" s="24" t="n">
        <x:v>0.1</x:v>
      </x:c>
      <x:c r="N767" s="24" t="n">
        <x:v>1</x:v>
      </x:c>
      <x:c r="O767" t="str"/>
      <x:c r="P767" t="n">
        <x:v>6</x:v>
      </x:c>
      <x:c r="Q767" t="str">
        <x:f>IFERROR(XLOOKUP(E767,Lookups!$A$5:$A$24,Lookups!$B$5:$B$24),"Other")</x:f>
        <x:v>Organic Search</x:v>
      </x:c>
      <x:c r="R767" t="str">
        <x:f>IFERROR(XLOOKUP(F767,Lookups!$D$5:$D$10,Lookups!$E$5:$E$10),"Unknown Product")</x:f>
        <x:v>NexaCRM Pro</x:v>
      </x:c>
      <x:c r="S767" t="str">
        <x:f>IFERROR(XLOOKUP(F767,Lookups!$D$5:$D$10,Lookups!$F$5:$F$10),"Unknown")</x:f>
        <x:v>CRM</x:v>
      </x:c>
      <x:c r="T767" t="str">
        <x:f>IF(L767&gt;=50000,"Enterprise",IF(L767&gt;=20000,"Mid-Market","SMB"))</x:f>
        <x:v>Enterprise</x:v>
      </x:c>
      <x:c r="U767" t="str">
        <x:f>IF(I767="Closed Won","Won",IF(I767="Closed Lost","Lost","Open"))</x:f>
        <x:v>Won</x:v>
      </x:c>
      <x:c r="V767" s="22" t="n">
        <x:f>IF(U767="Won",L767*(1-M767),0)</x:f>
        <x:v>80190</x:v>
      </x:c>
      <x:c r="W767" s="22" t="n">
        <x:f>IF(U767="Open",L767*N767,0)</x:f>
        <x:v>0</x:v>
      </x:c>
      <x:c r="X767" s="26" t="n">
        <x:f>IF(U767="Open","",IFERROR(K767-B767,""))</x:f>
        <x:v>88</x:v>
      </x:c>
      <x:c r="Y767" s="26" t="n">
        <x:f>IF(U767="Open",Lookups!$B$2-B767,X767)</x:f>
        <x:v>88</x:v>
      </x:c>
      <x:c r="Z767" t="str">
        <x:f>IF(AND(U767="Open",Y767&gt;30),"STALE","OK")</x:f>
        <x:v>OK</x:v>
      </x:c>
      <x:c r="AA767" t="str">
        <x:f>TEXT(B767,"yyyy-mm")</x:f>
        <x:v>2025-12</x:v>
      </x:c>
      <x:c r="AB767" t="str">
        <x:f>IF(K767="","",TEXT(K767,"yyyy-mm"))</x:f>
        <x:v>2026-03</x:v>
      </x:c>
      <x:c r="AC767" t="str">
        <x:f>"Q"&amp;ROUNDUP(MONTH(B767)/3,0)&amp;"-"&amp;YEAR(B767)</x:f>
        <x:v>Q4-2025</x:v>
      </x:c>
      <x:c r="AD767" s="26" t="n">
        <x:f>MIN(100,IF(H767="Enterprise",30,IF(H767="Mid-Market",22,14))+IF(T767="Enterprise",25,IF(T767="Mid-Market",18,10))+IF(Q767="Referral",25,IF(Q767="Organic Search",20,IF(Q767="Email",18,14)))+IF(G767="Technology",10,5))</x:f>
        <x:v>80</x:v>
      </x:c>
      <x:c r="AE767" t="str">
        <x:f>IF(U767&lt;&gt;"Open",U767,IF(N767&gt;=0.8,"Commit",IF(N767&gt;=0.5,"Best Case","Pipeline")))</x:f>
        <x:v>Won</x:v>
      </x:c>
    </x:row>
    <x:row r="768">
      <x:c r="A768" t="str">
        <x:v>L00767</x:v>
      </x:c>
      <x:c r="B768" s="10" t="n">
        <x:v>46019</x:v>
      </x:c>
      <x:c r="C768" t="str">
        <x:v>Quynh Vu</x:v>
      </x:c>
      <x:c r="D768" t="str">
        <x:v>North</x:v>
      </x:c>
      <x:c r="E768" t="str">
        <x:v>LI Ads</x:v>
      </x:c>
      <x:c r="F768" t="str">
        <x:v>CS-CLOUD</x:v>
      </x:c>
      <x:c r="G768" t="str">
        <x:v>Technology</x:v>
      </x:c>
      <x:c r="H768" t="str">
        <x:v>Enterprise</x:v>
      </x:c>
      <x:c r="I768" t="str">
        <x:v>Closed Lost</x:v>
      </x:c>
      <x:c r="J768" s="10" t="n">
        <x:v>46085</x:v>
      </x:c>
      <x:c r="K768" s="10" t="n">
        <x:v>46085</x:v>
      </x:c>
      <x:c r="L768" s="22" t="n">
        <x:v>89600</x:v>
      </x:c>
      <x:c r="M768" s="24" t="n">
        <x:v>0</x:v>
      </x:c>
      <x:c r="N768" s="24" t="n">
        <x:v>0</x:v>
      </x:c>
      <x:c r="O768" t="str">
        <x:v>Feature Gap</x:v>
      </x:c>
      <x:c r="P768" t="n">
        <x:v>4</x:v>
      </x:c>
      <x:c r="Q768" t="str">
        <x:f>IFERROR(XLOOKUP(E768,Lookups!$A$5:$A$24,Lookups!$B$5:$B$24),"Other")</x:f>
        <x:v>LinkedIn</x:v>
      </x:c>
      <x:c r="R768" t="str">
        <x:f>IFERROR(XLOOKUP(F768,Lookups!$D$5:$D$10,Lookups!$E$5:$E$10),"Unknown Product")</x:f>
        <x:v>Service Cloud</x:v>
      </x:c>
      <x:c r="S768" t="str">
        <x:f>IFERROR(XLOOKUP(F768,Lookups!$D$5:$D$10,Lookups!$F$5:$F$10),"Unknown")</x:f>
        <x:v>Customer Service</x:v>
      </x:c>
      <x:c r="T768" t="str">
        <x:f>IF(L768&gt;=50000,"Enterprise",IF(L768&gt;=20000,"Mid-Market","SMB"))</x:f>
        <x:v>Enterprise</x:v>
      </x:c>
      <x:c r="U768" t="str">
        <x:f>IF(I768="Closed Won","Won",IF(I768="Closed Lost","Lost","Open"))</x:f>
        <x:v>Lost</x:v>
      </x:c>
      <x:c r="V768" s="22" t="n">
        <x:f>IF(U768="Won",L768*(1-M768),0)</x:f>
        <x:v>0</x:v>
      </x:c>
      <x:c r="W768" s="22" t="n">
        <x:f>IF(U768="Open",L768*N768,0)</x:f>
        <x:v>0</x:v>
      </x:c>
      <x:c r="X768" s="26" t="n">
        <x:f>IF(U768="Open","",IFERROR(K768-B768,""))</x:f>
        <x:v>66</x:v>
      </x:c>
      <x:c r="Y768" s="26" t="n">
        <x:f>IF(U768="Open",Lookups!$B$2-B768,X768)</x:f>
        <x:v>66</x:v>
      </x:c>
      <x:c r="Z768" t="str">
        <x:f>IF(AND(U768="Open",Y768&gt;30),"STALE","OK")</x:f>
        <x:v>OK</x:v>
      </x:c>
      <x:c r="AA768" t="str">
        <x:f>TEXT(B768,"yyyy-mm")</x:f>
        <x:v>2025-12</x:v>
      </x:c>
      <x:c r="AB768" t="str">
        <x:f>IF(K768="","",TEXT(K768,"yyyy-mm"))</x:f>
        <x:v>2026-03</x:v>
      </x:c>
      <x:c r="AC768" t="str">
        <x:f>"Q"&amp;ROUNDUP(MONTH(B768)/3,0)&amp;"-"&amp;YEAR(B768)</x:f>
        <x:v>Q4-2025</x:v>
      </x:c>
      <x:c r="AD768" s="26" t="n">
        <x:f>MIN(100,IF(H768="Enterprise",30,IF(H768="Mid-Market",22,14))+IF(T768="Enterprise",25,IF(T768="Mid-Market",18,10))+IF(Q768="Referral",25,IF(Q768="Organic Search",20,IF(Q768="Email",18,14)))+IF(G768="Technology",10,5))</x:f>
        <x:v>79</x:v>
      </x:c>
      <x:c r="AE768" t="str">
        <x:f>IF(U768&lt;&gt;"Open",U768,IF(N768&gt;=0.8,"Commit",IF(N768&gt;=0.5,"Best Case","Pipeline")))</x:f>
        <x:v>Lost</x:v>
      </x:c>
    </x:row>
    <x:row r="769">
      <x:c r="A769" t="str">
        <x:v>L00768</x:v>
      </x:c>
      <x:c r="B769" s="10" t="n">
        <x:v>46111</x:v>
      </x:c>
      <x:c r="C769" t="str">
        <x:v>Bao Tran</x:v>
      </x:c>
      <x:c r="D769" t="str">
        <x:v>South</x:v>
      </x:c>
      <x:c r="E769" t="str">
        <x:v>SEO</x:v>
      </x:c>
      <x:c r="F769" t="str">
        <x:v>REV-OPS</x:v>
      </x:c>
      <x:c r="G769" t="str">
        <x:v>Manufacturing</x:v>
      </x:c>
      <x:c r="H769" t="str">
        <x:v>SMB</x:v>
      </x:c>
      <x:c r="I769" t="str">
        <x:v>Proposal</x:v>
      </x:c>
      <x:c r="J769" s="10" t="n">
        <x:v>46190</x:v>
      </x:c>
      <x:c r="K769" s="10"/>
      <x:c r="L769" s="22" t="n">
        <x:v>27600</x:v>
      </x:c>
      <x:c r="M769" s="24" t="n">
        <x:v>0.05</x:v>
      </x:c>
      <x:c r="N769" s="24" t="n">
        <x:v>0.65</x:v>
      </x:c>
      <x:c r="O769" t="str"/>
      <x:c r="P769" t="n">
        <x:v>4</x:v>
      </x:c>
      <x:c r="Q769" t="str">
        <x:f>IFERROR(XLOOKUP(E769,Lookups!$A$5:$A$24,Lookups!$B$5:$B$24),"Other")</x:f>
        <x:v>Organic Search</x:v>
      </x:c>
      <x:c r="R769" t="str">
        <x:f>IFERROR(XLOOKUP(F769,Lookups!$D$5:$D$10,Lookups!$E$5:$E$10),"Unknown Product")</x:f>
        <x:v>Revenue Operations Suite</x:v>
      </x:c>
      <x:c r="S769" t="str">
        <x:f>IFERROR(XLOOKUP(F769,Lookups!$D$5:$D$10,Lookups!$F$5:$F$10),"Unknown")</x:f>
        <x:v>Revenue Ops</x:v>
      </x:c>
      <x:c r="T769" t="str">
        <x:f>IF(L769&gt;=50000,"Enterprise",IF(L769&gt;=20000,"Mid-Market","SMB"))</x:f>
        <x:v>Mid-Market</x:v>
      </x:c>
      <x:c r="U769" t="str">
        <x:f>IF(I769="Closed Won","Won",IF(I769="Closed Lost","Lost","Open"))</x:f>
        <x:v>Open</x:v>
      </x:c>
      <x:c r="V769" s="22" t="n">
        <x:f>IF(U769="Won",L769*(1-M769),0)</x:f>
        <x:v>0</x:v>
      </x:c>
      <x:c r="W769" s="22" t="n">
        <x:f>IF(U769="Open",L769*N769,0)</x:f>
        <x:v>17940</x:v>
      </x:c>
      <x:c r="X769" s="26" t="str">
        <x:f>IF(U769="Open","",IFERROR(K769-B769,""))</x:f>
      </x:c>
      <x:c r="Y769" s="26" t="n">
        <x:f>IF(U769="Open",Lookups!$B$2-B769,X769)</x:f>
        <x:v>155</x:v>
      </x:c>
      <x:c r="Z769" t="str">
        <x:f>IF(AND(U769="Open",Y769&gt;30),"STALE","OK")</x:f>
        <x:v>STALE</x:v>
      </x:c>
      <x:c r="AA769" t="str">
        <x:f>TEXT(B769,"yyyy-mm")</x:f>
        <x:v>2026-03</x:v>
      </x:c>
      <x:c r="AB769" t="str">
        <x:f>IF(K769="","",TEXT(K769,"yyyy-mm"))</x:f>
      </x:c>
      <x:c r="AC769" t="str">
        <x:f>"Q"&amp;ROUNDUP(MONTH(B769)/3,0)&amp;"-"&amp;YEAR(B769)</x:f>
        <x:v>Q1-2026</x:v>
      </x:c>
      <x:c r="AD769" s="26" t="n">
        <x:f>MIN(100,IF(H769="Enterprise",30,IF(H769="Mid-Market",22,14))+IF(T769="Enterprise",25,IF(T769="Mid-Market",18,10))+IF(Q769="Referral",25,IF(Q769="Organic Search",20,IF(Q769="Email",18,14)))+IF(G769="Technology",10,5))</x:f>
        <x:v>57</x:v>
      </x:c>
      <x:c r="AE769" t="str">
        <x:f>IF(U769&lt;&gt;"Open",U769,IF(N769&gt;=0.8,"Commit",IF(N769&gt;=0.5,"Best Case","Pipeline")))</x:f>
        <x:v>Best Case</x:v>
      </x:c>
    </x:row>
    <x:row r="770">
      <x:c r="A770" t="str">
        <x:v>L00769</x:v>
      </x:c>
      <x:c r="B770" s="10" t="n">
        <x:v>45983</x:v>
      </x:c>
      <x:c r="C770" t="str">
        <x:v>Ha Vo</x:v>
      </x:c>
      <x:c r="D770" t="str">
        <x:v>North</x:v>
      </x:c>
      <x:c r="E770" t="str">
        <x:v>Referral</x:v>
      </x:c>
      <x:c r="F770" t="str">
        <x:v>CRM-PRO</x:v>
      </x:c>
      <x:c r="G770" t="str">
        <x:v>Professional Services</x:v>
      </x:c>
      <x:c r="H770" t="str">
        <x:v>Enterprise</x:v>
      </x:c>
      <x:c r="I770" t="str">
        <x:v>Closed Lost</x:v>
      </x:c>
      <x:c r="J770" s="10" t="n">
        <x:v>45996</x:v>
      </x:c>
      <x:c r="K770" s="10" t="n">
        <x:v>45996</x:v>
      </x:c>
      <x:c r="L770" s="22" t="n">
        <x:v>71600</x:v>
      </x:c>
      <x:c r="M770" s="24" t="n">
        <x:v>0</x:v>
      </x:c>
      <x:c r="N770" s="24" t="n">
        <x:v>0</x:v>
      </x:c>
      <x:c r="O770" t="str">
        <x:v>No Decision</x:v>
      </x:c>
      <x:c r="P770" t="n">
        <x:v>5</x:v>
      </x:c>
      <x:c r="Q770" t="str">
        <x:f>IFERROR(XLOOKUP(E770,Lookups!$A$5:$A$24,Lookups!$B$5:$B$24),"Other")</x:f>
        <x:v>Referral</x:v>
      </x:c>
      <x:c r="R770" t="str">
        <x:f>IFERROR(XLOOKUP(F770,Lookups!$D$5:$D$10,Lookups!$E$5:$E$10),"Unknown Product")</x:f>
        <x:v>NexaCRM Pro</x:v>
      </x:c>
      <x:c r="S770" t="str">
        <x:f>IFERROR(XLOOKUP(F770,Lookups!$D$5:$D$10,Lookups!$F$5:$F$10),"Unknown")</x:f>
        <x:v>CRM</x:v>
      </x:c>
      <x:c r="T770" t="str">
        <x:f>IF(L770&gt;=50000,"Enterprise",IF(L770&gt;=20000,"Mid-Market","SMB"))</x:f>
        <x:v>Enterprise</x:v>
      </x:c>
      <x:c r="U770" t="str">
        <x:f>IF(I770="Closed Won","Won",IF(I770="Closed Lost","Lost","Open"))</x:f>
        <x:v>Lost</x:v>
      </x:c>
      <x:c r="V770" s="22" t="n">
        <x:f>IF(U770="Won",L770*(1-M770),0)</x:f>
        <x:v>0</x:v>
      </x:c>
      <x:c r="W770" s="22" t="n">
        <x:f>IF(U770="Open",L770*N770,0)</x:f>
        <x:v>0</x:v>
      </x:c>
      <x:c r="X770" s="26" t="n">
        <x:f>IF(U770="Open","",IFERROR(K770-B770,""))</x:f>
        <x:v>13</x:v>
      </x:c>
      <x:c r="Y770" s="26" t="n">
        <x:f>IF(U770="Open",Lookups!$B$2-B770,X770)</x:f>
        <x:v>13</x:v>
      </x:c>
      <x:c r="Z770" t="str">
        <x:f>IF(AND(U770="Open",Y770&gt;30),"STALE","OK")</x:f>
        <x:v>OK</x:v>
      </x:c>
      <x:c r="AA770" t="str">
        <x:f>TEXT(B770,"yyyy-mm")</x:f>
        <x:v>2025-11</x:v>
      </x:c>
      <x:c r="AB770" t="str">
        <x:f>IF(K770="","",TEXT(K770,"yyyy-mm"))</x:f>
        <x:v>2025-12</x:v>
      </x:c>
      <x:c r="AC770" t="str">
        <x:f>"Q"&amp;ROUNDUP(MONTH(B770)/3,0)&amp;"-"&amp;YEAR(B770)</x:f>
        <x:v>Q4-2025</x:v>
      </x:c>
      <x:c r="AD770" s="26" t="n">
        <x:f>MIN(100,IF(H770="Enterprise",30,IF(H770="Mid-Market",22,14))+IF(T770="Enterprise",25,IF(T770="Mid-Market",18,10))+IF(Q770="Referral",25,IF(Q770="Organic Search",20,IF(Q770="Email",18,14)))+IF(G770="Technology",10,5))</x:f>
        <x:v>85</x:v>
      </x:c>
      <x:c r="AE770" t="str">
        <x:f>IF(U770&lt;&gt;"Open",U770,IF(N770&gt;=0.8,"Commit",IF(N770&gt;=0.5,"Best Case","Pipeline")))</x:f>
        <x:v>Lost</x:v>
      </x:c>
    </x:row>
    <x:row r="771">
      <x:c r="A771" t="str">
        <x:v>L00770</x:v>
      </x:c>
      <x:c r="B771" s="10" t="n">
        <x:v>45805</x:v>
      </x:c>
      <x:c r="C771" t="str">
        <x:v>An Nguyen</x:v>
      </x:c>
      <x:c r="D771" t="str">
        <x:v>South</x:v>
      </x:c>
      <x:c r="E771" t="str">
        <x:v>Google Ads</x:v>
      </x:c>
      <x:c r="F771" t="str">
        <x:v>MKT-AUTO</x:v>
      </x:c>
      <x:c r="G771" t="str">
        <x:v>Manufacturing</x:v>
      </x:c>
      <x:c r="H771" t="str">
        <x:v>SMB</x:v>
      </x:c>
      <x:c r="I771" t="str">
        <x:v>Closed Lost</x:v>
      </x:c>
      <x:c r="J771" s="10" t="n">
        <x:v>45858</x:v>
      </x:c>
      <x:c r="K771" s="10" t="n">
        <x:v>45858</x:v>
      </x:c>
      <x:c r="L771" s="22" t="n">
        <x:v>20700</x:v>
      </x:c>
      <x:c r="M771" s="24" t="n">
        <x:v>0</x:v>
      </x:c>
      <x:c r="N771" s="24" t="n">
        <x:v>0</x:v>
      </x:c>
      <x:c r="O771" t="str">
        <x:v>Price</x:v>
      </x:c>
      <x:c r="P771" t="n">
        <x:v>3</x:v>
      </x:c>
      <x:c r="Q771" t="str">
        <x:f>IFERROR(XLOOKUP(E771,Lookups!$A$5:$A$24,Lookups!$B$5:$B$24),"Other")</x:f>
        <x:v>Paid Search</x:v>
      </x:c>
      <x:c r="R771" t="str">
        <x:f>IFERROR(XLOOKUP(F771,Lookups!$D$5:$D$10,Lookups!$E$5:$E$10),"Unknown Product")</x:f>
        <x:v>Marketing Automation</x:v>
      </x:c>
      <x:c r="S771" t="str">
        <x:f>IFERROR(XLOOKUP(F771,Lookups!$D$5:$D$10,Lookups!$F$5:$F$10),"Unknown")</x:f>
        <x:v>Marketing</x:v>
      </x:c>
      <x:c r="T771" t="str">
        <x:f>IF(L771&gt;=50000,"Enterprise",IF(L771&gt;=20000,"Mid-Market","SMB"))</x:f>
        <x:v>Mid-Market</x:v>
      </x:c>
      <x:c r="U771" t="str">
        <x:f>IF(I771="Closed Won","Won",IF(I771="Closed Lost","Lost","Open"))</x:f>
        <x:v>Lost</x:v>
      </x:c>
      <x:c r="V771" s="22" t="n">
        <x:f>IF(U771="Won",L771*(1-M771),0)</x:f>
        <x:v>0</x:v>
      </x:c>
      <x:c r="W771" s="22" t="n">
        <x:f>IF(U771="Open",L771*N771,0)</x:f>
        <x:v>0</x:v>
      </x:c>
      <x:c r="X771" s="26" t="n">
        <x:f>IF(U771="Open","",IFERROR(K771-B771,""))</x:f>
        <x:v>53</x:v>
      </x:c>
      <x:c r="Y771" s="26" t="n">
        <x:f>IF(U771="Open",Lookups!$B$2-B771,X771)</x:f>
        <x:v>53</x:v>
      </x:c>
      <x:c r="Z771" t="str">
        <x:f>IF(AND(U771="Open",Y771&gt;30),"STALE","OK")</x:f>
        <x:v>OK</x:v>
      </x:c>
      <x:c r="AA771" t="str">
        <x:f>TEXT(B771,"yyyy-mm")</x:f>
        <x:v>2025-05</x:v>
      </x:c>
      <x:c r="AB771" t="str">
        <x:f>IF(K771="","",TEXT(K771,"yyyy-mm"))</x:f>
        <x:v>2025-07</x:v>
      </x:c>
      <x:c r="AC771" t="str">
        <x:f>"Q"&amp;ROUNDUP(MONTH(B771)/3,0)&amp;"-"&amp;YEAR(B771)</x:f>
        <x:v>Q2-2025</x:v>
      </x:c>
      <x:c r="AD771" s="26" t="n">
        <x:f>MIN(100,IF(H771="Enterprise",30,IF(H771="Mid-Market",22,14))+IF(T771="Enterprise",25,IF(T771="Mid-Market",18,10))+IF(Q771="Referral",25,IF(Q771="Organic Search",20,IF(Q771="Email",18,14)))+IF(G771="Technology",10,5))</x:f>
        <x:v>51</x:v>
      </x:c>
      <x:c r="AE771" t="str">
        <x:f>IF(U771&lt;&gt;"Open",U771,IF(N771&gt;=0.8,"Commit",IF(N771&gt;=0.5,"Best Case","Pipeline")))</x:f>
        <x:v>Lost</x:v>
      </x:c>
    </x:row>
    <x:row r="772">
      <x:c r="A772" t="str">
        <x:v>L00771</x:v>
      </x:c>
      <x:c r="B772" s="10" t="n">
        <x:v>45684</x:v>
      </x:c>
      <x:c r="C772" t="str">
        <x:v>Bao Tran</x:v>
      </x:c>
      <x:c r="D772" t="str">
        <x:v>South</x:v>
      </x:c>
      <x:c r="E772" t="str">
        <x:v>Partner Referral</x:v>
      </x:c>
      <x:c r="F772" t="str">
        <x:v>BI-PLUS</x:v>
      </x:c>
      <x:c r="G772" t="str">
        <x:v>Financial Services</x:v>
      </x:c>
      <x:c r="H772" t="str">
        <x:v>Mid-Market</x:v>
      </x:c>
      <x:c r="I772" t="str">
        <x:v>Closed Lost</x:v>
      </x:c>
      <x:c r="J772" s="10" t="n">
        <x:v>45740</x:v>
      </x:c>
      <x:c r="K772" s="10" t="n">
        <x:v>45740</x:v>
      </x:c>
      <x:c r="L772" s="22" t="n">
        <x:v>31800</x:v>
      </x:c>
      <x:c r="M772" s="24" t="n">
        <x:v>0</x:v>
      </x:c>
      <x:c r="N772" s="24" t="n">
        <x:v>0</x:v>
      </x:c>
      <x:c r="O772" t="str">
        <x:v>Budget</x:v>
      </x:c>
      <x:c r="P772" t="n">
        <x:v>4</x:v>
      </x:c>
      <x:c r="Q772" t="str">
        <x:f>IFERROR(XLOOKUP(E772,Lookups!$A$5:$A$24,Lookups!$B$5:$B$24),"Other")</x:f>
        <x:v>Referral</x:v>
      </x:c>
      <x:c r="R772" t="str">
        <x:f>IFERROR(XLOOKUP(F772,Lookups!$D$5:$D$10,Lookups!$E$5:$E$10),"Unknown Product")</x:f>
        <x:v>Analytics Plus</x:v>
      </x:c>
      <x:c r="S772" t="str">
        <x:f>IFERROR(XLOOKUP(F772,Lookups!$D$5:$D$10,Lookups!$F$5:$F$10),"Unknown")</x:f>
        <x:v>Analytics</x:v>
      </x:c>
      <x:c r="T772" t="str">
        <x:f>IF(L772&gt;=50000,"Enterprise",IF(L772&gt;=20000,"Mid-Market","SMB"))</x:f>
        <x:v>Mid-Market</x:v>
      </x:c>
      <x:c r="U772" t="str">
        <x:f>IF(I772="Closed Won","Won",IF(I772="Closed Lost","Lost","Open"))</x:f>
        <x:v>Lost</x:v>
      </x:c>
      <x:c r="V772" s="22" t="n">
        <x:f>IF(U772="Won",L772*(1-M772),0)</x:f>
        <x:v>0</x:v>
      </x:c>
      <x:c r="W772" s="22" t="n">
        <x:f>IF(U772="Open",L772*N772,0)</x:f>
        <x:v>0</x:v>
      </x:c>
      <x:c r="X772" s="26" t="n">
        <x:f>IF(U772="Open","",IFERROR(K772-B772,""))</x:f>
        <x:v>56</x:v>
      </x:c>
      <x:c r="Y772" s="26" t="n">
        <x:f>IF(U772="Open",Lookups!$B$2-B772,X772)</x:f>
        <x:v>56</x:v>
      </x:c>
      <x:c r="Z772" t="str">
        <x:f>IF(AND(U772="Open",Y772&gt;30),"STALE","OK")</x:f>
        <x:v>OK</x:v>
      </x:c>
      <x:c r="AA772" t="str">
        <x:f>TEXT(B772,"yyyy-mm")</x:f>
        <x:v>2025-01</x:v>
      </x:c>
      <x:c r="AB772" t="str">
        <x:f>IF(K772="","",TEXT(K772,"yyyy-mm"))</x:f>
        <x:v>2025-03</x:v>
      </x:c>
      <x:c r="AC772" t="str">
        <x:f>"Q"&amp;ROUNDUP(MONTH(B772)/3,0)&amp;"-"&amp;YEAR(B772)</x:f>
        <x:v>Q1-2025</x:v>
      </x:c>
      <x:c r="AD772" s="26" t="n">
        <x:f>MIN(100,IF(H772="Enterprise",30,IF(H772="Mid-Market",22,14))+IF(T772="Enterprise",25,IF(T772="Mid-Market",18,10))+IF(Q772="Referral",25,IF(Q772="Organic Search",20,IF(Q772="Email",18,14)))+IF(G772="Technology",10,5))</x:f>
        <x:v>70</x:v>
      </x:c>
      <x:c r="AE772" t="str">
        <x:f>IF(U772&lt;&gt;"Open",U772,IF(N772&gt;=0.8,"Commit",IF(N772&gt;=0.5,"Best Case","Pipeline")))</x:f>
        <x:v>Lost</x:v>
      </x:c>
    </x:row>
    <x:row r="773">
      <x:c r="A773" t="str">
        <x:v>L00772</x:v>
      </x:c>
      <x:c r="B773" s="10" t="n">
        <x:v>45972</x:v>
      </x:c>
      <x:c r="C773" t="str">
        <x:v>Ha Vo</x:v>
      </x:c>
      <x:c r="D773" t="str">
        <x:v>North</x:v>
      </x:c>
      <x:c r="E773" t="str">
        <x:v>email nurture</x:v>
      </x:c>
      <x:c r="F773" t="str">
        <x:v>CRM-CORE</x:v>
      </x:c>
      <x:c r="G773" t="str">
        <x:v>Financial Services</x:v>
      </x:c>
      <x:c r="H773" t="str">
        <x:v>Enterprise</x:v>
      </x:c>
      <x:c r="I773" t="str">
        <x:v>Closed Lost</x:v>
      </x:c>
      <x:c r="J773" s="10" t="n">
        <x:v>46014</x:v>
      </x:c>
      <x:c r="K773" s="10" t="n">
        <x:v>46014</x:v>
      </x:c>
      <x:c r="L773" s="22" t="n">
        <x:v>27900</x:v>
      </x:c>
      <x:c r="M773" s="24" t="n">
        <x:v>0</x:v>
      </x:c>
      <x:c r="N773" s="24" t="n">
        <x:v>0</x:v>
      </x:c>
      <x:c r="O773" t="str">
        <x:v>Price</x:v>
      </x:c>
      <x:c r="P773" t="n">
        <x:v>3</x:v>
      </x:c>
      <x:c r="Q773" t="str">
        <x:f>IFERROR(XLOOKUP(E773,Lookups!$A$5:$A$24,Lookups!$B$5:$B$24),"Other")</x:f>
        <x:v>Email</x:v>
      </x:c>
      <x:c r="R773" t="str">
        <x:f>IFERROR(XLOOKUP(F773,Lookups!$D$5:$D$10,Lookups!$E$5:$E$10),"Unknown Product")</x:f>
        <x:v>NexaCRM Core</x:v>
      </x:c>
      <x:c r="S773" t="str">
        <x:f>IFERROR(XLOOKUP(F773,Lookups!$D$5:$D$10,Lookups!$F$5:$F$10),"Unknown")</x:f>
        <x:v>CRM</x:v>
      </x:c>
      <x:c r="T773" t="str">
        <x:f>IF(L773&gt;=50000,"Enterprise",IF(L773&gt;=20000,"Mid-Market","SMB"))</x:f>
        <x:v>Mid-Market</x:v>
      </x:c>
      <x:c r="U773" t="str">
        <x:f>IF(I773="Closed Won","Won",IF(I773="Closed Lost","Lost","Open"))</x:f>
        <x:v>Lost</x:v>
      </x:c>
      <x:c r="V773" s="22" t="n">
        <x:f>IF(U773="Won",L773*(1-M773),0)</x:f>
        <x:v>0</x:v>
      </x:c>
      <x:c r="W773" s="22" t="n">
        <x:f>IF(U773="Open",L773*N773,0)</x:f>
        <x:v>0</x:v>
      </x:c>
      <x:c r="X773" s="26" t="n">
        <x:f>IF(U773="Open","",IFERROR(K773-B773,""))</x:f>
        <x:v>42</x:v>
      </x:c>
      <x:c r="Y773" s="26" t="n">
        <x:f>IF(U773="Open",Lookups!$B$2-B773,X773)</x:f>
        <x:v>42</x:v>
      </x:c>
      <x:c r="Z773" t="str">
        <x:f>IF(AND(U773="Open",Y773&gt;30),"STALE","OK")</x:f>
        <x:v>OK</x:v>
      </x:c>
      <x:c r="AA773" t="str">
        <x:f>TEXT(B773,"yyyy-mm")</x:f>
        <x:v>2025-11</x:v>
      </x:c>
      <x:c r="AB773" t="str">
        <x:f>IF(K773="","",TEXT(K773,"yyyy-mm"))</x:f>
        <x:v>2025-12</x:v>
      </x:c>
      <x:c r="AC773" t="str">
        <x:f>"Q"&amp;ROUNDUP(MONTH(B773)/3,0)&amp;"-"&amp;YEAR(B773)</x:f>
        <x:v>Q4-2025</x:v>
      </x:c>
      <x:c r="AD773" s="26" t="n">
        <x:f>MIN(100,IF(H773="Enterprise",30,IF(H773="Mid-Market",22,14))+IF(T773="Enterprise",25,IF(T773="Mid-Market",18,10))+IF(Q773="Referral",25,IF(Q773="Organic Search",20,IF(Q773="Email",18,14)))+IF(G773="Technology",10,5))</x:f>
        <x:v>71</x:v>
      </x:c>
      <x:c r="AE773" t="str">
        <x:f>IF(U773&lt;&gt;"Open",U773,IF(N773&gt;=0.8,"Commit",IF(N773&gt;=0.5,"Best Case","Pipeline")))</x:f>
        <x:v>Lost</x:v>
      </x:c>
    </x:row>
    <x:row r="774">
      <x:c r="A774" t="str">
        <x:v>L00773</x:v>
      </x:c>
      <x:c r="B774" s="10" t="n">
        <x:v>46210</x:v>
      </x:c>
      <x:c r="C774" t="str">
        <x:v>Tuan Bui</x:v>
      </x:c>
      <x:c r="D774" t="str">
        <x:v>Central</x:v>
      </x:c>
      <x:c r="E774" t="str">
        <x:v>Google Organic</x:v>
      </x:c>
      <x:c r="F774" t="str">
        <x:v>CRM-PRO</x:v>
      </x:c>
      <x:c r="G774" t="str">
        <x:v>Technology</x:v>
      </x:c>
      <x:c r="H774" t="str">
        <x:v>Mid-Market</x:v>
      </x:c>
      <x:c r="I774" t="str">
        <x:v>Closed Lost</x:v>
      </x:c>
      <x:c r="J774" s="10" t="n">
        <x:v>46266</x:v>
      </x:c>
      <x:c r="K774" s="10" t="n">
        <x:v>46266</x:v>
      </x:c>
      <x:c r="L774" s="22" t="n">
        <x:v>20200</x:v>
      </x:c>
      <x:c r="M774" s="24" t="n">
        <x:v>0</x:v>
      </x:c>
      <x:c r="N774" s="24" t="n">
        <x:v>0</x:v>
      </x:c>
      <x:c r="O774" t="str">
        <x:v>No Decision</x:v>
      </x:c>
      <x:c r="P774" t="n">
        <x:v>3</x:v>
      </x:c>
      <x:c r="Q774" t="str">
        <x:f>IFERROR(XLOOKUP(E774,Lookups!$A$5:$A$24,Lookups!$B$5:$B$24),"Other")</x:f>
        <x:v>Organic Search</x:v>
      </x:c>
      <x:c r="R774" t="str">
        <x:f>IFERROR(XLOOKUP(F774,Lookups!$D$5:$D$10,Lookups!$E$5:$E$10),"Unknown Product")</x:f>
        <x:v>NexaCRM Pro</x:v>
      </x:c>
      <x:c r="S774" t="str">
        <x:f>IFERROR(XLOOKUP(F774,Lookups!$D$5:$D$10,Lookups!$F$5:$F$10),"Unknown")</x:f>
        <x:v>CRM</x:v>
      </x:c>
      <x:c r="T774" t="str">
        <x:f>IF(L774&gt;=50000,"Enterprise",IF(L774&gt;=20000,"Mid-Market","SMB"))</x:f>
        <x:v>Mid-Market</x:v>
      </x:c>
      <x:c r="U774" t="str">
        <x:f>IF(I774="Closed Won","Won",IF(I774="Closed Lost","Lost","Open"))</x:f>
        <x:v>Lost</x:v>
      </x:c>
      <x:c r="V774" s="22" t="n">
        <x:f>IF(U774="Won",L774*(1-M774),0)</x:f>
        <x:v>0</x:v>
      </x:c>
      <x:c r="W774" s="22" t="n">
        <x:f>IF(U774="Open",L774*N774,0)</x:f>
        <x:v>0</x:v>
      </x:c>
      <x:c r="X774" s="26" t="n">
        <x:f>IF(U774="Open","",IFERROR(K774-B774,""))</x:f>
        <x:v>56</x:v>
      </x:c>
      <x:c r="Y774" s="26" t="n">
        <x:f>IF(U774="Open",Lookups!$B$2-B774,X774)</x:f>
        <x:v>56</x:v>
      </x:c>
      <x:c r="Z774" t="str">
        <x:f>IF(AND(U774="Open",Y774&gt;30),"STALE","OK")</x:f>
        <x:v>OK</x:v>
      </x:c>
      <x:c r="AA774" t="str">
        <x:f>TEXT(B774,"yyyy-mm")</x:f>
        <x:v>2026-07</x:v>
      </x:c>
      <x:c r="AB774" t="str">
        <x:f>IF(K774="","",TEXT(K774,"yyyy-mm"))</x:f>
        <x:v>2026-09</x:v>
      </x:c>
      <x:c r="AC774" t="str">
        <x:f>"Q"&amp;ROUNDUP(MONTH(B774)/3,0)&amp;"-"&amp;YEAR(B774)</x:f>
        <x:v>Q3-2026</x:v>
      </x:c>
      <x:c r="AD774" s="26" t="n">
        <x:f>MIN(100,IF(H774="Enterprise",30,IF(H774="Mid-Market",22,14))+IF(T774="Enterprise",25,IF(T774="Mid-Market",18,10))+IF(Q774="Referral",25,IF(Q774="Organic Search",20,IF(Q774="Email",18,14)))+IF(G774="Technology",10,5))</x:f>
        <x:v>70</x:v>
      </x:c>
      <x:c r="AE774" t="str">
        <x:f>IF(U774&lt;&gt;"Open",U774,IF(N774&gt;=0.8,"Commit",IF(N774&gt;=0.5,"Best Case","Pipeline")))</x:f>
        <x:v>Lost</x:v>
      </x:c>
    </x:row>
    <x:row r="775">
      <x:c r="A775" t="str">
        <x:v>L00774</x:v>
      </x:c>
      <x:c r="B775" s="10" t="n">
        <x:v>45933</x:v>
      </x:c>
      <x:c r="C775" t="str">
        <x:v>Chi Le</x:v>
      </x:c>
      <x:c r="D775" t="str">
        <x:v>South</x:v>
      </x:c>
      <x:c r="E775" t="str">
        <x:v>LinkedIn Ads</x:v>
      </x:c>
      <x:c r="F775" t="str">
        <x:v>CS-CLOUD</x:v>
      </x:c>
      <x:c r="G775" t="str">
        <x:v>Manufacturing</x:v>
      </x:c>
      <x:c r="H775" t="str">
        <x:v>Mid-Market</x:v>
      </x:c>
      <x:c r="I775" t="str">
        <x:v>Closed Won</x:v>
      </x:c>
      <x:c r="J775" s="10" t="n">
        <x:v>45989</x:v>
      </x:c>
      <x:c r="K775" s="10" t="n">
        <x:v>45989</x:v>
      </x:c>
      <x:c r="L775" s="22" t="n">
        <x:v>44600</x:v>
      </x:c>
      <x:c r="M775" s="24" t="n">
        <x:v>0.03</x:v>
      </x:c>
      <x:c r="N775" s="24" t="n">
        <x:v>1</x:v>
      </x:c>
      <x:c r="O775" t="str"/>
      <x:c r="P775" t="n">
        <x:v>6</x:v>
      </x:c>
      <x:c r="Q775" t="str">
        <x:f>IFERROR(XLOOKUP(E775,Lookups!$A$5:$A$24,Lookups!$B$5:$B$24),"Other")</x:f>
        <x:v>LinkedIn</x:v>
      </x:c>
      <x:c r="R775" t="str">
        <x:f>IFERROR(XLOOKUP(F775,Lookups!$D$5:$D$10,Lookups!$E$5:$E$10),"Unknown Product")</x:f>
        <x:v>Service Cloud</x:v>
      </x:c>
      <x:c r="S775" t="str">
        <x:f>IFERROR(XLOOKUP(F775,Lookups!$D$5:$D$10,Lookups!$F$5:$F$10),"Unknown")</x:f>
        <x:v>Customer Service</x:v>
      </x:c>
      <x:c r="T775" t="str">
        <x:f>IF(L775&gt;=50000,"Enterprise",IF(L775&gt;=20000,"Mid-Market","SMB"))</x:f>
        <x:v>Mid-Market</x:v>
      </x:c>
      <x:c r="U775" t="str">
        <x:f>IF(I775="Closed Won","Won",IF(I775="Closed Lost","Lost","Open"))</x:f>
        <x:v>Won</x:v>
      </x:c>
      <x:c r="V775" s="22" t="n">
        <x:f>IF(U775="Won",L775*(1-M775),0)</x:f>
        <x:v>43262</x:v>
      </x:c>
      <x:c r="W775" s="22" t="n">
        <x:f>IF(U775="Open",L775*N775,0)</x:f>
        <x:v>0</x:v>
      </x:c>
      <x:c r="X775" s="26" t="n">
        <x:f>IF(U775="Open","",IFERROR(K775-B775,""))</x:f>
        <x:v>56</x:v>
      </x:c>
      <x:c r="Y775" s="26" t="n">
        <x:f>IF(U775="Open",Lookups!$B$2-B775,X775)</x:f>
        <x:v>56</x:v>
      </x:c>
      <x:c r="Z775" t="str">
        <x:f>IF(AND(U775="Open",Y775&gt;30),"STALE","OK")</x:f>
        <x:v>OK</x:v>
      </x:c>
      <x:c r="AA775" t="str">
        <x:f>TEXT(B775,"yyyy-mm")</x:f>
        <x:v>2025-10</x:v>
      </x:c>
      <x:c r="AB775" t="str">
        <x:f>IF(K775="","",TEXT(K775,"yyyy-mm"))</x:f>
        <x:v>2025-11</x:v>
      </x:c>
      <x:c r="AC775" t="str">
        <x:f>"Q"&amp;ROUNDUP(MONTH(B775)/3,0)&amp;"-"&amp;YEAR(B775)</x:f>
        <x:v>Q4-2025</x:v>
      </x:c>
      <x:c r="AD775" s="26" t="n">
        <x:f>MIN(100,IF(H775="Enterprise",30,IF(H775="Mid-Market",22,14))+IF(T775="Enterprise",25,IF(T775="Mid-Market",18,10))+IF(Q775="Referral",25,IF(Q775="Organic Search",20,IF(Q775="Email",18,14)))+IF(G775="Technology",10,5))</x:f>
        <x:v>59</x:v>
      </x:c>
      <x:c r="AE775" t="str">
        <x:f>IF(U775&lt;&gt;"Open",U775,IF(N775&gt;=0.8,"Commit",IF(N775&gt;=0.5,"Best Case","Pipeline")))</x:f>
        <x:v>Won</x:v>
      </x:c>
    </x:row>
    <x:row r="776">
      <x:c r="A776" t="str">
        <x:v>L00775</x:v>
      </x:c>
      <x:c r="B776" s="10" t="n">
        <x:v>45987</x:v>
      </x:c>
      <x:c r="C776" t="str">
        <x:v>Quynh Vu</x:v>
      </x:c>
      <x:c r="D776" t="str">
        <x:v>North</x:v>
      </x:c>
      <x:c r="E776" t="str">
        <x:v>Email Campaign</x:v>
      </x:c>
      <x:c r="F776" t="str">
        <x:v>CRM-PRO</x:v>
      </x:c>
      <x:c r="G776" t="str">
        <x:v>Professional Services</x:v>
      </x:c>
      <x:c r="H776" t="str">
        <x:v>SMB</x:v>
      </x:c>
      <x:c r="I776" t="str">
        <x:v>Closed Won</x:v>
      </x:c>
      <x:c r="J776" s="10" t="n">
        <x:v>46066</x:v>
      </x:c>
      <x:c r="K776" s="10" t="n">
        <x:v>46066</x:v>
      </x:c>
      <x:c r="L776" s="22" t="n">
        <x:v>16800</x:v>
      </x:c>
      <x:c r="M776" s="24" t="n">
        <x:v>0.08</x:v>
      </x:c>
      <x:c r="N776" s="24" t="n">
        <x:v>1</x:v>
      </x:c>
      <x:c r="O776" t="str"/>
      <x:c r="P776" t="n">
        <x:v>6</x:v>
      </x:c>
      <x:c r="Q776" t="str">
        <x:f>IFERROR(XLOOKUP(E776,Lookups!$A$5:$A$24,Lookups!$B$5:$B$24),"Other")</x:f>
        <x:v>Email</x:v>
      </x:c>
      <x:c r="R776" t="str">
        <x:f>IFERROR(XLOOKUP(F776,Lookups!$D$5:$D$10,Lookups!$E$5:$E$10),"Unknown Product")</x:f>
        <x:v>NexaCRM Pro</x:v>
      </x:c>
      <x:c r="S776" t="str">
        <x:f>IFERROR(XLOOKUP(F776,Lookups!$D$5:$D$10,Lookups!$F$5:$F$10),"Unknown")</x:f>
        <x:v>CRM</x:v>
      </x:c>
      <x:c r="T776" t="str">
        <x:f>IF(L776&gt;=50000,"Enterprise",IF(L776&gt;=20000,"Mid-Market","SMB"))</x:f>
        <x:v>SMB</x:v>
      </x:c>
      <x:c r="U776" t="str">
        <x:f>IF(I776="Closed Won","Won",IF(I776="Closed Lost","Lost","Open"))</x:f>
        <x:v>Won</x:v>
      </x:c>
      <x:c r="V776" s="22" t="n">
        <x:f>IF(U776="Won",L776*(1-M776),0)</x:f>
        <x:v>15456</x:v>
      </x:c>
      <x:c r="W776" s="22" t="n">
        <x:f>IF(U776="Open",L776*N776,0)</x:f>
        <x:v>0</x:v>
      </x:c>
      <x:c r="X776" s="26" t="n">
        <x:f>IF(U776="Open","",IFERROR(K776-B776,""))</x:f>
        <x:v>79</x:v>
      </x:c>
      <x:c r="Y776" s="26" t="n">
        <x:f>IF(U776="Open",Lookups!$B$2-B776,X776)</x:f>
        <x:v>79</x:v>
      </x:c>
      <x:c r="Z776" t="str">
        <x:f>IF(AND(U776="Open",Y776&gt;30),"STALE","OK")</x:f>
        <x:v>OK</x:v>
      </x:c>
      <x:c r="AA776" t="str">
        <x:f>TEXT(B776,"yyyy-mm")</x:f>
        <x:v>2025-11</x:v>
      </x:c>
      <x:c r="AB776" t="str">
        <x:f>IF(K776="","",TEXT(K776,"yyyy-mm"))</x:f>
        <x:v>2026-02</x:v>
      </x:c>
      <x:c r="AC776" t="str">
        <x:f>"Q"&amp;ROUNDUP(MONTH(B776)/3,0)&amp;"-"&amp;YEAR(B776)</x:f>
        <x:v>Q4-2025</x:v>
      </x:c>
      <x:c r="AD776" s="26" t="n">
        <x:f>MIN(100,IF(H776="Enterprise",30,IF(H776="Mid-Market",22,14))+IF(T776="Enterprise",25,IF(T776="Mid-Market",18,10))+IF(Q776="Referral",25,IF(Q776="Organic Search",20,IF(Q776="Email",18,14)))+IF(G776="Technology",10,5))</x:f>
        <x:v>47</x:v>
      </x:c>
      <x:c r="AE776" t="str">
        <x:f>IF(U776&lt;&gt;"Open",U776,IF(N776&gt;=0.8,"Commit",IF(N776&gt;=0.5,"Best Case","Pipeline")))</x:f>
        <x:v>Won</x:v>
      </x:c>
    </x:row>
    <x:row r="777">
      <x:c r="A777" t="str">
        <x:v>L00776</x:v>
      </x:c>
      <x:c r="B777" s="10" t="n">
        <x:v>45785</x:v>
      </x:c>
      <x:c r="C777" t="str">
        <x:v>Minh Do</x:v>
      </x:c>
      <x:c r="D777" t="str">
        <x:v>North</x:v>
      </x:c>
      <x:c r="E777" t="str">
        <x:v>LI Ads</x:v>
      </x:c>
      <x:c r="F777" t="str">
        <x:v>BI-PLUS</x:v>
      </x:c>
      <x:c r="G777" t="str">
        <x:v>Manufacturing</x:v>
      </x:c>
      <x:c r="H777" t="str">
        <x:v>Mid-Market</x:v>
      </x:c>
      <x:c r="I777" t="str">
        <x:v>Closed Lost</x:v>
      </x:c>
      <x:c r="J777" s="10" t="n">
        <x:v>45833</x:v>
      </x:c>
      <x:c r="K777" s="10" t="n">
        <x:v>45833</x:v>
      </x:c>
      <x:c r="L777" s="22" t="n">
        <x:v>28200</x:v>
      </x:c>
      <x:c r="M777" s="24" t="n">
        <x:v>0</x:v>
      </x:c>
      <x:c r="N777" s="24" t="n">
        <x:v>0</x:v>
      </x:c>
      <x:c r="O777" t="str">
        <x:v>Competitor</x:v>
      </x:c>
      <x:c r="P777" t="n">
        <x:v>3</x:v>
      </x:c>
      <x:c r="Q777" t="str">
        <x:f>IFERROR(XLOOKUP(E777,Lookups!$A$5:$A$24,Lookups!$B$5:$B$24),"Other")</x:f>
        <x:v>LinkedIn</x:v>
      </x:c>
      <x:c r="R777" t="str">
        <x:f>IFERROR(XLOOKUP(F777,Lookups!$D$5:$D$10,Lookups!$E$5:$E$10),"Unknown Product")</x:f>
        <x:v>Analytics Plus</x:v>
      </x:c>
      <x:c r="S777" t="str">
        <x:f>IFERROR(XLOOKUP(F777,Lookups!$D$5:$D$10,Lookups!$F$5:$F$10),"Unknown")</x:f>
        <x:v>Analytics</x:v>
      </x:c>
      <x:c r="T777" t="str">
        <x:f>IF(L777&gt;=50000,"Enterprise",IF(L777&gt;=20000,"Mid-Market","SMB"))</x:f>
        <x:v>Mid-Market</x:v>
      </x:c>
      <x:c r="U777" t="str">
        <x:f>IF(I777="Closed Won","Won",IF(I777="Closed Lost","Lost","Open"))</x:f>
        <x:v>Lost</x:v>
      </x:c>
      <x:c r="V777" s="22" t="n">
        <x:f>IF(U777="Won",L777*(1-M777),0)</x:f>
        <x:v>0</x:v>
      </x:c>
      <x:c r="W777" s="22" t="n">
        <x:f>IF(U777="Open",L777*N777,0)</x:f>
        <x:v>0</x:v>
      </x:c>
      <x:c r="X777" s="26" t="n">
        <x:f>IF(U777="Open","",IFERROR(K777-B777,""))</x:f>
        <x:v>48</x:v>
      </x:c>
      <x:c r="Y777" s="26" t="n">
        <x:f>IF(U777="Open",Lookups!$B$2-B777,X777)</x:f>
        <x:v>48</x:v>
      </x:c>
      <x:c r="Z777" t="str">
        <x:f>IF(AND(U777="Open",Y777&gt;30),"STALE","OK")</x:f>
        <x:v>OK</x:v>
      </x:c>
      <x:c r="AA777" t="str">
        <x:f>TEXT(B777,"yyyy-mm")</x:f>
        <x:v>2025-05</x:v>
      </x:c>
      <x:c r="AB777" t="str">
        <x:f>IF(K777="","",TEXT(K777,"yyyy-mm"))</x:f>
        <x:v>2025-06</x:v>
      </x:c>
      <x:c r="AC777" t="str">
        <x:f>"Q"&amp;ROUNDUP(MONTH(B777)/3,0)&amp;"-"&amp;YEAR(B777)</x:f>
        <x:v>Q2-2025</x:v>
      </x:c>
      <x:c r="AD777" s="26" t="n">
        <x:f>MIN(100,IF(H777="Enterprise",30,IF(H777="Mid-Market",22,14))+IF(T777="Enterprise",25,IF(T777="Mid-Market",18,10))+IF(Q777="Referral",25,IF(Q777="Organic Search",20,IF(Q777="Email",18,14)))+IF(G777="Technology",10,5))</x:f>
        <x:v>59</x:v>
      </x:c>
      <x:c r="AE777" t="str">
        <x:f>IF(U777&lt;&gt;"Open",U777,IF(N777&gt;=0.8,"Commit",IF(N777&gt;=0.5,"Best Case","Pipeline")))</x:f>
        <x:v>Lost</x:v>
      </x:c>
    </x:row>
    <x:row r="778">
      <x:c r="A778" t="str">
        <x:v>L00777</x:v>
      </x:c>
      <x:c r="B778" s="10" t="n">
        <x:v>45707</x:v>
      </x:c>
      <x:c r="C778" t="str">
        <x:v>Minh Do</x:v>
      </x:c>
      <x:c r="D778" t="str">
        <x:v>North</x:v>
      </x:c>
      <x:c r="E778" t="str">
        <x:v>email nurture</x:v>
      </x:c>
      <x:c r="F778" t="str">
        <x:v>CS-CLOUD</x:v>
      </x:c>
      <x:c r="G778" t="str">
        <x:v>Retail</x:v>
      </x:c>
      <x:c r="H778" t="str">
        <x:v>SMB</x:v>
      </x:c>
      <x:c r="I778" t="str">
        <x:v>Closed Lost</x:v>
      </x:c>
      <x:c r="J778" s="10" t="n">
        <x:v>45720</x:v>
      </x:c>
      <x:c r="K778" s="10" t="n">
        <x:v>45720</x:v>
      </x:c>
      <x:c r="L778" s="22" t="n">
        <x:v>27800</x:v>
      </x:c>
      <x:c r="M778" s="24" t="n">
        <x:v>0</x:v>
      </x:c>
      <x:c r="N778" s="24" t="n">
        <x:v>0</x:v>
      </x:c>
      <x:c r="O778" t="str">
        <x:v>Price</x:v>
      </x:c>
      <x:c r="P778" t="n">
        <x:v>2</x:v>
      </x:c>
      <x:c r="Q778" t="str">
        <x:f>IFERROR(XLOOKUP(E778,Lookups!$A$5:$A$24,Lookups!$B$5:$B$24),"Other")</x:f>
        <x:v>Email</x:v>
      </x:c>
      <x:c r="R778" t="str">
        <x:f>IFERROR(XLOOKUP(F778,Lookups!$D$5:$D$10,Lookups!$E$5:$E$10),"Unknown Product")</x:f>
        <x:v>Service Cloud</x:v>
      </x:c>
      <x:c r="S778" t="str">
        <x:f>IFERROR(XLOOKUP(F778,Lookups!$D$5:$D$10,Lookups!$F$5:$F$10),"Unknown")</x:f>
        <x:v>Customer Service</x:v>
      </x:c>
      <x:c r="T778" t="str">
        <x:f>IF(L778&gt;=50000,"Enterprise",IF(L778&gt;=20000,"Mid-Market","SMB"))</x:f>
        <x:v>Mid-Market</x:v>
      </x:c>
      <x:c r="U778" t="str">
        <x:f>IF(I778="Closed Won","Won",IF(I778="Closed Lost","Lost","Open"))</x:f>
        <x:v>Lost</x:v>
      </x:c>
      <x:c r="V778" s="22" t="n">
        <x:f>IF(U778="Won",L778*(1-M778),0)</x:f>
        <x:v>0</x:v>
      </x:c>
      <x:c r="W778" s="22" t="n">
        <x:f>IF(U778="Open",L778*N778,0)</x:f>
        <x:v>0</x:v>
      </x:c>
      <x:c r="X778" s="26" t="n">
        <x:f>IF(U778="Open","",IFERROR(K778-B778,""))</x:f>
        <x:v>13</x:v>
      </x:c>
      <x:c r="Y778" s="26" t="n">
        <x:f>IF(U778="Open",Lookups!$B$2-B778,X778)</x:f>
        <x:v>13</x:v>
      </x:c>
      <x:c r="Z778" t="str">
        <x:f>IF(AND(U778="Open",Y778&gt;30),"STALE","OK")</x:f>
        <x:v>OK</x:v>
      </x:c>
      <x:c r="AA778" t="str">
        <x:f>TEXT(B778,"yyyy-mm")</x:f>
        <x:v>2025-02</x:v>
      </x:c>
      <x:c r="AB778" t="str">
        <x:f>IF(K778="","",TEXT(K778,"yyyy-mm"))</x:f>
        <x:v>2025-03</x:v>
      </x:c>
      <x:c r="AC778" t="str">
        <x:f>"Q"&amp;ROUNDUP(MONTH(B778)/3,0)&amp;"-"&amp;YEAR(B778)</x:f>
        <x:v>Q1-2025</x:v>
      </x:c>
      <x:c r="AD778" s="26" t="n">
        <x:f>MIN(100,IF(H778="Enterprise",30,IF(H778="Mid-Market",22,14))+IF(T778="Enterprise",25,IF(T778="Mid-Market",18,10))+IF(Q778="Referral",25,IF(Q778="Organic Search",20,IF(Q778="Email",18,14)))+IF(G778="Technology",10,5))</x:f>
        <x:v>55</x:v>
      </x:c>
      <x:c r="AE778" t="str">
        <x:f>IF(U778&lt;&gt;"Open",U778,IF(N778&gt;=0.8,"Commit",IF(N778&gt;=0.5,"Best Case","Pipeline")))</x:f>
        <x:v>Lost</x:v>
      </x:c>
    </x:row>
    <x:row r="779">
      <x:c r="A779" t="str">
        <x:v>L00778</x:v>
      </x:c>
      <x:c r="B779" s="10" t="n">
        <x:v>46129</x:v>
      </x:c>
      <x:c r="C779" t="str">
        <x:v>Duy Pham</x:v>
      </x:c>
      <x:c r="D779" t="str">
        <x:v>South</x:v>
      </x:c>
      <x:c r="E779" t="str">
        <x:v>SEM - Google</x:v>
      </x:c>
      <x:c r="F779" t="str">
        <x:v>BI-PLUS</x:v>
      </x:c>
      <x:c r="G779" t="str">
        <x:v>Financial Services</x:v>
      </x:c>
      <x:c r="H779" t="str">
        <x:v>Mid-Market</x:v>
      </x:c>
      <x:c r="I779" t="str">
        <x:v>Closed Lost</x:v>
      </x:c>
      <x:c r="J779" s="10" t="n">
        <x:v>46198</x:v>
      </x:c>
      <x:c r="K779" s="10" t="n">
        <x:v>46198</x:v>
      </x:c>
      <x:c r="L779" s="22" t="n">
        <x:v>52200</x:v>
      </x:c>
      <x:c r="M779" s="24" t="n">
        <x:v>0</x:v>
      </x:c>
      <x:c r="N779" s="24" t="n">
        <x:v>0</x:v>
      </x:c>
      <x:c r="O779" t="str">
        <x:v>Competitor</x:v>
      </x:c>
      <x:c r="P779" t="n">
        <x:v>2</x:v>
      </x:c>
      <x:c r="Q779" t="str">
        <x:f>IFERROR(XLOOKUP(E779,Lookups!$A$5:$A$24,Lookups!$B$5:$B$24),"Other")</x:f>
        <x:v>Paid Search</x:v>
      </x:c>
      <x:c r="R779" t="str">
        <x:f>IFERROR(XLOOKUP(F779,Lookups!$D$5:$D$10,Lookups!$E$5:$E$10),"Unknown Product")</x:f>
        <x:v>Analytics Plus</x:v>
      </x:c>
      <x:c r="S779" t="str">
        <x:f>IFERROR(XLOOKUP(F779,Lookups!$D$5:$D$10,Lookups!$F$5:$F$10),"Unknown")</x:f>
        <x:v>Analytics</x:v>
      </x:c>
      <x:c r="T779" t="str">
        <x:f>IF(L779&gt;=50000,"Enterprise",IF(L779&gt;=20000,"Mid-Market","SMB"))</x:f>
        <x:v>Enterprise</x:v>
      </x:c>
      <x:c r="U779" t="str">
        <x:f>IF(I779="Closed Won","Won",IF(I779="Closed Lost","Lost","Open"))</x:f>
        <x:v>Lost</x:v>
      </x:c>
      <x:c r="V779" s="22" t="n">
        <x:f>IF(U779="Won",L779*(1-M779),0)</x:f>
        <x:v>0</x:v>
      </x:c>
      <x:c r="W779" s="22" t="n">
        <x:f>IF(U779="Open",L779*N779,0)</x:f>
        <x:v>0</x:v>
      </x:c>
      <x:c r="X779" s="26" t="n">
        <x:f>IF(U779="Open","",IFERROR(K779-B779,""))</x:f>
        <x:v>69</x:v>
      </x:c>
      <x:c r="Y779" s="26" t="n">
        <x:f>IF(U779="Open",Lookups!$B$2-B779,X779)</x:f>
        <x:v>69</x:v>
      </x:c>
      <x:c r="Z779" t="str">
        <x:f>IF(AND(U779="Open",Y779&gt;30),"STALE","OK")</x:f>
        <x:v>OK</x:v>
      </x:c>
      <x:c r="AA779" t="str">
        <x:f>TEXT(B779,"yyyy-mm")</x:f>
        <x:v>2026-04</x:v>
      </x:c>
      <x:c r="AB779" t="str">
        <x:f>IF(K779="","",TEXT(K779,"yyyy-mm"))</x:f>
        <x:v>2026-06</x:v>
      </x:c>
      <x:c r="AC779" t="str">
        <x:f>"Q"&amp;ROUNDUP(MONTH(B779)/3,0)&amp;"-"&amp;YEAR(B779)</x:f>
        <x:v>Q2-2026</x:v>
      </x:c>
      <x:c r="AD779" s="26" t="n">
        <x:f>MIN(100,IF(H779="Enterprise",30,IF(H779="Mid-Market",22,14))+IF(T779="Enterprise",25,IF(T779="Mid-Market",18,10))+IF(Q779="Referral",25,IF(Q779="Organic Search",20,IF(Q779="Email",18,14)))+IF(G779="Technology",10,5))</x:f>
        <x:v>66</x:v>
      </x:c>
      <x:c r="AE779" t="str">
        <x:f>IF(U779&lt;&gt;"Open",U779,IF(N779&gt;=0.8,"Commit",IF(N779&gt;=0.5,"Best Case","Pipeline")))</x:f>
        <x:v>Lost</x:v>
      </x:c>
    </x:row>
    <x:row r="780">
      <x:c r="A780" t="str">
        <x:v>L00779</x:v>
      </x:c>
      <x:c r="B780" s="10" t="n">
        <x:v>45945</x:v>
      </x:c>
      <x:c r="C780" t="str">
        <x:v>Duy Pham</x:v>
      </x:c>
      <x:c r="D780" t="str">
        <x:v>South</x:v>
      </x:c>
      <x:c r="E780" t="str">
        <x:v>SEO</x:v>
      </x:c>
      <x:c r="F780" t="str">
        <x:v>CRM-CORE</x:v>
      </x:c>
      <x:c r="G780" t="str">
        <x:v>Technology</x:v>
      </x:c>
      <x:c r="H780" t="str">
        <x:v>SMB</x:v>
      </x:c>
      <x:c r="I780" t="str">
        <x:v>Closed Won</x:v>
      </x:c>
      <x:c r="J780" s="10" t="n">
        <x:v>46049</x:v>
      </x:c>
      <x:c r="K780" s="10" t="n">
        <x:v>46049</x:v>
      </x:c>
      <x:c r="L780" s="22" t="n">
        <x:v>8100</x:v>
      </x:c>
      <x:c r="M780" s="24" t="n">
        <x:v>0.12</x:v>
      </x:c>
      <x:c r="N780" s="24" t="n">
        <x:v>1</x:v>
      </x:c>
      <x:c r="O780" t="str"/>
      <x:c r="P780" t="n">
        <x:v>6</x:v>
      </x:c>
      <x:c r="Q780" t="str">
        <x:f>IFERROR(XLOOKUP(E780,Lookups!$A$5:$A$24,Lookups!$B$5:$B$24),"Other")</x:f>
        <x:v>Organic Search</x:v>
      </x:c>
      <x:c r="R780" t="str">
        <x:f>IFERROR(XLOOKUP(F780,Lookups!$D$5:$D$10,Lookups!$E$5:$E$10),"Unknown Product")</x:f>
        <x:v>NexaCRM Core</x:v>
      </x:c>
      <x:c r="S780" t="str">
        <x:f>IFERROR(XLOOKUP(F780,Lookups!$D$5:$D$10,Lookups!$F$5:$F$10),"Unknown")</x:f>
        <x:v>CRM</x:v>
      </x:c>
      <x:c r="T780" t="str">
        <x:f>IF(L780&gt;=50000,"Enterprise",IF(L780&gt;=20000,"Mid-Market","SMB"))</x:f>
        <x:v>SMB</x:v>
      </x:c>
      <x:c r="U780" t="str">
        <x:f>IF(I780="Closed Won","Won",IF(I780="Closed Lost","Lost","Open"))</x:f>
        <x:v>Won</x:v>
      </x:c>
      <x:c r="V780" s="22" t="n">
        <x:f>IF(U780="Won",L780*(1-M780),0)</x:f>
        <x:v>7128</x:v>
      </x:c>
      <x:c r="W780" s="22" t="n">
        <x:f>IF(U780="Open",L780*N780,0)</x:f>
        <x:v>0</x:v>
      </x:c>
      <x:c r="X780" s="26" t="n">
        <x:f>IF(U780="Open","",IFERROR(K780-B780,""))</x:f>
        <x:v>104</x:v>
      </x:c>
      <x:c r="Y780" s="26" t="n">
        <x:f>IF(U780="Open",Lookups!$B$2-B780,X780)</x:f>
        <x:v>104</x:v>
      </x:c>
      <x:c r="Z780" t="str">
        <x:f>IF(AND(U780="Open",Y780&gt;30),"STALE","OK")</x:f>
        <x:v>OK</x:v>
      </x:c>
      <x:c r="AA780" t="str">
        <x:f>TEXT(B780,"yyyy-mm")</x:f>
        <x:v>2025-10</x:v>
      </x:c>
      <x:c r="AB780" t="str">
        <x:f>IF(K780="","",TEXT(K780,"yyyy-mm"))</x:f>
        <x:v>2026-01</x:v>
      </x:c>
      <x:c r="AC780" t="str">
        <x:f>"Q"&amp;ROUNDUP(MONTH(B780)/3,0)&amp;"-"&amp;YEAR(B780)</x:f>
        <x:v>Q4-2025</x:v>
      </x:c>
      <x:c r="AD780" s="26" t="n">
        <x:f>MIN(100,IF(H780="Enterprise",30,IF(H780="Mid-Market",22,14))+IF(T780="Enterprise",25,IF(T780="Mid-Market",18,10))+IF(Q780="Referral",25,IF(Q780="Organic Search",20,IF(Q780="Email",18,14)))+IF(G780="Technology",10,5))</x:f>
        <x:v>54</x:v>
      </x:c>
      <x:c r="AE780" t="str">
        <x:f>IF(U780&lt;&gt;"Open",U780,IF(N780&gt;=0.8,"Commit",IF(N780&gt;=0.5,"Best Case","Pipeline")))</x:f>
        <x:v>Won</x:v>
      </x:c>
    </x:row>
    <x:row r="781">
      <x:c r="A781" t="str">
        <x:v>L00780</x:v>
      </x:c>
      <x:c r="B781" s="10" t="n">
        <x:v>46225</x:v>
      </x:c>
      <x:c r="C781" t="str">
        <x:v>Ha Vo</x:v>
      </x:c>
      <x:c r="D781" t="str">
        <x:v>North</x:v>
      </x:c>
      <x:c r="E781" t="str">
        <x:v>Email Campaign</x:v>
      </x:c>
      <x:c r="F781" t="str">
        <x:v>CRM-CORE</x:v>
      </x:c>
      <x:c r="G781" t="str">
        <x:v>Healthcare</x:v>
      </x:c>
      <x:c r="H781" t="str">
        <x:v>SMB</x:v>
      </x:c>
      <x:c r="I781" t="str">
        <x:v>New</x:v>
      </x:c>
      <x:c r="J781" s="10" t="n">
        <x:v>46250</x:v>
      </x:c>
      <x:c r="K781" s="10"/>
      <x:c r="L781" s="22" t="n">
        <x:v>9500</x:v>
      </x:c>
      <x:c r="M781" s="24" t="n">
        <x:v>0.03</x:v>
      </x:c>
      <x:c r="N781" s="24" t="n">
        <x:v>0.05</x:v>
      </x:c>
      <x:c r="O781" t="str"/>
      <x:c r="P781" t="n">
        <x:v>1</x:v>
      </x:c>
      <x:c r="Q781" t="str">
        <x:f>IFERROR(XLOOKUP(E781,Lookups!$A$5:$A$24,Lookups!$B$5:$B$24),"Other")</x:f>
        <x:v>Email</x:v>
      </x:c>
      <x:c r="R781" t="str">
        <x:f>IFERROR(XLOOKUP(F781,Lookups!$D$5:$D$10,Lookups!$E$5:$E$10),"Unknown Product")</x:f>
        <x:v>NexaCRM Core</x:v>
      </x:c>
      <x:c r="S781" t="str">
        <x:f>IFERROR(XLOOKUP(F781,Lookups!$D$5:$D$10,Lookups!$F$5:$F$10),"Unknown")</x:f>
        <x:v>CRM</x:v>
      </x:c>
      <x:c r="T781" t="str">
        <x:f>IF(L781&gt;=50000,"Enterprise",IF(L781&gt;=20000,"Mid-Market","SMB"))</x:f>
        <x:v>SMB</x:v>
      </x:c>
      <x:c r="U781" t="str">
        <x:f>IF(I781="Closed Won","Won",IF(I781="Closed Lost","Lost","Open"))</x:f>
        <x:v>Open</x:v>
      </x:c>
      <x:c r="V781" s="22" t="n">
        <x:f>IF(U781="Won",L781*(1-M781),0)</x:f>
        <x:v>0</x:v>
      </x:c>
      <x:c r="W781" s="22" t="n">
        <x:f>IF(U781="Open",L781*N781,0)</x:f>
        <x:v>475</x:v>
      </x:c>
      <x:c r="X781" s="26" t="str">
        <x:f>IF(U781="Open","",IFERROR(K781-B781,""))</x:f>
      </x:c>
      <x:c r="Y781" s="26" t="n">
        <x:f>IF(U781="Open",Lookups!$B$2-B781,X781)</x:f>
        <x:v>41</x:v>
      </x:c>
      <x:c r="Z781" t="str">
        <x:f>IF(AND(U781="Open",Y781&gt;30),"STALE","OK")</x:f>
        <x:v>STALE</x:v>
      </x:c>
      <x:c r="AA781" t="str">
        <x:f>TEXT(B781,"yyyy-mm")</x:f>
        <x:v>2026-07</x:v>
      </x:c>
      <x:c r="AB781" t="str">
        <x:f>IF(K781="","",TEXT(K781,"yyyy-mm"))</x:f>
      </x:c>
      <x:c r="AC781" t="str">
        <x:f>"Q"&amp;ROUNDUP(MONTH(B781)/3,0)&amp;"-"&amp;YEAR(B781)</x:f>
        <x:v>Q3-2026</x:v>
      </x:c>
      <x:c r="AD781" s="26" t="n">
        <x:f>MIN(100,IF(H781="Enterprise",30,IF(H781="Mid-Market",22,14))+IF(T781="Enterprise",25,IF(T781="Mid-Market",18,10))+IF(Q781="Referral",25,IF(Q781="Organic Search",20,IF(Q781="Email",18,14)))+IF(G781="Technology",10,5))</x:f>
        <x:v>47</x:v>
      </x:c>
      <x:c r="AE781" t="str">
        <x:f>IF(U781&lt;&gt;"Open",U781,IF(N781&gt;=0.8,"Commit",IF(N781&gt;=0.5,"Best Case","Pipeline")))</x:f>
        <x:v>Pipeline</x:v>
      </x:c>
    </x:row>
    <x:row r="782">
      <x:c r="A782" t="str">
        <x:v>L00781</x:v>
      </x:c>
      <x:c r="B782" s="10" t="n">
        <x:v>45752</x:v>
      </x:c>
      <x:c r="C782" t="str">
        <x:v>Ha Vo</x:v>
      </x:c>
      <x:c r="D782" t="str">
        <x:v>North</x:v>
      </x:c>
      <x:c r="E782" t="str">
        <x:v>Unknown Event</x:v>
      </x:c>
      <x:c r="F782" t="str">
        <x:v>CRM-CORE</x:v>
      </x:c>
      <x:c r="G782" t="str">
        <x:v>Professional Services</x:v>
      </x:c>
      <x:c r="H782" t="str">
        <x:v>Mid-Market</x:v>
      </x:c>
      <x:c r="I782" t="str">
        <x:v>Closed Lost</x:v>
      </x:c>
      <x:c r="J782" s="10" t="n">
        <x:v>45776</x:v>
      </x:c>
      <x:c r="K782" s="10" t="n">
        <x:v>45776</x:v>
      </x:c>
      <x:c r="L782" s="22" t="n">
        <x:v>10400</x:v>
      </x:c>
      <x:c r="M782" s="24" t="n">
        <x:v>0</x:v>
      </x:c>
      <x:c r="N782" s="24" t="n">
        <x:v>0</x:v>
      </x:c>
      <x:c r="O782" t="str">
        <x:v>Budget</x:v>
      </x:c>
      <x:c r="P782" t="n">
        <x:v>2</x:v>
      </x:c>
      <x:c r="Q782" t="str">
        <x:f>IFERROR(XLOOKUP(E782,Lookups!$A$5:$A$24,Lookups!$B$5:$B$24),"Other")</x:f>
        <x:v>Other</x:v>
      </x:c>
      <x:c r="R782" t="str">
        <x:f>IFERROR(XLOOKUP(F782,Lookups!$D$5:$D$10,Lookups!$E$5:$E$10),"Unknown Product")</x:f>
        <x:v>NexaCRM Core</x:v>
      </x:c>
      <x:c r="S782" t="str">
        <x:f>IFERROR(XLOOKUP(F782,Lookups!$D$5:$D$10,Lookups!$F$5:$F$10),"Unknown")</x:f>
        <x:v>CRM</x:v>
      </x:c>
      <x:c r="T782" t="str">
        <x:f>IF(L782&gt;=50000,"Enterprise",IF(L782&gt;=20000,"Mid-Market","SMB"))</x:f>
        <x:v>SMB</x:v>
      </x:c>
      <x:c r="U782" t="str">
        <x:f>IF(I782="Closed Won","Won",IF(I782="Closed Lost","Lost","Open"))</x:f>
        <x:v>Lost</x:v>
      </x:c>
      <x:c r="V782" s="22" t="n">
        <x:f>IF(U782="Won",L782*(1-M782),0)</x:f>
        <x:v>0</x:v>
      </x:c>
      <x:c r="W782" s="22" t="n">
        <x:f>IF(U782="Open",L782*N782,0)</x:f>
        <x:v>0</x:v>
      </x:c>
      <x:c r="X782" s="26" t="n">
        <x:f>IF(U782="Open","",IFERROR(K782-B782,""))</x:f>
        <x:v>24</x:v>
      </x:c>
      <x:c r="Y782" s="26" t="n">
        <x:f>IF(U782="Open",Lookups!$B$2-B782,X782)</x:f>
        <x:v>24</x:v>
      </x:c>
      <x:c r="Z782" t="str">
        <x:f>IF(AND(U782="Open",Y782&gt;30),"STALE","OK")</x:f>
        <x:v>OK</x:v>
      </x:c>
      <x:c r="AA782" t="str">
        <x:f>TEXT(B782,"yyyy-mm")</x:f>
        <x:v>2025-04</x:v>
      </x:c>
      <x:c r="AB782" t="str">
        <x:f>IF(K782="","",TEXT(K782,"yyyy-mm"))</x:f>
        <x:v>2025-04</x:v>
      </x:c>
      <x:c r="AC782" t="str">
        <x:f>"Q"&amp;ROUNDUP(MONTH(B782)/3,0)&amp;"-"&amp;YEAR(B782)</x:f>
        <x:v>Q2-2025</x:v>
      </x:c>
      <x:c r="AD782" s="26" t="n">
        <x:f>MIN(100,IF(H782="Enterprise",30,IF(H782="Mid-Market",22,14))+IF(T782="Enterprise",25,IF(T782="Mid-Market",18,10))+IF(Q782="Referral",25,IF(Q782="Organic Search",20,IF(Q782="Email",18,14)))+IF(G782="Technology",10,5))</x:f>
        <x:v>51</x:v>
      </x:c>
      <x:c r="AE782" t="str">
        <x:f>IF(U782&lt;&gt;"Open",U782,IF(N782&gt;=0.8,"Commit",IF(N782&gt;=0.5,"Best Case","Pipeline")))</x:f>
        <x:v>Lost</x:v>
      </x:c>
    </x:row>
    <x:row r="783">
      <x:c r="A783" t="str">
        <x:v>L00782</x:v>
      </x:c>
      <x:c r="B783" s="10" t="n">
        <x:v>46114</x:v>
      </x:c>
      <x:c r="C783" t="str">
        <x:v>Minh Do</x:v>
      </x:c>
      <x:c r="D783" t="str">
        <x:v>North</x:v>
      </x:c>
      <x:c r="E783" t="str">
        <x:v>Google Ads</x:v>
      </x:c>
      <x:c r="F783" t="str">
        <x:v>BI-PLUS</x:v>
      </x:c>
      <x:c r="G783" t="str">
        <x:v>Professional Services</x:v>
      </x:c>
      <x:c r="H783" t="str">
        <x:v>Enterprise</x:v>
      </x:c>
      <x:c r="I783" t="str">
        <x:v>Closed Lost</x:v>
      </x:c>
      <x:c r="J783" s="10" t="n">
        <x:v>46170</x:v>
      </x:c>
      <x:c r="K783" s="10" t="n">
        <x:v>46170</x:v>
      </x:c>
      <x:c r="L783" s="22" t="n">
        <x:v>80600</x:v>
      </x:c>
      <x:c r="M783" s="24" t="n">
        <x:v>0</x:v>
      </x:c>
      <x:c r="N783" s="24" t="n">
        <x:v>0</x:v>
      </x:c>
      <x:c r="O783" t="str">
        <x:v>No Decision</x:v>
      </x:c>
      <x:c r="P783" t="n">
        <x:v>2</x:v>
      </x:c>
      <x:c r="Q783" t="str">
        <x:f>IFERROR(XLOOKUP(E783,Lookups!$A$5:$A$24,Lookups!$B$5:$B$24),"Other")</x:f>
        <x:v>Paid Search</x:v>
      </x:c>
      <x:c r="R783" t="str">
        <x:f>IFERROR(XLOOKUP(F783,Lookups!$D$5:$D$10,Lookups!$E$5:$E$10),"Unknown Product")</x:f>
        <x:v>Analytics Plus</x:v>
      </x:c>
      <x:c r="S783" t="str">
        <x:f>IFERROR(XLOOKUP(F783,Lookups!$D$5:$D$10,Lookups!$F$5:$F$10),"Unknown")</x:f>
        <x:v>Analytics</x:v>
      </x:c>
      <x:c r="T783" t="str">
        <x:f>IF(L783&gt;=50000,"Enterprise",IF(L783&gt;=20000,"Mid-Market","SMB"))</x:f>
        <x:v>Enterprise</x:v>
      </x:c>
      <x:c r="U783" t="str">
        <x:f>IF(I783="Closed Won","Won",IF(I783="Closed Lost","Lost","Open"))</x:f>
        <x:v>Lost</x:v>
      </x:c>
      <x:c r="V783" s="22" t="n">
        <x:f>IF(U783="Won",L783*(1-M783),0)</x:f>
        <x:v>0</x:v>
      </x:c>
      <x:c r="W783" s="22" t="n">
        <x:f>IF(U783="Open",L783*N783,0)</x:f>
        <x:v>0</x:v>
      </x:c>
      <x:c r="X783" s="26" t="n">
        <x:f>IF(U783="Open","",IFERROR(K783-B783,""))</x:f>
        <x:v>56</x:v>
      </x:c>
      <x:c r="Y783" s="26" t="n">
        <x:f>IF(U783="Open",Lookups!$B$2-B783,X783)</x:f>
        <x:v>56</x:v>
      </x:c>
      <x:c r="Z783" t="str">
        <x:f>IF(AND(U783="Open",Y783&gt;30),"STALE","OK")</x:f>
        <x:v>OK</x:v>
      </x:c>
      <x:c r="AA783" t="str">
        <x:f>TEXT(B783,"yyyy-mm")</x:f>
        <x:v>2026-04</x:v>
      </x:c>
      <x:c r="AB783" t="str">
        <x:f>IF(K783="","",TEXT(K783,"yyyy-mm"))</x:f>
        <x:v>2026-05</x:v>
      </x:c>
      <x:c r="AC783" t="str">
        <x:f>"Q"&amp;ROUNDUP(MONTH(B783)/3,0)&amp;"-"&amp;YEAR(B783)</x:f>
        <x:v>Q2-2026</x:v>
      </x:c>
      <x:c r="AD783" s="26" t="n">
        <x:f>MIN(100,IF(H783="Enterprise",30,IF(H783="Mid-Market",22,14))+IF(T783="Enterprise",25,IF(T783="Mid-Market",18,10))+IF(Q783="Referral",25,IF(Q783="Organic Search",20,IF(Q783="Email",18,14)))+IF(G783="Technology",10,5))</x:f>
        <x:v>74</x:v>
      </x:c>
      <x:c r="AE783" t="str">
        <x:f>IF(U783&lt;&gt;"Open",U783,IF(N783&gt;=0.8,"Commit",IF(N783&gt;=0.5,"Best Case","Pipeline")))</x:f>
        <x:v>Lost</x:v>
      </x:c>
    </x:row>
    <x:row r="784">
      <x:c r="A784" t="str">
        <x:v>L00783</x:v>
      </x:c>
      <x:c r="B784" s="10" t="n">
        <x:v>46146</x:v>
      </x:c>
      <x:c r="C784" t="str">
        <x:v>Tuan Bui</x:v>
      </x:c>
      <x:c r="D784" t="str">
        <x:v>Central</x:v>
      </x:c>
      <x:c r="E784" t="str">
        <x:v>customer referral</x:v>
      </x:c>
      <x:c r="F784" t="str">
        <x:v>BI-PLUS</x:v>
      </x:c>
      <x:c r="G784" t="str">
        <x:v>Healthcare</x:v>
      </x:c>
      <x:c r="H784" t="str">
        <x:v>SMB</x:v>
      </x:c>
      <x:c r="I784" t="str">
        <x:v>Negotiation</x:v>
      </x:c>
      <x:c r="J784" s="10" t="n">
        <x:v>46209</x:v>
      </x:c>
      <x:c r="K784" s="10"/>
      <x:c r="L784" s="22" t="n">
        <x:v>29700</x:v>
      </x:c>
      <x:c r="M784" s="24" t="n">
        <x:v>0</x:v>
      </x:c>
      <x:c r="N784" s="24" t="n">
        <x:v>0.85</x:v>
      </x:c>
      <x:c r="O784" t="str"/>
      <x:c r="P784" t="n">
        <x:v>5</x:v>
      </x:c>
      <x:c r="Q784" t="str">
        <x:f>IFERROR(XLOOKUP(E784,Lookups!$A$5:$A$24,Lookups!$B$5:$B$24),"Other")</x:f>
        <x:v>Referral</x:v>
      </x:c>
      <x:c r="R784" t="str">
        <x:f>IFERROR(XLOOKUP(F784,Lookups!$D$5:$D$10,Lookups!$E$5:$E$10),"Unknown Product")</x:f>
        <x:v>Analytics Plus</x:v>
      </x:c>
      <x:c r="S784" t="str">
        <x:f>IFERROR(XLOOKUP(F784,Lookups!$D$5:$D$10,Lookups!$F$5:$F$10),"Unknown")</x:f>
        <x:v>Analytics</x:v>
      </x:c>
      <x:c r="T784" t="str">
        <x:f>IF(L784&gt;=50000,"Enterprise",IF(L784&gt;=20000,"Mid-Market","SMB"))</x:f>
        <x:v>Mid-Market</x:v>
      </x:c>
      <x:c r="U784" t="str">
        <x:f>IF(I784="Closed Won","Won",IF(I784="Closed Lost","Lost","Open"))</x:f>
        <x:v>Open</x:v>
      </x:c>
      <x:c r="V784" s="22" t="n">
        <x:f>IF(U784="Won",L784*(1-M784),0)</x:f>
        <x:v>0</x:v>
      </x:c>
      <x:c r="W784" s="22" t="n">
        <x:f>IF(U784="Open",L784*N784,0)</x:f>
        <x:v>25245</x:v>
      </x:c>
      <x:c r="X784" s="26" t="str">
        <x:f>IF(U784="Open","",IFERROR(K784-B784,""))</x:f>
      </x:c>
      <x:c r="Y784" s="26" t="n">
        <x:f>IF(U784="Open",Lookups!$B$2-B784,X784)</x:f>
        <x:v>120</x:v>
      </x:c>
      <x:c r="Z784" t="str">
        <x:f>IF(AND(U784="Open",Y784&gt;30),"STALE","OK")</x:f>
        <x:v>STALE</x:v>
      </x:c>
      <x:c r="AA784" t="str">
        <x:f>TEXT(B784,"yyyy-mm")</x:f>
        <x:v>2026-05</x:v>
      </x:c>
      <x:c r="AB784" t="str">
        <x:f>IF(K784="","",TEXT(K784,"yyyy-mm"))</x:f>
      </x:c>
      <x:c r="AC784" t="str">
        <x:f>"Q"&amp;ROUNDUP(MONTH(B784)/3,0)&amp;"-"&amp;YEAR(B784)</x:f>
        <x:v>Q2-2026</x:v>
      </x:c>
      <x:c r="AD784" s="26" t="n">
        <x:f>MIN(100,IF(H784="Enterprise",30,IF(H784="Mid-Market",22,14))+IF(T784="Enterprise",25,IF(T784="Mid-Market",18,10))+IF(Q784="Referral",25,IF(Q784="Organic Search",20,IF(Q784="Email",18,14)))+IF(G784="Technology",10,5))</x:f>
        <x:v>62</x:v>
      </x:c>
      <x:c r="AE784" t="str">
        <x:f>IF(U784&lt;&gt;"Open",U784,IF(N784&gt;=0.8,"Commit",IF(N784&gt;=0.5,"Best Case","Pipeline")))</x:f>
        <x:v>Commit</x:v>
      </x:c>
    </x:row>
    <x:row r="785">
      <x:c r="A785" t="str">
        <x:v>L00784</x:v>
      </x:c>
      <x:c r="B785" s="10" t="n">
        <x:v>45668</x:v>
      </x:c>
      <x:c r="C785" t="str">
        <x:v>Tuan Bui</x:v>
      </x:c>
      <x:c r="D785" t="str">
        <x:v>Central</x:v>
      </x:c>
      <x:c r="E785" t="str">
        <x:v>LinkedIn Ads</x:v>
      </x:c>
      <x:c r="F785" t="str">
        <x:v>REV-OPS</x:v>
      </x:c>
      <x:c r="G785" t="str">
        <x:v>Professional Services</x:v>
      </x:c>
      <x:c r="H785" t="str">
        <x:v>Mid-Market</x:v>
      </x:c>
      <x:c r="I785" t="str">
        <x:v>Closed Lost</x:v>
      </x:c>
      <x:c r="J785" s="10" t="n">
        <x:v>45697</x:v>
      </x:c>
      <x:c r="K785" s="10" t="n">
        <x:v>45697</x:v>
      </x:c>
      <x:c r="L785" s="22" t="n">
        <x:v>82000</x:v>
      </x:c>
      <x:c r="M785" s="24" t="n">
        <x:v>0</x:v>
      </x:c>
      <x:c r="N785" s="24" t="n">
        <x:v>0</x:v>
      </x:c>
      <x:c r="O785" t="str">
        <x:v>Price</x:v>
      </x:c>
      <x:c r="P785" t="n">
        <x:v>3</x:v>
      </x:c>
      <x:c r="Q785" t="str">
        <x:f>IFERROR(XLOOKUP(E785,Lookups!$A$5:$A$24,Lookups!$B$5:$B$24),"Other")</x:f>
        <x:v>LinkedIn</x:v>
      </x:c>
      <x:c r="R785" t="str">
        <x:f>IFERROR(XLOOKUP(F785,Lookups!$D$5:$D$10,Lookups!$E$5:$E$10),"Unknown Product")</x:f>
        <x:v>Revenue Operations Suite</x:v>
      </x:c>
      <x:c r="S785" t="str">
        <x:f>IFERROR(XLOOKUP(F785,Lookups!$D$5:$D$10,Lookups!$F$5:$F$10),"Unknown")</x:f>
        <x:v>Revenue Ops</x:v>
      </x:c>
      <x:c r="T785" t="str">
        <x:f>IF(L785&gt;=50000,"Enterprise",IF(L785&gt;=20000,"Mid-Market","SMB"))</x:f>
        <x:v>Enterprise</x:v>
      </x:c>
      <x:c r="U785" t="str">
        <x:f>IF(I785="Closed Won","Won",IF(I785="Closed Lost","Lost","Open"))</x:f>
        <x:v>Lost</x:v>
      </x:c>
      <x:c r="V785" s="22" t="n">
        <x:f>IF(U785="Won",L785*(1-M785),0)</x:f>
        <x:v>0</x:v>
      </x:c>
      <x:c r="W785" s="22" t="n">
        <x:f>IF(U785="Open",L785*N785,0)</x:f>
        <x:v>0</x:v>
      </x:c>
      <x:c r="X785" s="26" t="n">
        <x:f>IF(U785="Open","",IFERROR(K785-B785,""))</x:f>
        <x:v>29</x:v>
      </x:c>
      <x:c r="Y785" s="26" t="n">
        <x:f>IF(U785="Open",Lookups!$B$2-B785,X785)</x:f>
        <x:v>29</x:v>
      </x:c>
      <x:c r="Z785" t="str">
        <x:f>IF(AND(U785="Open",Y785&gt;30),"STALE","OK")</x:f>
        <x:v>OK</x:v>
      </x:c>
      <x:c r="AA785" t="str">
        <x:f>TEXT(B785,"yyyy-mm")</x:f>
        <x:v>2025-01</x:v>
      </x:c>
      <x:c r="AB785" t="str">
        <x:f>IF(K785="","",TEXT(K785,"yyyy-mm"))</x:f>
        <x:v>2025-02</x:v>
      </x:c>
      <x:c r="AC785" t="str">
        <x:f>"Q"&amp;ROUNDUP(MONTH(B785)/3,0)&amp;"-"&amp;YEAR(B785)</x:f>
        <x:v>Q1-2025</x:v>
      </x:c>
      <x:c r="AD785" s="26" t="n">
        <x:f>MIN(100,IF(H785="Enterprise",30,IF(H785="Mid-Market",22,14))+IF(T785="Enterprise",25,IF(T785="Mid-Market",18,10))+IF(Q785="Referral",25,IF(Q785="Organic Search",20,IF(Q785="Email",18,14)))+IF(G785="Technology",10,5))</x:f>
        <x:v>66</x:v>
      </x:c>
      <x:c r="AE785" t="str">
        <x:f>IF(U785&lt;&gt;"Open",U785,IF(N785&gt;=0.8,"Commit",IF(N785&gt;=0.5,"Best Case","Pipeline")))</x:f>
        <x:v>Lost</x:v>
      </x:c>
    </x:row>
    <x:row r="786">
      <x:c r="A786" t="str">
        <x:v>L00785</x:v>
      </x:c>
      <x:c r="B786" s="10" t="n">
        <x:v>46049</x:v>
      </x:c>
      <x:c r="C786" t="str">
        <x:v>Bao Tran</x:v>
      </x:c>
      <x:c r="D786" t="str">
        <x:v>South</x:v>
      </x:c>
      <x:c r="E786" t="str">
        <x:v>linkedin</x:v>
      </x:c>
      <x:c r="F786" t="str">
        <x:v>BI-PLUS</x:v>
      </x:c>
      <x:c r="G786" t="str">
        <x:v>Professional Services</x:v>
      </x:c>
      <x:c r="H786" t="str">
        <x:v>SMB</x:v>
      </x:c>
      <x:c r="I786" t="str">
        <x:v>Closed Won</x:v>
      </x:c>
      <x:c r="J786" s="10" t="n">
        <x:v>46142</x:v>
      </x:c>
      <x:c r="K786" s="10" t="n">
        <x:v>46142</x:v>
      </x:c>
      <x:c r="L786" s="22" t="n">
        <x:v>24400</x:v>
      </x:c>
      <x:c r="M786" s="24" t="n">
        <x:v>0</x:v>
      </x:c>
      <x:c r="N786" s="24" t="n">
        <x:v>1</x:v>
      </x:c>
      <x:c r="O786" t="str"/>
      <x:c r="P786" t="n">
        <x:v>6</x:v>
      </x:c>
      <x:c r="Q786" t="str">
        <x:f>IFERROR(XLOOKUP(E786,Lookups!$A$5:$A$24,Lookups!$B$5:$B$24),"Other")</x:f>
        <x:v>LinkedIn</x:v>
      </x:c>
      <x:c r="R786" t="str">
        <x:f>IFERROR(XLOOKUP(F786,Lookups!$D$5:$D$10,Lookups!$E$5:$E$10),"Unknown Product")</x:f>
        <x:v>Analytics Plus</x:v>
      </x:c>
      <x:c r="S786" t="str">
        <x:f>IFERROR(XLOOKUP(F786,Lookups!$D$5:$D$10,Lookups!$F$5:$F$10),"Unknown")</x:f>
        <x:v>Analytics</x:v>
      </x:c>
      <x:c r="T786" t="str">
        <x:f>IF(L786&gt;=50000,"Enterprise",IF(L786&gt;=20000,"Mid-Market","SMB"))</x:f>
        <x:v>Mid-Market</x:v>
      </x:c>
      <x:c r="U786" t="str">
        <x:f>IF(I786="Closed Won","Won",IF(I786="Closed Lost","Lost","Open"))</x:f>
        <x:v>Won</x:v>
      </x:c>
      <x:c r="V786" s="22" t="n">
        <x:f>IF(U786="Won",L786*(1-M786),0)</x:f>
        <x:v>24400</x:v>
      </x:c>
      <x:c r="W786" s="22" t="n">
        <x:f>IF(U786="Open",L786*N786,0)</x:f>
        <x:v>0</x:v>
      </x:c>
      <x:c r="X786" s="26" t="n">
        <x:f>IF(U786="Open","",IFERROR(K786-B786,""))</x:f>
        <x:v>93</x:v>
      </x:c>
      <x:c r="Y786" s="26" t="n">
        <x:f>IF(U786="Open",Lookups!$B$2-B786,X786)</x:f>
        <x:v>93</x:v>
      </x:c>
      <x:c r="Z786" t="str">
        <x:f>IF(AND(U786="Open",Y786&gt;30),"STALE","OK")</x:f>
        <x:v>OK</x:v>
      </x:c>
      <x:c r="AA786" t="str">
        <x:f>TEXT(B786,"yyyy-mm")</x:f>
        <x:v>2026-01</x:v>
      </x:c>
      <x:c r="AB786" t="str">
        <x:f>IF(K786="","",TEXT(K786,"yyyy-mm"))</x:f>
        <x:v>2026-04</x:v>
      </x:c>
      <x:c r="AC786" t="str">
        <x:f>"Q"&amp;ROUNDUP(MONTH(B786)/3,0)&amp;"-"&amp;YEAR(B786)</x:f>
        <x:v>Q1-2026</x:v>
      </x:c>
      <x:c r="AD786" s="26" t="n">
        <x:f>MIN(100,IF(H786="Enterprise",30,IF(H786="Mid-Market",22,14))+IF(T786="Enterprise",25,IF(T786="Mid-Market",18,10))+IF(Q786="Referral",25,IF(Q786="Organic Search",20,IF(Q786="Email",18,14)))+IF(G786="Technology",10,5))</x:f>
        <x:v>51</x:v>
      </x:c>
      <x:c r="AE786" t="str">
        <x:f>IF(U786&lt;&gt;"Open",U786,IF(N786&gt;=0.8,"Commit",IF(N786&gt;=0.5,"Best Case","Pipeline")))</x:f>
        <x:v>Won</x:v>
      </x:c>
    </x:row>
    <x:row r="787">
      <x:c r="A787" t="str">
        <x:v>L00786</x:v>
      </x:c>
      <x:c r="B787" s="10" t="n">
        <x:v>45831</x:v>
      </x:c>
      <x:c r="C787" t="str">
        <x:v>Ha Vo</x:v>
      </x:c>
      <x:c r="D787" t="str">
        <x:v>North</x:v>
      </x:c>
      <x:c r="E787" t="str">
        <x:v>Referral</x:v>
      </x:c>
      <x:c r="F787" t="str">
        <x:v>CS-CLOUD</x:v>
      </x:c>
      <x:c r="G787" t="str">
        <x:v>Retail</x:v>
      </x:c>
      <x:c r="H787" t="str">
        <x:v>Mid-Market</x:v>
      </x:c>
      <x:c r="I787" t="str">
        <x:v>Closed Lost</x:v>
      </x:c>
      <x:c r="J787" s="10" t="n">
        <x:v>45882</x:v>
      </x:c>
      <x:c r="K787" s="10" t="n">
        <x:v>45882</x:v>
      </x:c>
      <x:c r="L787" s="22" t="n">
        <x:v>31300</x:v>
      </x:c>
      <x:c r="M787" s="24" t="n">
        <x:v>0</x:v>
      </x:c>
      <x:c r="N787" s="24" t="n">
        <x:v>0</x:v>
      </x:c>
      <x:c r="O787" t="str">
        <x:v>Budget</x:v>
      </x:c>
      <x:c r="P787" t="n">
        <x:v>4</x:v>
      </x:c>
      <x:c r="Q787" t="str">
        <x:f>IFERROR(XLOOKUP(E787,Lookups!$A$5:$A$24,Lookups!$B$5:$B$24),"Other")</x:f>
        <x:v>Referral</x:v>
      </x:c>
      <x:c r="R787" t="str">
        <x:f>IFERROR(XLOOKUP(F787,Lookups!$D$5:$D$10,Lookups!$E$5:$E$10),"Unknown Product")</x:f>
        <x:v>Service Cloud</x:v>
      </x:c>
      <x:c r="S787" t="str">
        <x:f>IFERROR(XLOOKUP(F787,Lookups!$D$5:$D$10,Lookups!$F$5:$F$10),"Unknown")</x:f>
        <x:v>Customer Service</x:v>
      </x:c>
      <x:c r="T787" t="str">
        <x:f>IF(L787&gt;=50000,"Enterprise",IF(L787&gt;=20000,"Mid-Market","SMB"))</x:f>
        <x:v>Mid-Market</x:v>
      </x:c>
      <x:c r="U787" t="str">
        <x:f>IF(I787="Closed Won","Won",IF(I787="Closed Lost","Lost","Open"))</x:f>
        <x:v>Lost</x:v>
      </x:c>
      <x:c r="V787" s="22" t="n">
        <x:f>IF(U787="Won",L787*(1-M787),0)</x:f>
        <x:v>0</x:v>
      </x:c>
      <x:c r="W787" s="22" t="n">
        <x:f>IF(U787="Open",L787*N787,0)</x:f>
        <x:v>0</x:v>
      </x:c>
      <x:c r="X787" s="26" t="n">
        <x:f>IF(U787="Open","",IFERROR(K787-B787,""))</x:f>
        <x:v>51</x:v>
      </x:c>
      <x:c r="Y787" s="26" t="n">
        <x:f>IF(U787="Open",Lookups!$B$2-B787,X787)</x:f>
        <x:v>51</x:v>
      </x:c>
      <x:c r="Z787" t="str">
        <x:f>IF(AND(U787="Open",Y787&gt;30),"STALE","OK")</x:f>
        <x:v>OK</x:v>
      </x:c>
      <x:c r="AA787" t="str">
        <x:f>TEXT(B787,"yyyy-mm")</x:f>
        <x:v>2025-06</x:v>
      </x:c>
      <x:c r="AB787" t="str">
        <x:f>IF(K787="","",TEXT(K787,"yyyy-mm"))</x:f>
        <x:v>2025-08</x:v>
      </x:c>
      <x:c r="AC787" t="str">
        <x:f>"Q"&amp;ROUNDUP(MONTH(B787)/3,0)&amp;"-"&amp;YEAR(B787)</x:f>
        <x:v>Q2-2025</x:v>
      </x:c>
      <x:c r="AD787" s="26" t="n">
        <x:f>MIN(100,IF(H787="Enterprise",30,IF(H787="Mid-Market",22,14))+IF(T787="Enterprise",25,IF(T787="Mid-Market",18,10))+IF(Q787="Referral",25,IF(Q787="Organic Search",20,IF(Q787="Email",18,14)))+IF(G787="Technology",10,5))</x:f>
        <x:v>70</x:v>
      </x:c>
      <x:c r="AE787" t="str">
        <x:f>IF(U787&lt;&gt;"Open",U787,IF(N787&gt;=0.8,"Commit",IF(N787&gt;=0.5,"Best Case","Pipeline")))</x:f>
        <x:v>Lost</x:v>
      </x:c>
    </x:row>
    <x:row r="788">
      <x:c r="A788" t="str">
        <x:v>L00787</x:v>
      </x:c>
      <x:c r="B788" s="10" t="n">
        <x:v>46196</x:v>
      </x:c>
      <x:c r="C788" t="str">
        <x:v>An Nguyen</x:v>
      </x:c>
      <x:c r="D788" t="str">
        <x:v>South</x:v>
      </x:c>
      <x:c r="E788" t="str">
        <x:v>customer referral</x:v>
      </x:c>
      <x:c r="F788" t="str">
        <x:v>REV-OPS</x:v>
      </x:c>
      <x:c r="G788" t="str">
        <x:v>Retail</x:v>
      </x:c>
      <x:c r="H788" t="str">
        <x:v>SMB</x:v>
      </x:c>
      <x:c r="I788" t="str">
        <x:v>Demo / Meeting</x:v>
      </x:c>
      <x:c r="J788" s="10" t="n">
        <x:v>46242</x:v>
      </x:c>
      <x:c r="K788" s="10"/>
      <x:c r="L788" s="22" t="n">
        <x:v>38900</x:v>
      </x:c>
      <x:c r="M788" s="24" t="n">
        <x:v>0</x:v>
      </x:c>
      <x:c r="N788" s="24" t="n">
        <x:v>0.4</x:v>
      </x:c>
      <x:c r="O788" t="str"/>
      <x:c r="P788" t="n">
        <x:v>3</x:v>
      </x:c>
      <x:c r="Q788" t="str">
        <x:f>IFERROR(XLOOKUP(E788,Lookups!$A$5:$A$24,Lookups!$B$5:$B$24),"Other")</x:f>
        <x:v>Referral</x:v>
      </x:c>
      <x:c r="R788" t="str">
        <x:f>IFERROR(XLOOKUP(F788,Lookups!$D$5:$D$10,Lookups!$E$5:$E$10),"Unknown Product")</x:f>
        <x:v>Revenue Operations Suite</x:v>
      </x:c>
      <x:c r="S788" t="str">
        <x:f>IFERROR(XLOOKUP(F788,Lookups!$D$5:$D$10,Lookups!$F$5:$F$10),"Unknown")</x:f>
        <x:v>Revenue Ops</x:v>
      </x:c>
      <x:c r="T788" t="str">
        <x:f>IF(L788&gt;=50000,"Enterprise",IF(L788&gt;=20000,"Mid-Market","SMB"))</x:f>
        <x:v>Mid-Market</x:v>
      </x:c>
      <x:c r="U788" t="str">
        <x:f>IF(I788="Closed Won","Won",IF(I788="Closed Lost","Lost","Open"))</x:f>
        <x:v>Open</x:v>
      </x:c>
      <x:c r="V788" s="22" t="n">
        <x:f>IF(U788="Won",L788*(1-M788),0)</x:f>
        <x:v>0</x:v>
      </x:c>
      <x:c r="W788" s="22" t="n">
        <x:f>IF(U788="Open",L788*N788,0)</x:f>
        <x:v>15560</x:v>
      </x:c>
      <x:c r="X788" s="26" t="str">
        <x:f>IF(U788="Open","",IFERROR(K788-B788,""))</x:f>
      </x:c>
      <x:c r="Y788" s="26" t="n">
        <x:f>IF(U788="Open",Lookups!$B$2-B788,X788)</x:f>
        <x:v>70</x:v>
      </x:c>
      <x:c r="Z788" t="str">
        <x:f>IF(AND(U788="Open",Y788&gt;30),"STALE","OK")</x:f>
        <x:v>STALE</x:v>
      </x:c>
      <x:c r="AA788" t="str">
        <x:f>TEXT(B788,"yyyy-mm")</x:f>
        <x:v>2026-06</x:v>
      </x:c>
      <x:c r="AB788" t="str">
        <x:f>IF(K788="","",TEXT(K788,"yyyy-mm"))</x:f>
      </x:c>
      <x:c r="AC788" t="str">
        <x:f>"Q"&amp;ROUNDUP(MONTH(B788)/3,0)&amp;"-"&amp;YEAR(B788)</x:f>
        <x:v>Q2-2026</x:v>
      </x:c>
      <x:c r="AD788" s="26" t="n">
        <x:f>MIN(100,IF(H788="Enterprise",30,IF(H788="Mid-Market",22,14))+IF(T788="Enterprise",25,IF(T788="Mid-Market",18,10))+IF(Q788="Referral",25,IF(Q788="Organic Search",20,IF(Q788="Email",18,14)))+IF(G788="Technology",10,5))</x:f>
        <x:v>62</x:v>
      </x:c>
      <x:c r="AE788" t="str">
        <x:f>IF(U788&lt;&gt;"Open",U788,IF(N788&gt;=0.8,"Commit",IF(N788&gt;=0.5,"Best Case","Pipeline")))</x:f>
        <x:v>Pipeline</x:v>
      </x:c>
    </x:row>
    <x:row r="789">
      <x:c r="A789" t="str">
        <x:v>L00788</x:v>
      </x:c>
      <x:c r="B789" s="10" t="n">
        <x:v>45708</x:v>
      </x:c>
      <x:c r="C789" t="str">
        <x:v>Quynh Vu</x:v>
      </x:c>
      <x:c r="D789" t="str">
        <x:v>North</x:v>
      </x:c>
      <x:c r="E789" t="str">
        <x:v>Partner Referral</x:v>
      </x:c>
      <x:c r="F789" t="str">
        <x:v>BI-PLUS</x:v>
      </x:c>
      <x:c r="G789" t="str">
        <x:v>Healthcare</x:v>
      </x:c>
      <x:c r="H789" t="str">
        <x:v>SMB</x:v>
      </x:c>
      <x:c r="I789" t="str">
        <x:v>Closed Lost</x:v>
      </x:c>
      <x:c r="J789" s="10" t="n">
        <x:v>45749</x:v>
      </x:c>
      <x:c r="K789" s="10" t="n">
        <x:v>45749</x:v>
      </x:c>
      <x:c r="L789" s="22" t="n">
        <x:v>22500</x:v>
      </x:c>
      <x:c r="M789" s="24" t="n">
        <x:v>0</x:v>
      </x:c>
      <x:c r="N789" s="24" t="n">
        <x:v>0</x:v>
      </x:c>
      <x:c r="O789" t="str">
        <x:v>Budget</x:v>
      </x:c>
      <x:c r="P789" t="n">
        <x:v>4</x:v>
      </x:c>
      <x:c r="Q789" t="str">
        <x:f>IFERROR(XLOOKUP(E789,Lookups!$A$5:$A$24,Lookups!$B$5:$B$24),"Other")</x:f>
        <x:v>Referral</x:v>
      </x:c>
      <x:c r="R789" t="str">
        <x:f>IFERROR(XLOOKUP(F789,Lookups!$D$5:$D$10,Lookups!$E$5:$E$10),"Unknown Product")</x:f>
        <x:v>Analytics Plus</x:v>
      </x:c>
      <x:c r="S789" t="str">
        <x:f>IFERROR(XLOOKUP(F789,Lookups!$D$5:$D$10,Lookups!$F$5:$F$10),"Unknown")</x:f>
        <x:v>Analytics</x:v>
      </x:c>
      <x:c r="T789" t="str">
        <x:f>IF(L789&gt;=50000,"Enterprise",IF(L789&gt;=20000,"Mid-Market","SMB"))</x:f>
        <x:v>Mid-Market</x:v>
      </x:c>
      <x:c r="U789" t="str">
        <x:f>IF(I789="Closed Won","Won",IF(I789="Closed Lost","Lost","Open"))</x:f>
        <x:v>Lost</x:v>
      </x:c>
      <x:c r="V789" s="22" t="n">
        <x:f>IF(U789="Won",L789*(1-M789),0)</x:f>
        <x:v>0</x:v>
      </x:c>
      <x:c r="W789" s="22" t="n">
        <x:f>IF(U789="Open",L789*N789,0)</x:f>
        <x:v>0</x:v>
      </x:c>
      <x:c r="X789" s="26" t="n">
        <x:f>IF(U789="Open","",IFERROR(K789-B789,""))</x:f>
        <x:v>41</x:v>
      </x:c>
      <x:c r="Y789" s="26" t="n">
        <x:f>IF(U789="Open",Lookups!$B$2-B789,X789)</x:f>
        <x:v>41</x:v>
      </x:c>
      <x:c r="Z789" t="str">
        <x:f>IF(AND(U789="Open",Y789&gt;30),"STALE","OK")</x:f>
        <x:v>OK</x:v>
      </x:c>
      <x:c r="AA789" t="str">
        <x:f>TEXT(B789,"yyyy-mm")</x:f>
        <x:v>2025-02</x:v>
      </x:c>
      <x:c r="AB789" t="str">
        <x:f>IF(K789="","",TEXT(K789,"yyyy-mm"))</x:f>
        <x:v>2025-04</x:v>
      </x:c>
      <x:c r="AC789" t="str">
        <x:f>"Q"&amp;ROUNDUP(MONTH(B789)/3,0)&amp;"-"&amp;YEAR(B789)</x:f>
        <x:v>Q1-2025</x:v>
      </x:c>
      <x:c r="AD789" s="26" t="n">
        <x:f>MIN(100,IF(H789="Enterprise",30,IF(H789="Mid-Market",22,14))+IF(T789="Enterprise",25,IF(T789="Mid-Market",18,10))+IF(Q789="Referral",25,IF(Q789="Organic Search",20,IF(Q789="Email",18,14)))+IF(G789="Technology",10,5))</x:f>
        <x:v>62</x:v>
      </x:c>
      <x:c r="AE789" t="str">
        <x:f>IF(U789&lt;&gt;"Open",U789,IF(N789&gt;=0.8,"Commit",IF(N789&gt;=0.5,"Best Case","Pipeline")))</x:f>
        <x:v>Lost</x:v>
      </x:c>
    </x:row>
    <x:row r="790">
      <x:c r="A790" t="str">
        <x:v>L00789</x:v>
      </x:c>
      <x:c r="B790" s="10" t="n">
        <x:v>46087</x:v>
      </x:c>
      <x:c r="C790" t="str">
        <x:v>Minh Do</x:v>
      </x:c>
      <x:c r="D790" t="str">
        <x:v>North</x:v>
      </x:c>
      <x:c r="E790" t="str">
        <x:v>Google Organic</x:v>
      </x:c>
      <x:c r="F790" t="str">
        <x:v>CRM-PRO</x:v>
      </x:c>
      <x:c r="G790" t="str">
        <x:v>Manufacturing</x:v>
      </x:c>
      <x:c r="H790" t="str">
        <x:v>Mid-Market</x:v>
      </x:c>
      <x:c r="I790" t="str">
        <x:v>Negotiation</x:v>
      </x:c>
      <x:c r="J790" s="10" t="n">
        <x:v>46151</x:v>
      </x:c>
      <x:c r="K790" s="10"/>
      <x:c r="L790" s="22" t="n">
        <x:v>32800</x:v>
      </x:c>
      <x:c r="M790" s="24" t="n">
        <x:v>0</x:v>
      </x:c>
      <x:c r="N790" s="24" t="n">
        <x:v>0.85</x:v>
      </x:c>
      <x:c r="O790" t="str"/>
      <x:c r="P790" t="n">
        <x:v>5</x:v>
      </x:c>
      <x:c r="Q790" t="str">
        <x:f>IFERROR(XLOOKUP(E790,Lookups!$A$5:$A$24,Lookups!$B$5:$B$24),"Other")</x:f>
        <x:v>Organic Search</x:v>
      </x:c>
      <x:c r="R790" t="str">
        <x:f>IFERROR(XLOOKUP(F790,Lookups!$D$5:$D$10,Lookups!$E$5:$E$10),"Unknown Product")</x:f>
        <x:v>NexaCRM Pro</x:v>
      </x:c>
      <x:c r="S790" t="str">
        <x:f>IFERROR(XLOOKUP(F790,Lookups!$D$5:$D$10,Lookups!$F$5:$F$10),"Unknown")</x:f>
        <x:v>CRM</x:v>
      </x:c>
      <x:c r="T790" t="str">
        <x:f>IF(L790&gt;=50000,"Enterprise",IF(L790&gt;=20000,"Mid-Market","SMB"))</x:f>
        <x:v>Mid-Market</x:v>
      </x:c>
      <x:c r="U790" t="str">
        <x:f>IF(I790="Closed Won","Won",IF(I790="Closed Lost","Lost","Open"))</x:f>
        <x:v>Open</x:v>
      </x:c>
      <x:c r="V790" s="22" t="n">
        <x:f>IF(U790="Won",L790*(1-M790),0)</x:f>
        <x:v>0</x:v>
      </x:c>
      <x:c r="W790" s="22" t="n">
        <x:f>IF(U790="Open",L790*N790,0)</x:f>
        <x:v>27880</x:v>
      </x:c>
      <x:c r="X790" s="26" t="str">
        <x:f>IF(U790="Open","",IFERROR(K790-B790,""))</x:f>
      </x:c>
      <x:c r="Y790" s="26" t="n">
        <x:f>IF(U790="Open",Lookups!$B$2-B790,X790)</x:f>
        <x:v>179</x:v>
      </x:c>
      <x:c r="Z790" t="str">
        <x:f>IF(AND(U790="Open",Y790&gt;30),"STALE","OK")</x:f>
        <x:v>STALE</x:v>
      </x:c>
      <x:c r="AA790" t="str">
        <x:f>TEXT(B790,"yyyy-mm")</x:f>
        <x:v>2026-03</x:v>
      </x:c>
      <x:c r="AB790" t="str">
        <x:f>IF(K790="","",TEXT(K790,"yyyy-mm"))</x:f>
      </x:c>
      <x:c r="AC790" t="str">
        <x:f>"Q"&amp;ROUNDUP(MONTH(B790)/3,0)&amp;"-"&amp;YEAR(B790)</x:f>
        <x:v>Q1-2026</x:v>
      </x:c>
      <x:c r="AD790" s="26" t="n">
        <x:f>MIN(100,IF(H790="Enterprise",30,IF(H790="Mid-Market",22,14))+IF(T790="Enterprise",25,IF(T790="Mid-Market",18,10))+IF(Q790="Referral",25,IF(Q790="Organic Search",20,IF(Q790="Email",18,14)))+IF(G790="Technology",10,5))</x:f>
        <x:v>65</x:v>
      </x:c>
      <x:c r="AE790" t="str">
        <x:f>IF(U790&lt;&gt;"Open",U790,IF(N790&gt;=0.8,"Commit",IF(N790&gt;=0.5,"Best Case","Pipeline")))</x:f>
        <x:v>Commit</x:v>
      </x:c>
    </x:row>
    <x:row r="791">
      <x:c r="A791" t="str">
        <x:v>L00790</x:v>
      </x:c>
      <x:c r="B791" s="10" t="n">
        <x:v>46075</x:v>
      </x:c>
      <x:c r="C791" t="str">
        <x:v>Minh Do</x:v>
      </x:c>
      <x:c r="D791" t="str">
        <x:v>North</x:v>
      </x:c>
      <x:c r="E791" t="str">
        <x:v>virtual event</x:v>
      </x:c>
      <x:c r="F791" t="str">
        <x:v>CRM-CORE</x:v>
      </x:c>
      <x:c r="G791" t="str">
        <x:v>Technology</x:v>
      </x:c>
      <x:c r="H791" t="str">
        <x:v>SMB</x:v>
      </x:c>
      <x:c r="I791" t="str">
        <x:v>Closed Lost</x:v>
      </x:c>
      <x:c r="J791" s="10" t="n">
        <x:v>46157</x:v>
      </x:c>
      <x:c r="K791" s="10" t="n">
        <x:v>46157</x:v>
      </x:c>
      <x:c r="L791" s="22" t="n">
        <x:v>7800</x:v>
      </x:c>
      <x:c r="M791" s="24" t="n">
        <x:v>0</x:v>
      </x:c>
      <x:c r="N791" s="24" t="n">
        <x:v>0</x:v>
      </x:c>
      <x:c r="O791" t="str">
        <x:v>Price</x:v>
      </x:c>
      <x:c r="P791" t="n">
        <x:v>3</x:v>
      </x:c>
      <x:c r="Q791" t="str">
        <x:f>IFERROR(XLOOKUP(E791,Lookups!$A$5:$A$24,Lookups!$B$5:$B$24),"Other")</x:f>
        <x:v>Webinar</x:v>
      </x:c>
      <x:c r="R791" t="str">
        <x:f>IFERROR(XLOOKUP(F791,Lookups!$D$5:$D$10,Lookups!$E$5:$E$10),"Unknown Product")</x:f>
        <x:v>NexaCRM Core</x:v>
      </x:c>
      <x:c r="S791" t="str">
        <x:f>IFERROR(XLOOKUP(F791,Lookups!$D$5:$D$10,Lookups!$F$5:$F$10),"Unknown")</x:f>
        <x:v>CRM</x:v>
      </x:c>
      <x:c r="T791" t="str">
        <x:f>IF(L791&gt;=50000,"Enterprise",IF(L791&gt;=20000,"Mid-Market","SMB"))</x:f>
        <x:v>SMB</x:v>
      </x:c>
      <x:c r="U791" t="str">
        <x:f>IF(I791="Closed Won","Won",IF(I791="Closed Lost","Lost","Open"))</x:f>
        <x:v>Lost</x:v>
      </x:c>
      <x:c r="V791" s="22" t="n">
        <x:f>IF(U791="Won",L791*(1-M791),0)</x:f>
        <x:v>0</x:v>
      </x:c>
      <x:c r="W791" s="22" t="n">
        <x:f>IF(U791="Open",L791*N791,0)</x:f>
        <x:v>0</x:v>
      </x:c>
      <x:c r="X791" s="26" t="n">
        <x:f>IF(U791="Open","",IFERROR(K791-B791,""))</x:f>
        <x:v>82</x:v>
      </x:c>
      <x:c r="Y791" s="26" t="n">
        <x:f>IF(U791="Open",Lookups!$B$2-B791,X791)</x:f>
        <x:v>82</x:v>
      </x:c>
      <x:c r="Z791" t="str">
        <x:f>IF(AND(U791="Open",Y791&gt;30),"STALE","OK")</x:f>
        <x:v>OK</x:v>
      </x:c>
      <x:c r="AA791" t="str">
        <x:f>TEXT(B791,"yyyy-mm")</x:f>
        <x:v>2026-02</x:v>
      </x:c>
      <x:c r="AB791" t="str">
        <x:f>IF(K791="","",TEXT(K791,"yyyy-mm"))</x:f>
        <x:v>2026-05</x:v>
      </x:c>
      <x:c r="AC791" t="str">
        <x:f>"Q"&amp;ROUNDUP(MONTH(B791)/3,0)&amp;"-"&amp;YEAR(B791)</x:f>
        <x:v>Q1-2026</x:v>
      </x:c>
      <x:c r="AD791" s="26" t="n">
        <x:f>MIN(100,IF(H791="Enterprise",30,IF(H791="Mid-Market",22,14))+IF(T791="Enterprise",25,IF(T791="Mid-Market",18,10))+IF(Q791="Referral",25,IF(Q791="Organic Search",20,IF(Q791="Email",18,14)))+IF(G791="Technology",10,5))</x:f>
        <x:v>48</x:v>
      </x:c>
      <x:c r="AE791" t="str">
        <x:f>IF(U791&lt;&gt;"Open",U791,IF(N791&gt;=0.8,"Commit",IF(N791&gt;=0.5,"Best Case","Pipeline")))</x:f>
        <x:v>Lost</x:v>
      </x:c>
    </x:row>
    <x:row r="792">
      <x:c r="A792" t="str">
        <x:v>L00791</x:v>
      </x:c>
      <x:c r="B792" s="10" t="n">
        <x:v>45703</x:v>
      </x:c>
      <x:c r="C792" t="str">
        <x:v>An Nguyen</x:v>
      </x:c>
      <x:c r="D792" t="str">
        <x:v>South</x:v>
      </x:c>
      <x:c r="E792" t="str">
        <x:v>LinkedIn Ads</x:v>
      </x:c>
      <x:c r="F792" t="str">
        <x:v>CRM-CORE</x:v>
      </x:c>
      <x:c r="G792" t="str">
        <x:v>Technology</x:v>
      </x:c>
      <x:c r="H792" t="str">
        <x:v>Mid-Market</x:v>
      </x:c>
      <x:c r="I792" t="str">
        <x:v>Closed Lost</x:v>
      </x:c>
      <x:c r="J792" s="10" t="n">
        <x:v>45731</x:v>
      </x:c>
      <x:c r="K792" s="10" t="n">
        <x:v>45731</x:v>
      </x:c>
      <x:c r="L792" s="22" t="n">
        <x:v>12000</x:v>
      </x:c>
      <x:c r="M792" s="24" t="n">
        <x:v>0</x:v>
      </x:c>
      <x:c r="N792" s="24" t="n">
        <x:v>0</x:v>
      </x:c>
      <x:c r="O792" t="str">
        <x:v>Price</x:v>
      </x:c>
      <x:c r="P792" t="n">
        <x:v>4</x:v>
      </x:c>
      <x:c r="Q792" t="str">
        <x:f>IFERROR(XLOOKUP(E792,Lookups!$A$5:$A$24,Lookups!$B$5:$B$24),"Other")</x:f>
        <x:v>LinkedIn</x:v>
      </x:c>
      <x:c r="R792" t="str">
        <x:f>IFERROR(XLOOKUP(F792,Lookups!$D$5:$D$10,Lookups!$E$5:$E$10),"Unknown Product")</x:f>
        <x:v>NexaCRM Core</x:v>
      </x:c>
      <x:c r="S792" t="str">
        <x:f>IFERROR(XLOOKUP(F792,Lookups!$D$5:$D$10,Lookups!$F$5:$F$10),"Unknown")</x:f>
        <x:v>CRM</x:v>
      </x:c>
      <x:c r="T792" t="str">
        <x:f>IF(L792&gt;=50000,"Enterprise",IF(L792&gt;=20000,"Mid-Market","SMB"))</x:f>
        <x:v>SMB</x:v>
      </x:c>
      <x:c r="U792" t="str">
        <x:f>IF(I792="Closed Won","Won",IF(I792="Closed Lost","Lost","Open"))</x:f>
        <x:v>Lost</x:v>
      </x:c>
      <x:c r="V792" s="22" t="n">
        <x:f>IF(U792="Won",L792*(1-M792),0)</x:f>
        <x:v>0</x:v>
      </x:c>
      <x:c r="W792" s="22" t="n">
        <x:f>IF(U792="Open",L792*N792,0)</x:f>
        <x:v>0</x:v>
      </x:c>
      <x:c r="X792" s="26" t="n">
        <x:f>IF(U792="Open","",IFERROR(K792-B792,""))</x:f>
        <x:v>28</x:v>
      </x:c>
      <x:c r="Y792" s="26" t="n">
        <x:f>IF(U792="Open",Lookups!$B$2-B792,X792)</x:f>
        <x:v>28</x:v>
      </x:c>
      <x:c r="Z792" t="str">
        <x:f>IF(AND(U792="Open",Y792&gt;30),"STALE","OK")</x:f>
        <x:v>OK</x:v>
      </x:c>
      <x:c r="AA792" t="str">
        <x:f>TEXT(B792,"yyyy-mm")</x:f>
        <x:v>2025-02</x:v>
      </x:c>
      <x:c r="AB792" t="str">
        <x:f>IF(K792="","",TEXT(K792,"yyyy-mm"))</x:f>
        <x:v>2025-03</x:v>
      </x:c>
      <x:c r="AC792" t="str">
        <x:f>"Q"&amp;ROUNDUP(MONTH(B792)/3,0)&amp;"-"&amp;YEAR(B792)</x:f>
        <x:v>Q1-2025</x:v>
      </x:c>
      <x:c r="AD792" s="26" t="n">
        <x:f>MIN(100,IF(H792="Enterprise",30,IF(H792="Mid-Market",22,14))+IF(T792="Enterprise",25,IF(T792="Mid-Market",18,10))+IF(Q792="Referral",25,IF(Q792="Organic Search",20,IF(Q792="Email",18,14)))+IF(G792="Technology",10,5))</x:f>
        <x:v>56</x:v>
      </x:c>
      <x:c r="AE792" t="str">
        <x:f>IF(U792&lt;&gt;"Open",U792,IF(N792&gt;=0.8,"Commit",IF(N792&gt;=0.5,"Best Case","Pipeline")))</x:f>
        <x:v>Lost</x:v>
      </x:c>
    </x:row>
    <x:row r="793">
      <x:c r="A793" t="str">
        <x:v>L00792</x:v>
      </x:c>
      <x:c r="B793" s="10" t="n">
        <x:v>46007</x:v>
      </x:c>
      <x:c r="C793" t="str">
        <x:v>Duy Pham</x:v>
      </x:c>
      <x:c r="D793" t="str">
        <x:v>South</x:v>
      </x:c>
      <x:c r="E793" t="str">
        <x:v>SEO</x:v>
      </x:c>
      <x:c r="F793" t="str">
        <x:v>MKT-AUTO</x:v>
      </x:c>
      <x:c r="G793" t="str">
        <x:v>Manufacturing</x:v>
      </x:c>
      <x:c r="H793" t="str">
        <x:v>SMB</x:v>
      </x:c>
      <x:c r="I793" t="str">
        <x:v>Closed Won</x:v>
      </x:c>
      <x:c r="J793" s="10" t="n">
        <x:v>46019</x:v>
      </x:c>
      <x:c r="K793" s="10" t="n">
        <x:v>46019</x:v>
      </x:c>
      <x:c r="L793" s="22" t="n">
        <x:v>11600</x:v>
      </x:c>
      <x:c r="M793" s="24" t="n">
        <x:v>0.03</x:v>
      </x:c>
      <x:c r="N793" s="24" t="n">
        <x:v>1</x:v>
      </x:c>
      <x:c r="O793" t="str"/>
      <x:c r="P793" t="n">
        <x:v>6</x:v>
      </x:c>
      <x:c r="Q793" t="str">
        <x:f>IFERROR(XLOOKUP(E793,Lookups!$A$5:$A$24,Lookups!$B$5:$B$24),"Other")</x:f>
        <x:v>Organic Search</x:v>
      </x:c>
      <x:c r="R793" t="str">
        <x:f>IFERROR(XLOOKUP(F793,Lookups!$D$5:$D$10,Lookups!$E$5:$E$10),"Unknown Product")</x:f>
        <x:v>Marketing Automation</x:v>
      </x:c>
      <x:c r="S793" t="str">
        <x:f>IFERROR(XLOOKUP(F793,Lookups!$D$5:$D$10,Lookups!$F$5:$F$10),"Unknown")</x:f>
        <x:v>Marketing</x:v>
      </x:c>
      <x:c r="T793" t="str">
        <x:f>IF(L793&gt;=50000,"Enterprise",IF(L793&gt;=20000,"Mid-Market","SMB"))</x:f>
        <x:v>SMB</x:v>
      </x:c>
      <x:c r="U793" t="str">
        <x:f>IF(I793="Closed Won","Won",IF(I793="Closed Lost","Lost","Open"))</x:f>
        <x:v>Won</x:v>
      </x:c>
      <x:c r="V793" s="22" t="n">
        <x:f>IF(U793="Won",L793*(1-M793),0)</x:f>
        <x:v>11252</x:v>
      </x:c>
      <x:c r="W793" s="22" t="n">
        <x:f>IF(U793="Open",L793*N793,0)</x:f>
        <x:v>0</x:v>
      </x:c>
      <x:c r="X793" s="26" t="n">
        <x:f>IF(U793="Open","",IFERROR(K793-B793,""))</x:f>
        <x:v>12</x:v>
      </x:c>
      <x:c r="Y793" s="26" t="n">
        <x:f>IF(U793="Open",Lookups!$B$2-B793,X793)</x:f>
        <x:v>12</x:v>
      </x:c>
      <x:c r="Z793" t="str">
        <x:f>IF(AND(U793="Open",Y793&gt;30),"STALE","OK")</x:f>
        <x:v>OK</x:v>
      </x:c>
      <x:c r="AA793" t="str">
        <x:f>TEXT(B793,"yyyy-mm")</x:f>
        <x:v>2025-12</x:v>
      </x:c>
      <x:c r="AB793" t="str">
        <x:f>IF(K793="","",TEXT(K793,"yyyy-mm"))</x:f>
        <x:v>2025-12</x:v>
      </x:c>
      <x:c r="AC793" t="str">
        <x:f>"Q"&amp;ROUNDUP(MONTH(B793)/3,0)&amp;"-"&amp;YEAR(B793)</x:f>
        <x:v>Q4-2025</x:v>
      </x:c>
      <x:c r="AD793" s="26" t="n">
        <x:f>MIN(100,IF(H793="Enterprise",30,IF(H793="Mid-Market",22,14))+IF(T793="Enterprise",25,IF(T793="Mid-Market",18,10))+IF(Q793="Referral",25,IF(Q793="Organic Search",20,IF(Q793="Email",18,14)))+IF(G793="Technology",10,5))</x:f>
        <x:v>49</x:v>
      </x:c>
      <x:c r="AE793" t="str">
        <x:f>IF(U793&lt;&gt;"Open",U793,IF(N793&gt;=0.8,"Commit",IF(N793&gt;=0.5,"Best Case","Pipeline")))</x:f>
        <x:v>Won</x:v>
      </x:c>
    </x:row>
    <x:row r="794">
      <x:c r="A794" t="str">
        <x:v>L00793</x:v>
      </x:c>
      <x:c r="B794" s="10" t="n">
        <x:v>45779</x:v>
      </x:c>
      <x:c r="C794" t="str">
        <x:v>Quynh Vu</x:v>
      </x:c>
      <x:c r="D794" t="str">
        <x:v>North</x:v>
      </x:c>
      <x:c r="E794" t="str">
        <x:v>LinkedIn Ads</x:v>
      </x:c>
      <x:c r="F794" t="str">
        <x:v>MKT-AUTO</x:v>
      </x:c>
      <x:c r="G794" t="str">
        <x:v>Professional Services</x:v>
      </x:c>
      <x:c r="H794" t="str">
        <x:v>SMB</x:v>
      </x:c>
      <x:c r="I794" t="str">
        <x:v>Closed Lost</x:v>
      </x:c>
      <x:c r="J794" s="10" t="n">
        <x:v>45821</x:v>
      </x:c>
      <x:c r="K794" s="10" t="n">
        <x:v>45821</x:v>
      </x:c>
      <x:c r="L794" s="22" t="n">
        <x:v>9600</x:v>
      </x:c>
      <x:c r="M794" s="24" t="n">
        <x:v>0</x:v>
      </x:c>
      <x:c r="N794" s="24" t="n">
        <x:v>0</x:v>
      </x:c>
      <x:c r="O794" t="str">
        <x:v>Price</x:v>
      </x:c>
      <x:c r="P794" t="n">
        <x:v>4</x:v>
      </x:c>
      <x:c r="Q794" t="str">
        <x:f>IFERROR(XLOOKUP(E794,Lookups!$A$5:$A$24,Lookups!$B$5:$B$24),"Other")</x:f>
        <x:v>LinkedIn</x:v>
      </x:c>
      <x:c r="R794" t="str">
        <x:f>IFERROR(XLOOKUP(F794,Lookups!$D$5:$D$10,Lookups!$E$5:$E$10),"Unknown Product")</x:f>
        <x:v>Marketing Automation</x:v>
      </x:c>
      <x:c r="S794" t="str">
        <x:f>IFERROR(XLOOKUP(F794,Lookups!$D$5:$D$10,Lookups!$F$5:$F$10),"Unknown")</x:f>
        <x:v>Marketing</x:v>
      </x:c>
      <x:c r="T794" t="str">
        <x:f>IF(L794&gt;=50000,"Enterprise",IF(L794&gt;=20000,"Mid-Market","SMB"))</x:f>
        <x:v>SMB</x:v>
      </x:c>
      <x:c r="U794" t="str">
        <x:f>IF(I794="Closed Won","Won",IF(I794="Closed Lost","Lost","Open"))</x:f>
        <x:v>Lost</x:v>
      </x:c>
      <x:c r="V794" s="22" t="n">
        <x:f>IF(U794="Won",L794*(1-M794),0)</x:f>
        <x:v>0</x:v>
      </x:c>
      <x:c r="W794" s="22" t="n">
        <x:f>IF(U794="Open",L794*N794,0)</x:f>
        <x:v>0</x:v>
      </x:c>
      <x:c r="X794" s="26" t="n">
        <x:f>IF(U794="Open","",IFERROR(K794-B794,""))</x:f>
        <x:v>42</x:v>
      </x:c>
      <x:c r="Y794" s="26" t="n">
        <x:f>IF(U794="Open",Lookups!$B$2-B794,X794)</x:f>
        <x:v>42</x:v>
      </x:c>
      <x:c r="Z794" t="str">
        <x:f>IF(AND(U794="Open",Y794&gt;30),"STALE","OK")</x:f>
        <x:v>OK</x:v>
      </x:c>
      <x:c r="AA794" t="str">
        <x:f>TEXT(B794,"yyyy-mm")</x:f>
        <x:v>2025-05</x:v>
      </x:c>
      <x:c r="AB794" t="str">
        <x:f>IF(K794="","",TEXT(K794,"yyyy-mm"))</x:f>
        <x:v>2025-06</x:v>
      </x:c>
      <x:c r="AC794" t="str">
        <x:f>"Q"&amp;ROUNDUP(MONTH(B794)/3,0)&amp;"-"&amp;YEAR(B794)</x:f>
        <x:v>Q2-2025</x:v>
      </x:c>
      <x:c r="AD794" s="26" t="n">
        <x:f>MIN(100,IF(H794="Enterprise",30,IF(H794="Mid-Market",22,14))+IF(T794="Enterprise",25,IF(T794="Mid-Market",18,10))+IF(Q794="Referral",25,IF(Q794="Organic Search",20,IF(Q794="Email",18,14)))+IF(G794="Technology",10,5))</x:f>
        <x:v>43</x:v>
      </x:c>
      <x:c r="AE794" t="str">
        <x:f>IF(U794&lt;&gt;"Open",U794,IF(N794&gt;=0.8,"Commit",IF(N794&gt;=0.5,"Best Case","Pipeline")))</x:f>
        <x:v>Lost</x:v>
      </x:c>
    </x:row>
    <x:row r="795">
      <x:c r="A795" t="str">
        <x:v>L00794</x:v>
      </x:c>
      <x:c r="B795" s="10" t="n">
        <x:v>45998</x:v>
      </x:c>
      <x:c r="C795" t="str">
        <x:v>An Nguyen</x:v>
      </x:c>
      <x:c r="D795" t="str">
        <x:v>South</x:v>
      </x:c>
      <x:c r="E795" t="str">
        <x:v>Cold Email</x:v>
      </x:c>
      <x:c r="F795" t="str">
        <x:v>CS-CLOUD</x:v>
      </x:c>
      <x:c r="G795" t="str">
        <x:v>Financial Services</x:v>
      </x:c>
      <x:c r="H795" t="str">
        <x:v>Enterprise</x:v>
      </x:c>
      <x:c r="I795" t="str">
        <x:v>Closed Lost</x:v>
      </x:c>
      <x:c r="J795" s="10" t="n">
        <x:v>46007</x:v>
      </x:c>
      <x:c r="K795" s="10" t="n">
        <x:v>46007</x:v>
      </x:c>
      <x:c r="L795" s="22" t="n">
        <x:v>57600</x:v>
      </x:c>
      <x:c r="M795" s="24" t="n">
        <x:v>0</x:v>
      </x:c>
      <x:c r="N795" s="24" t="n">
        <x:v>0</x:v>
      </x:c>
      <x:c r="O795" t="str">
        <x:v>Timing</x:v>
      </x:c>
      <x:c r="P795" t="n">
        <x:v>5</x:v>
      </x:c>
      <x:c r="Q795" t="str">
        <x:f>IFERROR(XLOOKUP(E795,Lookups!$A$5:$A$24,Lookups!$B$5:$B$24),"Other")</x:f>
        <x:v>Outbound</x:v>
      </x:c>
      <x:c r="R795" t="str">
        <x:f>IFERROR(XLOOKUP(F795,Lookups!$D$5:$D$10,Lookups!$E$5:$E$10),"Unknown Product")</x:f>
        <x:v>Service Cloud</x:v>
      </x:c>
      <x:c r="S795" t="str">
        <x:f>IFERROR(XLOOKUP(F795,Lookups!$D$5:$D$10,Lookups!$F$5:$F$10),"Unknown")</x:f>
        <x:v>Customer Service</x:v>
      </x:c>
      <x:c r="T795" t="str">
        <x:f>IF(L795&gt;=50000,"Enterprise",IF(L795&gt;=20000,"Mid-Market","SMB"))</x:f>
        <x:v>Enterprise</x:v>
      </x:c>
      <x:c r="U795" t="str">
        <x:f>IF(I795="Closed Won","Won",IF(I795="Closed Lost","Lost","Open"))</x:f>
        <x:v>Lost</x:v>
      </x:c>
      <x:c r="V795" s="22" t="n">
        <x:f>IF(U795="Won",L795*(1-M795),0)</x:f>
        <x:v>0</x:v>
      </x:c>
      <x:c r="W795" s="22" t="n">
        <x:f>IF(U795="Open",L795*N795,0)</x:f>
        <x:v>0</x:v>
      </x:c>
      <x:c r="X795" s="26" t="n">
        <x:f>IF(U795="Open","",IFERROR(K795-B795,""))</x:f>
        <x:v>9</x:v>
      </x:c>
      <x:c r="Y795" s="26" t="n">
        <x:f>IF(U795="Open",Lookups!$B$2-B795,X795)</x:f>
        <x:v>9</x:v>
      </x:c>
      <x:c r="Z795" t="str">
        <x:f>IF(AND(U795="Open",Y795&gt;30),"STALE","OK")</x:f>
        <x:v>OK</x:v>
      </x:c>
      <x:c r="AA795" t="str">
        <x:f>TEXT(B795,"yyyy-mm")</x:f>
        <x:v>2025-12</x:v>
      </x:c>
      <x:c r="AB795" t="str">
        <x:f>IF(K795="","",TEXT(K795,"yyyy-mm"))</x:f>
        <x:v>2025-12</x:v>
      </x:c>
      <x:c r="AC795" t="str">
        <x:f>"Q"&amp;ROUNDUP(MONTH(B795)/3,0)&amp;"-"&amp;YEAR(B795)</x:f>
        <x:v>Q4-2025</x:v>
      </x:c>
      <x:c r="AD795" s="26" t="n">
        <x:f>MIN(100,IF(H795="Enterprise",30,IF(H795="Mid-Market",22,14))+IF(T795="Enterprise",25,IF(T795="Mid-Market",18,10))+IF(Q795="Referral",25,IF(Q795="Organic Search",20,IF(Q795="Email",18,14)))+IF(G795="Technology",10,5))</x:f>
        <x:v>74</x:v>
      </x:c>
      <x:c r="AE795" t="str">
        <x:f>IF(U795&lt;&gt;"Open",U795,IF(N795&gt;=0.8,"Commit",IF(N795&gt;=0.5,"Best Case","Pipeline")))</x:f>
        <x:v>Lost</x:v>
      </x:c>
    </x:row>
    <x:row r="796">
      <x:c r="A796" t="str">
        <x:v>L00795</x:v>
      </x:c>
      <x:c r="B796" s="10" t="n">
        <x:v>45977</x:v>
      </x:c>
      <x:c r="C796" t="str">
        <x:v>Tuan Bui</x:v>
      </x:c>
      <x:c r="D796" t="str">
        <x:v>Central</x:v>
      </x:c>
      <x:c r="E796" t="str">
        <x:v>google cpc</x:v>
      </x:c>
      <x:c r="F796" t="str">
        <x:v>MKT-AUTO</x:v>
      </x:c>
      <x:c r="G796" t="str">
        <x:v>Education</x:v>
      </x:c>
      <x:c r="H796" t="str">
        <x:v>Mid-Market</x:v>
      </x:c>
      <x:c r="I796" t="str">
        <x:v>Closed Lost</x:v>
      </x:c>
      <x:c r="J796" s="10" t="n">
        <x:v>46037</x:v>
      </x:c>
      <x:c r="K796" s="10" t="n">
        <x:v>46037</x:v>
      </x:c>
      <x:c r="L796" s="22" t="n">
        <x:v>19000</x:v>
      </x:c>
      <x:c r="M796" s="24" t="n">
        <x:v>0</x:v>
      </x:c>
      <x:c r="N796" s="24" t="n">
        <x:v>0</x:v>
      </x:c>
      <x:c r="O796" t="str">
        <x:v>Feature Gap</x:v>
      </x:c>
      <x:c r="P796" t="n">
        <x:v>5</x:v>
      </x:c>
      <x:c r="Q796" t="str">
        <x:f>IFERROR(XLOOKUP(E796,Lookups!$A$5:$A$24,Lookups!$B$5:$B$24),"Other")</x:f>
        <x:v>Paid Search</x:v>
      </x:c>
      <x:c r="R796" t="str">
        <x:f>IFERROR(XLOOKUP(F796,Lookups!$D$5:$D$10,Lookups!$E$5:$E$10),"Unknown Product")</x:f>
        <x:v>Marketing Automation</x:v>
      </x:c>
      <x:c r="S796" t="str">
        <x:f>IFERROR(XLOOKUP(F796,Lookups!$D$5:$D$10,Lookups!$F$5:$F$10),"Unknown")</x:f>
        <x:v>Marketing</x:v>
      </x:c>
      <x:c r="T796" t="str">
        <x:f>IF(L796&gt;=50000,"Enterprise",IF(L796&gt;=20000,"Mid-Market","SMB"))</x:f>
        <x:v>SMB</x:v>
      </x:c>
      <x:c r="U796" t="str">
        <x:f>IF(I796="Closed Won","Won",IF(I796="Closed Lost","Lost","Open"))</x:f>
        <x:v>Lost</x:v>
      </x:c>
      <x:c r="V796" s="22" t="n">
        <x:f>IF(U796="Won",L796*(1-M796),0)</x:f>
        <x:v>0</x:v>
      </x:c>
      <x:c r="W796" s="22" t="n">
        <x:f>IF(U796="Open",L796*N796,0)</x:f>
        <x:v>0</x:v>
      </x:c>
      <x:c r="X796" s="26" t="n">
        <x:f>IF(U796="Open","",IFERROR(K796-B796,""))</x:f>
        <x:v>60</x:v>
      </x:c>
      <x:c r="Y796" s="26" t="n">
        <x:f>IF(U796="Open",Lookups!$B$2-B796,X796)</x:f>
        <x:v>60</x:v>
      </x:c>
      <x:c r="Z796" t="str">
        <x:f>IF(AND(U796="Open",Y796&gt;30),"STALE","OK")</x:f>
        <x:v>OK</x:v>
      </x:c>
      <x:c r="AA796" t="str">
        <x:f>TEXT(B796,"yyyy-mm")</x:f>
        <x:v>2025-11</x:v>
      </x:c>
      <x:c r="AB796" t="str">
        <x:f>IF(K796="","",TEXT(K796,"yyyy-mm"))</x:f>
        <x:v>2026-01</x:v>
      </x:c>
      <x:c r="AC796" t="str">
        <x:f>"Q"&amp;ROUNDUP(MONTH(B796)/3,0)&amp;"-"&amp;YEAR(B796)</x:f>
        <x:v>Q4-2025</x:v>
      </x:c>
      <x:c r="AD796" s="26" t="n">
        <x:f>MIN(100,IF(H796="Enterprise",30,IF(H796="Mid-Market",22,14))+IF(T796="Enterprise",25,IF(T796="Mid-Market",18,10))+IF(Q796="Referral",25,IF(Q796="Organic Search",20,IF(Q796="Email",18,14)))+IF(G796="Technology",10,5))</x:f>
        <x:v>51</x:v>
      </x:c>
      <x:c r="AE796" t="str">
        <x:f>IF(U796&lt;&gt;"Open",U796,IF(N796&gt;=0.8,"Commit",IF(N796&gt;=0.5,"Best Case","Pipeline")))</x:f>
        <x:v>Lost</x:v>
      </x:c>
    </x:row>
    <x:row r="797">
      <x:c r="A797" t="str">
        <x:v>L00796</x:v>
      </x:c>
      <x:c r="B797" s="10" t="n">
        <x:v>46047</x:v>
      </x:c>
      <x:c r="C797" t="str">
        <x:v>Chi Le</x:v>
      </x:c>
      <x:c r="D797" t="str">
        <x:v>South</x:v>
      </x:c>
      <x:c r="E797" t="str">
        <x:v>organic search</x:v>
      </x:c>
      <x:c r="F797" t="str">
        <x:v>CRM-PRO</x:v>
      </x:c>
      <x:c r="G797" t="str">
        <x:v>Financial Services</x:v>
      </x:c>
      <x:c r="H797" t="str">
        <x:v>SMB</x:v>
      </x:c>
      <x:c r="I797" t="str">
        <x:v>Closed Lost</x:v>
      </x:c>
      <x:c r="J797" s="10" t="n">
        <x:v>46078</x:v>
      </x:c>
      <x:c r="K797" s="10" t="n">
        <x:v>46078</x:v>
      </x:c>
      <x:c r="L797" s="22" t="n">
        <x:v>23300</x:v>
      </x:c>
      <x:c r="M797" s="24" t="n">
        <x:v>0</x:v>
      </x:c>
      <x:c r="N797" s="24" t="n">
        <x:v>0</x:v>
      </x:c>
      <x:c r="O797" t="str">
        <x:v>Competitor</x:v>
      </x:c>
      <x:c r="P797" t="n">
        <x:v>5</x:v>
      </x:c>
      <x:c r="Q797" t="str">
        <x:f>IFERROR(XLOOKUP(E797,Lookups!$A$5:$A$24,Lookups!$B$5:$B$24),"Other")</x:f>
        <x:v>Organic Search</x:v>
      </x:c>
      <x:c r="R797" t="str">
        <x:f>IFERROR(XLOOKUP(F797,Lookups!$D$5:$D$10,Lookups!$E$5:$E$10),"Unknown Product")</x:f>
        <x:v>NexaCRM Pro</x:v>
      </x:c>
      <x:c r="S797" t="str">
        <x:f>IFERROR(XLOOKUP(F797,Lookups!$D$5:$D$10,Lookups!$F$5:$F$10),"Unknown")</x:f>
        <x:v>CRM</x:v>
      </x:c>
      <x:c r="T797" t="str">
        <x:f>IF(L797&gt;=50000,"Enterprise",IF(L797&gt;=20000,"Mid-Market","SMB"))</x:f>
        <x:v>Mid-Market</x:v>
      </x:c>
      <x:c r="U797" t="str">
        <x:f>IF(I797="Closed Won","Won",IF(I797="Closed Lost","Lost","Open"))</x:f>
        <x:v>Lost</x:v>
      </x:c>
      <x:c r="V797" s="22" t="n">
        <x:f>IF(U797="Won",L797*(1-M797),0)</x:f>
        <x:v>0</x:v>
      </x:c>
      <x:c r="W797" s="22" t="n">
        <x:f>IF(U797="Open",L797*N797,0)</x:f>
        <x:v>0</x:v>
      </x:c>
      <x:c r="X797" s="26" t="n">
        <x:f>IF(U797="Open","",IFERROR(K797-B797,""))</x:f>
        <x:v>31</x:v>
      </x:c>
      <x:c r="Y797" s="26" t="n">
        <x:f>IF(U797="Open",Lookups!$B$2-B797,X797)</x:f>
        <x:v>31</x:v>
      </x:c>
      <x:c r="Z797" t="str">
        <x:f>IF(AND(U797="Open",Y797&gt;30),"STALE","OK")</x:f>
        <x:v>OK</x:v>
      </x:c>
      <x:c r="AA797" t="str">
        <x:f>TEXT(B797,"yyyy-mm")</x:f>
        <x:v>2026-01</x:v>
      </x:c>
      <x:c r="AB797" t="str">
        <x:f>IF(K797="","",TEXT(K797,"yyyy-mm"))</x:f>
        <x:v>2026-02</x:v>
      </x:c>
      <x:c r="AC797" t="str">
        <x:f>"Q"&amp;ROUNDUP(MONTH(B797)/3,0)&amp;"-"&amp;YEAR(B797)</x:f>
        <x:v>Q1-2026</x:v>
      </x:c>
      <x:c r="AD797" s="26" t="n">
        <x:f>MIN(100,IF(H797="Enterprise",30,IF(H797="Mid-Market",22,14))+IF(T797="Enterprise",25,IF(T797="Mid-Market",18,10))+IF(Q797="Referral",25,IF(Q797="Organic Search",20,IF(Q797="Email",18,14)))+IF(G797="Technology",10,5))</x:f>
        <x:v>57</x:v>
      </x:c>
      <x:c r="AE797" t="str">
        <x:f>IF(U797&lt;&gt;"Open",U797,IF(N797&gt;=0.8,"Commit",IF(N797&gt;=0.5,"Best Case","Pipeline")))</x:f>
        <x:v>Lost</x:v>
      </x:c>
    </x:row>
    <x:row r="798">
      <x:c r="A798" t="str">
        <x:v>L00797</x:v>
      </x:c>
      <x:c r="B798" s="10" t="n">
        <x:v>46226</x:v>
      </x:c>
      <x:c r="C798" t="str">
        <x:v>Quynh Vu</x:v>
      </x:c>
      <x:c r="D798" t="str">
        <x:v>North</x:v>
      </x:c>
      <x:c r="E798" t="str">
        <x:v>Google Organic</x:v>
      </x:c>
      <x:c r="F798" t="str">
        <x:v>CRM-PRO</x:v>
      </x:c>
      <x:c r="G798" t="str">
        <x:v>Retail</x:v>
      </x:c>
      <x:c r="H798" t="str">
        <x:v>SMB</x:v>
      </x:c>
      <x:c r="I798" t="str">
        <x:v>Qualified</x:v>
      </x:c>
      <x:c r="J798" s="10" t="n">
        <x:v>46246</x:v>
      </x:c>
      <x:c r="K798" s="10"/>
      <x:c r="L798" s="22" t="n">
        <x:v>18700</x:v>
      </x:c>
      <x:c r="M798" s="24" t="n">
        <x:v>0</x:v>
      </x:c>
      <x:c r="N798" s="24" t="n">
        <x:v>0.2</x:v>
      </x:c>
      <x:c r="O798" t="str"/>
      <x:c r="P798" t="n">
        <x:v>2</x:v>
      </x:c>
      <x:c r="Q798" t="str">
        <x:f>IFERROR(XLOOKUP(E798,Lookups!$A$5:$A$24,Lookups!$B$5:$B$24),"Other")</x:f>
        <x:v>Organic Search</x:v>
      </x:c>
      <x:c r="R798" t="str">
        <x:f>IFERROR(XLOOKUP(F798,Lookups!$D$5:$D$10,Lookups!$E$5:$E$10),"Unknown Product")</x:f>
        <x:v>NexaCRM Pro</x:v>
      </x:c>
      <x:c r="S798" t="str">
        <x:f>IFERROR(XLOOKUP(F798,Lookups!$D$5:$D$10,Lookups!$F$5:$F$10),"Unknown")</x:f>
        <x:v>CRM</x:v>
      </x:c>
      <x:c r="T798" t="str">
        <x:f>IF(L798&gt;=50000,"Enterprise",IF(L798&gt;=20000,"Mid-Market","SMB"))</x:f>
        <x:v>SMB</x:v>
      </x:c>
      <x:c r="U798" t="str">
        <x:f>IF(I798="Closed Won","Won",IF(I798="Closed Lost","Lost","Open"))</x:f>
        <x:v>Open</x:v>
      </x:c>
      <x:c r="V798" s="22" t="n">
        <x:f>IF(U798="Won",L798*(1-M798),0)</x:f>
        <x:v>0</x:v>
      </x:c>
      <x:c r="W798" s="22" t="n">
        <x:f>IF(U798="Open",L798*N798,0)</x:f>
        <x:v>3740</x:v>
      </x:c>
      <x:c r="X798" s="26" t="str">
        <x:f>IF(U798="Open","",IFERROR(K798-B798,""))</x:f>
      </x:c>
      <x:c r="Y798" s="26" t="n">
        <x:f>IF(U798="Open",Lookups!$B$2-B798,X798)</x:f>
        <x:v>40</x:v>
      </x:c>
      <x:c r="Z798" t="str">
        <x:f>IF(AND(U798="Open",Y798&gt;30),"STALE","OK")</x:f>
        <x:v>STALE</x:v>
      </x:c>
      <x:c r="AA798" t="str">
        <x:f>TEXT(B798,"yyyy-mm")</x:f>
        <x:v>2026-07</x:v>
      </x:c>
      <x:c r="AB798" t="str">
        <x:f>IF(K798="","",TEXT(K798,"yyyy-mm"))</x:f>
      </x:c>
      <x:c r="AC798" t="str">
        <x:f>"Q"&amp;ROUNDUP(MONTH(B798)/3,0)&amp;"-"&amp;YEAR(B798)</x:f>
        <x:v>Q3-2026</x:v>
      </x:c>
      <x:c r="AD798" s="26" t="n">
        <x:f>MIN(100,IF(H798="Enterprise",30,IF(H798="Mid-Market",22,14))+IF(T798="Enterprise",25,IF(T798="Mid-Market",18,10))+IF(Q798="Referral",25,IF(Q798="Organic Search",20,IF(Q798="Email",18,14)))+IF(G798="Technology",10,5))</x:f>
        <x:v>49</x:v>
      </x:c>
      <x:c r="AE798" t="str">
        <x:f>IF(U798&lt;&gt;"Open",U798,IF(N798&gt;=0.8,"Commit",IF(N798&gt;=0.5,"Best Case","Pipeline")))</x:f>
        <x:v>Pipeline</x:v>
      </x:c>
    </x:row>
    <x:row r="799">
      <x:c r="A799" t="str">
        <x:v>L00798</x:v>
      </x:c>
      <x:c r="B799" s="10" t="n">
        <x:v>45773</x:v>
      </x:c>
      <x:c r="C799" t="str">
        <x:v>Quynh Vu</x:v>
      </x:c>
      <x:c r="D799" t="str">
        <x:v>North</x:v>
      </x:c>
      <x:c r="E799" t="str">
        <x:v>Google Ads</x:v>
      </x:c>
      <x:c r="F799" t="str">
        <x:v>CS-CLOUD</x:v>
      </x:c>
      <x:c r="G799" t="str">
        <x:v>Retail</x:v>
      </x:c>
      <x:c r="H799" t="str">
        <x:v>Mid-Market</x:v>
      </x:c>
      <x:c r="I799" t="str">
        <x:v>Negotiation</x:v>
      </x:c>
      <x:c r="J799" s="10" t="n">
        <x:v>46026</x:v>
      </x:c>
      <x:c r="K799" s="10"/>
      <x:c r="L799" s="22" t="n">
        <x:v>29500</x:v>
      </x:c>
      <x:c r="M799" s="24" t="n">
        <x:v>0.03</x:v>
      </x:c>
      <x:c r="N799" s="24" t="n">
        <x:v>0.85</x:v>
      </x:c>
      <x:c r="O799" t="str"/>
      <x:c r="P799" t="n">
        <x:v>5</x:v>
      </x:c>
      <x:c r="Q799" t="str">
        <x:f>IFERROR(XLOOKUP(E799,Lookups!$A$5:$A$24,Lookups!$B$5:$B$24),"Other")</x:f>
        <x:v>Paid Search</x:v>
      </x:c>
      <x:c r="R799" t="str">
        <x:f>IFERROR(XLOOKUP(F799,Lookups!$D$5:$D$10,Lookups!$E$5:$E$10),"Unknown Product")</x:f>
        <x:v>Service Cloud</x:v>
      </x:c>
      <x:c r="S799" t="str">
        <x:f>IFERROR(XLOOKUP(F799,Lookups!$D$5:$D$10,Lookups!$F$5:$F$10),"Unknown")</x:f>
        <x:v>Customer Service</x:v>
      </x:c>
      <x:c r="T799" t="str">
        <x:f>IF(L799&gt;=50000,"Enterprise",IF(L799&gt;=20000,"Mid-Market","SMB"))</x:f>
        <x:v>Mid-Market</x:v>
      </x:c>
      <x:c r="U799" t="str">
        <x:f>IF(I799="Closed Won","Won",IF(I799="Closed Lost","Lost","Open"))</x:f>
        <x:v>Open</x:v>
      </x:c>
      <x:c r="V799" s="22" t="n">
        <x:f>IF(U799="Won",L799*(1-M799),0)</x:f>
        <x:v>0</x:v>
      </x:c>
      <x:c r="W799" s="22" t="n">
        <x:f>IF(U799="Open",L799*N799,0)</x:f>
        <x:v>25075</x:v>
      </x:c>
      <x:c r="X799" s="26" t="str">
        <x:f>IF(U799="Open","",IFERROR(K799-B799,""))</x:f>
      </x:c>
      <x:c r="Y799" s="26" t="n">
        <x:f>IF(U799="Open",Lookups!$B$2-B799,X799)</x:f>
        <x:v>493</x:v>
      </x:c>
      <x:c r="Z799" t="str">
        <x:f>IF(AND(U799="Open",Y799&gt;30),"STALE","OK")</x:f>
        <x:v>STALE</x:v>
      </x:c>
      <x:c r="AA799" t="str">
        <x:f>TEXT(B799,"yyyy-mm")</x:f>
        <x:v>2025-04</x:v>
      </x:c>
      <x:c r="AB799" t="str">
        <x:f>IF(K799="","",TEXT(K799,"yyyy-mm"))</x:f>
      </x:c>
      <x:c r="AC799" t="str">
        <x:f>"Q"&amp;ROUNDUP(MONTH(B799)/3,0)&amp;"-"&amp;YEAR(B799)</x:f>
        <x:v>Q2-2025</x:v>
      </x:c>
      <x:c r="AD799" s="26" t="n">
        <x:f>MIN(100,IF(H799="Enterprise",30,IF(H799="Mid-Market",22,14))+IF(T799="Enterprise",25,IF(T799="Mid-Market",18,10))+IF(Q799="Referral",25,IF(Q799="Organic Search",20,IF(Q799="Email",18,14)))+IF(G799="Technology",10,5))</x:f>
        <x:v>59</x:v>
      </x:c>
      <x:c r="AE799" t="str">
        <x:f>IF(U799&lt;&gt;"Open",U799,IF(N799&gt;=0.8,"Commit",IF(N799&gt;=0.5,"Best Case","Pipeline")))</x:f>
        <x:v>Commit</x:v>
      </x:c>
    </x:row>
    <x:row r="800">
      <x:c r="A800" t="str">
        <x:v>L00799</x:v>
      </x:c>
      <x:c r="B800" s="10" t="n">
        <x:v>46069</x:v>
      </x:c>
      <x:c r="C800" t="str">
        <x:v>Tuan Bui</x:v>
      </x:c>
      <x:c r="D800" t="str">
        <x:v>Central</x:v>
      </x:c>
      <x:c r="E800" t="str">
        <x:v>google cpc</x:v>
      </x:c>
      <x:c r="F800" t="str">
        <x:v>CRM-PRO</x:v>
      </x:c>
      <x:c r="G800" t="str">
        <x:v>Healthcare</x:v>
      </x:c>
      <x:c r="H800" t="str">
        <x:v>Enterprise</x:v>
      </x:c>
      <x:c r="I800" t="str">
        <x:v>Closed Lost</x:v>
      </x:c>
      <x:c r="J800" s="10" t="n">
        <x:v>46105</x:v>
      </x:c>
      <x:c r="K800" s="10" t="n">
        <x:v>46105</x:v>
      </x:c>
      <x:c r="L800" s="22" t="n">
        <x:v>88100</x:v>
      </x:c>
      <x:c r="M800" s="24" t="n">
        <x:v>0</x:v>
      </x:c>
      <x:c r="N800" s="24" t="n">
        <x:v>0</x:v>
      </x:c>
      <x:c r="O800" t="str">
        <x:v>Price</x:v>
      </x:c>
      <x:c r="P800" t="n">
        <x:v>5</x:v>
      </x:c>
      <x:c r="Q800" t="str">
        <x:f>IFERROR(XLOOKUP(E800,Lookups!$A$5:$A$24,Lookups!$B$5:$B$24),"Other")</x:f>
        <x:v>Paid Search</x:v>
      </x:c>
      <x:c r="R800" t="str">
        <x:f>IFERROR(XLOOKUP(F800,Lookups!$D$5:$D$10,Lookups!$E$5:$E$10),"Unknown Product")</x:f>
        <x:v>NexaCRM Pro</x:v>
      </x:c>
      <x:c r="S800" t="str">
        <x:f>IFERROR(XLOOKUP(F800,Lookups!$D$5:$D$10,Lookups!$F$5:$F$10),"Unknown")</x:f>
        <x:v>CRM</x:v>
      </x:c>
      <x:c r="T800" t="str">
        <x:f>IF(L800&gt;=50000,"Enterprise",IF(L800&gt;=20000,"Mid-Market","SMB"))</x:f>
        <x:v>Enterprise</x:v>
      </x:c>
      <x:c r="U800" t="str">
        <x:f>IF(I800="Closed Won","Won",IF(I800="Closed Lost","Lost","Open"))</x:f>
        <x:v>Lost</x:v>
      </x:c>
      <x:c r="V800" s="22" t="n">
        <x:f>IF(U800="Won",L800*(1-M800),0)</x:f>
        <x:v>0</x:v>
      </x:c>
      <x:c r="W800" s="22" t="n">
        <x:f>IF(U800="Open",L800*N800,0)</x:f>
        <x:v>0</x:v>
      </x:c>
      <x:c r="X800" s="26" t="n">
        <x:f>IF(U800="Open","",IFERROR(K800-B800,""))</x:f>
        <x:v>36</x:v>
      </x:c>
      <x:c r="Y800" s="26" t="n">
        <x:f>IF(U800="Open",Lookups!$B$2-B800,X800)</x:f>
        <x:v>36</x:v>
      </x:c>
      <x:c r="Z800" t="str">
        <x:f>IF(AND(U800="Open",Y800&gt;30),"STALE","OK")</x:f>
        <x:v>OK</x:v>
      </x:c>
      <x:c r="AA800" t="str">
        <x:f>TEXT(B800,"yyyy-mm")</x:f>
        <x:v>2026-02</x:v>
      </x:c>
      <x:c r="AB800" t="str">
        <x:f>IF(K800="","",TEXT(K800,"yyyy-mm"))</x:f>
        <x:v>2026-03</x:v>
      </x:c>
      <x:c r="AC800" t="str">
        <x:f>"Q"&amp;ROUNDUP(MONTH(B800)/3,0)&amp;"-"&amp;YEAR(B800)</x:f>
        <x:v>Q1-2026</x:v>
      </x:c>
      <x:c r="AD800" s="26" t="n">
        <x:f>MIN(100,IF(H800="Enterprise",30,IF(H800="Mid-Market",22,14))+IF(T800="Enterprise",25,IF(T800="Mid-Market",18,10))+IF(Q800="Referral",25,IF(Q800="Organic Search",20,IF(Q800="Email",18,14)))+IF(G800="Technology",10,5))</x:f>
        <x:v>74</x:v>
      </x:c>
      <x:c r="AE800" t="str">
        <x:f>IF(U800&lt;&gt;"Open",U800,IF(N800&gt;=0.8,"Commit",IF(N800&gt;=0.5,"Best Case","Pipeline")))</x:f>
        <x:v>Lost</x:v>
      </x:c>
    </x:row>
    <x:row r="801">
      <x:c r="A801" t="str">
        <x:v>L00800</x:v>
      </x:c>
      <x:c r="B801" s="10" t="n">
        <x:v>45829</x:v>
      </x:c>
      <x:c r="C801" t="str">
        <x:v>An Nguyen</x:v>
      </x:c>
      <x:c r="D801" t="str">
        <x:v>South</x:v>
      </x:c>
      <x:c r="E801" t="str">
        <x:v>SEO</x:v>
      </x:c>
      <x:c r="F801" t="str">
        <x:v>REV-OPS</x:v>
      </x:c>
      <x:c r="G801" t="str">
        <x:v>Retail</x:v>
      </x:c>
      <x:c r="H801" t="str">
        <x:v>SMB</x:v>
      </x:c>
      <x:c r="I801" t="str">
        <x:v>Negotiation</x:v>
      </x:c>
      <x:c r="J801" s="10" t="n">
        <x:v>46013</x:v>
      </x:c>
      <x:c r="K801" s="10"/>
      <x:c r="L801" s="22" t="n">
        <x:v>45000</x:v>
      </x:c>
      <x:c r="M801" s="24" t="n">
        <x:v>0.03</x:v>
      </x:c>
      <x:c r="N801" s="24" t="n">
        <x:v>0.85</x:v>
      </x:c>
      <x:c r="O801" t="str"/>
      <x:c r="P801" t="n">
        <x:v>5</x:v>
      </x:c>
      <x:c r="Q801" t="str">
        <x:f>IFERROR(XLOOKUP(E801,Lookups!$A$5:$A$24,Lookups!$B$5:$B$24),"Other")</x:f>
        <x:v>Organic Search</x:v>
      </x:c>
      <x:c r="R801" t="str">
        <x:f>IFERROR(XLOOKUP(F801,Lookups!$D$5:$D$10,Lookups!$E$5:$E$10),"Unknown Product")</x:f>
        <x:v>Revenue Operations Suite</x:v>
      </x:c>
      <x:c r="S801" t="str">
        <x:f>IFERROR(XLOOKUP(F801,Lookups!$D$5:$D$10,Lookups!$F$5:$F$10),"Unknown")</x:f>
        <x:v>Revenue Ops</x:v>
      </x:c>
      <x:c r="T801" t="str">
        <x:f>IF(L801&gt;=50000,"Enterprise",IF(L801&gt;=20000,"Mid-Market","SMB"))</x:f>
        <x:v>Mid-Market</x:v>
      </x:c>
      <x:c r="U801" t="str">
        <x:f>IF(I801="Closed Won","Won",IF(I801="Closed Lost","Lost","Open"))</x:f>
        <x:v>Open</x:v>
      </x:c>
      <x:c r="V801" s="22" t="n">
        <x:f>IF(U801="Won",L801*(1-M801),0)</x:f>
        <x:v>0</x:v>
      </x:c>
      <x:c r="W801" s="22" t="n">
        <x:f>IF(U801="Open",L801*N801,0)</x:f>
        <x:v>38250</x:v>
      </x:c>
      <x:c r="X801" s="26" t="str">
        <x:f>IF(U801="Open","",IFERROR(K801-B801,""))</x:f>
      </x:c>
      <x:c r="Y801" s="26" t="n">
        <x:f>IF(U801="Open",Lookups!$B$2-B801,X801)</x:f>
        <x:v>437</x:v>
      </x:c>
      <x:c r="Z801" t="str">
        <x:f>IF(AND(U801="Open",Y801&gt;30),"STALE","OK")</x:f>
        <x:v>STALE</x:v>
      </x:c>
      <x:c r="AA801" t="str">
        <x:f>TEXT(B801,"yyyy-mm")</x:f>
        <x:v>2025-06</x:v>
      </x:c>
      <x:c r="AB801" t="str">
        <x:f>IF(K801="","",TEXT(K801,"yyyy-mm"))</x:f>
      </x:c>
      <x:c r="AC801" t="str">
        <x:f>"Q"&amp;ROUNDUP(MONTH(B801)/3,0)&amp;"-"&amp;YEAR(B801)</x:f>
        <x:v>Q2-2025</x:v>
      </x:c>
      <x:c r="AD801" s="26" t="n">
        <x:f>MIN(100,IF(H801="Enterprise",30,IF(H801="Mid-Market",22,14))+IF(T801="Enterprise",25,IF(T801="Mid-Market",18,10))+IF(Q801="Referral",25,IF(Q801="Organic Search",20,IF(Q801="Email",18,14)))+IF(G801="Technology",10,5))</x:f>
        <x:v>57</x:v>
      </x:c>
      <x:c r="AE801" t="str">
        <x:f>IF(U801&lt;&gt;"Open",U801,IF(N801&gt;=0.8,"Commit",IF(N801&gt;=0.5,"Best Case","Pipeline")))</x:f>
        <x:v>Commit</x:v>
      </x:c>
    </x:row>
    <x:row r="802">
      <x:c r="A802" t="str">
        <x:v>L00801</x:v>
      </x:c>
      <x:c r="B802" s="10" t="n">
        <x:v>45801</x:v>
      </x:c>
      <x:c r="C802" t="str">
        <x:v>An Nguyen</x:v>
      </x:c>
      <x:c r="D802" t="str">
        <x:v>South</x:v>
      </x:c>
      <x:c r="E802" t="str">
        <x:v>email nurture</x:v>
      </x:c>
      <x:c r="F802" t="str">
        <x:v>BI-PLUS</x:v>
      </x:c>
      <x:c r="G802" t="str">
        <x:v>Education</x:v>
      </x:c>
      <x:c r="H802" t="str">
        <x:v>Mid-Market</x:v>
      </x:c>
      <x:c r="I802" t="str">
        <x:v>Closed Lost</x:v>
      </x:c>
      <x:c r="J802" s="10" t="n">
        <x:v>45854</x:v>
      </x:c>
      <x:c r="K802" s="10" t="n">
        <x:v>45854</x:v>
      </x:c>
      <x:c r="L802" s="22" t="n">
        <x:v>24800</x:v>
      </x:c>
      <x:c r="M802" s="24" t="n">
        <x:v>0</x:v>
      </x:c>
      <x:c r="N802" s="24" t="n">
        <x:v>0</x:v>
      </x:c>
      <x:c r="O802" t="str">
        <x:v>Timing</x:v>
      </x:c>
      <x:c r="P802" t="n">
        <x:v>4</x:v>
      </x:c>
      <x:c r="Q802" t="str">
        <x:f>IFERROR(XLOOKUP(E802,Lookups!$A$5:$A$24,Lookups!$B$5:$B$24),"Other")</x:f>
        <x:v>Email</x:v>
      </x:c>
      <x:c r="R802" t="str">
        <x:f>IFERROR(XLOOKUP(F802,Lookups!$D$5:$D$10,Lookups!$E$5:$E$10),"Unknown Product")</x:f>
        <x:v>Analytics Plus</x:v>
      </x:c>
      <x:c r="S802" t="str">
        <x:f>IFERROR(XLOOKUP(F802,Lookups!$D$5:$D$10,Lookups!$F$5:$F$10),"Unknown")</x:f>
        <x:v>Analytics</x:v>
      </x:c>
      <x:c r="T802" t="str">
        <x:f>IF(L802&gt;=50000,"Enterprise",IF(L802&gt;=20000,"Mid-Market","SMB"))</x:f>
        <x:v>Mid-Market</x:v>
      </x:c>
      <x:c r="U802" t="str">
        <x:f>IF(I802="Closed Won","Won",IF(I802="Closed Lost","Lost","Open"))</x:f>
        <x:v>Lost</x:v>
      </x:c>
      <x:c r="V802" s="22" t="n">
        <x:f>IF(U802="Won",L802*(1-M802),0)</x:f>
        <x:v>0</x:v>
      </x:c>
      <x:c r="W802" s="22" t="n">
        <x:f>IF(U802="Open",L802*N802,0)</x:f>
        <x:v>0</x:v>
      </x:c>
      <x:c r="X802" s="26" t="n">
        <x:f>IF(U802="Open","",IFERROR(K802-B802,""))</x:f>
        <x:v>53</x:v>
      </x:c>
      <x:c r="Y802" s="26" t="n">
        <x:f>IF(U802="Open",Lookups!$B$2-B802,X802)</x:f>
        <x:v>53</x:v>
      </x:c>
      <x:c r="Z802" t="str">
        <x:f>IF(AND(U802="Open",Y802&gt;30),"STALE","OK")</x:f>
        <x:v>OK</x:v>
      </x:c>
      <x:c r="AA802" t="str">
        <x:f>TEXT(B802,"yyyy-mm")</x:f>
        <x:v>2025-05</x:v>
      </x:c>
      <x:c r="AB802" t="str">
        <x:f>IF(K802="","",TEXT(K802,"yyyy-mm"))</x:f>
        <x:v>2025-07</x:v>
      </x:c>
      <x:c r="AC802" t="str">
        <x:f>"Q"&amp;ROUNDUP(MONTH(B802)/3,0)&amp;"-"&amp;YEAR(B802)</x:f>
        <x:v>Q2-2025</x:v>
      </x:c>
      <x:c r="AD802" s="26" t="n">
        <x:f>MIN(100,IF(H802="Enterprise",30,IF(H802="Mid-Market",22,14))+IF(T802="Enterprise",25,IF(T802="Mid-Market",18,10))+IF(Q802="Referral",25,IF(Q802="Organic Search",20,IF(Q802="Email",18,14)))+IF(G802="Technology",10,5))</x:f>
        <x:v>63</x:v>
      </x:c>
      <x:c r="AE802" t="str">
        <x:f>IF(U802&lt;&gt;"Open",U802,IF(N802&gt;=0.8,"Commit",IF(N802&gt;=0.5,"Best Case","Pipeline")))</x:f>
        <x:v>Lost</x:v>
      </x:c>
    </x:row>
    <x:row r="803">
      <x:c r="A803" t="str">
        <x:v>L00802</x:v>
      </x:c>
      <x:c r="B803" s="10" t="n">
        <x:v>46153</x:v>
      </x:c>
      <x:c r="C803" t="str">
        <x:v>Duy Pham</x:v>
      </x:c>
      <x:c r="D803" t="str">
        <x:v>South</x:v>
      </x:c>
      <x:c r="E803" t="str">
        <x:v>Cold Email</x:v>
      </x:c>
      <x:c r="F803" t="str">
        <x:v>MKT-AUTO</x:v>
      </x:c>
      <x:c r="G803" t="str">
        <x:v>Healthcare</x:v>
      </x:c>
      <x:c r="H803" t="str">
        <x:v>Enterprise</x:v>
      </x:c>
      <x:c r="I803" t="str">
        <x:v>Closed Won</x:v>
      </x:c>
      <x:c r="J803" s="10" t="n">
        <x:v>46231</x:v>
      </x:c>
      <x:c r="K803" s="10" t="n">
        <x:v>46231</x:v>
      </x:c>
      <x:c r="L803" s="22" t="n">
        <x:v>41400</x:v>
      </x:c>
      <x:c r="M803" s="24" t="n">
        <x:v>0.12</x:v>
      </x:c>
      <x:c r="N803" s="24" t="n">
        <x:v>1</x:v>
      </x:c>
      <x:c r="O803" t="str"/>
      <x:c r="P803" t="n">
        <x:v>6</x:v>
      </x:c>
      <x:c r="Q803" t="str">
        <x:f>IFERROR(XLOOKUP(E803,Lookups!$A$5:$A$24,Lookups!$B$5:$B$24),"Other")</x:f>
        <x:v>Outbound</x:v>
      </x:c>
      <x:c r="R803" t="str">
        <x:f>IFERROR(XLOOKUP(F803,Lookups!$D$5:$D$10,Lookups!$E$5:$E$10),"Unknown Product")</x:f>
        <x:v>Marketing Automation</x:v>
      </x:c>
      <x:c r="S803" t="str">
        <x:f>IFERROR(XLOOKUP(F803,Lookups!$D$5:$D$10,Lookups!$F$5:$F$10),"Unknown")</x:f>
        <x:v>Marketing</x:v>
      </x:c>
      <x:c r="T803" t="str">
        <x:f>IF(L803&gt;=50000,"Enterprise",IF(L803&gt;=20000,"Mid-Market","SMB"))</x:f>
        <x:v>Mid-Market</x:v>
      </x:c>
      <x:c r="U803" t="str">
        <x:f>IF(I803="Closed Won","Won",IF(I803="Closed Lost","Lost","Open"))</x:f>
        <x:v>Won</x:v>
      </x:c>
      <x:c r="V803" s="22" t="n">
        <x:f>IF(U803="Won",L803*(1-M803),0)</x:f>
        <x:v>36432</x:v>
      </x:c>
      <x:c r="W803" s="22" t="n">
        <x:f>IF(U803="Open",L803*N803,0)</x:f>
        <x:v>0</x:v>
      </x:c>
      <x:c r="X803" s="26" t="n">
        <x:f>IF(U803="Open","",IFERROR(K803-B803,""))</x:f>
        <x:v>78</x:v>
      </x:c>
      <x:c r="Y803" s="26" t="n">
        <x:f>IF(U803="Open",Lookups!$B$2-B803,X803)</x:f>
        <x:v>78</x:v>
      </x:c>
      <x:c r="Z803" t="str">
        <x:f>IF(AND(U803="Open",Y803&gt;30),"STALE","OK")</x:f>
        <x:v>OK</x:v>
      </x:c>
      <x:c r="AA803" t="str">
        <x:f>TEXT(B803,"yyyy-mm")</x:f>
        <x:v>2026-05</x:v>
      </x:c>
      <x:c r="AB803" t="str">
        <x:f>IF(K803="","",TEXT(K803,"yyyy-mm"))</x:f>
        <x:v>2026-07</x:v>
      </x:c>
      <x:c r="AC803" t="str">
        <x:f>"Q"&amp;ROUNDUP(MONTH(B803)/3,0)&amp;"-"&amp;YEAR(B803)</x:f>
        <x:v>Q2-2026</x:v>
      </x:c>
      <x:c r="AD803" s="26" t="n">
        <x:f>MIN(100,IF(H803="Enterprise",30,IF(H803="Mid-Market",22,14))+IF(T803="Enterprise",25,IF(T803="Mid-Market",18,10))+IF(Q803="Referral",25,IF(Q803="Organic Search",20,IF(Q803="Email",18,14)))+IF(G803="Technology",10,5))</x:f>
        <x:v>67</x:v>
      </x:c>
      <x:c r="AE803" t="str">
        <x:f>IF(U803&lt;&gt;"Open",U803,IF(N803&gt;=0.8,"Commit",IF(N803&gt;=0.5,"Best Case","Pipeline")))</x:f>
        <x:v>Won</x:v>
      </x:c>
    </x:row>
    <x:row r="804">
      <x:c r="A804" t="str">
        <x:v>L00803</x:v>
      </x:c>
      <x:c r="B804" s="10" t="n">
        <x:v>45869</x:v>
      </x:c>
      <x:c r="C804" t="str">
        <x:v>Bao Tran</x:v>
      </x:c>
      <x:c r="D804" t="str">
        <x:v>South</x:v>
      </x:c>
      <x:c r="E804" t="str">
        <x:v>Webinar</x:v>
      </x:c>
      <x:c r="F804" t="str">
        <x:v>BI-PLUS</x:v>
      </x:c>
      <x:c r="G804" t="str">
        <x:v>Manufacturing</x:v>
      </x:c>
      <x:c r="H804" t="str">
        <x:v>SMB</x:v>
      </x:c>
      <x:c r="I804" t="str">
        <x:v>Closed Lost</x:v>
      </x:c>
      <x:c r="J804" s="10" t="n">
        <x:v>45911</x:v>
      </x:c>
      <x:c r="K804" s="10" t="n">
        <x:v>45911</x:v>
      </x:c>
      <x:c r="L804" s="22" t="n">
        <x:v>28900</x:v>
      </x:c>
      <x:c r="M804" s="24" t="n">
        <x:v>0</x:v>
      </x:c>
      <x:c r="N804" s="24" t="n">
        <x:v>0</x:v>
      </x:c>
      <x:c r="O804" t="str">
        <x:v>No Decision</x:v>
      </x:c>
      <x:c r="P804" t="n">
        <x:v>3</x:v>
      </x:c>
      <x:c r="Q804" t="str">
        <x:f>IFERROR(XLOOKUP(E804,Lookups!$A$5:$A$24,Lookups!$B$5:$B$24),"Other")</x:f>
        <x:v>Webinar</x:v>
      </x:c>
      <x:c r="R804" t="str">
        <x:f>IFERROR(XLOOKUP(F804,Lookups!$D$5:$D$10,Lookups!$E$5:$E$10),"Unknown Product")</x:f>
        <x:v>Analytics Plus</x:v>
      </x:c>
      <x:c r="S804" t="str">
        <x:f>IFERROR(XLOOKUP(F804,Lookups!$D$5:$D$10,Lookups!$F$5:$F$10),"Unknown")</x:f>
        <x:v>Analytics</x:v>
      </x:c>
      <x:c r="T804" t="str">
        <x:f>IF(L804&gt;=50000,"Enterprise",IF(L804&gt;=20000,"Mid-Market","SMB"))</x:f>
        <x:v>Mid-Market</x:v>
      </x:c>
      <x:c r="U804" t="str">
        <x:f>IF(I804="Closed Won","Won",IF(I804="Closed Lost","Lost","Open"))</x:f>
        <x:v>Lost</x:v>
      </x:c>
      <x:c r="V804" s="22" t="n">
        <x:f>IF(U804="Won",L804*(1-M804),0)</x:f>
        <x:v>0</x:v>
      </x:c>
      <x:c r="W804" s="22" t="n">
        <x:f>IF(U804="Open",L804*N804,0)</x:f>
        <x:v>0</x:v>
      </x:c>
      <x:c r="X804" s="26" t="n">
        <x:f>IF(U804="Open","",IFERROR(K804-B804,""))</x:f>
        <x:v>42</x:v>
      </x:c>
      <x:c r="Y804" s="26" t="n">
        <x:f>IF(U804="Open",Lookups!$B$2-B804,X804)</x:f>
        <x:v>42</x:v>
      </x:c>
      <x:c r="Z804" t="str">
        <x:f>IF(AND(U804="Open",Y804&gt;30),"STALE","OK")</x:f>
        <x:v>OK</x:v>
      </x:c>
      <x:c r="AA804" t="str">
        <x:f>TEXT(B804,"yyyy-mm")</x:f>
        <x:v>2025-07</x:v>
      </x:c>
      <x:c r="AB804" t="str">
        <x:f>IF(K804="","",TEXT(K804,"yyyy-mm"))</x:f>
        <x:v>2025-09</x:v>
      </x:c>
      <x:c r="AC804" t="str">
        <x:f>"Q"&amp;ROUNDUP(MONTH(B804)/3,0)&amp;"-"&amp;YEAR(B804)</x:f>
        <x:v>Q3-2025</x:v>
      </x:c>
      <x:c r="AD804" s="26" t="n">
        <x:f>MIN(100,IF(H804="Enterprise",30,IF(H804="Mid-Market",22,14))+IF(T804="Enterprise",25,IF(T804="Mid-Market",18,10))+IF(Q804="Referral",25,IF(Q804="Organic Search",20,IF(Q804="Email",18,14)))+IF(G804="Technology",10,5))</x:f>
        <x:v>51</x:v>
      </x:c>
      <x:c r="AE804" t="str">
        <x:f>IF(U804&lt;&gt;"Open",U804,IF(N804&gt;=0.8,"Commit",IF(N804&gt;=0.5,"Best Case","Pipeline")))</x:f>
        <x:v>Lost</x:v>
      </x:c>
    </x:row>
    <x:row r="805">
      <x:c r="A805" t="str">
        <x:v>L00804</x:v>
      </x:c>
      <x:c r="B805" s="10" t="n">
        <x:v>46055</x:v>
      </x:c>
      <x:c r="C805" t="str">
        <x:v>Bao Tran</x:v>
      </x:c>
      <x:c r="D805" t="str">
        <x:v>South</x:v>
      </x:c>
      <x:c r="E805" t="str">
        <x:v>LI Ads</x:v>
      </x:c>
      <x:c r="F805" t="str">
        <x:v>CRM-CORE</x:v>
      </x:c>
      <x:c r="G805" t="str">
        <x:v>Financial Services</x:v>
      </x:c>
      <x:c r="H805" t="str">
        <x:v>Mid-Market</x:v>
      </x:c>
      <x:c r="I805" t="str">
        <x:v>Closed Lost</x:v>
      </x:c>
      <x:c r="J805" s="10" t="n">
        <x:v>46085</x:v>
      </x:c>
      <x:c r="K805" s="10" t="n">
        <x:v>46085</x:v>
      </x:c>
      <x:c r="L805" s="22" t="n">
        <x:v>10200</x:v>
      </x:c>
      <x:c r="M805" s="24" t="n">
        <x:v>0</x:v>
      </x:c>
      <x:c r="N805" s="24" t="n">
        <x:v>0</x:v>
      </x:c>
      <x:c r="O805" t="str">
        <x:v>Budget</x:v>
      </x:c>
      <x:c r="P805" t="n">
        <x:v>2</x:v>
      </x:c>
      <x:c r="Q805" t="str">
        <x:f>IFERROR(XLOOKUP(E805,Lookups!$A$5:$A$24,Lookups!$B$5:$B$24),"Other")</x:f>
        <x:v>LinkedIn</x:v>
      </x:c>
      <x:c r="R805" t="str">
        <x:f>IFERROR(XLOOKUP(F805,Lookups!$D$5:$D$10,Lookups!$E$5:$E$10),"Unknown Product")</x:f>
        <x:v>NexaCRM Core</x:v>
      </x:c>
      <x:c r="S805" t="str">
        <x:f>IFERROR(XLOOKUP(F805,Lookups!$D$5:$D$10,Lookups!$F$5:$F$10),"Unknown")</x:f>
        <x:v>CRM</x:v>
      </x:c>
      <x:c r="T805" t="str">
        <x:f>IF(L805&gt;=50000,"Enterprise",IF(L805&gt;=20000,"Mid-Market","SMB"))</x:f>
        <x:v>SMB</x:v>
      </x:c>
      <x:c r="U805" t="str">
        <x:f>IF(I805="Closed Won","Won",IF(I805="Closed Lost","Lost","Open"))</x:f>
        <x:v>Lost</x:v>
      </x:c>
      <x:c r="V805" s="22" t="n">
        <x:f>IF(U805="Won",L805*(1-M805),0)</x:f>
        <x:v>0</x:v>
      </x:c>
      <x:c r="W805" s="22" t="n">
        <x:f>IF(U805="Open",L805*N805,0)</x:f>
        <x:v>0</x:v>
      </x:c>
      <x:c r="X805" s="26" t="n">
        <x:f>IF(U805="Open","",IFERROR(K805-B805,""))</x:f>
        <x:v>30</x:v>
      </x:c>
      <x:c r="Y805" s="26" t="n">
        <x:f>IF(U805="Open",Lookups!$B$2-B805,X805)</x:f>
        <x:v>30</x:v>
      </x:c>
      <x:c r="Z805" t="str">
        <x:f>IF(AND(U805="Open",Y805&gt;30),"STALE","OK")</x:f>
        <x:v>OK</x:v>
      </x:c>
      <x:c r="AA805" t="str">
        <x:f>TEXT(B805,"yyyy-mm")</x:f>
        <x:v>2026-02</x:v>
      </x:c>
      <x:c r="AB805" t="str">
        <x:f>IF(K805="","",TEXT(K805,"yyyy-mm"))</x:f>
        <x:v>2026-03</x:v>
      </x:c>
      <x:c r="AC805" t="str">
        <x:f>"Q"&amp;ROUNDUP(MONTH(B805)/3,0)&amp;"-"&amp;YEAR(B805)</x:f>
        <x:v>Q1-2026</x:v>
      </x:c>
      <x:c r="AD805" s="26" t="n">
        <x:f>MIN(100,IF(H805="Enterprise",30,IF(H805="Mid-Market",22,14))+IF(T805="Enterprise",25,IF(T805="Mid-Market",18,10))+IF(Q805="Referral",25,IF(Q805="Organic Search",20,IF(Q805="Email",18,14)))+IF(G805="Technology",10,5))</x:f>
        <x:v>51</x:v>
      </x:c>
      <x:c r="AE805" t="str">
        <x:f>IF(U805&lt;&gt;"Open",U805,IF(N805&gt;=0.8,"Commit",IF(N805&gt;=0.5,"Best Case","Pipeline")))</x:f>
        <x:v>Lost</x:v>
      </x:c>
    </x:row>
    <x:row r="806">
      <x:c r="A806" t="str">
        <x:v>L00805</x:v>
      </x:c>
      <x:c r="B806" s="10" t="n">
        <x:v>45735</x:v>
      </x:c>
      <x:c r="C806" t="str">
        <x:v>Duy Pham</x:v>
      </x:c>
      <x:c r="D806" t="str">
        <x:v>South</x:v>
      </x:c>
      <x:c r="E806" t="str">
        <x:v>google cpc</x:v>
      </x:c>
      <x:c r="F806" t="str">
        <x:v>BI-PLUS</x:v>
      </x:c>
      <x:c r="G806" t="str">
        <x:v>Healthcare</x:v>
      </x:c>
      <x:c r="H806" t="str">
        <x:v>SMB</x:v>
      </x:c>
      <x:c r="I806" t="str">
        <x:v>Closed Lost</x:v>
      </x:c>
      <x:c r="J806" s="10" t="n">
        <x:v>45757</x:v>
      </x:c>
      <x:c r="K806" s="10" t="n">
        <x:v>45757</x:v>
      </x:c>
      <x:c r="L806" s="22" t="n">
        <x:v>28000</x:v>
      </x:c>
      <x:c r="M806" s="24" t="n">
        <x:v>0</x:v>
      </x:c>
      <x:c r="N806" s="24" t="n">
        <x:v>0</x:v>
      </x:c>
      <x:c r="O806" t="str">
        <x:v>Timing</x:v>
      </x:c>
      <x:c r="P806" t="n">
        <x:v>4</x:v>
      </x:c>
      <x:c r="Q806" t="str">
        <x:f>IFERROR(XLOOKUP(E806,Lookups!$A$5:$A$24,Lookups!$B$5:$B$24),"Other")</x:f>
        <x:v>Paid Search</x:v>
      </x:c>
      <x:c r="R806" t="str">
        <x:f>IFERROR(XLOOKUP(F806,Lookups!$D$5:$D$10,Lookups!$E$5:$E$10),"Unknown Product")</x:f>
        <x:v>Analytics Plus</x:v>
      </x:c>
      <x:c r="S806" t="str">
        <x:f>IFERROR(XLOOKUP(F806,Lookups!$D$5:$D$10,Lookups!$F$5:$F$10),"Unknown")</x:f>
        <x:v>Analytics</x:v>
      </x:c>
      <x:c r="T806" t="str">
        <x:f>IF(L806&gt;=50000,"Enterprise",IF(L806&gt;=20000,"Mid-Market","SMB"))</x:f>
        <x:v>Mid-Market</x:v>
      </x:c>
      <x:c r="U806" t="str">
        <x:f>IF(I806="Closed Won","Won",IF(I806="Closed Lost","Lost","Open"))</x:f>
        <x:v>Lost</x:v>
      </x:c>
      <x:c r="V806" s="22" t="n">
        <x:f>IF(U806="Won",L806*(1-M806),0)</x:f>
        <x:v>0</x:v>
      </x:c>
      <x:c r="W806" s="22" t="n">
        <x:f>IF(U806="Open",L806*N806,0)</x:f>
        <x:v>0</x:v>
      </x:c>
      <x:c r="X806" s="26" t="n">
        <x:f>IF(U806="Open","",IFERROR(K806-B806,""))</x:f>
        <x:v>22</x:v>
      </x:c>
      <x:c r="Y806" s="26" t="n">
        <x:f>IF(U806="Open",Lookups!$B$2-B806,X806)</x:f>
        <x:v>22</x:v>
      </x:c>
      <x:c r="Z806" t="str">
        <x:f>IF(AND(U806="Open",Y806&gt;30),"STALE","OK")</x:f>
        <x:v>OK</x:v>
      </x:c>
      <x:c r="AA806" t="str">
        <x:f>TEXT(B806,"yyyy-mm")</x:f>
        <x:v>2025-03</x:v>
      </x:c>
      <x:c r="AB806" t="str">
        <x:f>IF(K806="","",TEXT(K806,"yyyy-mm"))</x:f>
        <x:v>2025-04</x:v>
      </x:c>
      <x:c r="AC806" t="str">
        <x:f>"Q"&amp;ROUNDUP(MONTH(B806)/3,0)&amp;"-"&amp;YEAR(B806)</x:f>
        <x:v>Q1-2025</x:v>
      </x:c>
      <x:c r="AD806" s="26" t="n">
        <x:f>MIN(100,IF(H806="Enterprise",30,IF(H806="Mid-Market",22,14))+IF(T806="Enterprise",25,IF(T806="Mid-Market",18,10))+IF(Q806="Referral",25,IF(Q806="Organic Search",20,IF(Q806="Email",18,14)))+IF(G806="Technology",10,5))</x:f>
        <x:v>51</x:v>
      </x:c>
      <x:c r="AE806" t="str">
        <x:f>IF(U806&lt;&gt;"Open",U806,IF(N806&gt;=0.8,"Commit",IF(N806&gt;=0.5,"Best Case","Pipeline")))</x:f>
        <x:v>Lost</x:v>
      </x:c>
    </x:row>
    <x:row r="807">
      <x:c r="A807" t="str">
        <x:v>L00806</x:v>
      </x:c>
      <x:c r="B807" s="10" t="n">
        <x:v>45756</x:v>
      </x:c>
      <x:c r="C807" t="str">
        <x:v>Chi Le</x:v>
      </x:c>
      <x:c r="D807" t="str">
        <x:v>South</x:v>
      </x:c>
      <x:c r="E807" t="str">
        <x:v>organic search</x:v>
      </x:c>
      <x:c r="F807" t="str">
        <x:v>MKT-AUTO</x:v>
      </x:c>
      <x:c r="G807" t="str">
        <x:v>Financial Services</x:v>
      </x:c>
      <x:c r="H807" t="str">
        <x:v>SMB</x:v>
      </x:c>
      <x:c r="I807" t="str">
        <x:v>Closed Lost</x:v>
      </x:c>
      <x:c r="J807" s="10" t="n">
        <x:v>45825</x:v>
      </x:c>
      <x:c r="K807" s="10" t="n">
        <x:v>45825</x:v>
      </x:c>
      <x:c r="L807" s="22" t="n">
        <x:v>19200</x:v>
      </x:c>
      <x:c r="M807" s="24" t="n">
        <x:v>0</x:v>
      </x:c>
      <x:c r="N807" s="24" t="n">
        <x:v>0</x:v>
      </x:c>
      <x:c r="O807" t="str">
        <x:v>Competitor</x:v>
      </x:c>
      <x:c r="P807" t="n">
        <x:v>2</x:v>
      </x:c>
      <x:c r="Q807" t="str">
        <x:f>IFERROR(XLOOKUP(E807,Lookups!$A$5:$A$24,Lookups!$B$5:$B$24),"Other")</x:f>
        <x:v>Organic Search</x:v>
      </x:c>
      <x:c r="R807" t="str">
        <x:f>IFERROR(XLOOKUP(F807,Lookups!$D$5:$D$10,Lookups!$E$5:$E$10),"Unknown Product")</x:f>
        <x:v>Marketing Automation</x:v>
      </x:c>
      <x:c r="S807" t="str">
        <x:f>IFERROR(XLOOKUP(F807,Lookups!$D$5:$D$10,Lookups!$F$5:$F$10),"Unknown")</x:f>
        <x:v>Marketing</x:v>
      </x:c>
      <x:c r="T807" t="str">
        <x:f>IF(L807&gt;=50000,"Enterprise",IF(L807&gt;=20000,"Mid-Market","SMB"))</x:f>
        <x:v>SMB</x:v>
      </x:c>
      <x:c r="U807" t="str">
        <x:f>IF(I807="Closed Won","Won",IF(I807="Closed Lost","Lost","Open"))</x:f>
        <x:v>Lost</x:v>
      </x:c>
      <x:c r="V807" s="22" t="n">
        <x:f>IF(U807="Won",L807*(1-M807),0)</x:f>
        <x:v>0</x:v>
      </x:c>
      <x:c r="W807" s="22" t="n">
        <x:f>IF(U807="Open",L807*N807,0)</x:f>
        <x:v>0</x:v>
      </x:c>
      <x:c r="X807" s="26" t="n">
        <x:f>IF(U807="Open","",IFERROR(K807-B807,""))</x:f>
        <x:v>69</x:v>
      </x:c>
      <x:c r="Y807" s="26" t="n">
        <x:f>IF(U807="Open",Lookups!$B$2-B807,X807)</x:f>
        <x:v>69</x:v>
      </x:c>
      <x:c r="Z807" t="str">
        <x:f>IF(AND(U807="Open",Y807&gt;30),"STALE","OK")</x:f>
        <x:v>OK</x:v>
      </x:c>
      <x:c r="AA807" t="str">
        <x:f>TEXT(B807,"yyyy-mm")</x:f>
        <x:v>2025-04</x:v>
      </x:c>
      <x:c r="AB807" t="str">
        <x:f>IF(K807="","",TEXT(K807,"yyyy-mm"))</x:f>
        <x:v>2025-06</x:v>
      </x:c>
      <x:c r="AC807" t="str">
        <x:f>"Q"&amp;ROUNDUP(MONTH(B807)/3,0)&amp;"-"&amp;YEAR(B807)</x:f>
        <x:v>Q2-2025</x:v>
      </x:c>
      <x:c r="AD807" s="26" t="n">
        <x:f>MIN(100,IF(H807="Enterprise",30,IF(H807="Mid-Market",22,14))+IF(T807="Enterprise",25,IF(T807="Mid-Market",18,10))+IF(Q807="Referral",25,IF(Q807="Organic Search",20,IF(Q807="Email",18,14)))+IF(G807="Technology",10,5))</x:f>
        <x:v>49</x:v>
      </x:c>
      <x:c r="AE807" t="str">
        <x:f>IF(U807&lt;&gt;"Open",U807,IF(N807&gt;=0.8,"Commit",IF(N807&gt;=0.5,"Best Case","Pipeline")))</x:f>
        <x:v>Lost</x:v>
      </x:c>
    </x:row>
    <x:row r="808">
      <x:c r="A808" t="str">
        <x:v>L00807</x:v>
      </x:c>
      <x:c r="B808" s="10" t="n">
        <x:v>46189</x:v>
      </x:c>
      <x:c r="C808" t="str">
        <x:v>Bao Tran</x:v>
      </x:c>
      <x:c r="D808" t="str">
        <x:v>South</x:v>
      </x:c>
      <x:c r="E808" t="str">
        <x:v>Webinar</x:v>
      </x:c>
      <x:c r="F808" t="str">
        <x:v>CRM-CORE</x:v>
      </x:c>
      <x:c r="G808" t="str">
        <x:v>Professional Services</x:v>
      </x:c>
      <x:c r="H808" t="str">
        <x:v>SMB</x:v>
      </x:c>
      <x:c r="I808" t="str">
        <x:v>Closed Won</x:v>
      </x:c>
      <x:c r="J808" s="10" t="n">
        <x:v>46227</x:v>
      </x:c>
      <x:c r="K808" s="10" t="n">
        <x:v>46227</x:v>
      </x:c>
      <x:c r="L808" s="22" t="n">
        <x:v>8100</x:v>
      </x:c>
      <x:c r="M808" s="24" t="n">
        <x:v>0</x:v>
      </x:c>
      <x:c r="N808" s="24" t="n">
        <x:v>1</x:v>
      </x:c>
      <x:c r="O808" t="str"/>
      <x:c r="P808" t="n">
        <x:v>6</x:v>
      </x:c>
      <x:c r="Q808" t="str">
        <x:f>IFERROR(XLOOKUP(E808,Lookups!$A$5:$A$24,Lookups!$B$5:$B$24),"Other")</x:f>
        <x:v>Webinar</x:v>
      </x:c>
      <x:c r="R808" t="str">
        <x:f>IFERROR(XLOOKUP(F808,Lookups!$D$5:$D$10,Lookups!$E$5:$E$10),"Unknown Product")</x:f>
        <x:v>NexaCRM Core</x:v>
      </x:c>
      <x:c r="S808" t="str">
        <x:f>IFERROR(XLOOKUP(F808,Lookups!$D$5:$D$10,Lookups!$F$5:$F$10),"Unknown")</x:f>
        <x:v>CRM</x:v>
      </x:c>
      <x:c r="T808" t="str">
        <x:f>IF(L808&gt;=50000,"Enterprise",IF(L808&gt;=20000,"Mid-Market","SMB"))</x:f>
        <x:v>SMB</x:v>
      </x:c>
      <x:c r="U808" t="str">
        <x:f>IF(I808="Closed Won","Won",IF(I808="Closed Lost","Lost","Open"))</x:f>
        <x:v>Won</x:v>
      </x:c>
      <x:c r="V808" s="22" t="n">
        <x:f>IF(U808="Won",L808*(1-M808),0)</x:f>
        <x:v>8100</x:v>
      </x:c>
      <x:c r="W808" s="22" t="n">
        <x:f>IF(U808="Open",L808*N808,0)</x:f>
        <x:v>0</x:v>
      </x:c>
      <x:c r="X808" s="26" t="n">
        <x:f>IF(U808="Open","",IFERROR(K808-B808,""))</x:f>
        <x:v>38</x:v>
      </x:c>
      <x:c r="Y808" s="26" t="n">
        <x:f>IF(U808="Open",Lookups!$B$2-B808,X808)</x:f>
        <x:v>38</x:v>
      </x:c>
      <x:c r="Z808" t="str">
        <x:f>IF(AND(U808="Open",Y808&gt;30),"STALE","OK")</x:f>
        <x:v>OK</x:v>
      </x:c>
      <x:c r="AA808" t="str">
        <x:f>TEXT(B808,"yyyy-mm")</x:f>
        <x:v>2026-06</x:v>
      </x:c>
      <x:c r="AB808" t="str">
        <x:f>IF(K808="","",TEXT(K808,"yyyy-mm"))</x:f>
        <x:v>2026-07</x:v>
      </x:c>
      <x:c r="AC808" t="str">
        <x:f>"Q"&amp;ROUNDUP(MONTH(B808)/3,0)&amp;"-"&amp;YEAR(B808)</x:f>
        <x:v>Q2-2026</x:v>
      </x:c>
      <x:c r="AD808" s="26" t="n">
        <x:f>MIN(100,IF(H808="Enterprise",30,IF(H808="Mid-Market",22,14))+IF(T808="Enterprise",25,IF(T808="Mid-Market",18,10))+IF(Q808="Referral",25,IF(Q808="Organic Search",20,IF(Q808="Email",18,14)))+IF(G808="Technology",10,5))</x:f>
        <x:v>43</x:v>
      </x:c>
      <x:c r="AE808" t="str">
        <x:f>IF(U808&lt;&gt;"Open",U808,IF(N808&gt;=0.8,"Commit",IF(N808&gt;=0.5,"Best Case","Pipeline")))</x:f>
        <x:v>Won</x:v>
      </x:c>
    </x:row>
    <x:row r="809">
      <x:c r="A809" t="str">
        <x:v>L00808</x:v>
      </x:c>
      <x:c r="B809" s="10" t="n">
        <x:v>45817</x:v>
      </x:c>
      <x:c r="C809" t="str">
        <x:v>Duy Pham</x:v>
      </x:c>
      <x:c r="D809" t="str">
        <x:v>South</x:v>
      </x:c>
      <x:c r="E809" t="str">
        <x:v>SEM - Google</x:v>
      </x:c>
      <x:c r="F809" t="str">
        <x:v>CRM-PRO</x:v>
      </x:c>
      <x:c r="G809" t="str">
        <x:v>Education</x:v>
      </x:c>
      <x:c r="H809" t="str">
        <x:v>SMB</x:v>
      </x:c>
      <x:c r="I809" t="str">
        <x:v>Closed Lost</x:v>
      </x:c>
      <x:c r="J809" s="10" t="n">
        <x:v>45877</x:v>
      </x:c>
      <x:c r="K809" s="10" t="n">
        <x:v>45877</x:v>
      </x:c>
      <x:c r="L809" s="22" t="n">
        <x:v>14700</x:v>
      </x:c>
      <x:c r="M809" s="24" t="n">
        <x:v>0</x:v>
      </x:c>
      <x:c r="N809" s="24" t="n">
        <x:v>0</x:v>
      </x:c>
      <x:c r="O809" t="str">
        <x:v>Feature Gap</x:v>
      </x:c>
      <x:c r="P809" t="n">
        <x:v>4</x:v>
      </x:c>
      <x:c r="Q809" t="str">
        <x:f>IFERROR(XLOOKUP(E809,Lookups!$A$5:$A$24,Lookups!$B$5:$B$24),"Other")</x:f>
        <x:v>Paid Search</x:v>
      </x:c>
      <x:c r="R809" t="str">
        <x:f>IFERROR(XLOOKUP(F809,Lookups!$D$5:$D$10,Lookups!$E$5:$E$10),"Unknown Product")</x:f>
        <x:v>NexaCRM Pro</x:v>
      </x:c>
      <x:c r="S809" t="str">
        <x:f>IFERROR(XLOOKUP(F809,Lookups!$D$5:$D$10,Lookups!$F$5:$F$10),"Unknown")</x:f>
        <x:v>CRM</x:v>
      </x:c>
      <x:c r="T809" t="str">
        <x:f>IF(L809&gt;=50000,"Enterprise",IF(L809&gt;=20000,"Mid-Market","SMB"))</x:f>
        <x:v>SMB</x:v>
      </x:c>
      <x:c r="U809" t="str">
        <x:f>IF(I809="Closed Won","Won",IF(I809="Closed Lost","Lost","Open"))</x:f>
        <x:v>Lost</x:v>
      </x:c>
      <x:c r="V809" s="22" t="n">
        <x:f>IF(U809="Won",L809*(1-M809),0)</x:f>
        <x:v>0</x:v>
      </x:c>
      <x:c r="W809" s="22" t="n">
        <x:f>IF(U809="Open",L809*N809,0)</x:f>
        <x:v>0</x:v>
      </x:c>
      <x:c r="X809" s="26" t="n">
        <x:f>IF(U809="Open","",IFERROR(K809-B809,""))</x:f>
        <x:v>60</x:v>
      </x:c>
      <x:c r="Y809" s="26" t="n">
        <x:f>IF(U809="Open",Lookups!$B$2-B809,X809)</x:f>
        <x:v>60</x:v>
      </x:c>
      <x:c r="Z809" t="str">
        <x:f>IF(AND(U809="Open",Y809&gt;30),"STALE","OK")</x:f>
        <x:v>OK</x:v>
      </x:c>
      <x:c r="AA809" t="str">
        <x:f>TEXT(B809,"yyyy-mm")</x:f>
        <x:v>2025-06</x:v>
      </x:c>
      <x:c r="AB809" t="str">
        <x:f>IF(K809="","",TEXT(K809,"yyyy-mm"))</x:f>
        <x:v>2025-08</x:v>
      </x:c>
      <x:c r="AC809" t="str">
        <x:f>"Q"&amp;ROUNDUP(MONTH(B809)/3,0)&amp;"-"&amp;YEAR(B809)</x:f>
        <x:v>Q2-2025</x:v>
      </x:c>
      <x:c r="AD809" s="26" t="n">
        <x:f>MIN(100,IF(H809="Enterprise",30,IF(H809="Mid-Market",22,14))+IF(T809="Enterprise",25,IF(T809="Mid-Market",18,10))+IF(Q809="Referral",25,IF(Q809="Organic Search",20,IF(Q809="Email",18,14)))+IF(G809="Technology",10,5))</x:f>
        <x:v>43</x:v>
      </x:c>
      <x:c r="AE809" t="str">
        <x:f>IF(U809&lt;&gt;"Open",U809,IF(N809&gt;=0.8,"Commit",IF(N809&gt;=0.5,"Best Case","Pipeline")))</x:f>
        <x:v>Lost</x:v>
      </x:c>
    </x:row>
    <x:row r="810">
      <x:c r="A810" t="str">
        <x:v>L00809</x:v>
      </x:c>
      <x:c r="B810" s="10" t="n">
        <x:v>45683</x:v>
      </x:c>
      <x:c r="C810" t="str">
        <x:v>Tuan Bui</x:v>
      </x:c>
      <x:c r="D810" t="str">
        <x:v>Central</x:v>
      </x:c>
      <x:c r="E810" t="str">
        <x:v>Google Organic</x:v>
      </x:c>
      <x:c r="F810" t="str">
        <x:v>MKT-AUTO</x:v>
      </x:c>
      <x:c r="G810" t="str">
        <x:v>Manufacturing</x:v>
      </x:c>
      <x:c r="H810" t="str">
        <x:v>Mid-Market</x:v>
      </x:c>
      <x:c r="I810" t="str">
        <x:v>Closed Won</x:v>
      </x:c>
      <x:c r="J810" s="10" t="n">
        <x:v>45765</x:v>
      </x:c>
      <x:c r="K810" s="10" t="n">
        <x:v>45765</x:v>
      </x:c>
      <x:c r="L810" s="22" t="n">
        <x:v>23100</x:v>
      </x:c>
      <x:c r="M810" s="24" t="n">
        <x:v>0.03</x:v>
      </x:c>
      <x:c r="N810" s="24" t="n">
        <x:v>1</x:v>
      </x:c>
      <x:c r="O810" t="str"/>
      <x:c r="P810" t="n">
        <x:v>6</x:v>
      </x:c>
      <x:c r="Q810" t="str">
        <x:f>IFERROR(XLOOKUP(E810,Lookups!$A$5:$A$24,Lookups!$B$5:$B$24),"Other")</x:f>
        <x:v>Organic Search</x:v>
      </x:c>
      <x:c r="R810" t="str">
        <x:f>IFERROR(XLOOKUP(F810,Lookups!$D$5:$D$10,Lookups!$E$5:$E$10),"Unknown Product")</x:f>
        <x:v>Marketing Automation</x:v>
      </x:c>
      <x:c r="S810" t="str">
        <x:f>IFERROR(XLOOKUP(F810,Lookups!$D$5:$D$10,Lookups!$F$5:$F$10),"Unknown")</x:f>
        <x:v>Marketing</x:v>
      </x:c>
      <x:c r="T810" t="str">
        <x:f>IF(L810&gt;=50000,"Enterprise",IF(L810&gt;=20000,"Mid-Market","SMB"))</x:f>
        <x:v>Mid-Market</x:v>
      </x:c>
      <x:c r="U810" t="str">
        <x:f>IF(I810="Closed Won","Won",IF(I810="Closed Lost","Lost","Open"))</x:f>
        <x:v>Won</x:v>
      </x:c>
      <x:c r="V810" s="22" t="n">
        <x:f>IF(U810="Won",L810*(1-M810),0)</x:f>
        <x:v>22407</x:v>
      </x:c>
      <x:c r="W810" s="22" t="n">
        <x:f>IF(U810="Open",L810*N810,0)</x:f>
        <x:v>0</x:v>
      </x:c>
      <x:c r="X810" s="26" t="n">
        <x:f>IF(U810="Open","",IFERROR(K810-B810,""))</x:f>
        <x:v>82</x:v>
      </x:c>
      <x:c r="Y810" s="26" t="n">
        <x:f>IF(U810="Open",Lookups!$B$2-B810,X810)</x:f>
        <x:v>82</x:v>
      </x:c>
      <x:c r="Z810" t="str">
        <x:f>IF(AND(U810="Open",Y810&gt;30),"STALE","OK")</x:f>
        <x:v>OK</x:v>
      </x:c>
      <x:c r="AA810" t="str">
        <x:f>TEXT(B810,"yyyy-mm")</x:f>
        <x:v>2025-01</x:v>
      </x:c>
      <x:c r="AB810" t="str">
        <x:f>IF(K810="","",TEXT(K810,"yyyy-mm"))</x:f>
        <x:v>2025-04</x:v>
      </x:c>
      <x:c r="AC810" t="str">
        <x:f>"Q"&amp;ROUNDUP(MONTH(B810)/3,0)&amp;"-"&amp;YEAR(B810)</x:f>
        <x:v>Q1-2025</x:v>
      </x:c>
      <x:c r="AD810" s="26" t="n">
        <x:f>MIN(100,IF(H810="Enterprise",30,IF(H810="Mid-Market",22,14))+IF(T810="Enterprise",25,IF(T810="Mid-Market",18,10))+IF(Q810="Referral",25,IF(Q810="Organic Search",20,IF(Q810="Email",18,14)))+IF(G810="Technology",10,5))</x:f>
        <x:v>65</x:v>
      </x:c>
      <x:c r="AE810" t="str">
        <x:f>IF(U810&lt;&gt;"Open",U810,IF(N810&gt;=0.8,"Commit",IF(N810&gt;=0.5,"Best Case","Pipeline")))</x:f>
        <x:v>Won</x:v>
      </x:c>
    </x:row>
    <x:row r="811">
      <x:c r="A811" t="str">
        <x:v>L00810</x:v>
      </x:c>
      <x:c r="B811" s="10" t="n">
        <x:v>45876</x:v>
      </x:c>
      <x:c r="C811" t="str">
        <x:v>An Nguyen</x:v>
      </x:c>
      <x:c r="D811" t="str">
        <x:v>South</x:v>
      </x:c>
      <x:c r="E811" t="str">
        <x:v>SEM - Google</x:v>
      </x:c>
      <x:c r="F811" t="str">
        <x:v>MKT-AUTO</x:v>
      </x:c>
      <x:c r="G811" t="str">
        <x:v>Retail</x:v>
      </x:c>
      <x:c r="H811" t="str">
        <x:v>Mid-Market</x:v>
      </x:c>
      <x:c r="I811" t="str">
        <x:v>Negotiation</x:v>
      </x:c>
      <x:c r="J811" s="10" t="n">
        <x:v>46163</x:v>
      </x:c>
      <x:c r="K811" s="10"/>
      <x:c r="L811" s="22" t="n">
        <x:v>27800</x:v>
      </x:c>
      <x:c r="M811" s="24" t="n">
        <x:v>0</x:v>
      </x:c>
      <x:c r="N811" s="24" t="n">
        <x:v>0.85</x:v>
      </x:c>
      <x:c r="O811" t="str"/>
      <x:c r="P811" t="n">
        <x:v>5</x:v>
      </x:c>
      <x:c r="Q811" t="str">
        <x:f>IFERROR(XLOOKUP(E811,Lookups!$A$5:$A$24,Lookups!$B$5:$B$24),"Other")</x:f>
        <x:v>Paid Search</x:v>
      </x:c>
      <x:c r="R811" t="str">
        <x:f>IFERROR(XLOOKUP(F811,Lookups!$D$5:$D$10,Lookups!$E$5:$E$10),"Unknown Product")</x:f>
        <x:v>Marketing Automation</x:v>
      </x:c>
      <x:c r="S811" t="str">
        <x:f>IFERROR(XLOOKUP(F811,Lookups!$D$5:$D$10,Lookups!$F$5:$F$10),"Unknown")</x:f>
        <x:v>Marketing</x:v>
      </x:c>
      <x:c r="T811" t="str">
        <x:f>IF(L811&gt;=50000,"Enterprise",IF(L811&gt;=20000,"Mid-Market","SMB"))</x:f>
        <x:v>Mid-Market</x:v>
      </x:c>
      <x:c r="U811" t="str">
        <x:f>IF(I811="Closed Won","Won",IF(I811="Closed Lost","Lost","Open"))</x:f>
        <x:v>Open</x:v>
      </x:c>
      <x:c r="V811" s="22" t="n">
        <x:f>IF(U811="Won",L811*(1-M811),0)</x:f>
        <x:v>0</x:v>
      </x:c>
      <x:c r="W811" s="22" t="n">
        <x:f>IF(U811="Open",L811*N811,0)</x:f>
        <x:v>23630</x:v>
      </x:c>
      <x:c r="X811" s="26" t="str">
        <x:f>IF(U811="Open","",IFERROR(K811-B811,""))</x:f>
      </x:c>
      <x:c r="Y811" s="26" t="n">
        <x:f>IF(U811="Open",Lookups!$B$2-B811,X811)</x:f>
        <x:v>390</x:v>
      </x:c>
      <x:c r="Z811" t="str">
        <x:f>IF(AND(U811="Open",Y811&gt;30),"STALE","OK")</x:f>
        <x:v>STALE</x:v>
      </x:c>
      <x:c r="AA811" t="str">
        <x:f>TEXT(B811,"yyyy-mm")</x:f>
        <x:v>2025-08</x:v>
      </x:c>
      <x:c r="AB811" t="str">
        <x:f>IF(K811="","",TEXT(K811,"yyyy-mm"))</x:f>
      </x:c>
      <x:c r="AC811" t="str">
        <x:f>"Q"&amp;ROUNDUP(MONTH(B811)/3,0)&amp;"-"&amp;YEAR(B811)</x:f>
        <x:v>Q3-2025</x:v>
      </x:c>
      <x:c r="AD811" s="26" t="n">
        <x:f>MIN(100,IF(H811="Enterprise",30,IF(H811="Mid-Market",22,14))+IF(T811="Enterprise",25,IF(T811="Mid-Market",18,10))+IF(Q811="Referral",25,IF(Q811="Organic Search",20,IF(Q811="Email",18,14)))+IF(G811="Technology",10,5))</x:f>
        <x:v>59</x:v>
      </x:c>
      <x:c r="AE811" t="str">
        <x:f>IF(U811&lt;&gt;"Open",U811,IF(N811&gt;=0.8,"Commit",IF(N811&gt;=0.5,"Best Case","Pipeline")))</x:f>
        <x:v>Commit</x:v>
      </x:c>
    </x:row>
    <x:row r="812">
      <x:c r="A812" t="str">
        <x:v>L00811</x:v>
      </x:c>
      <x:c r="B812" s="10" t="n">
        <x:v>46218</x:v>
      </x:c>
      <x:c r="C812" t="str">
        <x:v>Chi Le</x:v>
      </x:c>
      <x:c r="D812" t="str">
        <x:v>South</x:v>
      </x:c>
      <x:c r="E812" t="str">
        <x:v>LI Ads</x:v>
      </x:c>
      <x:c r="F812" t="str">
        <x:v>CS-CLOUD</x:v>
      </x:c>
      <x:c r="G812" t="str">
        <x:v>Healthcare</x:v>
      </x:c>
      <x:c r="H812" t="str">
        <x:v>SMB</x:v>
      </x:c>
      <x:c r="I812" t="str">
        <x:v>Qualified</x:v>
      </x:c>
      <x:c r="J812" s="10" t="n">
        <x:v>46239</x:v>
      </x:c>
      <x:c r="K812" s="10"/>
      <x:c r="L812" s="22" t="n">
        <x:v>22500</x:v>
      </x:c>
      <x:c r="M812" s="24" t="n">
        <x:v>0</x:v>
      </x:c>
      <x:c r="N812" s="24" t="n">
        <x:v>0.2</x:v>
      </x:c>
      <x:c r="O812" t="str"/>
      <x:c r="P812" t="n">
        <x:v>2</x:v>
      </x:c>
      <x:c r="Q812" t="str">
        <x:f>IFERROR(XLOOKUP(E812,Lookups!$A$5:$A$24,Lookups!$B$5:$B$24),"Other")</x:f>
        <x:v>LinkedIn</x:v>
      </x:c>
      <x:c r="R812" t="str">
        <x:f>IFERROR(XLOOKUP(F812,Lookups!$D$5:$D$10,Lookups!$E$5:$E$10),"Unknown Product")</x:f>
        <x:v>Service Cloud</x:v>
      </x:c>
      <x:c r="S812" t="str">
        <x:f>IFERROR(XLOOKUP(F812,Lookups!$D$5:$D$10,Lookups!$F$5:$F$10),"Unknown")</x:f>
        <x:v>Customer Service</x:v>
      </x:c>
      <x:c r="T812" t="str">
        <x:f>IF(L812&gt;=50000,"Enterprise",IF(L812&gt;=20000,"Mid-Market","SMB"))</x:f>
        <x:v>Mid-Market</x:v>
      </x:c>
      <x:c r="U812" t="str">
        <x:f>IF(I812="Closed Won","Won",IF(I812="Closed Lost","Lost","Open"))</x:f>
        <x:v>Open</x:v>
      </x:c>
      <x:c r="V812" s="22" t="n">
        <x:f>IF(U812="Won",L812*(1-M812),0)</x:f>
        <x:v>0</x:v>
      </x:c>
      <x:c r="W812" s="22" t="n">
        <x:f>IF(U812="Open",L812*N812,0)</x:f>
        <x:v>4500</x:v>
      </x:c>
      <x:c r="X812" s="26" t="str">
        <x:f>IF(U812="Open","",IFERROR(K812-B812,""))</x:f>
      </x:c>
      <x:c r="Y812" s="26" t="n">
        <x:f>IF(U812="Open",Lookups!$B$2-B812,X812)</x:f>
        <x:v>48</x:v>
      </x:c>
      <x:c r="Z812" t="str">
        <x:f>IF(AND(U812="Open",Y812&gt;30),"STALE","OK")</x:f>
        <x:v>STALE</x:v>
      </x:c>
      <x:c r="AA812" t="str">
        <x:f>TEXT(B812,"yyyy-mm")</x:f>
        <x:v>2026-07</x:v>
      </x:c>
      <x:c r="AB812" t="str">
        <x:f>IF(K812="","",TEXT(K812,"yyyy-mm"))</x:f>
      </x:c>
      <x:c r="AC812" t="str">
        <x:f>"Q"&amp;ROUNDUP(MONTH(B812)/3,0)&amp;"-"&amp;YEAR(B812)</x:f>
        <x:v>Q3-2026</x:v>
      </x:c>
      <x:c r="AD812" s="26" t="n">
        <x:f>MIN(100,IF(H812="Enterprise",30,IF(H812="Mid-Market",22,14))+IF(T812="Enterprise",25,IF(T812="Mid-Market",18,10))+IF(Q812="Referral",25,IF(Q812="Organic Search",20,IF(Q812="Email",18,14)))+IF(G812="Technology",10,5))</x:f>
        <x:v>51</x:v>
      </x:c>
      <x:c r="AE812" t="str">
        <x:f>IF(U812&lt;&gt;"Open",U812,IF(N812&gt;=0.8,"Commit",IF(N812&gt;=0.5,"Best Case","Pipeline")))</x:f>
        <x:v>Pipeline</x:v>
      </x:c>
    </x:row>
    <x:row r="813">
      <x:c r="A813" t="str">
        <x:v>L00812</x:v>
      </x:c>
      <x:c r="B813" s="10" t="n">
        <x:v>45742</x:v>
      </x:c>
      <x:c r="C813" t="str">
        <x:v>Minh Do</x:v>
      </x:c>
      <x:c r="D813" t="str">
        <x:v>North</x:v>
      </x:c>
      <x:c r="E813" t="str">
        <x:v>Google Ads</x:v>
      </x:c>
      <x:c r="F813" t="str">
        <x:v>REV-OPS</x:v>
      </x:c>
      <x:c r="G813" t="str">
        <x:v>Professional Services</x:v>
      </x:c>
      <x:c r="H813" t="str">
        <x:v>SMB</x:v>
      </x:c>
      <x:c r="I813" t="str">
        <x:v>Closed Lost</x:v>
      </x:c>
      <x:c r="J813" s="10" t="n">
        <x:v>45794</x:v>
      </x:c>
      <x:c r="K813" s="10" t="n">
        <x:v>45794</x:v>
      </x:c>
      <x:c r="L813" s="22" t="n">
        <x:v>30100</x:v>
      </x:c>
      <x:c r="M813" s="24" t="n">
        <x:v>0</x:v>
      </x:c>
      <x:c r="N813" s="24" t="n">
        <x:v>0</x:v>
      </x:c>
      <x:c r="O813" t="str">
        <x:v>Budget</x:v>
      </x:c>
      <x:c r="P813" t="n">
        <x:v>5</x:v>
      </x:c>
      <x:c r="Q813" t="str">
        <x:f>IFERROR(XLOOKUP(E813,Lookups!$A$5:$A$24,Lookups!$B$5:$B$24),"Other")</x:f>
        <x:v>Paid Search</x:v>
      </x:c>
      <x:c r="R813" t="str">
        <x:f>IFERROR(XLOOKUP(F813,Lookups!$D$5:$D$10,Lookups!$E$5:$E$10),"Unknown Product")</x:f>
        <x:v>Revenue Operations Suite</x:v>
      </x:c>
      <x:c r="S813" t="str">
        <x:f>IFERROR(XLOOKUP(F813,Lookups!$D$5:$D$10,Lookups!$F$5:$F$10),"Unknown")</x:f>
        <x:v>Revenue Ops</x:v>
      </x:c>
      <x:c r="T813" t="str">
        <x:f>IF(L813&gt;=50000,"Enterprise",IF(L813&gt;=20000,"Mid-Market","SMB"))</x:f>
        <x:v>Mid-Market</x:v>
      </x:c>
      <x:c r="U813" t="str">
        <x:f>IF(I813="Closed Won","Won",IF(I813="Closed Lost","Lost","Open"))</x:f>
        <x:v>Lost</x:v>
      </x:c>
      <x:c r="V813" s="22" t="n">
        <x:f>IF(U813="Won",L813*(1-M813),0)</x:f>
        <x:v>0</x:v>
      </x:c>
      <x:c r="W813" s="22" t="n">
        <x:f>IF(U813="Open",L813*N813,0)</x:f>
        <x:v>0</x:v>
      </x:c>
      <x:c r="X813" s="26" t="n">
        <x:f>IF(U813="Open","",IFERROR(K813-B813,""))</x:f>
        <x:v>52</x:v>
      </x:c>
      <x:c r="Y813" s="26" t="n">
        <x:f>IF(U813="Open",Lookups!$B$2-B813,X813)</x:f>
        <x:v>52</x:v>
      </x:c>
      <x:c r="Z813" t="str">
        <x:f>IF(AND(U813="Open",Y813&gt;30),"STALE","OK")</x:f>
        <x:v>OK</x:v>
      </x:c>
      <x:c r="AA813" t="str">
        <x:f>TEXT(B813,"yyyy-mm")</x:f>
        <x:v>2025-03</x:v>
      </x:c>
      <x:c r="AB813" t="str">
        <x:f>IF(K813="","",TEXT(K813,"yyyy-mm"))</x:f>
        <x:v>2025-05</x:v>
      </x:c>
      <x:c r="AC813" t="str">
        <x:f>"Q"&amp;ROUNDUP(MONTH(B813)/3,0)&amp;"-"&amp;YEAR(B813)</x:f>
        <x:v>Q1-2025</x:v>
      </x:c>
      <x:c r="AD813" s="26" t="n">
        <x:f>MIN(100,IF(H813="Enterprise",30,IF(H813="Mid-Market",22,14))+IF(T813="Enterprise",25,IF(T813="Mid-Market",18,10))+IF(Q813="Referral",25,IF(Q813="Organic Search",20,IF(Q813="Email",18,14)))+IF(G813="Technology",10,5))</x:f>
        <x:v>51</x:v>
      </x:c>
      <x:c r="AE813" t="str">
        <x:f>IF(U813&lt;&gt;"Open",U813,IF(N813&gt;=0.8,"Commit",IF(N813&gt;=0.5,"Best Case","Pipeline")))</x:f>
        <x:v>Lost</x:v>
      </x:c>
    </x:row>
    <x:row r="814">
      <x:c r="A814" t="str">
        <x:v>L00813</x:v>
      </x:c>
      <x:c r="B814" s="10" t="n">
        <x:v>45766</x:v>
      </x:c>
      <x:c r="C814" t="str">
        <x:v>Bao Tran</x:v>
      </x:c>
      <x:c r="D814" t="str">
        <x:v>South</x:v>
      </x:c>
      <x:c r="E814" t="str">
        <x:v>LI Ads</x:v>
      </x:c>
      <x:c r="F814" t="str">
        <x:v>BI-PLUS</x:v>
      </x:c>
      <x:c r="G814" t="str">
        <x:v>Financial Services</x:v>
      </x:c>
      <x:c r="H814" t="str">
        <x:v>SMB</x:v>
      </x:c>
      <x:c r="I814" t="str">
        <x:v>Closed Won</x:v>
      </x:c>
      <x:c r="J814" s="10" t="n">
        <x:v>45808</x:v>
      </x:c>
      <x:c r="K814" s="10" t="n">
        <x:v>45808</x:v>
      </x:c>
      <x:c r="L814" s="22" t="n">
        <x:v>25300</x:v>
      </x:c>
      <x:c r="M814" s="24" t="n">
        <x:v>0.08</x:v>
      </x:c>
      <x:c r="N814" s="24" t="n">
        <x:v>1</x:v>
      </x:c>
      <x:c r="O814" t="str"/>
      <x:c r="P814" t="n">
        <x:v>6</x:v>
      </x:c>
      <x:c r="Q814" t="str">
        <x:f>IFERROR(XLOOKUP(E814,Lookups!$A$5:$A$24,Lookups!$B$5:$B$24),"Other")</x:f>
        <x:v>LinkedIn</x:v>
      </x:c>
      <x:c r="R814" t="str">
        <x:f>IFERROR(XLOOKUP(F814,Lookups!$D$5:$D$10,Lookups!$E$5:$E$10),"Unknown Product")</x:f>
        <x:v>Analytics Plus</x:v>
      </x:c>
      <x:c r="S814" t="str">
        <x:f>IFERROR(XLOOKUP(F814,Lookups!$D$5:$D$10,Lookups!$F$5:$F$10),"Unknown")</x:f>
        <x:v>Analytics</x:v>
      </x:c>
      <x:c r="T814" t="str">
        <x:f>IF(L814&gt;=50000,"Enterprise",IF(L814&gt;=20000,"Mid-Market","SMB"))</x:f>
        <x:v>Mid-Market</x:v>
      </x:c>
      <x:c r="U814" t="str">
        <x:f>IF(I814="Closed Won","Won",IF(I814="Closed Lost","Lost","Open"))</x:f>
        <x:v>Won</x:v>
      </x:c>
      <x:c r="V814" s="22" t="n">
        <x:f>IF(U814="Won",L814*(1-M814),0)</x:f>
        <x:v>23276</x:v>
      </x:c>
      <x:c r="W814" s="22" t="n">
        <x:f>IF(U814="Open",L814*N814,0)</x:f>
        <x:v>0</x:v>
      </x:c>
      <x:c r="X814" s="26" t="n">
        <x:f>IF(U814="Open","",IFERROR(K814-B814,""))</x:f>
        <x:v>42</x:v>
      </x:c>
      <x:c r="Y814" s="26" t="n">
        <x:f>IF(U814="Open",Lookups!$B$2-B814,X814)</x:f>
        <x:v>42</x:v>
      </x:c>
      <x:c r="Z814" t="str">
        <x:f>IF(AND(U814="Open",Y814&gt;30),"STALE","OK")</x:f>
        <x:v>OK</x:v>
      </x:c>
      <x:c r="AA814" t="str">
        <x:f>TEXT(B814,"yyyy-mm")</x:f>
        <x:v>2025-04</x:v>
      </x:c>
      <x:c r="AB814" t="str">
        <x:f>IF(K814="","",TEXT(K814,"yyyy-mm"))</x:f>
        <x:v>2025-05</x:v>
      </x:c>
      <x:c r="AC814" t="str">
        <x:f>"Q"&amp;ROUNDUP(MONTH(B814)/3,0)&amp;"-"&amp;YEAR(B814)</x:f>
        <x:v>Q2-2025</x:v>
      </x:c>
      <x:c r="AD814" s="26" t="n">
        <x:f>MIN(100,IF(H814="Enterprise",30,IF(H814="Mid-Market",22,14))+IF(T814="Enterprise",25,IF(T814="Mid-Market",18,10))+IF(Q814="Referral",25,IF(Q814="Organic Search",20,IF(Q814="Email",18,14)))+IF(G814="Technology",10,5))</x:f>
        <x:v>51</x:v>
      </x:c>
      <x:c r="AE814" t="str">
        <x:f>IF(U814&lt;&gt;"Open",U814,IF(N814&gt;=0.8,"Commit",IF(N814&gt;=0.5,"Best Case","Pipeline")))</x:f>
        <x:v>Won</x:v>
      </x:c>
    </x:row>
    <x:row r="815">
      <x:c r="A815" t="str">
        <x:v>L00814</x:v>
      </x:c>
      <x:c r="B815" s="10" t="n">
        <x:v>45672</x:v>
      </x:c>
      <x:c r="C815" t="str">
        <x:v>Tuan Bui</x:v>
      </x:c>
      <x:c r="D815" t="str">
        <x:v>Central</x:v>
      </x:c>
      <x:c r="E815" t="str">
        <x:v>Referral</x:v>
      </x:c>
      <x:c r="F815" t="str">
        <x:v>CRM-CORE</x:v>
      </x:c>
      <x:c r="G815" t="str">
        <x:v>Technology</x:v>
      </x:c>
      <x:c r="H815" t="str">
        <x:v>Mid-Market</x:v>
      </x:c>
      <x:c r="I815" t="str">
        <x:v>Closed Lost</x:v>
      </x:c>
      <x:c r="J815" s="10" t="n">
        <x:v>45680</x:v>
      </x:c>
      <x:c r="K815" s="10" t="n">
        <x:v>45680</x:v>
      </x:c>
      <x:c r="L815" s="22" t="n">
        <x:v>12700</x:v>
      </x:c>
      <x:c r="M815" s="24" t="n">
        <x:v>0</x:v>
      </x:c>
      <x:c r="N815" s="24" t="n">
        <x:v>0</x:v>
      </x:c>
      <x:c r="O815" t="str">
        <x:v>Price</x:v>
      </x:c>
      <x:c r="P815" t="n">
        <x:v>3</x:v>
      </x:c>
      <x:c r="Q815" t="str">
        <x:f>IFERROR(XLOOKUP(E815,Lookups!$A$5:$A$24,Lookups!$B$5:$B$24),"Other")</x:f>
        <x:v>Referral</x:v>
      </x:c>
      <x:c r="R815" t="str">
        <x:f>IFERROR(XLOOKUP(F815,Lookups!$D$5:$D$10,Lookups!$E$5:$E$10),"Unknown Product")</x:f>
        <x:v>NexaCRM Core</x:v>
      </x:c>
      <x:c r="S815" t="str">
        <x:f>IFERROR(XLOOKUP(F815,Lookups!$D$5:$D$10,Lookups!$F$5:$F$10),"Unknown")</x:f>
        <x:v>CRM</x:v>
      </x:c>
      <x:c r="T815" t="str">
        <x:f>IF(L815&gt;=50000,"Enterprise",IF(L815&gt;=20000,"Mid-Market","SMB"))</x:f>
        <x:v>SMB</x:v>
      </x:c>
      <x:c r="U815" t="str">
        <x:f>IF(I815="Closed Won","Won",IF(I815="Closed Lost","Lost","Open"))</x:f>
        <x:v>Lost</x:v>
      </x:c>
      <x:c r="V815" s="22" t="n">
        <x:f>IF(U815="Won",L815*(1-M815),0)</x:f>
        <x:v>0</x:v>
      </x:c>
      <x:c r="W815" s="22" t="n">
        <x:f>IF(U815="Open",L815*N815,0)</x:f>
        <x:v>0</x:v>
      </x:c>
      <x:c r="X815" s="26" t="n">
        <x:f>IF(U815="Open","",IFERROR(K815-B815,""))</x:f>
        <x:v>8</x:v>
      </x:c>
      <x:c r="Y815" s="26" t="n">
        <x:f>IF(U815="Open",Lookups!$B$2-B815,X815)</x:f>
        <x:v>8</x:v>
      </x:c>
      <x:c r="Z815" t="str">
        <x:f>IF(AND(U815="Open",Y815&gt;30),"STALE","OK")</x:f>
        <x:v>OK</x:v>
      </x:c>
      <x:c r="AA815" t="str">
        <x:f>TEXT(B815,"yyyy-mm")</x:f>
        <x:v>2025-01</x:v>
      </x:c>
      <x:c r="AB815" t="str">
        <x:f>IF(K815="","",TEXT(K815,"yyyy-mm"))</x:f>
        <x:v>2025-01</x:v>
      </x:c>
      <x:c r="AC815" t="str">
        <x:f>"Q"&amp;ROUNDUP(MONTH(B815)/3,0)&amp;"-"&amp;YEAR(B815)</x:f>
        <x:v>Q1-2025</x:v>
      </x:c>
      <x:c r="AD815" s="26" t="n">
        <x:f>MIN(100,IF(H815="Enterprise",30,IF(H815="Mid-Market",22,14))+IF(T815="Enterprise",25,IF(T815="Mid-Market",18,10))+IF(Q815="Referral",25,IF(Q815="Organic Search",20,IF(Q815="Email",18,14)))+IF(G815="Technology",10,5))</x:f>
        <x:v>67</x:v>
      </x:c>
      <x:c r="AE815" t="str">
        <x:f>IF(U815&lt;&gt;"Open",U815,IF(N815&gt;=0.8,"Commit",IF(N815&gt;=0.5,"Best Case","Pipeline")))</x:f>
        <x:v>Lost</x:v>
      </x:c>
    </x:row>
    <x:row r="816">
      <x:c r="A816" t="str">
        <x:v>L00815</x:v>
      </x:c>
      <x:c r="B816" s="10" t="n">
        <x:v>46080</x:v>
      </x:c>
      <x:c r="C816" t="str">
        <x:v>Tuan Bui</x:v>
      </x:c>
      <x:c r="D816" t="str">
        <x:v>Central</x:v>
      </x:c>
      <x:c r="E816" t="str">
        <x:v>Referral</x:v>
      </x:c>
      <x:c r="F816" t="str">
        <x:v>BI-PLUS</x:v>
      </x:c>
      <x:c r="G816" t="str">
        <x:v>Technology</x:v>
      </x:c>
      <x:c r="H816" t="str">
        <x:v>Mid-Market</x:v>
      </x:c>
      <x:c r="I816" t="str">
        <x:v>Closed Lost</x:v>
      </x:c>
      <x:c r="J816" s="10" t="n">
        <x:v>46154</x:v>
      </x:c>
      <x:c r="K816" s="10" t="n">
        <x:v>46154</x:v>
      </x:c>
      <x:c r="L816" s="22" t="n">
        <x:v>35500</x:v>
      </x:c>
      <x:c r="M816" s="24" t="n">
        <x:v>0</x:v>
      </x:c>
      <x:c r="N816" s="24" t="n">
        <x:v>0</x:v>
      </x:c>
      <x:c r="O816" t="str">
        <x:v>Competitor</x:v>
      </x:c>
      <x:c r="P816" t="n">
        <x:v>3</x:v>
      </x:c>
      <x:c r="Q816" t="str">
        <x:f>IFERROR(XLOOKUP(E816,Lookups!$A$5:$A$24,Lookups!$B$5:$B$24),"Other")</x:f>
        <x:v>Referral</x:v>
      </x:c>
      <x:c r="R816" t="str">
        <x:f>IFERROR(XLOOKUP(F816,Lookups!$D$5:$D$10,Lookups!$E$5:$E$10),"Unknown Product")</x:f>
        <x:v>Analytics Plus</x:v>
      </x:c>
      <x:c r="S816" t="str">
        <x:f>IFERROR(XLOOKUP(F816,Lookups!$D$5:$D$10,Lookups!$F$5:$F$10),"Unknown")</x:f>
        <x:v>Analytics</x:v>
      </x:c>
      <x:c r="T816" t="str">
        <x:f>IF(L816&gt;=50000,"Enterprise",IF(L816&gt;=20000,"Mid-Market","SMB"))</x:f>
        <x:v>Mid-Market</x:v>
      </x:c>
      <x:c r="U816" t="str">
        <x:f>IF(I816="Closed Won","Won",IF(I816="Closed Lost","Lost","Open"))</x:f>
        <x:v>Lost</x:v>
      </x:c>
      <x:c r="V816" s="22" t="n">
        <x:f>IF(U816="Won",L816*(1-M816),0)</x:f>
        <x:v>0</x:v>
      </x:c>
      <x:c r="W816" s="22" t="n">
        <x:f>IF(U816="Open",L816*N816,0)</x:f>
        <x:v>0</x:v>
      </x:c>
      <x:c r="X816" s="26" t="n">
        <x:f>IF(U816="Open","",IFERROR(K816-B816,""))</x:f>
        <x:v>74</x:v>
      </x:c>
      <x:c r="Y816" s="26" t="n">
        <x:f>IF(U816="Open",Lookups!$B$2-B816,X816)</x:f>
        <x:v>74</x:v>
      </x:c>
      <x:c r="Z816" t="str">
        <x:f>IF(AND(U816="Open",Y816&gt;30),"STALE","OK")</x:f>
        <x:v>OK</x:v>
      </x:c>
      <x:c r="AA816" t="str">
        <x:f>TEXT(B816,"yyyy-mm")</x:f>
        <x:v>2026-02</x:v>
      </x:c>
      <x:c r="AB816" t="str">
        <x:f>IF(K816="","",TEXT(K816,"yyyy-mm"))</x:f>
        <x:v>2026-05</x:v>
      </x:c>
      <x:c r="AC816" t="str">
        <x:f>"Q"&amp;ROUNDUP(MONTH(B816)/3,0)&amp;"-"&amp;YEAR(B816)</x:f>
        <x:v>Q1-2026</x:v>
      </x:c>
      <x:c r="AD816" s="26" t="n">
        <x:f>MIN(100,IF(H816="Enterprise",30,IF(H816="Mid-Market",22,14))+IF(T816="Enterprise",25,IF(T816="Mid-Market",18,10))+IF(Q816="Referral",25,IF(Q816="Organic Search",20,IF(Q816="Email",18,14)))+IF(G816="Technology",10,5))</x:f>
        <x:v>75</x:v>
      </x:c>
      <x:c r="AE816" t="str">
        <x:f>IF(U816&lt;&gt;"Open",U816,IF(N816&gt;=0.8,"Commit",IF(N816&gt;=0.5,"Best Case","Pipeline")))</x:f>
        <x:v>Lost</x:v>
      </x:c>
    </x:row>
    <x:row r="817">
      <x:c r="A817" t="str">
        <x:v>L00816</x:v>
      </x:c>
      <x:c r="B817" s="10" t="n">
        <x:v>45829</x:v>
      </x:c>
      <x:c r="C817" t="str">
        <x:v>Ha Vo</x:v>
      </x:c>
      <x:c r="D817" t="str">
        <x:v>North</x:v>
      </x:c>
      <x:c r="E817" t="str">
        <x:v>SEM - Google</x:v>
      </x:c>
      <x:c r="F817" t="str">
        <x:v>CRM-CORE</x:v>
      </x:c>
      <x:c r="G817" t="str">
        <x:v>Professional Services</x:v>
      </x:c>
      <x:c r="H817" t="str">
        <x:v>SMB</x:v>
      </x:c>
      <x:c r="I817" t="str">
        <x:v>Closed Lost</x:v>
      </x:c>
      <x:c r="J817" s="10" t="n">
        <x:v>45898</x:v>
      </x:c>
      <x:c r="K817" s="10" t="n">
        <x:v>45898</x:v>
      </x:c>
      <x:c r="L817" s="22" t="n">
        <x:v>5800</x:v>
      </x:c>
      <x:c r="M817" s="24" t="n">
        <x:v>0</x:v>
      </x:c>
      <x:c r="N817" s="24" t="n">
        <x:v>0</x:v>
      </x:c>
      <x:c r="O817" t="str">
        <x:v>Price</x:v>
      </x:c>
      <x:c r="P817" t="n">
        <x:v>3</x:v>
      </x:c>
      <x:c r="Q817" t="str">
        <x:f>IFERROR(XLOOKUP(E817,Lookups!$A$5:$A$24,Lookups!$B$5:$B$24),"Other")</x:f>
        <x:v>Paid Search</x:v>
      </x:c>
      <x:c r="R817" t="str">
        <x:f>IFERROR(XLOOKUP(F817,Lookups!$D$5:$D$10,Lookups!$E$5:$E$10),"Unknown Product")</x:f>
        <x:v>NexaCRM Core</x:v>
      </x:c>
      <x:c r="S817" t="str">
        <x:f>IFERROR(XLOOKUP(F817,Lookups!$D$5:$D$10,Lookups!$F$5:$F$10),"Unknown")</x:f>
        <x:v>CRM</x:v>
      </x:c>
      <x:c r="T817" t="str">
        <x:f>IF(L817&gt;=50000,"Enterprise",IF(L817&gt;=20000,"Mid-Market","SMB"))</x:f>
        <x:v>SMB</x:v>
      </x:c>
      <x:c r="U817" t="str">
        <x:f>IF(I817="Closed Won","Won",IF(I817="Closed Lost","Lost","Open"))</x:f>
        <x:v>Lost</x:v>
      </x:c>
      <x:c r="V817" s="22" t="n">
        <x:f>IF(U817="Won",L817*(1-M817),0)</x:f>
        <x:v>0</x:v>
      </x:c>
      <x:c r="W817" s="22" t="n">
        <x:f>IF(U817="Open",L817*N817,0)</x:f>
        <x:v>0</x:v>
      </x:c>
      <x:c r="X817" s="26" t="n">
        <x:f>IF(U817="Open","",IFERROR(K817-B817,""))</x:f>
        <x:v>69</x:v>
      </x:c>
      <x:c r="Y817" s="26" t="n">
        <x:f>IF(U817="Open",Lookups!$B$2-B817,X817)</x:f>
        <x:v>69</x:v>
      </x:c>
      <x:c r="Z817" t="str">
        <x:f>IF(AND(U817="Open",Y817&gt;30),"STALE","OK")</x:f>
        <x:v>OK</x:v>
      </x:c>
      <x:c r="AA817" t="str">
        <x:f>TEXT(B817,"yyyy-mm")</x:f>
        <x:v>2025-06</x:v>
      </x:c>
      <x:c r="AB817" t="str">
        <x:f>IF(K817="","",TEXT(K817,"yyyy-mm"))</x:f>
        <x:v>2025-08</x:v>
      </x:c>
      <x:c r="AC817" t="str">
        <x:f>"Q"&amp;ROUNDUP(MONTH(B817)/3,0)&amp;"-"&amp;YEAR(B817)</x:f>
        <x:v>Q2-2025</x:v>
      </x:c>
      <x:c r="AD817" s="26" t="n">
        <x:f>MIN(100,IF(H817="Enterprise",30,IF(H817="Mid-Market",22,14))+IF(T817="Enterprise",25,IF(T817="Mid-Market",18,10))+IF(Q817="Referral",25,IF(Q817="Organic Search",20,IF(Q817="Email",18,14)))+IF(G817="Technology",10,5))</x:f>
        <x:v>43</x:v>
      </x:c>
      <x:c r="AE817" t="str">
        <x:f>IF(U817&lt;&gt;"Open",U817,IF(N817&gt;=0.8,"Commit",IF(N817&gt;=0.5,"Best Case","Pipeline")))</x:f>
        <x:v>Lost</x:v>
      </x:c>
    </x:row>
    <x:row r="818">
      <x:c r="A818" t="str">
        <x:v>L00817</x:v>
      </x:c>
      <x:c r="B818" s="10" t="n">
        <x:v>45691</x:v>
      </x:c>
      <x:c r="C818" t="str">
        <x:v>Chi Le</x:v>
      </x:c>
      <x:c r="D818" t="str">
        <x:v>South</x:v>
      </x:c>
      <x:c r="E818" t="str">
        <x:v>SEO</x:v>
      </x:c>
      <x:c r="F818" t="str">
        <x:v>CRM-CORE</x:v>
      </x:c>
      <x:c r="G818" t="str">
        <x:v>Retail</x:v>
      </x:c>
      <x:c r="H818" t="str">
        <x:v>SMB</x:v>
      </x:c>
      <x:c r="I818" t="str">
        <x:v>Closed Lost</x:v>
      </x:c>
      <x:c r="J818" s="10" t="n">
        <x:v>45742</x:v>
      </x:c>
      <x:c r="K818" s="10" t="n">
        <x:v>45742</x:v>
      </x:c>
      <x:c r="L818" s="22" t="n">
        <x:v>8000</x:v>
      </x:c>
      <x:c r="M818" s="24" t="n">
        <x:v>0</x:v>
      </x:c>
      <x:c r="N818" s="24" t="n">
        <x:v>0</x:v>
      </x:c>
      <x:c r="O818" t="str">
        <x:v>Timing</x:v>
      </x:c>
      <x:c r="P818" t="n">
        <x:v>5</x:v>
      </x:c>
      <x:c r="Q818" t="str">
        <x:f>IFERROR(XLOOKUP(E818,Lookups!$A$5:$A$24,Lookups!$B$5:$B$24),"Other")</x:f>
        <x:v>Organic Search</x:v>
      </x:c>
      <x:c r="R818" t="str">
        <x:f>IFERROR(XLOOKUP(F818,Lookups!$D$5:$D$10,Lookups!$E$5:$E$10),"Unknown Product")</x:f>
        <x:v>NexaCRM Core</x:v>
      </x:c>
      <x:c r="S818" t="str">
        <x:f>IFERROR(XLOOKUP(F818,Lookups!$D$5:$D$10,Lookups!$F$5:$F$10),"Unknown")</x:f>
        <x:v>CRM</x:v>
      </x:c>
      <x:c r="T818" t="str">
        <x:f>IF(L818&gt;=50000,"Enterprise",IF(L818&gt;=20000,"Mid-Market","SMB"))</x:f>
        <x:v>SMB</x:v>
      </x:c>
      <x:c r="U818" t="str">
        <x:f>IF(I818="Closed Won","Won",IF(I818="Closed Lost","Lost","Open"))</x:f>
        <x:v>Lost</x:v>
      </x:c>
      <x:c r="V818" s="22" t="n">
        <x:f>IF(U818="Won",L818*(1-M818),0)</x:f>
        <x:v>0</x:v>
      </x:c>
      <x:c r="W818" s="22" t="n">
        <x:f>IF(U818="Open",L818*N818,0)</x:f>
        <x:v>0</x:v>
      </x:c>
      <x:c r="X818" s="26" t="n">
        <x:f>IF(U818="Open","",IFERROR(K818-B818,""))</x:f>
        <x:v>51</x:v>
      </x:c>
      <x:c r="Y818" s="26" t="n">
        <x:f>IF(U818="Open",Lookups!$B$2-B818,X818)</x:f>
        <x:v>51</x:v>
      </x:c>
      <x:c r="Z818" t="str">
        <x:f>IF(AND(U818="Open",Y818&gt;30),"STALE","OK")</x:f>
        <x:v>OK</x:v>
      </x:c>
      <x:c r="AA818" t="str">
        <x:f>TEXT(B818,"yyyy-mm")</x:f>
        <x:v>2025-02</x:v>
      </x:c>
      <x:c r="AB818" t="str">
        <x:f>IF(K818="","",TEXT(K818,"yyyy-mm"))</x:f>
        <x:v>2025-03</x:v>
      </x:c>
      <x:c r="AC818" t="str">
        <x:f>"Q"&amp;ROUNDUP(MONTH(B818)/3,0)&amp;"-"&amp;YEAR(B818)</x:f>
        <x:v>Q1-2025</x:v>
      </x:c>
      <x:c r="AD818" s="26" t="n">
        <x:f>MIN(100,IF(H818="Enterprise",30,IF(H818="Mid-Market",22,14))+IF(T818="Enterprise",25,IF(T818="Mid-Market",18,10))+IF(Q818="Referral",25,IF(Q818="Organic Search",20,IF(Q818="Email",18,14)))+IF(G818="Technology",10,5))</x:f>
        <x:v>49</x:v>
      </x:c>
      <x:c r="AE818" t="str">
        <x:f>IF(U818&lt;&gt;"Open",U818,IF(N818&gt;=0.8,"Commit",IF(N818&gt;=0.5,"Best Case","Pipeline")))</x:f>
        <x:v>Lost</x:v>
      </x:c>
    </x:row>
    <x:row r="819">
      <x:c r="A819" t="str">
        <x:v>L00818</x:v>
      </x:c>
      <x:c r="B819" s="10" t="n">
        <x:v>46040</x:v>
      </x:c>
      <x:c r="C819" t="str">
        <x:v>Minh Do</x:v>
      </x:c>
      <x:c r="D819" t="str">
        <x:v>North</x:v>
      </x:c>
      <x:c r="E819" t="str">
        <x:v>google cpc</x:v>
      </x:c>
      <x:c r="F819" t="str">
        <x:v>MKT-AUTO</x:v>
      </x:c>
      <x:c r="G819" t="str">
        <x:v>Financial Services</x:v>
      </x:c>
      <x:c r="H819" t="str">
        <x:v>Mid-Market</x:v>
      </x:c>
      <x:c r="I819" t="str">
        <x:v>Closed Lost</x:v>
      </x:c>
      <x:c r="J819" s="10" t="n">
        <x:v>46081</x:v>
      </x:c>
      <x:c r="K819" s="10" t="n">
        <x:v>46081</x:v>
      </x:c>
      <x:c r="L819" s="22" t="n">
        <x:v>31800</x:v>
      </x:c>
      <x:c r="M819" s="24" t="n">
        <x:v>0</x:v>
      </x:c>
      <x:c r="N819" s="24" t="n">
        <x:v>0</x:v>
      </x:c>
      <x:c r="O819" t="str">
        <x:v>No Decision</x:v>
      </x:c>
      <x:c r="P819" t="n">
        <x:v>5</x:v>
      </x:c>
      <x:c r="Q819" t="str">
        <x:f>IFERROR(XLOOKUP(E819,Lookups!$A$5:$A$24,Lookups!$B$5:$B$24),"Other")</x:f>
        <x:v>Paid Search</x:v>
      </x:c>
      <x:c r="R819" t="str">
        <x:f>IFERROR(XLOOKUP(F819,Lookups!$D$5:$D$10,Lookups!$E$5:$E$10),"Unknown Product")</x:f>
        <x:v>Marketing Automation</x:v>
      </x:c>
      <x:c r="S819" t="str">
        <x:f>IFERROR(XLOOKUP(F819,Lookups!$D$5:$D$10,Lookups!$F$5:$F$10),"Unknown")</x:f>
        <x:v>Marketing</x:v>
      </x:c>
      <x:c r="T819" t="str">
        <x:f>IF(L819&gt;=50000,"Enterprise",IF(L819&gt;=20000,"Mid-Market","SMB"))</x:f>
        <x:v>Mid-Market</x:v>
      </x:c>
      <x:c r="U819" t="str">
        <x:f>IF(I819="Closed Won","Won",IF(I819="Closed Lost","Lost","Open"))</x:f>
        <x:v>Lost</x:v>
      </x:c>
      <x:c r="V819" s="22" t="n">
        <x:f>IF(U819="Won",L819*(1-M819),0)</x:f>
        <x:v>0</x:v>
      </x:c>
      <x:c r="W819" s="22" t="n">
        <x:f>IF(U819="Open",L819*N819,0)</x:f>
        <x:v>0</x:v>
      </x:c>
      <x:c r="X819" s="26" t="n">
        <x:f>IF(U819="Open","",IFERROR(K819-B819,""))</x:f>
        <x:v>41</x:v>
      </x:c>
      <x:c r="Y819" s="26" t="n">
        <x:f>IF(U819="Open",Lookups!$B$2-B819,X819)</x:f>
        <x:v>41</x:v>
      </x:c>
      <x:c r="Z819" t="str">
        <x:f>IF(AND(U819="Open",Y819&gt;30),"STALE","OK")</x:f>
        <x:v>OK</x:v>
      </x:c>
      <x:c r="AA819" t="str">
        <x:f>TEXT(B819,"yyyy-mm")</x:f>
        <x:v>2026-01</x:v>
      </x:c>
      <x:c r="AB819" t="str">
        <x:f>IF(K819="","",TEXT(K819,"yyyy-mm"))</x:f>
        <x:v>2026-02</x:v>
      </x:c>
      <x:c r="AC819" t="str">
        <x:f>"Q"&amp;ROUNDUP(MONTH(B819)/3,0)&amp;"-"&amp;YEAR(B819)</x:f>
        <x:v>Q1-2026</x:v>
      </x:c>
      <x:c r="AD819" s="26" t="n">
        <x:f>MIN(100,IF(H819="Enterprise",30,IF(H819="Mid-Market",22,14))+IF(T819="Enterprise",25,IF(T819="Mid-Market",18,10))+IF(Q819="Referral",25,IF(Q819="Organic Search",20,IF(Q819="Email",18,14)))+IF(G819="Technology",10,5))</x:f>
        <x:v>59</x:v>
      </x:c>
      <x:c r="AE819" t="str">
        <x:f>IF(U819&lt;&gt;"Open",U819,IF(N819&gt;=0.8,"Commit",IF(N819&gt;=0.5,"Best Case","Pipeline")))</x:f>
        <x:v>Lost</x:v>
      </x:c>
    </x:row>
    <x:row r="820">
      <x:c r="A820" t="str">
        <x:v>L00819</x:v>
      </x:c>
      <x:c r="B820" s="10" t="n">
        <x:v>46109</x:v>
      </x:c>
      <x:c r="C820" t="str">
        <x:v>An Nguyen</x:v>
      </x:c>
      <x:c r="D820" t="str">
        <x:v>South</x:v>
      </x:c>
      <x:c r="E820" t="str">
        <x:v>Webinar</x:v>
      </x:c>
      <x:c r="F820" t="str">
        <x:v>REV-OPS</x:v>
      </x:c>
      <x:c r="G820" t="str">
        <x:v>Education</x:v>
      </x:c>
      <x:c r="H820" t="str">
        <x:v>Mid-Market</x:v>
      </x:c>
      <x:c r="I820" t="str">
        <x:v>Closed Lost</x:v>
      </x:c>
      <x:c r="J820" s="10" t="n">
        <x:v>46143</x:v>
      </x:c>
      <x:c r="K820" s="10" t="n">
        <x:v>46143</x:v>
      </x:c>
      <x:c r="L820" s="22" t="n">
        <x:v>87200</x:v>
      </x:c>
      <x:c r="M820" s="24" t="n">
        <x:v>0</x:v>
      </x:c>
      <x:c r="N820" s="24" t="n">
        <x:v>0</x:v>
      </x:c>
      <x:c r="O820" t="str">
        <x:v>Price</x:v>
      </x:c>
      <x:c r="P820" t="n">
        <x:v>2</x:v>
      </x:c>
      <x:c r="Q820" t="str">
        <x:f>IFERROR(XLOOKUP(E820,Lookups!$A$5:$A$24,Lookups!$B$5:$B$24),"Other")</x:f>
        <x:v>Webinar</x:v>
      </x:c>
      <x:c r="R820" t="str">
        <x:f>IFERROR(XLOOKUP(F820,Lookups!$D$5:$D$10,Lookups!$E$5:$E$10),"Unknown Product")</x:f>
        <x:v>Revenue Operations Suite</x:v>
      </x:c>
      <x:c r="S820" t="str">
        <x:f>IFERROR(XLOOKUP(F820,Lookups!$D$5:$D$10,Lookups!$F$5:$F$10),"Unknown")</x:f>
        <x:v>Revenue Ops</x:v>
      </x:c>
      <x:c r="T820" t="str">
        <x:f>IF(L820&gt;=50000,"Enterprise",IF(L820&gt;=20000,"Mid-Market","SMB"))</x:f>
        <x:v>Enterprise</x:v>
      </x:c>
      <x:c r="U820" t="str">
        <x:f>IF(I820="Closed Won","Won",IF(I820="Closed Lost","Lost","Open"))</x:f>
        <x:v>Lost</x:v>
      </x:c>
      <x:c r="V820" s="22" t="n">
        <x:f>IF(U820="Won",L820*(1-M820),0)</x:f>
        <x:v>0</x:v>
      </x:c>
      <x:c r="W820" s="22" t="n">
        <x:f>IF(U820="Open",L820*N820,0)</x:f>
        <x:v>0</x:v>
      </x:c>
      <x:c r="X820" s="26" t="n">
        <x:f>IF(U820="Open","",IFERROR(K820-B820,""))</x:f>
        <x:v>34</x:v>
      </x:c>
      <x:c r="Y820" s="26" t="n">
        <x:f>IF(U820="Open",Lookups!$B$2-B820,X820)</x:f>
        <x:v>34</x:v>
      </x:c>
      <x:c r="Z820" t="str">
        <x:f>IF(AND(U820="Open",Y820&gt;30),"STALE","OK")</x:f>
        <x:v>OK</x:v>
      </x:c>
      <x:c r="AA820" t="str">
        <x:f>TEXT(B820,"yyyy-mm")</x:f>
        <x:v>2026-03</x:v>
      </x:c>
      <x:c r="AB820" t="str">
        <x:f>IF(K820="","",TEXT(K820,"yyyy-mm"))</x:f>
        <x:v>2026-05</x:v>
      </x:c>
      <x:c r="AC820" t="str">
        <x:f>"Q"&amp;ROUNDUP(MONTH(B820)/3,0)&amp;"-"&amp;YEAR(B820)</x:f>
        <x:v>Q1-2026</x:v>
      </x:c>
      <x:c r="AD820" s="26" t="n">
        <x:f>MIN(100,IF(H820="Enterprise",30,IF(H820="Mid-Market",22,14))+IF(T820="Enterprise",25,IF(T820="Mid-Market",18,10))+IF(Q820="Referral",25,IF(Q820="Organic Search",20,IF(Q820="Email",18,14)))+IF(G820="Technology",10,5))</x:f>
        <x:v>66</x:v>
      </x:c>
      <x:c r="AE820" t="str">
        <x:f>IF(U820&lt;&gt;"Open",U820,IF(N820&gt;=0.8,"Commit",IF(N820&gt;=0.5,"Best Case","Pipeline")))</x:f>
        <x:v>Lost</x:v>
      </x:c>
    </x:row>
    <x:row r="821">
      <x:c r="A821" t="str">
        <x:v>L00820</x:v>
      </x:c>
      <x:c r="B821" s="10" t="n">
        <x:v>45807</x:v>
      </x:c>
      <x:c r="C821" t="str">
        <x:v>Tuan Bui</x:v>
      </x:c>
      <x:c r="D821" t="str">
        <x:v>Central</x:v>
      </x:c>
      <x:c r="E821" t="str">
        <x:v>Google Ads</x:v>
      </x:c>
      <x:c r="F821" t="str">
        <x:v>BI-PLUS</x:v>
      </x:c>
      <x:c r="G821" t="str">
        <x:v>Financial Services</x:v>
      </x:c>
      <x:c r="H821" t="str">
        <x:v>Mid-Market</x:v>
      </x:c>
      <x:c r="I821" t="str">
        <x:v>Closed Lost</x:v>
      </x:c>
      <x:c r="J821" s="10" t="n">
        <x:v>45831</x:v>
      </x:c>
      <x:c r="K821" s="10" t="n">
        <x:v>45831</x:v>
      </x:c>
      <x:c r="L821" s="22" t="n">
        <x:v>31500</x:v>
      </x:c>
      <x:c r="M821" s="24" t="n">
        <x:v>0</x:v>
      </x:c>
      <x:c r="N821" s="24" t="n">
        <x:v>0</x:v>
      </x:c>
      <x:c r="O821" t="str">
        <x:v>No Decision</x:v>
      </x:c>
      <x:c r="P821" t="n">
        <x:v>3</x:v>
      </x:c>
      <x:c r="Q821" t="str">
        <x:f>IFERROR(XLOOKUP(E821,Lookups!$A$5:$A$24,Lookups!$B$5:$B$24),"Other")</x:f>
        <x:v>Paid Search</x:v>
      </x:c>
      <x:c r="R821" t="str">
        <x:f>IFERROR(XLOOKUP(F821,Lookups!$D$5:$D$10,Lookups!$E$5:$E$10),"Unknown Product")</x:f>
        <x:v>Analytics Plus</x:v>
      </x:c>
      <x:c r="S821" t="str">
        <x:f>IFERROR(XLOOKUP(F821,Lookups!$D$5:$D$10,Lookups!$F$5:$F$10),"Unknown")</x:f>
        <x:v>Analytics</x:v>
      </x:c>
      <x:c r="T821" t="str">
        <x:f>IF(L821&gt;=50000,"Enterprise",IF(L821&gt;=20000,"Mid-Market","SMB"))</x:f>
        <x:v>Mid-Market</x:v>
      </x:c>
      <x:c r="U821" t="str">
        <x:f>IF(I821="Closed Won","Won",IF(I821="Closed Lost","Lost","Open"))</x:f>
        <x:v>Lost</x:v>
      </x:c>
      <x:c r="V821" s="22" t="n">
        <x:f>IF(U821="Won",L821*(1-M821),0)</x:f>
        <x:v>0</x:v>
      </x:c>
      <x:c r="W821" s="22" t="n">
        <x:f>IF(U821="Open",L821*N821,0)</x:f>
        <x:v>0</x:v>
      </x:c>
      <x:c r="X821" s="26" t="n">
        <x:f>IF(U821="Open","",IFERROR(K821-B821,""))</x:f>
        <x:v>24</x:v>
      </x:c>
      <x:c r="Y821" s="26" t="n">
        <x:f>IF(U821="Open",Lookups!$B$2-B821,X821)</x:f>
        <x:v>24</x:v>
      </x:c>
      <x:c r="Z821" t="str">
        <x:f>IF(AND(U821="Open",Y821&gt;30),"STALE","OK")</x:f>
        <x:v>OK</x:v>
      </x:c>
      <x:c r="AA821" t="str">
        <x:f>TEXT(B821,"yyyy-mm")</x:f>
        <x:v>2025-05</x:v>
      </x:c>
      <x:c r="AB821" t="str">
        <x:f>IF(K821="","",TEXT(K821,"yyyy-mm"))</x:f>
        <x:v>2025-06</x:v>
      </x:c>
      <x:c r="AC821" t="str">
        <x:f>"Q"&amp;ROUNDUP(MONTH(B821)/3,0)&amp;"-"&amp;YEAR(B821)</x:f>
        <x:v>Q2-2025</x:v>
      </x:c>
      <x:c r="AD821" s="26" t="n">
        <x:f>MIN(100,IF(H821="Enterprise",30,IF(H821="Mid-Market",22,14))+IF(T821="Enterprise",25,IF(T821="Mid-Market",18,10))+IF(Q821="Referral",25,IF(Q821="Organic Search",20,IF(Q821="Email",18,14)))+IF(G821="Technology",10,5))</x:f>
        <x:v>59</x:v>
      </x:c>
      <x:c r="AE821" t="str">
        <x:f>IF(U821&lt;&gt;"Open",U821,IF(N821&gt;=0.8,"Commit",IF(N821&gt;=0.5,"Best Case","Pipeline")))</x:f>
        <x:v>Lost</x:v>
      </x:c>
    </x:row>
    <x:row r="822">
      <x:c r="A822" t="str">
        <x:v>L00821</x:v>
      </x:c>
      <x:c r="B822" s="10" t="n">
        <x:v>46178</x:v>
      </x:c>
      <x:c r="C822" t="str">
        <x:v>Bao Tran</x:v>
      </x:c>
      <x:c r="D822" t="str">
        <x:v>South</x:v>
      </x:c>
      <x:c r="E822" t="str">
        <x:v>newsletter</x:v>
      </x:c>
      <x:c r="F822" t="str">
        <x:v>CRM-CORE</x:v>
      </x:c>
      <x:c r="G822" t="str">
        <x:v>Technology</x:v>
      </x:c>
      <x:c r="H822" t="str">
        <x:v>Enterprise</x:v>
      </x:c>
      <x:c r="I822" t="str">
        <x:v>Closed Lost</x:v>
      </x:c>
      <x:c r="J822" s="10" t="n">
        <x:v>46202</x:v>
      </x:c>
      <x:c r="K822" s="10" t="n">
        <x:v>46202</x:v>
      </x:c>
      <x:c r="L822" s="22" t="n">
        <x:v>28900</x:v>
      </x:c>
      <x:c r="M822" s="24" t="n">
        <x:v>0</x:v>
      </x:c>
      <x:c r="N822" s="24" t="n">
        <x:v>0</x:v>
      </x:c>
      <x:c r="O822" t="str">
        <x:v>Feature Gap</x:v>
      </x:c>
      <x:c r="P822" t="n">
        <x:v>4</x:v>
      </x:c>
      <x:c r="Q822" t="str">
        <x:f>IFERROR(XLOOKUP(E822,Lookups!$A$5:$A$24,Lookups!$B$5:$B$24),"Other")</x:f>
        <x:v>Email</x:v>
      </x:c>
      <x:c r="R822" t="str">
        <x:f>IFERROR(XLOOKUP(F822,Lookups!$D$5:$D$10,Lookups!$E$5:$E$10),"Unknown Product")</x:f>
        <x:v>NexaCRM Core</x:v>
      </x:c>
      <x:c r="S822" t="str">
        <x:f>IFERROR(XLOOKUP(F822,Lookups!$D$5:$D$10,Lookups!$F$5:$F$10),"Unknown")</x:f>
        <x:v>CRM</x:v>
      </x:c>
      <x:c r="T822" t="str">
        <x:f>IF(L822&gt;=50000,"Enterprise",IF(L822&gt;=20000,"Mid-Market","SMB"))</x:f>
        <x:v>Mid-Market</x:v>
      </x:c>
      <x:c r="U822" t="str">
        <x:f>IF(I822="Closed Won","Won",IF(I822="Closed Lost","Lost","Open"))</x:f>
        <x:v>Lost</x:v>
      </x:c>
      <x:c r="V822" s="22" t="n">
        <x:f>IF(U822="Won",L822*(1-M822),0)</x:f>
        <x:v>0</x:v>
      </x:c>
      <x:c r="W822" s="22" t="n">
        <x:f>IF(U822="Open",L822*N822,0)</x:f>
        <x:v>0</x:v>
      </x:c>
      <x:c r="X822" s="26" t="n">
        <x:f>IF(U822="Open","",IFERROR(K822-B822,""))</x:f>
        <x:v>24</x:v>
      </x:c>
      <x:c r="Y822" s="26" t="n">
        <x:f>IF(U822="Open",Lookups!$B$2-B822,X822)</x:f>
        <x:v>24</x:v>
      </x:c>
      <x:c r="Z822" t="str">
        <x:f>IF(AND(U822="Open",Y822&gt;30),"STALE","OK")</x:f>
        <x:v>OK</x:v>
      </x:c>
      <x:c r="AA822" t="str">
        <x:f>TEXT(B822,"yyyy-mm")</x:f>
        <x:v>2026-06</x:v>
      </x:c>
      <x:c r="AB822" t="str">
        <x:f>IF(K822="","",TEXT(K822,"yyyy-mm"))</x:f>
        <x:v>2026-06</x:v>
      </x:c>
      <x:c r="AC822" t="str">
        <x:f>"Q"&amp;ROUNDUP(MONTH(B822)/3,0)&amp;"-"&amp;YEAR(B822)</x:f>
        <x:v>Q2-2026</x:v>
      </x:c>
      <x:c r="AD822" s="26" t="n">
        <x:f>MIN(100,IF(H822="Enterprise",30,IF(H822="Mid-Market",22,14))+IF(T822="Enterprise",25,IF(T822="Mid-Market",18,10))+IF(Q822="Referral",25,IF(Q822="Organic Search",20,IF(Q822="Email",18,14)))+IF(G822="Technology",10,5))</x:f>
        <x:v>76</x:v>
      </x:c>
      <x:c r="AE822" t="str">
        <x:f>IF(U822&lt;&gt;"Open",U822,IF(N822&gt;=0.8,"Commit",IF(N822&gt;=0.5,"Best Case","Pipeline")))</x:f>
        <x:v>Lost</x:v>
      </x:c>
    </x:row>
    <x:row r="823">
      <x:c r="A823" t="str">
        <x:v>L00822</x:v>
      </x:c>
      <x:c r="B823" s="10" t="n">
        <x:v>45917</x:v>
      </x:c>
      <x:c r="C823" t="str">
        <x:v>Tuan Bui</x:v>
      </x:c>
      <x:c r="D823" t="str">
        <x:v>Central</x:v>
      </x:c>
      <x:c r="E823" t="str">
        <x:v>google cpc</x:v>
      </x:c>
      <x:c r="F823" t="str">
        <x:v>CRM-PRO</x:v>
      </x:c>
      <x:c r="G823" t="str">
        <x:v>Manufacturing</x:v>
      </x:c>
      <x:c r="H823" t="str">
        <x:v>SMB</x:v>
      </x:c>
      <x:c r="I823" t="str">
        <x:v>Closed Lost</x:v>
      </x:c>
      <x:c r="J823" s="10" t="n">
        <x:v>45948</x:v>
      </x:c>
      <x:c r="K823" s="10" t="n">
        <x:v>45948</x:v>
      </x:c>
      <x:c r="L823" s="22" t="n">
        <x:v>22900</x:v>
      </x:c>
      <x:c r="M823" s="24" t="n">
        <x:v>0</x:v>
      </x:c>
      <x:c r="N823" s="24" t="n">
        <x:v>0</x:v>
      </x:c>
      <x:c r="O823" t="str">
        <x:v>Timing</x:v>
      </x:c>
      <x:c r="P823" t="n">
        <x:v>5</x:v>
      </x:c>
      <x:c r="Q823" t="str">
        <x:f>IFERROR(XLOOKUP(E823,Lookups!$A$5:$A$24,Lookups!$B$5:$B$24),"Other")</x:f>
        <x:v>Paid Search</x:v>
      </x:c>
      <x:c r="R823" t="str">
        <x:f>IFERROR(XLOOKUP(F823,Lookups!$D$5:$D$10,Lookups!$E$5:$E$10),"Unknown Product")</x:f>
        <x:v>NexaCRM Pro</x:v>
      </x:c>
      <x:c r="S823" t="str">
        <x:f>IFERROR(XLOOKUP(F823,Lookups!$D$5:$D$10,Lookups!$F$5:$F$10),"Unknown")</x:f>
        <x:v>CRM</x:v>
      </x:c>
      <x:c r="T823" t="str">
        <x:f>IF(L823&gt;=50000,"Enterprise",IF(L823&gt;=20000,"Mid-Market","SMB"))</x:f>
        <x:v>Mid-Market</x:v>
      </x:c>
      <x:c r="U823" t="str">
        <x:f>IF(I823="Closed Won","Won",IF(I823="Closed Lost","Lost","Open"))</x:f>
        <x:v>Lost</x:v>
      </x:c>
      <x:c r="V823" s="22" t="n">
        <x:f>IF(U823="Won",L823*(1-M823),0)</x:f>
        <x:v>0</x:v>
      </x:c>
      <x:c r="W823" s="22" t="n">
        <x:f>IF(U823="Open",L823*N823,0)</x:f>
        <x:v>0</x:v>
      </x:c>
      <x:c r="X823" s="26" t="n">
        <x:f>IF(U823="Open","",IFERROR(K823-B823,""))</x:f>
        <x:v>31</x:v>
      </x:c>
      <x:c r="Y823" s="26" t="n">
        <x:f>IF(U823="Open",Lookups!$B$2-B823,X823)</x:f>
        <x:v>31</x:v>
      </x:c>
      <x:c r="Z823" t="str">
        <x:f>IF(AND(U823="Open",Y823&gt;30),"STALE","OK")</x:f>
        <x:v>OK</x:v>
      </x:c>
      <x:c r="AA823" t="str">
        <x:f>TEXT(B823,"yyyy-mm")</x:f>
        <x:v>2025-09</x:v>
      </x:c>
      <x:c r="AB823" t="str">
        <x:f>IF(K823="","",TEXT(K823,"yyyy-mm"))</x:f>
        <x:v>2025-10</x:v>
      </x:c>
      <x:c r="AC823" t="str">
        <x:f>"Q"&amp;ROUNDUP(MONTH(B823)/3,0)&amp;"-"&amp;YEAR(B823)</x:f>
        <x:v>Q3-2025</x:v>
      </x:c>
      <x:c r="AD823" s="26" t="n">
        <x:f>MIN(100,IF(H823="Enterprise",30,IF(H823="Mid-Market",22,14))+IF(T823="Enterprise",25,IF(T823="Mid-Market",18,10))+IF(Q823="Referral",25,IF(Q823="Organic Search",20,IF(Q823="Email",18,14)))+IF(G823="Technology",10,5))</x:f>
        <x:v>51</x:v>
      </x:c>
      <x:c r="AE823" t="str">
        <x:f>IF(U823&lt;&gt;"Open",U823,IF(N823&gt;=0.8,"Commit",IF(N823&gt;=0.5,"Best Case","Pipeline")))</x:f>
        <x:v>Lost</x:v>
      </x:c>
    </x:row>
    <x:row r="824">
      <x:c r="A824" t="str">
        <x:v>L00823</x:v>
      </x:c>
      <x:c r="B824" s="10" t="n">
        <x:v>46124</x:v>
      </x:c>
      <x:c r="C824" t="str">
        <x:v>Duy Pham</x:v>
      </x:c>
      <x:c r="D824" t="str">
        <x:v>South</x:v>
      </x:c>
      <x:c r="E824" t="str">
        <x:v>Cold Email</x:v>
      </x:c>
      <x:c r="F824" t="str">
        <x:v>CRM-PRO</x:v>
      </x:c>
      <x:c r="G824" t="str">
        <x:v>Professional Services</x:v>
      </x:c>
      <x:c r="H824" t="str">
        <x:v>SMB</x:v>
      </x:c>
      <x:c r="I824" t="str">
        <x:v>Closed Lost</x:v>
      </x:c>
      <x:c r="J824" s="10" t="n">
        <x:v>46196</x:v>
      </x:c>
      <x:c r="K824" s="10" t="n">
        <x:v>46196</x:v>
      </x:c>
      <x:c r="L824" s="22" t="n">
        <x:v>22000</x:v>
      </x:c>
      <x:c r="M824" s="24" t="n">
        <x:v>0</x:v>
      </x:c>
      <x:c r="N824" s="24" t="n">
        <x:v>0</x:v>
      </x:c>
      <x:c r="O824" t="str">
        <x:v>Price</x:v>
      </x:c>
      <x:c r="P824" t="n">
        <x:v>4</x:v>
      </x:c>
      <x:c r="Q824" t="str">
        <x:f>IFERROR(XLOOKUP(E824,Lookups!$A$5:$A$24,Lookups!$B$5:$B$24),"Other")</x:f>
        <x:v>Outbound</x:v>
      </x:c>
      <x:c r="R824" t="str">
        <x:f>IFERROR(XLOOKUP(F824,Lookups!$D$5:$D$10,Lookups!$E$5:$E$10),"Unknown Product")</x:f>
        <x:v>NexaCRM Pro</x:v>
      </x:c>
      <x:c r="S824" t="str">
        <x:f>IFERROR(XLOOKUP(F824,Lookups!$D$5:$D$10,Lookups!$F$5:$F$10),"Unknown")</x:f>
        <x:v>CRM</x:v>
      </x:c>
      <x:c r="T824" t="str">
        <x:f>IF(L824&gt;=50000,"Enterprise",IF(L824&gt;=20000,"Mid-Market","SMB"))</x:f>
        <x:v>Mid-Market</x:v>
      </x:c>
      <x:c r="U824" t="str">
        <x:f>IF(I824="Closed Won","Won",IF(I824="Closed Lost","Lost","Open"))</x:f>
        <x:v>Lost</x:v>
      </x:c>
      <x:c r="V824" s="22" t="n">
        <x:f>IF(U824="Won",L824*(1-M824),0)</x:f>
        <x:v>0</x:v>
      </x:c>
      <x:c r="W824" s="22" t="n">
        <x:f>IF(U824="Open",L824*N824,0)</x:f>
        <x:v>0</x:v>
      </x:c>
      <x:c r="X824" s="26" t="n">
        <x:f>IF(U824="Open","",IFERROR(K824-B824,""))</x:f>
        <x:v>72</x:v>
      </x:c>
      <x:c r="Y824" s="26" t="n">
        <x:f>IF(U824="Open",Lookups!$B$2-B824,X824)</x:f>
        <x:v>72</x:v>
      </x:c>
      <x:c r="Z824" t="str">
        <x:f>IF(AND(U824="Open",Y824&gt;30),"STALE","OK")</x:f>
        <x:v>OK</x:v>
      </x:c>
      <x:c r="AA824" t="str">
        <x:f>TEXT(B824,"yyyy-mm")</x:f>
        <x:v>2026-04</x:v>
      </x:c>
      <x:c r="AB824" t="str">
        <x:f>IF(K824="","",TEXT(K824,"yyyy-mm"))</x:f>
        <x:v>2026-06</x:v>
      </x:c>
      <x:c r="AC824" t="str">
        <x:f>"Q"&amp;ROUNDUP(MONTH(B824)/3,0)&amp;"-"&amp;YEAR(B824)</x:f>
        <x:v>Q2-2026</x:v>
      </x:c>
      <x:c r="AD824" s="26" t="n">
        <x:f>MIN(100,IF(H824="Enterprise",30,IF(H824="Mid-Market",22,14))+IF(T824="Enterprise",25,IF(T824="Mid-Market",18,10))+IF(Q824="Referral",25,IF(Q824="Organic Search",20,IF(Q824="Email",18,14)))+IF(G824="Technology",10,5))</x:f>
        <x:v>51</x:v>
      </x:c>
      <x:c r="AE824" t="str">
        <x:f>IF(U824&lt;&gt;"Open",U824,IF(N824&gt;=0.8,"Commit",IF(N824&gt;=0.5,"Best Case","Pipeline")))</x:f>
        <x:v>Lost</x:v>
      </x:c>
    </x:row>
    <x:row r="825">
      <x:c r="A825" t="str">
        <x:v>L00824</x:v>
      </x:c>
      <x:c r="B825" s="10" t="n">
        <x:v>45994</x:v>
      </x:c>
      <x:c r="C825" t="str">
        <x:v>Quynh Vu</x:v>
      </x:c>
      <x:c r="D825" t="str">
        <x:v>North</x:v>
      </x:c>
      <x:c r="E825" t="str">
        <x:v>Webinar</x:v>
      </x:c>
      <x:c r="F825" t="str">
        <x:v>MKT-AUTO</x:v>
      </x:c>
      <x:c r="G825" t="str">
        <x:v>Education</x:v>
      </x:c>
      <x:c r="H825" t="str">
        <x:v>SMB</x:v>
      </x:c>
      <x:c r="I825" t="str">
        <x:v>Closed Lost</x:v>
      </x:c>
      <x:c r="J825" s="10" t="n">
        <x:v>46050</x:v>
      </x:c>
      <x:c r="K825" s="10" t="n">
        <x:v>46050</x:v>
      </x:c>
      <x:c r="L825" s="22" t="n">
        <x:v>20700</x:v>
      </x:c>
      <x:c r="M825" s="24" t="n">
        <x:v>0</x:v>
      </x:c>
      <x:c r="N825" s="24" t="n">
        <x:v>0</x:v>
      </x:c>
      <x:c r="O825" t="str">
        <x:v>No Decision</x:v>
      </x:c>
      <x:c r="P825" t="n">
        <x:v>3</x:v>
      </x:c>
      <x:c r="Q825" t="str">
        <x:f>IFERROR(XLOOKUP(E825,Lookups!$A$5:$A$24,Lookups!$B$5:$B$24),"Other")</x:f>
        <x:v>Webinar</x:v>
      </x:c>
      <x:c r="R825" t="str">
        <x:f>IFERROR(XLOOKUP(F825,Lookups!$D$5:$D$10,Lookups!$E$5:$E$10),"Unknown Product")</x:f>
        <x:v>Marketing Automation</x:v>
      </x:c>
      <x:c r="S825" t="str">
        <x:f>IFERROR(XLOOKUP(F825,Lookups!$D$5:$D$10,Lookups!$F$5:$F$10),"Unknown")</x:f>
        <x:v>Marketing</x:v>
      </x:c>
      <x:c r="T825" t="str">
        <x:f>IF(L825&gt;=50000,"Enterprise",IF(L825&gt;=20000,"Mid-Market","SMB"))</x:f>
        <x:v>Mid-Market</x:v>
      </x:c>
      <x:c r="U825" t="str">
        <x:f>IF(I825="Closed Won","Won",IF(I825="Closed Lost","Lost","Open"))</x:f>
        <x:v>Lost</x:v>
      </x:c>
      <x:c r="V825" s="22" t="n">
        <x:f>IF(U825="Won",L825*(1-M825),0)</x:f>
        <x:v>0</x:v>
      </x:c>
      <x:c r="W825" s="22" t="n">
        <x:f>IF(U825="Open",L825*N825,0)</x:f>
        <x:v>0</x:v>
      </x:c>
      <x:c r="X825" s="26" t="n">
        <x:f>IF(U825="Open","",IFERROR(K825-B825,""))</x:f>
        <x:v>56</x:v>
      </x:c>
      <x:c r="Y825" s="26" t="n">
        <x:f>IF(U825="Open",Lookups!$B$2-B825,X825)</x:f>
        <x:v>56</x:v>
      </x:c>
      <x:c r="Z825" t="str">
        <x:f>IF(AND(U825="Open",Y825&gt;30),"STALE","OK")</x:f>
        <x:v>OK</x:v>
      </x:c>
      <x:c r="AA825" t="str">
        <x:f>TEXT(B825,"yyyy-mm")</x:f>
        <x:v>2025-12</x:v>
      </x:c>
      <x:c r="AB825" t="str">
        <x:f>IF(K825="","",TEXT(K825,"yyyy-mm"))</x:f>
        <x:v>2026-01</x:v>
      </x:c>
      <x:c r="AC825" t="str">
        <x:f>"Q"&amp;ROUNDUP(MONTH(B825)/3,0)&amp;"-"&amp;YEAR(B825)</x:f>
        <x:v>Q4-2025</x:v>
      </x:c>
      <x:c r="AD825" s="26" t="n">
        <x:f>MIN(100,IF(H825="Enterprise",30,IF(H825="Mid-Market",22,14))+IF(T825="Enterprise",25,IF(T825="Mid-Market",18,10))+IF(Q825="Referral",25,IF(Q825="Organic Search",20,IF(Q825="Email",18,14)))+IF(G825="Technology",10,5))</x:f>
        <x:v>51</x:v>
      </x:c>
      <x:c r="AE825" t="str">
        <x:f>IF(U825&lt;&gt;"Open",U825,IF(N825&gt;=0.8,"Commit",IF(N825&gt;=0.5,"Best Case","Pipeline")))</x:f>
        <x:v>Lost</x:v>
      </x:c>
    </x:row>
    <x:row r="826">
      <x:c r="A826" t="str">
        <x:v>L00825</x:v>
      </x:c>
      <x:c r="B826" s="10" t="n">
        <x:v>45920</x:v>
      </x:c>
      <x:c r="C826" t="str">
        <x:v>Tuan Bui</x:v>
      </x:c>
      <x:c r="D826" t="str">
        <x:v>Central</x:v>
      </x:c>
      <x:c r="E826" t="str">
        <x:v>SDR Outreach</x:v>
      </x:c>
      <x:c r="F826" t="str">
        <x:v>BI-PLUS</x:v>
      </x:c>
      <x:c r="G826" t="str">
        <x:v>Healthcare</x:v>
      </x:c>
      <x:c r="H826" t="str">
        <x:v>Mid-Market</x:v>
      </x:c>
      <x:c r="I826" t="str">
        <x:v>Negotiation</x:v>
      </x:c>
      <x:c r="J826" s="10" t="n">
        <x:v>46126</x:v>
      </x:c>
      <x:c r="K826" s="10"/>
      <x:c r="L826" s="22" t="n">
        <x:v>30700</x:v>
      </x:c>
      <x:c r="M826" s="24" t="n">
        <x:v>0</x:v>
      </x:c>
      <x:c r="N826" s="24" t="n">
        <x:v>0.85</x:v>
      </x:c>
      <x:c r="O826" t="str"/>
      <x:c r="P826" t="n">
        <x:v>5</x:v>
      </x:c>
      <x:c r="Q826" t="str">
        <x:f>IFERROR(XLOOKUP(E826,Lookups!$A$5:$A$24,Lookups!$B$5:$B$24),"Other")</x:f>
        <x:v>Outbound</x:v>
      </x:c>
      <x:c r="R826" t="str">
        <x:f>IFERROR(XLOOKUP(F826,Lookups!$D$5:$D$10,Lookups!$E$5:$E$10),"Unknown Product")</x:f>
        <x:v>Analytics Plus</x:v>
      </x:c>
      <x:c r="S826" t="str">
        <x:f>IFERROR(XLOOKUP(F826,Lookups!$D$5:$D$10,Lookups!$F$5:$F$10),"Unknown")</x:f>
        <x:v>Analytics</x:v>
      </x:c>
      <x:c r="T826" t="str">
        <x:f>IF(L826&gt;=50000,"Enterprise",IF(L826&gt;=20000,"Mid-Market","SMB"))</x:f>
        <x:v>Mid-Market</x:v>
      </x:c>
      <x:c r="U826" t="str">
        <x:f>IF(I826="Closed Won","Won",IF(I826="Closed Lost","Lost","Open"))</x:f>
        <x:v>Open</x:v>
      </x:c>
      <x:c r="V826" s="22" t="n">
        <x:f>IF(U826="Won",L826*(1-M826),0)</x:f>
        <x:v>0</x:v>
      </x:c>
      <x:c r="W826" s="22" t="n">
        <x:f>IF(U826="Open",L826*N826,0)</x:f>
        <x:v>26095</x:v>
      </x:c>
      <x:c r="X826" s="26" t="str">
        <x:f>IF(U826="Open","",IFERROR(K826-B826,""))</x:f>
      </x:c>
      <x:c r="Y826" s="26" t="n">
        <x:f>IF(U826="Open",Lookups!$B$2-B826,X826)</x:f>
        <x:v>346</x:v>
      </x:c>
      <x:c r="Z826" t="str">
        <x:f>IF(AND(U826="Open",Y826&gt;30),"STALE","OK")</x:f>
        <x:v>STALE</x:v>
      </x:c>
      <x:c r="AA826" t="str">
        <x:f>TEXT(B826,"yyyy-mm")</x:f>
        <x:v>2025-09</x:v>
      </x:c>
      <x:c r="AB826" t="str">
        <x:f>IF(K826="","",TEXT(K826,"yyyy-mm"))</x:f>
      </x:c>
      <x:c r="AC826" t="str">
        <x:f>"Q"&amp;ROUNDUP(MONTH(B826)/3,0)&amp;"-"&amp;YEAR(B826)</x:f>
        <x:v>Q3-2025</x:v>
      </x:c>
      <x:c r="AD826" s="26" t="n">
        <x:f>MIN(100,IF(H826="Enterprise",30,IF(H826="Mid-Market",22,14))+IF(T826="Enterprise",25,IF(T826="Mid-Market",18,10))+IF(Q826="Referral",25,IF(Q826="Organic Search",20,IF(Q826="Email",18,14)))+IF(G826="Technology",10,5))</x:f>
        <x:v>59</x:v>
      </x:c>
      <x:c r="AE826" t="str">
        <x:f>IF(U826&lt;&gt;"Open",U826,IF(N826&gt;=0.8,"Commit",IF(N826&gt;=0.5,"Best Case","Pipeline")))</x:f>
        <x:v>Commit</x:v>
      </x:c>
    </x:row>
    <x:row r="827">
      <x:c r="A827" t="str">
        <x:v>L00826</x:v>
      </x:c>
      <x:c r="B827" s="10" t="n">
        <x:v>45848</x:v>
      </x:c>
      <x:c r="C827" t="str">
        <x:v>Quynh Vu</x:v>
      </x:c>
      <x:c r="D827" t="str">
        <x:v>North</x:v>
      </x:c>
      <x:c r="E827" t="str">
        <x:v>Partner Referral</x:v>
      </x:c>
      <x:c r="F827" t="str">
        <x:v>REV-OPS</x:v>
      </x:c>
      <x:c r="G827" t="str">
        <x:v>Manufacturing</x:v>
      </x:c>
      <x:c r="H827" t="str">
        <x:v>SMB</x:v>
      </x:c>
      <x:c r="I827" t="str">
        <x:v>Closed Lost</x:v>
      </x:c>
      <x:c r="J827" s="10" t="n">
        <x:v>45867</x:v>
      </x:c>
      <x:c r="K827" s="10" t="n">
        <x:v>45867</x:v>
      </x:c>
      <x:c r="L827" s="22" t="n">
        <x:v>25500</x:v>
      </x:c>
      <x:c r="M827" s="24" t="n">
        <x:v>0</x:v>
      </x:c>
      <x:c r="N827" s="24" t="n">
        <x:v>0</x:v>
      </x:c>
      <x:c r="O827" t="str">
        <x:v>Timing</x:v>
      </x:c>
      <x:c r="P827" t="n">
        <x:v>3</x:v>
      </x:c>
      <x:c r="Q827" t="str">
        <x:f>IFERROR(XLOOKUP(E827,Lookups!$A$5:$A$24,Lookups!$B$5:$B$24),"Other")</x:f>
        <x:v>Referral</x:v>
      </x:c>
      <x:c r="R827" t="str">
        <x:f>IFERROR(XLOOKUP(F827,Lookups!$D$5:$D$10,Lookups!$E$5:$E$10),"Unknown Product")</x:f>
        <x:v>Revenue Operations Suite</x:v>
      </x:c>
      <x:c r="S827" t="str">
        <x:f>IFERROR(XLOOKUP(F827,Lookups!$D$5:$D$10,Lookups!$F$5:$F$10),"Unknown")</x:f>
        <x:v>Revenue Ops</x:v>
      </x:c>
      <x:c r="T827" t="str">
        <x:f>IF(L827&gt;=50000,"Enterprise",IF(L827&gt;=20000,"Mid-Market","SMB"))</x:f>
        <x:v>Mid-Market</x:v>
      </x:c>
      <x:c r="U827" t="str">
        <x:f>IF(I827="Closed Won","Won",IF(I827="Closed Lost","Lost","Open"))</x:f>
        <x:v>Lost</x:v>
      </x:c>
      <x:c r="V827" s="22" t="n">
        <x:f>IF(U827="Won",L827*(1-M827),0)</x:f>
        <x:v>0</x:v>
      </x:c>
      <x:c r="W827" s="22" t="n">
        <x:f>IF(U827="Open",L827*N827,0)</x:f>
        <x:v>0</x:v>
      </x:c>
      <x:c r="X827" s="26" t="n">
        <x:f>IF(U827="Open","",IFERROR(K827-B827,""))</x:f>
        <x:v>19</x:v>
      </x:c>
      <x:c r="Y827" s="26" t="n">
        <x:f>IF(U827="Open",Lookups!$B$2-B827,X827)</x:f>
        <x:v>19</x:v>
      </x:c>
      <x:c r="Z827" t="str">
        <x:f>IF(AND(U827="Open",Y827&gt;30),"STALE","OK")</x:f>
        <x:v>OK</x:v>
      </x:c>
      <x:c r="AA827" t="str">
        <x:f>TEXT(B827,"yyyy-mm")</x:f>
        <x:v>2025-07</x:v>
      </x:c>
      <x:c r="AB827" t="str">
        <x:f>IF(K827="","",TEXT(K827,"yyyy-mm"))</x:f>
        <x:v>2025-07</x:v>
      </x:c>
      <x:c r="AC827" t="str">
        <x:f>"Q"&amp;ROUNDUP(MONTH(B827)/3,0)&amp;"-"&amp;YEAR(B827)</x:f>
        <x:v>Q3-2025</x:v>
      </x:c>
      <x:c r="AD827" s="26" t="n">
        <x:f>MIN(100,IF(H827="Enterprise",30,IF(H827="Mid-Market",22,14))+IF(T827="Enterprise",25,IF(T827="Mid-Market",18,10))+IF(Q827="Referral",25,IF(Q827="Organic Search",20,IF(Q827="Email",18,14)))+IF(G827="Technology",10,5))</x:f>
        <x:v>62</x:v>
      </x:c>
      <x:c r="AE827" t="str">
        <x:f>IF(U827&lt;&gt;"Open",U827,IF(N827&gt;=0.8,"Commit",IF(N827&gt;=0.5,"Best Case","Pipeline")))</x:f>
        <x:v>Lost</x:v>
      </x:c>
    </x:row>
    <x:row r="828">
      <x:c r="A828" t="str">
        <x:v>L00827</x:v>
      </x:c>
      <x:c r="B828" s="10" t="n">
        <x:v>45897</x:v>
      </x:c>
      <x:c r="C828" t="str">
        <x:v>Duy Pham</x:v>
      </x:c>
      <x:c r="D828" t="str">
        <x:v>South</x:v>
      </x:c>
      <x:c r="E828" t="str">
        <x:v>Webinar</x:v>
      </x:c>
      <x:c r="F828" t="str">
        <x:v>CRM-CORE</x:v>
      </x:c>
      <x:c r="G828" t="str">
        <x:v>Financial Services</x:v>
      </x:c>
      <x:c r="H828" t="str">
        <x:v>Mid-Market</x:v>
      </x:c>
      <x:c r="I828" t="str">
        <x:v>Closed Lost</x:v>
      </x:c>
      <x:c r="J828" s="10" t="n">
        <x:v>45932</x:v>
      </x:c>
      <x:c r="K828" s="10" t="n">
        <x:v>45932</x:v>
      </x:c>
      <x:c r="L828" s="22" t="n">
        <x:v>10600</x:v>
      </x:c>
      <x:c r="M828" s="24" t="n">
        <x:v>0</x:v>
      </x:c>
      <x:c r="N828" s="24" t="n">
        <x:v>0</x:v>
      </x:c>
      <x:c r="O828" t="str">
        <x:v>Competitor</x:v>
      </x:c>
      <x:c r="P828" t="n">
        <x:v>3</x:v>
      </x:c>
      <x:c r="Q828" t="str">
        <x:f>IFERROR(XLOOKUP(E828,Lookups!$A$5:$A$24,Lookups!$B$5:$B$24),"Other")</x:f>
        <x:v>Webinar</x:v>
      </x:c>
      <x:c r="R828" t="str">
        <x:f>IFERROR(XLOOKUP(F828,Lookups!$D$5:$D$10,Lookups!$E$5:$E$10),"Unknown Product")</x:f>
        <x:v>NexaCRM Core</x:v>
      </x:c>
      <x:c r="S828" t="str">
        <x:f>IFERROR(XLOOKUP(F828,Lookups!$D$5:$D$10,Lookups!$F$5:$F$10),"Unknown")</x:f>
        <x:v>CRM</x:v>
      </x:c>
      <x:c r="T828" t="str">
        <x:f>IF(L828&gt;=50000,"Enterprise",IF(L828&gt;=20000,"Mid-Market","SMB"))</x:f>
        <x:v>SMB</x:v>
      </x:c>
      <x:c r="U828" t="str">
        <x:f>IF(I828="Closed Won","Won",IF(I828="Closed Lost","Lost","Open"))</x:f>
        <x:v>Lost</x:v>
      </x:c>
      <x:c r="V828" s="22" t="n">
        <x:f>IF(U828="Won",L828*(1-M828),0)</x:f>
        <x:v>0</x:v>
      </x:c>
      <x:c r="W828" s="22" t="n">
        <x:f>IF(U828="Open",L828*N828,0)</x:f>
        <x:v>0</x:v>
      </x:c>
      <x:c r="X828" s="26" t="n">
        <x:f>IF(U828="Open","",IFERROR(K828-B828,""))</x:f>
        <x:v>35</x:v>
      </x:c>
      <x:c r="Y828" s="26" t="n">
        <x:f>IF(U828="Open",Lookups!$B$2-B828,X828)</x:f>
        <x:v>35</x:v>
      </x:c>
      <x:c r="Z828" t="str">
        <x:f>IF(AND(U828="Open",Y828&gt;30),"STALE","OK")</x:f>
        <x:v>OK</x:v>
      </x:c>
      <x:c r="AA828" t="str">
        <x:f>TEXT(B828,"yyyy-mm")</x:f>
        <x:v>2025-08</x:v>
      </x:c>
      <x:c r="AB828" t="str">
        <x:f>IF(K828="","",TEXT(K828,"yyyy-mm"))</x:f>
        <x:v>2025-10</x:v>
      </x:c>
      <x:c r="AC828" t="str">
        <x:f>"Q"&amp;ROUNDUP(MONTH(B828)/3,0)&amp;"-"&amp;YEAR(B828)</x:f>
        <x:v>Q3-2025</x:v>
      </x:c>
      <x:c r="AD828" s="26" t="n">
        <x:f>MIN(100,IF(H828="Enterprise",30,IF(H828="Mid-Market",22,14))+IF(T828="Enterprise",25,IF(T828="Mid-Market",18,10))+IF(Q828="Referral",25,IF(Q828="Organic Search",20,IF(Q828="Email",18,14)))+IF(G828="Technology",10,5))</x:f>
        <x:v>51</x:v>
      </x:c>
      <x:c r="AE828" t="str">
        <x:f>IF(U828&lt;&gt;"Open",U828,IF(N828&gt;=0.8,"Commit",IF(N828&gt;=0.5,"Best Case","Pipeline")))</x:f>
        <x:v>Lost</x:v>
      </x:c>
    </x:row>
    <x:row r="829">
      <x:c r="A829" t="str">
        <x:v>L00828</x:v>
      </x:c>
      <x:c r="B829" s="10" t="n">
        <x:v>45795</x:v>
      </x:c>
      <x:c r="C829" t="str">
        <x:v>An Nguyen</x:v>
      </x:c>
      <x:c r="D829" t="str">
        <x:v>South</x:v>
      </x:c>
      <x:c r="E829" t="str">
        <x:v>SEO</x:v>
      </x:c>
      <x:c r="F829" t="str">
        <x:v>CRM-CORE</x:v>
      </x:c>
      <x:c r="G829" t="str">
        <x:v>Professional Services</x:v>
      </x:c>
      <x:c r="H829" t="str">
        <x:v>Mid-Market</x:v>
      </x:c>
      <x:c r="I829" t="str">
        <x:v>Closed Lost</x:v>
      </x:c>
      <x:c r="J829" s="10" t="n">
        <x:v>45840</x:v>
      </x:c>
      <x:c r="K829" s="10" t="n">
        <x:v>45840</x:v>
      </x:c>
      <x:c r="L829" s="22" t="n">
        <x:v>10000</x:v>
      </x:c>
      <x:c r="M829" s="24" t="n">
        <x:v>0</x:v>
      </x:c>
      <x:c r="N829" s="24" t="n">
        <x:v>0</x:v>
      </x:c>
      <x:c r="O829" t="str">
        <x:v>Competitor</x:v>
      </x:c>
      <x:c r="P829" t="n">
        <x:v>3</x:v>
      </x:c>
      <x:c r="Q829" t="str">
        <x:f>IFERROR(XLOOKUP(E829,Lookups!$A$5:$A$24,Lookups!$B$5:$B$24),"Other")</x:f>
        <x:v>Organic Search</x:v>
      </x:c>
      <x:c r="R829" t="str">
        <x:f>IFERROR(XLOOKUP(F829,Lookups!$D$5:$D$10,Lookups!$E$5:$E$10),"Unknown Product")</x:f>
        <x:v>NexaCRM Core</x:v>
      </x:c>
      <x:c r="S829" t="str">
        <x:f>IFERROR(XLOOKUP(F829,Lookups!$D$5:$D$10,Lookups!$F$5:$F$10),"Unknown")</x:f>
        <x:v>CRM</x:v>
      </x:c>
      <x:c r="T829" t="str">
        <x:f>IF(L829&gt;=50000,"Enterprise",IF(L829&gt;=20000,"Mid-Market","SMB"))</x:f>
        <x:v>SMB</x:v>
      </x:c>
      <x:c r="U829" t="str">
        <x:f>IF(I829="Closed Won","Won",IF(I829="Closed Lost","Lost","Open"))</x:f>
        <x:v>Lost</x:v>
      </x:c>
      <x:c r="V829" s="22" t="n">
        <x:f>IF(U829="Won",L829*(1-M829),0)</x:f>
        <x:v>0</x:v>
      </x:c>
      <x:c r="W829" s="22" t="n">
        <x:f>IF(U829="Open",L829*N829,0)</x:f>
        <x:v>0</x:v>
      </x:c>
      <x:c r="X829" s="26" t="n">
        <x:f>IF(U829="Open","",IFERROR(K829-B829,""))</x:f>
        <x:v>45</x:v>
      </x:c>
      <x:c r="Y829" s="26" t="n">
        <x:f>IF(U829="Open",Lookups!$B$2-B829,X829)</x:f>
        <x:v>45</x:v>
      </x:c>
      <x:c r="Z829" t="str">
        <x:f>IF(AND(U829="Open",Y829&gt;30),"STALE","OK")</x:f>
        <x:v>OK</x:v>
      </x:c>
      <x:c r="AA829" t="str">
        <x:f>TEXT(B829,"yyyy-mm")</x:f>
        <x:v>2025-05</x:v>
      </x:c>
      <x:c r="AB829" t="str">
        <x:f>IF(K829="","",TEXT(K829,"yyyy-mm"))</x:f>
        <x:v>2025-07</x:v>
      </x:c>
      <x:c r="AC829" t="str">
        <x:f>"Q"&amp;ROUNDUP(MONTH(B829)/3,0)&amp;"-"&amp;YEAR(B829)</x:f>
        <x:v>Q2-2025</x:v>
      </x:c>
      <x:c r="AD829" s="26" t="n">
        <x:f>MIN(100,IF(H829="Enterprise",30,IF(H829="Mid-Market",22,14))+IF(T829="Enterprise",25,IF(T829="Mid-Market",18,10))+IF(Q829="Referral",25,IF(Q829="Organic Search",20,IF(Q829="Email",18,14)))+IF(G829="Technology",10,5))</x:f>
        <x:v>57</x:v>
      </x:c>
      <x:c r="AE829" t="str">
        <x:f>IF(U829&lt;&gt;"Open",U829,IF(N829&gt;=0.8,"Commit",IF(N829&gt;=0.5,"Best Case","Pipeline")))</x:f>
        <x:v>Lost</x:v>
      </x:c>
    </x:row>
    <x:row r="830">
      <x:c r="A830" t="str">
        <x:v>L00829</x:v>
      </x:c>
      <x:c r="B830" s="10" t="n">
        <x:v>46246</x:v>
      </x:c>
      <x:c r="C830" t="str">
        <x:v>Bao Tran</x:v>
      </x:c>
      <x:c r="D830" t="str">
        <x:v>South</x:v>
      </x:c>
      <x:c r="E830" t="str">
        <x:v>Partner Referral</x:v>
      </x:c>
      <x:c r="F830" t="str">
        <x:v>CRM-CORE</x:v>
      </x:c>
      <x:c r="G830" t="str">
        <x:v>Healthcare</x:v>
      </x:c>
      <x:c r="H830" t="str">
        <x:v>SMB</x:v>
      </x:c>
      <x:c r="I830" t="str">
        <x:v>Closed Lost</x:v>
      </x:c>
      <x:c r="J830" s="10" t="n">
        <x:v>46266</x:v>
      </x:c>
      <x:c r="K830" s="10" t="n">
        <x:v>46266</x:v>
      </x:c>
      <x:c r="L830" s="22" t="n">
        <x:v>5900</x:v>
      </x:c>
      <x:c r="M830" s="24" t="n">
        <x:v>0</x:v>
      </x:c>
      <x:c r="N830" s="24" t="n">
        <x:v>0</x:v>
      </x:c>
      <x:c r="O830" t="str">
        <x:v>No Decision</x:v>
      </x:c>
      <x:c r="P830" t="n">
        <x:v>3</x:v>
      </x:c>
      <x:c r="Q830" t="str">
        <x:f>IFERROR(XLOOKUP(E830,Lookups!$A$5:$A$24,Lookups!$B$5:$B$24),"Other")</x:f>
        <x:v>Referral</x:v>
      </x:c>
      <x:c r="R830" t="str">
        <x:f>IFERROR(XLOOKUP(F830,Lookups!$D$5:$D$10,Lookups!$E$5:$E$10),"Unknown Product")</x:f>
        <x:v>NexaCRM Core</x:v>
      </x:c>
      <x:c r="S830" t="str">
        <x:f>IFERROR(XLOOKUP(F830,Lookups!$D$5:$D$10,Lookups!$F$5:$F$10),"Unknown")</x:f>
        <x:v>CRM</x:v>
      </x:c>
      <x:c r="T830" t="str">
        <x:f>IF(L830&gt;=50000,"Enterprise",IF(L830&gt;=20000,"Mid-Market","SMB"))</x:f>
        <x:v>SMB</x:v>
      </x:c>
      <x:c r="U830" t="str">
        <x:f>IF(I830="Closed Won","Won",IF(I830="Closed Lost","Lost","Open"))</x:f>
        <x:v>Lost</x:v>
      </x:c>
      <x:c r="V830" s="22" t="n">
        <x:f>IF(U830="Won",L830*(1-M830),0)</x:f>
        <x:v>0</x:v>
      </x:c>
      <x:c r="W830" s="22" t="n">
        <x:f>IF(U830="Open",L830*N830,0)</x:f>
        <x:v>0</x:v>
      </x:c>
      <x:c r="X830" s="26" t="n">
        <x:f>IF(U830="Open","",IFERROR(K830-B830,""))</x:f>
        <x:v>20</x:v>
      </x:c>
      <x:c r="Y830" s="26" t="n">
        <x:f>IF(U830="Open",Lookups!$B$2-B830,X830)</x:f>
        <x:v>20</x:v>
      </x:c>
      <x:c r="Z830" t="str">
        <x:f>IF(AND(U830="Open",Y830&gt;30),"STALE","OK")</x:f>
        <x:v>OK</x:v>
      </x:c>
      <x:c r="AA830" t="str">
        <x:f>TEXT(B830,"yyyy-mm")</x:f>
        <x:v>2026-08</x:v>
      </x:c>
      <x:c r="AB830" t="str">
        <x:f>IF(K830="","",TEXT(K830,"yyyy-mm"))</x:f>
        <x:v>2026-09</x:v>
      </x:c>
      <x:c r="AC830" t="str">
        <x:f>"Q"&amp;ROUNDUP(MONTH(B830)/3,0)&amp;"-"&amp;YEAR(B830)</x:f>
        <x:v>Q3-2026</x:v>
      </x:c>
      <x:c r="AD830" s="26" t="n">
        <x:f>MIN(100,IF(H830="Enterprise",30,IF(H830="Mid-Market",22,14))+IF(T830="Enterprise",25,IF(T830="Mid-Market",18,10))+IF(Q830="Referral",25,IF(Q830="Organic Search",20,IF(Q830="Email",18,14)))+IF(G830="Technology",10,5))</x:f>
        <x:v>54</x:v>
      </x:c>
      <x:c r="AE830" t="str">
        <x:f>IF(U830&lt;&gt;"Open",U830,IF(N830&gt;=0.8,"Commit",IF(N830&gt;=0.5,"Best Case","Pipeline")))</x:f>
        <x:v>Lost</x:v>
      </x:c>
    </x:row>
    <x:row r="831">
      <x:c r="A831" t="str">
        <x:v>L00830</x:v>
      </x:c>
      <x:c r="B831" s="10" t="n">
        <x:v>46083</x:v>
      </x:c>
      <x:c r="C831" t="str">
        <x:v>Duy Pham</x:v>
      </x:c>
      <x:c r="D831" t="str">
        <x:v>South</x:v>
      </x:c>
      <x:c r="E831" t="str">
        <x:v>Outbound</x:v>
      </x:c>
      <x:c r="F831" t="str">
        <x:v>CRM-CORE</x:v>
      </x:c>
      <x:c r="G831" t="str">
        <x:v>Retail</x:v>
      </x:c>
      <x:c r="H831" t="str">
        <x:v>SMB</x:v>
      </x:c>
      <x:c r="I831" t="str">
        <x:v>Closed Lost</x:v>
      </x:c>
      <x:c r="J831" s="10" t="n">
        <x:v>46147</x:v>
      </x:c>
      <x:c r="K831" s="10" t="n">
        <x:v>46147</x:v>
      </x:c>
      <x:c r="L831" s="22" t="n">
        <x:v>4800</x:v>
      </x:c>
      <x:c r="M831" s="24" t="n">
        <x:v>0</x:v>
      </x:c>
      <x:c r="N831" s="24" t="n">
        <x:v>0</x:v>
      </x:c>
      <x:c r="O831" t="str">
        <x:v>Feature Gap</x:v>
      </x:c>
      <x:c r="P831" t="n">
        <x:v>3</x:v>
      </x:c>
      <x:c r="Q831" t="str">
        <x:f>IFERROR(XLOOKUP(E831,Lookups!$A$5:$A$24,Lookups!$B$5:$B$24),"Other")</x:f>
        <x:v>Outbound</x:v>
      </x:c>
      <x:c r="R831" t="str">
        <x:f>IFERROR(XLOOKUP(F831,Lookups!$D$5:$D$10,Lookups!$E$5:$E$10),"Unknown Product")</x:f>
        <x:v>NexaCRM Core</x:v>
      </x:c>
      <x:c r="S831" t="str">
        <x:f>IFERROR(XLOOKUP(F831,Lookups!$D$5:$D$10,Lookups!$F$5:$F$10),"Unknown")</x:f>
        <x:v>CRM</x:v>
      </x:c>
      <x:c r="T831" t="str">
        <x:f>IF(L831&gt;=50000,"Enterprise",IF(L831&gt;=20000,"Mid-Market","SMB"))</x:f>
        <x:v>SMB</x:v>
      </x:c>
      <x:c r="U831" t="str">
        <x:f>IF(I831="Closed Won","Won",IF(I831="Closed Lost","Lost","Open"))</x:f>
        <x:v>Lost</x:v>
      </x:c>
      <x:c r="V831" s="22" t="n">
        <x:f>IF(U831="Won",L831*(1-M831),0)</x:f>
        <x:v>0</x:v>
      </x:c>
      <x:c r="W831" s="22" t="n">
        <x:f>IF(U831="Open",L831*N831,0)</x:f>
        <x:v>0</x:v>
      </x:c>
      <x:c r="X831" s="26" t="n">
        <x:f>IF(U831="Open","",IFERROR(K831-B831,""))</x:f>
        <x:v>64</x:v>
      </x:c>
      <x:c r="Y831" s="26" t="n">
        <x:f>IF(U831="Open",Lookups!$B$2-B831,X831)</x:f>
        <x:v>64</x:v>
      </x:c>
      <x:c r="Z831" t="str">
        <x:f>IF(AND(U831="Open",Y831&gt;30),"STALE","OK")</x:f>
        <x:v>OK</x:v>
      </x:c>
      <x:c r="AA831" t="str">
        <x:f>TEXT(B831,"yyyy-mm")</x:f>
        <x:v>2026-03</x:v>
      </x:c>
      <x:c r="AB831" t="str">
        <x:f>IF(K831="","",TEXT(K831,"yyyy-mm"))</x:f>
        <x:v>2026-05</x:v>
      </x:c>
      <x:c r="AC831" t="str">
        <x:f>"Q"&amp;ROUNDUP(MONTH(B831)/3,0)&amp;"-"&amp;YEAR(B831)</x:f>
        <x:v>Q1-2026</x:v>
      </x:c>
      <x:c r="AD831" s="26" t="n">
        <x:f>MIN(100,IF(H831="Enterprise",30,IF(H831="Mid-Market",22,14))+IF(T831="Enterprise",25,IF(T831="Mid-Market",18,10))+IF(Q831="Referral",25,IF(Q831="Organic Search",20,IF(Q831="Email",18,14)))+IF(G831="Technology",10,5))</x:f>
        <x:v>43</x:v>
      </x:c>
      <x:c r="AE831" t="str">
        <x:f>IF(U831&lt;&gt;"Open",U831,IF(N831&gt;=0.8,"Commit",IF(N831&gt;=0.5,"Best Case","Pipeline")))</x:f>
        <x:v>Lost</x:v>
      </x:c>
    </x:row>
    <x:row r="832">
      <x:c r="A832" t="str">
        <x:v>L00831</x:v>
      </x:c>
      <x:c r="B832" s="10" t="n">
        <x:v>46053</x:v>
      </x:c>
      <x:c r="C832" t="str">
        <x:v>Quynh Vu</x:v>
      </x:c>
      <x:c r="D832" t="str">
        <x:v>North</x:v>
      </x:c>
      <x:c r="E832" t="str">
        <x:v>customer referral</x:v>
      </x:c>
      <x:c r="F832" t="str">
        <x:v>CRM-PRO</x:v>
      </x:c>
      <x:c r="G832" t="str">
        <x:v>Retail</x:v>
      </x:c>
      <x:c r="H832" t="str">
        <x:v>Enterprise</x:v>
      </x:c>
      <x:c r="I832" t="str">
        <x:v>Closed Won</x:v>
      </x:c>
      <x:c r="J832" s="10" t="n">
        <x:v>46090</x:v>
      </x:c>
      <x:c r="K832" s="10" t="n">
        <x:v>46090</x:v>
      </x:c>
      <x:c r="L832" s="22" t="n">
        <x:v>83900</x:v>
      </x:c>
      <x:c r="M832" s="24" t="n">
        <x:v>0.12</x:v>
      </x:c>
      <x:c r="N832" s="24" t="n">
        <x:v>1</x:v>
      </x:c>
      <x:c r="O832" t="str"/>
      <x:c r="P832" t="n">
        <x:v>6</x:v>
      </x:c>
      <x:c r="Q832" t="str">
        <x:f>IFERROR(XLOOKUP(E832,Lookups!$A$5:$A$24,Lookups!$B$5:$B$24),"Other")</x:f>
        <x:v>Referral</x:v>
      </x:c>
      <x:c r="R832" t="str">
        <x:f>IFERROR(XLOOKUP(F832,Lookups!$D$5:$D$10,Lookups!$E$5:$E$10),"Unknown Product")</x:f>
        <x:v>NexaCRM Pro</x:v>
      </x:c>
      <x:c r="S832" t="str">
        <x:f>IFERROR(XLOOKUP(F832,Lookups!$D$5:$D$10,Lookups!$F$5:$F$10),"Unknown")</x:f>
        <x:v>CRM</x:v>
      </x:c>
      <x:c r="T832" t="str">
        <x:f>IF(L832&gt;=50000,"Enterprise",IF(L832&gt;=20000,"Mid-Market","SMB"))</x:f>
        <x:v>Enterprise</x:v>
      </x:c>
      <x:c r="U832" t="str">
        <x:f>IF(I832="Closed Won","Won",IF(I832="Closed Lost","Lost","Open"))</x:f>
        <x:v>Won</x:v>
      </x:c>
      <x:c r="V832" s="22" t="n">
        <x:f>IF(U832="Won",L832*(1-M832),0)</x:f>
        <x:v>73832</x:v>
      </x:c>
      <x:c r="W832" s="22" t="n">
        <x:f>IF(U832="Open",L832*N832,0)</x:f>
        <x:v>0</x:v>
      </x:c>
      <x:c r="X832" s="26" t="n">
        <x:f>IF(U832="Open","",IFERROR(K832-B832,""))</x:f>
        <x:v>37</x:v>
      </x:c>
      <x:c r="Y832" s="26" t="n">
        <x:f>IF(U832="Open",Lookups!$B$2-B832,X832)</x:f>
        <x:v>37</x:v>
      </x:c>
      <x:c r="Z832" t="str">
        <x:f>IF(AND(U832="Open",Y832&gt;30),"STALE","OK")</x:f>
        <x:v>OK</x:v>
      </x:c>
      <x:c r="AA832" t="str">
        <x:f>TEXT(B832,"yyyy-mm")</x:f>
        <x:v>2026-01</x:v>
      </x:c>
      <x:c r="AB832" t="str">
        <x:f>IF(K832="","",TEXT(K832,"yyyy-mm"))</x:f>
        <x:v>2026-03</x:v>
      </x:c>
      <x:c r="AC832" t="str">
        <x:f>"Q"&amp;ROUNDUP(MONTH(B832)/3,0)&amp;"-"&amp;YEAR(B832)</x:f>
        <x:v>Q1-2026</x:v>
      </x:c>
      <x:c r="AD832" s="26" t="n">
        <x:f>MIN(100,IF(H832="Enterprise",30,IF(H832="Mid-Market",22,14))+IF(T832="Enterprise",25,IF(T832="Mid-Market",18,10))+IF(Q832="Referral",25,IF(Q832="Organic Search",20,IF(Q832="Email",18,14)))+IF(G832="Technology",10,5))</x:f>
        <x:v>85</x:v>
      </x:c>
      <x:c r="AE832" t="str">
        <x:f>IF(U832&lt;&gt;"Open",U832,IF(N832&gt;=0.8,"Commit",IF(N832&gt;=0.5,"Best Case","Pipeline")))</x:f>
        <x:v>Won</x:v>
      </x:c>
    </x:row>
    <x:row r="833">
      <x:c r="A833" t="str">
        <x:v>L00832</x:v>
      </x:c>
      <x:c r="B833" s="10" t="n">
        <x:v>45833</x:v>
      </x:c>
      <x:c r="C833" t="str">
        <x:v>Duy Pham</x:v>
      </x:c>
      <x:c r="D833" t="str">
        <x:v>South</x:v>
      </x:c>
      <x:c r="E833" t="str">
        <x:v>Webinar</x:v>
      </x:c>
      <x:c r="F833" t="str">
        <x:v>CRM-CORE</x:v>
      </x:c>
      <x:c r="G833" t="str">
        <x:v>Healthcare</x:v>
      </x:c>
      <x:c r="H833" t="str">
        <x:v>SMB</x:v>
      </x:c>
      <x:c r="I833" t="str">
        <x:v>Closed Lost</x:v>
      </x:c>
      <x:c r="J833" s="10" t="n">
        <x:v>45901</x:v>
      </x:c>
      <x:c r="K833" s="10" t="n">
        <x:v>45901</x:v>
      </x:c>
      <x:c r="L833" s="22" t="n">
        <x:v>8900</x:v>
      </x:c>
      <x:c r="M833" s="24" t="n">
        <x:v>0</x:v>
      </x:c>
      <x:c r="N833" s="24" t="n">
        <x:v>0</x:v>
      </x:c>
      <x:c r="O833" t="str">
        <x:v>Budget</x:v>
      </x:c>
      <x:c r="P833" t="n">
        <x:v>3</x:v>
      </x:c>
      <x:c r="Q833" t="str">
        <x:f>IFERROR(XLOOKUP(E833,Lookups!$A$5:$A$24,Lookups!$B$5:$B$24),"Other")</x:f>
        <x:v>Webinar</x:v>
      </x:c>
      <x:c r="R833" t="str">
        <x:f>IFERROR(XLOOKUP(F833,Lookups!$D$5:$D$10,Lookups!$E$5:$E$10),"Unknown Product")</x:f>
        <x:v>NexaCRM Core</x:v>
      </x:c>
      <x:c r="S833" t="str">
        <x:f>IFERROR(XLOOKUP(F833,Lookups!$D$5:$D$10,Lookups!$F$5:$F$10),"Unknown")</x:f>
        <x:v>CRM</x:v>
      </x:c>
      <x:c r="T833" t="str">
        <x:f>IF(L833&gt;=50000,"Enterprise",IF(L833&gt;=20000,"Mid-Market","SMB"))</x:f>
        <x:v>SMB</x:v>
      </x:c>
      <x:c r="U833" t="str">
        <x:f>IF(I833="Closed Won","Won",IF(I833="Closed Lost","Lost","Open"))</x:f>
        <x:v>Lost</x:v>
      </x:c>
      <x:c r="V833" s="22" t="n">
        <x:f>IF(U833="Won",L833*(1-M833),0)</x:f>
        <x:v>0</x:v>
      </x:c>
      <x:c r="W833" s="22" t="n">
        <x:f>IF(U833="Open",L833*N833,0)</x:f>
        <x:v>0</x:v>
      </x:c>
      <x:c r="X833" s="26" t="n">
        <x:f>IF(U833="Open","",IFERROR(K833-B833,""))</x:f>
        <x:v>68</x:v>
      </x:c>
      <x:c r="Y833" s="26" t="n">
        <x:f>IF(U833="Open",Lookups!$B$2-B833,X833)</x:f>
        <x:v>68</x:v>
      </x:c>
      <x:c r="Z833" t="str">
        <x:f>IF(AND(U833="Open",Y833&gt;30),"STALE","OK")</x:f>
        <x:v>OK</x:v>
      </x:c>
      <x:c r="AA833" t="str">
        <x:f>TEXT(B833,"yyyy-mm")</x:f>
        <x:v>2025-06</x:v>
      </x:c>
      <x:c r="AB833" t="str">
        <x:f>IF(K833="","",TEXT(K833,"yyyy-mm"))</x:f>
        <x:v>2025-09</x:v>
      </x:c>
      <x:c r="AC833" t="str">
        <x:f>"Q"&amp;ROUNDUP(MONTH(B833)/3,0)&amp;"-"&amp;YEAR(B833)</x:f>
        <x:v>Q2-2025</x:v>
      </x:c>
      <x:c r="AD833" s="26" t="n">
        <x:f>MIN(100,IF(H833="Enterprise",30,IF(H833="Mid-Market",22,14))+IF(T833="Enterprise",25,IF(T833="Mid-Market",18,10))+IF(Q833="Referral",25,IF(Q833="Organic Search",20,IF(Q833="Email",18,14)))+IF(G833="Technology",10,5))</x:f>
        <x:v>43</x:v>
      </x:c>
      <x:c r="AE833" t="str">
        <x:f>IF(U833&lt;&gt;"Open",U833,IF(N833&gt;=0.8,"Commit",IF(N833&gt;=0.5,"Best Case","Pipeline")))</x:f>
        <x:v>Lost</x:v>
      </x:c>
    </x:row>
    <x:row r="834">
      <x:c r="A834" t="str">
        <x:v>L00833</x:v>
      </x:c>
      <x:c r="B834" s="10" t="n">
        <x:v>46251</x:v>
      </x:c>
      <x:c r="C834" t="str">
        <x:v>Ha Vo</x:v>
      </x:c>
      <x:c r="D834" t="str">
        <x:v>North</x:v>
      </x:c>
      <x:c r="E834" t="str">
        <x:v>SEM - Google</x:v>
      </x:c>
      <x:c r="F834" t="str">
        <x:v>MKT-AUTO</x:v>
      </x:c>
      <x:c r="G834" t="str">
        <x:v>Healthcare</x:v>
      </x:c>
      <x:c r="H834" t="str">
        <x:v>Mid-Market</x:v>
      </x:c>
      <x:c r="I834" t="str">
        <x:v>Qualified</x:v>
      </x:c>
      <x:c r="J834" s="10" t="n">
        <x:v>46263</x:v>
      </x:c>
      <x:c r="K834" s="10"/>
      <x:c r="L834" s="22" t="n">
        <x:v>23100</x:v>
      </x:c>
      <x:c r="M834" s="24" t="n">
        <x:v>0</x:v>
      </x:c>
      <x:c r="N834" s="24" t="n">
        <x:v>0.2</x:v>
      </x:c>
      <x:c r="O834" t="str"/>
      <x:c r="P834" t="n">
        <x:v>2</x:v>
      </x:c>
      <x:c r="Q834" t="str">
        <x:f>IFERROR(XLOOKUP(E834,Lookups!$A$5:$A$24,Lookups!$B$5:$B$24),"Other")</x:f>
        <x:v>Paid Search</x:v>
      </x:c>
      <x:c r="R834" t="str">
        <x:f>IFERROR(XLOOKUP(F834,Lookups!$D$5:$D$10,Lookups!$E$5:$E$10),"Unknown Product")</x:f>
        <x:v>Marketing Automation</x:v>
      </x:c>
      <x:c r="S834" t="str">
        <x:f>IFERROR(XLOOKUP(F834,Lookups!$D$5:$D$10,Lookups!$F$5:$F$10),"Unknown")</x:f>
        <x:v>Marketing</x:v>
      </x:c>
      <x:c r="T834" t="str">
        <x:f>IF(L834&gt;=50000,"Enterprise",IF(L834&gt;=20000,"Mid-Market","SMB"))</x:f>
        <x:v>Mid-Market</x:v>
      </x:c>
      <x:c r="U834" t="str">
        <x:f>IF(I834="Closed Won","Won",IF(I834="Closed Lost","Lost","Open"))</x:f>
        <x:v>Open</x:v>
      </x:c>
      <x:c r="V834" s="22" t="n">
        <x:f>IF(U834="Won",L834*(1-M834),0)</x:f>
        <x:v>0</x:v>
      </x:c>
      <x:c r="W834" s="22" t="n">
        <x:f>IF(U834="Open",L834*N834,0)</x:f>
        <x:v>4620</x:v>
      </x:c>
      <x:c r="X834" s="26" t="str">
        <x:f>IF(U834="Open","",IFERROR(K834-B834,""))</x:f>
      </x:c>
      <x:c r="Y834" s="26" t="n">
        <x:f>IF(U834="Open",Lookups!$B$2-B834,X834)</x:f>
        <x:v>15</x:v>
      </x:c>
      <x:c r="Z834" t="str">
        <x:f>IF(AND(U834="Open",Y834&gt;30),"STALE","OK")</x:f>
        <x:v>OK</x:v>
      </x:c>
      <x:c r="AA834" t="str">
        <x:f>TEXT(B834,"yyyy-mm")</x:f>
        <x:v>2026-08</x:v>
      </x:c>
      <x:c r="AB834" t="str">
        <x:f>IF(K834="","",TEXT(K834,"yyyy-mm"))</x:f>
      </x:c>
      <x:c r="AC834" t="str">
        <x:f>"Q"&amp;ROUNDUP(MONTH(B834)/3,0)&amp;"-"&amp;YEAR(B834)</x:f>
        <x:v>Q3-2026</x:v>
      </x:c>
      <x:c r="AD834" s="26" t="n">
        <x:f>MIN(100,IF(H834="Enterprise",30,IF(H834="Mid-Market",22,14))+IF(T834="Enterprise",25,IF(T834="Mid-Market",18,10))+IF(Q834="Referral",25,IF(Q834="Organic Search",20,IF(Q834="Email",18,14)))+IF(G834="Technology",10,5))</x:f>
        <x:v>59</x:v>
      </x:c>
      <x:c r="AE834" t="str">
        <x:f>IF(U834&lt;&gt;"Open",U834,IF(N834&gt;=0.8,"Commit",IF(N834&gt;=0.5,"Best Case","Pipeline")))</x:f>
        <x:v>Pipeline</x:v>
      </x:c>
    </x:row>
    <x:row r="835">
      <x:c r="A835" t="str">
        <x:v>L00834</x:v>
      </x:c>
      <x:c r="B835" s="10" t="n">
        <x:v>45884</x:v>
      </x:c>
      <x:c r="C835" t="str">
        <x:v>Minh Do</x:v>
      </x:c>
      <x:c r="D835" t="str">
        <x:v>North</x:v>
      </x:c>
      <x:c r="E835" t="str">
        <x:v>email nurture</x:v>
      </x:c>
      <x:c r="F835" t="str">
        <x:v>CS-CLOUD</x:v>
      </x:c>
      <x:c r="G835" t="str">
        <x:v>Manufacturing</x:v>
      </x:c>
      <x:c r="H835" t="str">
        <x:v>SMB</x:v>
      </x:c>
      <x:c r="I835" t="str">
        <x:v>Closed Won</x:v>
      </x:c>
      <x:c r="J835" s="10" t="n">
        <x:v>45945</x:v>
      </x:c>
      <x:c r="K835" s="10" t="n">
        <x:v>45945</x:v>
      </x:c>
      <x:c r="L835" s="22" t="n">
        <x:v>23500</x:v>
      </x:c>
      <x:c r="M835" s="24" t="n">
        <x:v>0.12</x:v>
      </x:c>
      <x:c r="N835" s="24" t="n">
        <x:v>1</x:v>
      </x:c>
      <x:c r="O835" t="str"/>
      <x:c r="P835" t="n">
        <x:v>6</x:v>
      </x:c>
      <x:c r="Q835" t="str">
        <x:f>IFERROR(XLOOKUP(E835,Lookups!$A$5:$A$24,Lookups!$B$5:$B$24),"Other")</x:f>
        <x:v>Email</x:v>
      </x:c>
      <x:c r="R835" t="str">
        <x:f>IFERROR(XLOOKUP(F835,Lookups!$D$5:$D$10,Lookups!$E$5:$E$10),"Unknown Product")</x:f>
        <x:v>Service Cloud</x:v>
      </x:c>
      <x:c r="S835" t="str">
        <x:f>IFERROR(XLOOKUP(F835,Lookups!$D$5:$D$10,Lookups!$F$5:$F$10),"Unknown")</x:f>
        <x:v>Customer Service</x:v>
      </x:c>
      <x:c r="T835" t="str">
        <x:f>IF(L835&gt;=50000,"Enterprise",IF(L835&gt;=20000,"Mid-Market","SMB"))</x:f>
        <x:v>Mid-Market</x:v>
      </x:c>
      <x:c r="U835" t="str">
        <x:f>IF(I835="Closed Won","Won",IF(I835="Closed Lost","Lost","Open"))</x:f>
        <x:v>Won</x:v>
      </x:c>
      <x:c r="V835" s="22" t="n">
        <x:f>IF(U835="Won",L835*(1-M835),0)</x:f>
        <x:v>20680</x:v>
      </x:c>
      <x:c r="W835" s="22" t="n">
        <x:f>IF(U835="Open",L835*N835,0)</x:f>
        <x:v>0</x:v>
      </x:c>
      <x:c r="X835" s="26" t="n">
        <x:f>IF(U835="Open","",IFERROR(K835-B835,""))</x:f>
        <x:v>61</x:v>
      </x:c>
      <x:c r="Y835" s="26" t="n">
        <x:f>IF(U835="Open",Lookups!$B$2-B835,X835)</x:f>
        <x:v>61</x:v>
      </x:c>
      <x:c r="Z835" t="str">
        <x:f>IF(AND(U835="Open",Y835&gt;30),"STALE","OK")</x:f>
        <x:v>OK</x:v>
      </x:c>
      <x:c r="AA835" t="str">
        <x:f>TEXT(B835,"yyyy-mm")</x:f>
        <x:v>2025-08</x:v>
      </x:c>
      <x:c r="AB835" t="str">
        <x:f>IF(K835="","",TEXT(K835,"yyyy-mm"))</x:f>
        <x:v>2025-10</x:v>
      </x:c>
      <x:c r="AC835" t="str">
        <x:f>"Q"&amp;ROUNDUP(MONTH(B835)/3,0)&amp;"-"&amp;YEAR(B835)</x:f>
        <x:v>Q3-2025</x:v>
      </x:c>
      <x:c r="AD835" s="26" t="n">
        <x:f>MIN(100,IF(H835="Enterprise",30,IF(H835="Mid-Market",22,14))+IF(T835="Enterprise",25,IF(T835="Mid-Market",18,10))+IF(Q835="Referral",25,IF(Q835="Organic Search",20,IF(Q835="Email",18,14)))+IF(G835="Technology",10,5))</x:f>
        <x:v>55</x:v>
      </x:c>
      <x:c r="AE835" t="str">
        <x:f>IF(U835&lt;&gt;"Open",U835,IF(N835&gt;=0.8,"Commit",IF(N835&gt;=0.5,"Best Case","Pipeline")))</x:f>
        <x:v>Won</x:v>
      </x:c>
    </x:row>
    <x:row r="836">
      <x:c r="A836" t="str">
        <x:v>L00835</x:v>
      </x:c>
      <x:c r="B836" s="10" t="n">
        <x:v>45772</x:v>
      </x:c>
      <x:c r="C836" t="str">
        <x:v>Duy Pham</x:v>
      </x:c>
      <x:c r="D836" t="str">
        <x:v>South</x:v>
      </x:c>
      <x:c r="E836" t="str">
        <x:v>customer referral</x:v>
      </x:c>
      <x:c r="F836" t="str">
        <x:v>CS-CLOUD</x:v>
      </x:c>
      <x:c r="G836" t="str">
        <x:v>Technology</x:v>
      </x:c>
      <x:c r="H836" t="str">
        <x:v>SMB</x:v>
      </x:c>
      <x:c r="I836" t="str">
        <x:v>Closed Lost</x:v>
      </x:c>
      <x:c r="J836" s="10" t="n">
        <x:v>45792</x:v>
      </x:c>
      <x:c r="K836" s="10" t="n">
        <x:v>45792</x:v>
      </x:c>
      <x:c r="L836" s="22" t="n">
        <x:v>27100</x:v>
      </x:c>
      <x:c r="M836" s="24" t="n">
        <x:v>0</x:v>
      </x:c>
      <x:c r="N836" s="24" t="n">
        <x:v>0</x:v>
      </x:c>
      <x:c r="O836" t="str">
        <x:v>Timing</x:v>
      </x:c>
      <x:c r="P836" t="n">
        <x:v>4</x:v>
      </x:c>
      <x:c r="Q836" t="str">
        <x:f>IFERROR(XLOOKUP(E836,Lookups!$A$5:$A$24,Lookups!$B$5:$B$24),"Other")</x:f>
        <x:v>Referral</x:v>
      </x:c>
      <x:c r="R836" t="str">
        <x:f>IFERROR(XLOOKUP(F836,Lookups!$D$5:$D$10,Lookups!$E$5:$E$10),"Unknown Product")</x:f>
        <x:v>Service Cloud</x:v>
      </x:c>
      <x:c r="S836" t="str">
        <x:f>IFERROR(XLOOKUP(F836,Lookups!$D$5:$D$10,Lookups!$F$5:$F$10),"Unknown")</x:f>
        <x:v>Customer Service</x:v>
      </x:c>
      <x:c r="T836" t="str">
        <x:f>IF(L836&gt;=50000,"Enterprise",IF(L836&gt;=20000,"Mid-Market","SMB"))</x:f>
        <x:v>Mid-Market</x:v>
      </x:c>
      <x:c r="U836" t="str">
        <x:f>IF(I836="Closed Won","Won",IF(I836="Closed Lost","Lost","Open"))</x:f>
        <x:v>Lost</x:v>
      </x:c>
      <x:c r="V836" s="22" t="n">
        <x:f>IF(U836="Won",L836*(1-M836),0)</x:f>
        <x:v>0</x:v>
      </x:c>
      <x:c r="W836" s="22" t="n">
        <x:f>IF(U836="Open",L836*N836,0)</x:f>
        <x:v>0</x:v>
      </x:c>
      <x:c r="X836" s="26" t="n">
        <x:f>IF(U836="Open","",IFERROR(K836-B836,""))</x:f>
        <x:v>20</x:v>
      </x:c>
      <x:c r="Y836" s="26" t="n">
        <x:f>IF(U836="Open",Lookups!$B$2-B836,X836)</x:f>
        <x:v>20</x:v>
      </x:c>
      <x:c r="Z836" t="str">
        <x:f>IF(AND(U836="Open",Y836&gt;30),"STALE","OK")</x:f>
        <x:v>OK</x:v>
      </x:c>
      <x:c r="AA836" t="str">
        <x:f>TEXT(B836,"yyyy-mm")</x:f>
        <x:v>2025-04</x:v>
      </x:c>
      <x:c r="AB836" t="str">
        <x:f>IF(K836="","",TEXT(K836,"yyyy-mm"))</x:f>
        <x:v>2025-05</x:v>
      </x:c>
      <x:c r="AC836" t="str">
        <x:f>"Q"&amp;ROUNDUP(MONTH(B836)/3,0)&amp;"-"&amp;YEAR(B836)</x:f>
        <x:v>Q2-2025</x:v>
      </x:c>
      <x:c r="AD836" s="26" t="n">
        <x:f>MIN(100,IF(H836="Enterprise",30,IF(H836="Mid-Market",22,14))+IF(T836="Enterprise",25,IF(T836="Mid-Market",18,10))+IF(Q836="Referral",25,IF(Q836="Organic Search",20,IF(Q836="Email",18,14)))+IF(G836="Technology",10,5))</x:f>
        <x:v>67</x:v>
      </x:c>
      <x:c r="AE836" t="str">
        <x:f>IF(U836&lt;&gt;"Open",U836,IF(N836&gt;=0.8,"Commit",IF(N836&gt;=0.5,"Best Case","Pipeline")))</x:f>
        <x:v>Lost</x:v>
      </x:c>
    </x:row>
    <x:row r="837">
      <x:c r="A837" t="str">
        <x:v>L00836</x:v>
      </x:c>
      <x:c r="B837" s="10" t="n">
        <x:v>45689</x:v>
      </x:c>
      <x:c r="C837" t="str">
        <x:v>An Nguyen</x:v>
      </x:c>
      <x:c r="D837" t="str">
        <x:v>South</x:v>
      </x:c>
      <x:c r="E837" t="str">
        <x:v>Partner Referral</x:v>
      </x:c>
      <x:c r="F837" t="str">
        <x:v>CRM-PRO</x:v>
      </x:c>
      <x:c r="G837" t="str">
        <x:v>Healthcare</x:v>
      </x:c>
      <x:c r="H837" t="str">
        <x:v>SMB</x:v>
      </x:c>
      <x:c r="I837" t="str">
        <x:v>Closed Lost</x:v>
      </x:c>
      <x:c r="J837" s="10" t="n">
        <x:v>45737</x:v>
      </x:c>
      <x:c r="K837" s="10" t="n">
        <x:v>45737</x:v>
      </x:c>
      <x:c r="L837" s="22" t="n">
        <x:v>13300</x:v>
      </x:c>
      <x:c r="M837" s="24" t="n">
        <x:v>0</x:v>
      </x:c>
      <x:c r="N837" s="24" t="n">
        <x:v>0</x:v>
      </x:c>
      <x:c r="O837" t="str">
        <x:v>Timing</x:v>
      </x:c>
      <x:c r="P837" t="n">
        <x:v>3</x:v>
      </x:c>
      <x:c r="Q837" t="str">
        <x:f>IFERROR(XLOOKUP(E837,Lookups!$A$5:$A$24,Lookups!$B$5:$B$24),"Other")</x:f>
        <x:v>Referral</x:v>
      </x:c>
      <x:c r="R837" t="str">
        <x:f>IFERROR(XLOOKUP(F837,Lookups!$D$5:$D$10,Lookups!$E$5:$E$10),"Unknown Product")</x:f>
        <x:v>NexaCRM Pro</x:v>
      </x:c>
      <x:c r="S837" t="str">
        <x:f>IFERROR(XLOOKUP(F837,Lookups!$D$5:$D$10,Lookups!$F$5:$F$10),"Unknown")</x:f>
        <x:v>CRM</x:v>
      </x:c>
      <x:c r="T837" t="str">
        <x:f>IF(L837&gt;=50000,"Enterprise",IF(L837&gt;=20000,"Mid-Market","SMB"))</x:f>
        <x:v>SMB</x:v>
      </x:c>
      <x:c r="U837" t="str">
        <x:f>IF(I837="Closed Won","Won",IF(I837="Closed Lost","Lost","Open"))</x:f>
        <x:v>Lost</x:v>
      </x:c>
      <x:c r="V837" s="22" t="n">
        <x:f>IF(U837="Won",L837*(1-M837),0)</x:f>
        <x:v>0</x:v>
      </x:c>
      <x:c r="W837" s="22" t="n">
        <x:f>IF(U837="Open",L837*N837,0)</x:f>
        <x:v>0</x:v>
      </x:c>
      <x:c r="X837" s="26" t="n">
        <x:f>IF(U837="Open","",IFERROR(K837-B837,""))</x:f>
        <x:v>48</x:v>
      </x:c>
      <x:c r="Y837" s="26" t="n">
        <x:f>IF(U837="Open",Lookups!$B$2-B837,X837)</x:f>
        <x:v>48</x:v>
      </x:c>
      <x:c r="Z837" t="str">
        <x:f>IF(AND(U837="Open",Y837&gt;30),"STALE","OK")</x:f>
        <x:v>OK</x:v>
      </x:c>
      <x:c r="AA837" t="str">
        <x:f>TEXT(B837,"yyyy-mm")</x:f>
        <x:v>2025-02</x:v>
      </x:c>
      <x:c r="AB837" t="str">
        <x:f>IF(K837="","",TEXT(K837,"yyyy-mm"))</x:f>
        <x:v>2025-03</x:v>
      </x:c>
      <x:c r="AC837" t="str">
        <x:f>"Q"&amp;ROUNDUP(MONTH(B837)/3,0)&amp;"-"&amp;YEAR(B837)</x:f>
        <x:v>Q1-2025</x:v>
      </x:c>
      <x:c r="AD837" s="26" t="n">
        <x:f>MIN(100,IF(H837="Enterprise",30,IF(H837="Mid-Market",22,14))+IF(T837="Enterprise",25,IF(T837="Mid-Market",18,10))+IF(Q837="Referral",25,IF(Q837="Organic Search",20,IF(Q837="Email",18,14)))+IF(G837="Technology",10,5))</x:f>
        <x:v>54</x:v>
      </x:c>
      <x:c r="AE837" t="str">
        <x:f>IF(U837&lt;&gt;"Open",U837,IF(N837&gt;=0.8,"Commit",IF(N837&gt;=0.5,"Best Case","Pipeline")))</x:f>
        <x:v>Lost</x:v>
      </x:c>
    </x:row>
    <x:row r="838">
      <x:c r="A838" t="str">
        <x:v>L00837</x:v>
      </x:c>
      <x:c r="B838" s="10" t="n">
        <x:v>45749</x:v>
      </x:c>
      <x:c r="C838" t="str">
        <x:v>Chi Le</x:v>
      </x:c>
      <x:c r="D838" t="str">
        <x:v>South</x:v>
      </x:c>
      <x:c r="E838" t="str">
        <x:v>virtual event</x:v>
      </x:c>
      <x:c r="F838" t="str">
        <x:v>MKT-AUTO</x:v>
      </x:c>
      <x:c r="G838" t="str">
        <x:v>Healthcare</x:v>
      </x:c>
      <x:c r="H838" t="str">
        <x:v>SMB</x:v>
      </x:c>
      <x:c r="I838" t="str">
        <x:v>Closed Lost</x:v>
      </x:c>
      <x:c r="J838" s="10" t="n">
        <x:v>45789</x:v>
      </x:c>
      <x:c r="K838" s="10" t="n">
        <x:v>45789</x:v>
      </x:c>
      <x:c r="L838" s="22" t="n">
        <x:v>18900</x:v>
      </x:c>
      <x:c r="M838" s="24" t="n">
        <x:v>0</x:v>
      </x:c>
      <x:c r="N838" s="24" t="n">
        <x:v>0</x:v>
      </x:c>
      <x:c r="O838" t="str">
        <x:v>Budget</x:v>
      </x:c>
      <x:c r="P838" t="n">
        <x:v>3</x:v>
      </x:c>
      <x:c r="Q838" t="str">
        <x:f>IFERROR(XLOOKUP(E838,Lookups!$A$5:$A$24,Lookups!$B$5:$B$24),"Other")</x:f>
        <x:v>Webinar</x:v>
      </x:c>
      <x:c r="R838" t="str">
        <x:f>IFERROR(XLOOKUP(F838,Lookups!$D$5:$D$10,Lookups!$E$5:$E$10),"Unknown Product")</x:f>
        <x:v>Marketing Automation</x:v>
      </x:c>
      <x:c r="S838" t="str">
        <x:f>IFERROR(XLOOKUP(F838,Lookups!$D$5:$D$10,Lookups!$F$5:$F$10),"Unknown")</x:f>
        <x:v>Marketing</x:v>
      </x:c>
      <x:c r="T838" t="str">
        <x:f>IF(L838&gt;=50000,"Enterprise",IF(L838&gt;=20000,"Mid-Market","SMB"))</x:f>
        <x:v>SMB</x:v>
      </x:c>
      <x:c r="U838" t="str">
        <x:f>IF(I838="Closed Won","Won",IF(I838="Closed Lost","Lost","Open"))</x:f>
        <x:v>Lost</x:v>
      </x:c>
      <x:c r="V838" s="22" t="n">
        <x:f>IF(U838="Won",L838*(1-M838),0)</x:f>
        <x:v>0</x:v>
      </x:c>
      <x:c r="W838" s="22" t="n">
        <x:f>IF(U838="Open",L838*N838,0)</x:f>
        <x:v>0</x:v>
      </x:c>
      <x:c r="X838" s="26" t="n">
        <x:f>IF(U838="Open","",IFERROR(K838-B838,""))</x:f>
        <x:v>40</x:v>
      </x:c>
      <x:c r="Y838" s="26" t="n">
        <x:f>IF(U838="Open",Lookups!$B$2-B838,X838)</x:f>
        <x:v>40</x:v>
      </x:c>
      <x:c r="Z838" t="str">
        <x:f>IF(AND(U838="Open",Y838&gt;30),"STALE","OK")</x:f>
        <x:v>OK</x:v>
      </x:c>
      <x:c r="AA838" t="str">
        <x:f>TEXT(B838,"yyyy-mm")</x:f>
        <x:v>2025-04</x:v>
      </x:c>
      <x:c r="AB838" t="str">
        <x:f>IF(K838="","",TEXT(K838,"yyyy-mm"))</x:f>
        <x:v>2025-05</x:v>
      </x:c>
      <x:c r="AC838" t="str">
        <x:f>"Q"&amp;ROUNDUP(MONTH(B838)/3,0)&amp;"-"&amp;YEAR(B838)</x:f>
        <x:v>Q2-2025</x:v>
      </x:c>
      <x:c r="AD838" s="26" t="n">
        <x:f>MIN(100,IF(H838="Enterprise",30,IF(H838="Mid-Market",22,14))+IF(T838="Enterprise",25,IF(T838="Mid-Market",18,10))+IF(Q838="Referral",25,IF(Q838="Organic Search",20,IF(Q838="Email",18,14)))+IF(G838="Technology",10,5))</x:f>
        <x:v>43</x:v>
      </x:c>
      <x:c r="AE838" t="str">
        <x:f>IF(U838&lt;&gt;"Open",U838,IF(N838&gt;=0.8,"Commit",IF(N838&gt;=0.5,"Best Case","Pipeline")))</x:f>
        <x:v>Lost</x:v>
      </x:c>
    </x:row>
    <x:row r="839">
      <x:c r="A839" t="str">
        <x:v>L00838</x:v>
      </x:c>
      <x:c r="B839" s="10" t="n">
        <x:v>45749</x:v>
      </x:c>
      <x:c r="C839" t="str">
        <x:v>Quynh Vu</x:v>
      </x:c>
      <x:c r="D839" t="str">
        <x:v>North</x:v>
      </x:c>
      <x:c r="E839" t="str">
        <x:v>virtual event</x:v>
      </x:c>
      <x:c r="F839" t="str">
        <x:v>MKT-AUTO</x:v>
      </x:c>
      <x:c r="G839" t="str">
        <x:v>Financial Services</x:v>
      </x:c>
      <x:c r="H839" t="str">
        <x:v>SMB</x:v>
      </x:c>
      <x:c r="I839" t="str">
        <x:v>Negotiation</x:v>
      </x:c>
      <x:c r="J839" s="10" t="n">
        <x:v>46006</x:v>
      </x:c>
      <x:c r="K839" s="10"/>
      <x:c r="L839" s="22" t="n">
        <x:v>17100</x:v>
      </x:c>
      <x:c r="M839" s="24" t="n">
        <x:v>0.05</x:v>
      </x:c>
      <x:c r="N839" s="24" t="n">
        <x:v>0.85</x:v>
      </x:c>
      <x:c r="O839" t="str"/>
      <x:c r="P839" t="n">
        <x:v>5</x:v>
      </x:c>
      <x:c r="Q839" t="str">
        <x:f>IFERROR(XLOOKUP(E839,Lookups!$A$5:$A$24,Lookups!$B$5:$B$24),"Other")</x:f>
        <x:v>Webinar</x:v>
      </x:c>
      <x:c r="R839" t="str">
        <x:f>IFERROR(XLOOKUP(F839,Lookups!$D$5:$D$10,Lookups!$E$5:$E$10),"Unknown Product")</x:f>
        <x:v>Marketing Automation</x:v>
      </x:c>
      <x:c r="S839" t="str">
        <x:f>IFERROR(XLOOKUP(F839,Lookups!$D$5:$D$10,Lookups!$F$5:$F$10),"Unknown")</x:f>
        <x:v>Marketing</x:v>
      </x:c>
      <x:c r="T839" t="str">
        <x:f>IF(L839&gt;=50000,"Enterprise",IF(L839&gt;=20000,"Mid-Market","SMB"))</x:f>
        <x:v>SMB</x:v>
      </x:c>
      <x:c r="U839" t="str">
        <x:f>IF(I839="Closed Won","Won",IF(I839="Closed Lost","Lost","Open"))</x:f>
        <x:v>Open</x:v>
      </x:c>
      <x:c r="V839" s="22" t="n">
        <x:f>IF(U839="Won",L839*(1-M839),0)</x:f>
        <x:v>0</x:v>
      </x:c>
      <x:c r="W839" s="22" t="n">
        <x:f>IF(U839="Open",L839*N839,0)</x:f>
        <x:v>14535</x:v>
      </x:c>
      <x:c r="X839" s="26" t="str">
        <x:f>IF(U839="Open","",IFERROR(K839-B839,""))</x:f>
      </x:c>
      <x:c r="Y839" s="26" t="n">
        <x:f>IF(U839="Open",Lookups!$B$2-B839,X839)</x:f>
        <x:v>517</x:v>
      </x:c>
      <x:c r="Z839" t="str">
        <x:f>IF(AND(U839="Open",Y839&gt;30),"STALE","OK")</x:f>
        <x:v>STALE</x:v>
      </x:c>
      <x:c r="AA839" t="str">
        <x:f>TEXT(B839,"yyyy-mm")</x:f>
        <x:v>2025-04</x:v>
      </x:c>
      <x:c r="AB839" t="str">
        <x:f>IF(K839="","",TEXT(K839,"yyyy-mm"))</x:f>
      </x:c>
      <x:c r="AC839" t="str">
        <x:f>"Q"&amp;ROUNDUP(MONTH(B839)/3,0)&amp;"-"&amp;YEAR(B839)</x:f>
        <x:v>Q2-2025</x:v>
      </x:c>
      <x:c r="AD839" s="26" t="n">
        <x:f>MIN(100,IF(H839="Enterprise",30,IF(H839="Mid-Market",22,14))+IF(T839="Enterprise",25,IF(T839="Mid-Market",18,10))+IF(Q839="Referral",25,IF(Q839="Organic Search",20,IF(Q839="Email",18,14)))+IF(G839="Technology",10,5))</x:f>
        <x:v>43</x:v>
      </x:c>
      <x:c r="AE839" t="str">
        <x:f>IF(U839&lt;&gt;"Open",U839,IF(N839&gt;=0.8,"Commit",IF(N839&gt;=0.5,"Best Case","Pipeline")))</x:f>
        <x:v>Commit</x:v>
      </x:c>
    </x:row>
    <x:row r="840">
      <x:c r="A840" t="str">
        <x:v>L00839</x:v>
      </x:c>
      <x:c r="B840" s="10" t="n">
        <x:v>45901</x:v>
      </x:c>
      <x:c r="C840" t="str">
        <x:v>Bao Tran</x:v>
      </x:c>
      <x:c r="D840" t="str">
        <x:v>South</x:v>
      </x:c>
      <x:c r="E840" t="str">
        <x:v>SEM - Google</x:v>
      </x:c>
      <x:c r="F840" t="str">
        <x:v>REV-OPS</x:v>
      </x:c>
      <x:c r="G840" t="str">
        <x:v>Healthcare</x:v>
      </x:c>
      <x:c r="H840" t="str">
        <x:v>Enterprise</x:v>
      </x:c>
      <x:c r="I840" t="str">
        <x:v>Closed Lost</x:v>
      </x:c>
      <x:c r="J840" s="10" t="n">
        <x:v>45952</x:v>
      </x:c>
      <x:c r="K840" s="10" t="n">
        <x:v>45952</x:v>
      </x:c>
      <x:c r="L840" s="22" t="n">
        <x:v>152600</x:v>
      </x:c>
      <x:c r="M840" s="24" t="n">
        <x:v>0</x:v>
      </x:c>
      <x:c r="N840" s="24" t="n">
        <x:v>0</x:v>
      </x:c>
      <x:c r="O840" t="str">
        <x:v>No Decision</x:v>
      </x:c>
      <x:c r="P840" t="n">
        <x:v>5</x:v>
      </x:c>
      <x:c r="Q840" t="str">
        <x:f>IFERROR(XLOOKUP(E840,Lookups!$A$5:$A$24,Lookups!$B$5:$B$24),"Other")</x:f>
        <x:v>Paid Search</x:v>
      </x:c>
      <x:c r="R840" t="str">
        <x:f>IFERROR(XLOOKUP(F840,Lookups!$D$5:$D$10,Lookups!$E$5:$E$10),"Unknown Product")</x:f>
        <x:v>Revenue Operations Suite</x:v>
      </x:c>
      <x:c r="S840" t="str">
        <x:f>IFERROR(XLOOKUP(F840,Lookups!$D$5:$D$10,Lookups!$F$5:$F$10),"Unknown")</x:f>
        <x:v>Revenue Ops</x:v>
      </x:c>
      <x:c r="T840" t="str">
        <x:f>IF(L840&gt;=50000,"Enterprise",IF(L840&gt;=20000,"Mid-Market","SMB"))</x:f>
        <x:v>Enterprise</x:v>
      </x:c>
      <x:c r="U840" t="str">
        <x:f>IF(I840="Closed Won","Won",IF(I840="Closed Lost","Lost","Open"))</x:f>
        <x:v>Lost</x:v>
      </x:c>
      <x:c r="V840" s="22" t="n">
        <x:f>IF(U840="Won",L840*(1-M840),0)</x:f>
        <x:v>0</x:v>
      </x:c>
      <x:c r="W840" s="22" t="n">
        <x:f>IF(U840="Open",L840*N840,0)</x:f>
        <x:v>0</x:v>
      </x:c>
      <x:c r="X840" s="26" t="n">
        <x:f>IF(U840="Open","",IFERROR(K840-B840,""))</x:f>
        <x:v>51</x:v>
      </x:c>
      <x:c r="Y840" s="26" t="n">
        <x:f>IF(U840="Open",Lookups!$B$2-B840,X840)</x:f>
        <x:v>51</x:v>
      </x:c>
      <x:c r="Z840" t="str">
        <x:f>IF(AND(U840="Open",Y840&gt;30),"STALE","OK")</x:f>
        <x:v>OK</x:v>
      </x:c>
      <x:c r="AA840" t="str">
        <x:f>TEXT(B840,"yyyy-mm")</x:f>
        <x:v>2025-09</x:v>
      </x:c>
      <x:c r="AB840" t="str">
        <x:f>IF(K840="","",TEXT(K840,"yyyy-mm"))</x:f>
        <x:v>2025-10</x:v>
      </x:c>
      <x:c r="AC840" t="str">
        <x:f>"Q"&amp;ROUNDUP(MONTH(B840)/3,0)&amp;"-"&amp;YEAR(B840)</x:f>
        <x:v>Q3-2025</x:v>
      </x:c>
      <x:c r="AD840" s="26" t="n">
        <x:f>MIN(100,IF(H840="Enterprise",30,IF(H840="Mid-Market",22,14))+IF(T840="Enterprise",25,IF(T840="Mid-Market",18,10))+IF(Q840="Referral",25,IF(Q840="Organic Search",20,IF(Q840="Email",18,14)))+IF(G840="Technology",10,5))</x:f>
        <x:v>74</x:v>
      </x:c>
      <x:c r="AE840" t="str">
        <x:f>IF(U840&lt;&gt;"Open",U840,IF(N840&gt;=0.8,"Commit",IF(N840&gt;=0.5,"Best Case","Pipeline")))</x:f>
        <x:v>Lost</x:v>
      </x:c>
    </x:row>
    <x:row r="841">
      <x:c r="A841" t="str">
        <x:v>L00840</x:v>
      </x:c>
      <x:c r="B841" s="10" t="n">
        <x:v>45691</x:v>
      </x:c>
      <x:c r="C841" t="str">
        <x:v>Tuan Bui</x:v>
      </x:c>
      <x:c r="D841" t="str">
        <x:v>Central</x:v>
      </x:c>
      <x:c r="E841" t="str">
        <x:v>Google Organic</x:v>
      </x:c>
      <x:c r="F841" t="str">
        <x:v>BI-PLUS</x:v>
      </x:c>
      <x:c r="G841" t="str">
        <x:v>Professional Services</x:v>
      </x:c>
      <x:c r="H841" t="str">
        <x:v>SMB</x:v>
      </x:c>
      <x:c r="I841" t="str">
        <x:v>Closed Lost</x:v>
      </x:c>
      <x:c r="J841" s="10" t="n">
        <x:v>45732</x:v>
      </x:c>
      <x:c r="K841" s="10" t="n">
        <x:v>45732</x:v>
      </x:c>
      <x:c r="L841" s="22" t="n">
        <x:v>18200</x:v>
      </x:c>
      <x:c r="M841" s="24" t="n">
        <x:v>0</x:v>
      </x:c>
      <x:c r="N841" s="24" t="n">
        <x:v>0</x:v>
      </x:c>
      <x:c r="O841" t="str">
        <x:v>Price</x:v>
      </x:c>
      <x:c r="P841" t="n">
        <x:v>3</x:v>
      </x:c>
      <x:c r="Q841" t="str">
        <x:f>IFERROR(XLOOKUP(E841,Lookups!$A$5:$A$24,Lookups!$B$5:$B$24),"Other")</x:f>
        <x:v>Organic Search</x:v>
      </x:c>
      <x:c r="R841" t="str">
        <x:f>IFERROR(XLOOKUP(F841,Lookups!$D$5:$D$10,Lookups!$E$5:$E$10),"Unknown Product")</x:f>
        <x:v>Analytics Plus</x:v>
      </x:c>
      <x:c r="S841" t="str">
        <x:f>IFERROR(XLOOKUP(F841,Lookups!$D$5:$D$10,Lookups!$F$5:$F$10),"Unknown")</x:f>
        <x:v>Analytics</x:v>
      </x:c>
      <x:c r="T841" t="str">
        <x:f>IF(L841&gt;=50000,"Enterprise",IF(L841&gt;=20000,"Mid-Market","SMB"))</x:f>
        <x:v>SMB</x:v>
      </x:c>
      <x:c r="U841" t="str">
        <x:f>IF(I841="Closed Won","Won",IF(I841="Closed Lost","Lost","Open"))</x:f>
        <x:v>Lost</x:v>
      </x:c>
      <x:c r="V841" s="22" t="n">
        <x:f>IF(U841="Won",L841*(1-M841),0)</x:f>
        <x:v>0</x:v>
      </x:c>
      <x:c r="W841" s="22" t="n">
        <x:f>IF(U841="Open",L841*N841,0)</x:f>
        <x:v>0</x:v>
      </x:c>
      <x:c r="X841" s="26" t="n">
        <x:f>IF(U841="Open","",IFERROR(K841-B841,""))</x:f>
        <x:v>41</x:v>
      </x:c>
      <x:c r="Y841" s="26" t="n">
        <x:f>IF(U841="Open",Lookups!$B$2-B841,X841)</x:f>
        <x:v>41</x:v>
      </x:c>
      <x:c r="Z841" t="str">
        <x:f>IF(AND(U841="Open",Y841&gt;30),"STALE","OK")</x:f>
        <x:v>OK</x:v>
      </x:c>
      <x:c r="AA841" t="str">
        <x:f>TEXT(B841,"yyyy-mm")</x:f>
        <x:v>2025-02</x:v>
      </x:c>
      <x:c r="AB841" t="str">
        <x:f>IF(K841="","",TEXT(K841,"yyyy-mm"))</x:f>
        <x:v>2025-03</x:v>
      </x:c>
      <x:c r="AC841" t="str">
        <x:f>"Q"&amp;ROUNDUP(MONTH(B841)/3,0)&amp;"-"&amp;YEAR(B841)</x:f>
        <x:v>Q1-2025</x:v>
      </x:c>
      <x:c r="AD841" s="26" t="n">
        <x:f>MIN(100,IF(H841="Enterprise",30,IF(H841="Mid-Market",22,14))+IF(T841="Enterprise",25,IF(T841="Mid-Market",18,10))+IF(Q841="Referral",25,IF(Q841="Organic Search",20,IF(Q841="Email",18,14)))+IF(G841="Technology",10,5))</x:f>
        <x:v>49</x:v>
      </x:c>
      <x:c r="AE841" t="str">
        <x:f>IF(U841&lt;&gt;"Open",U841,IF(N841&gt;=0.8,"Commit",IF(N841&gt;=0.5,"Best Case","Pipeline")))</x:f>
        <x:v>Lost</x:v>
      </x:c>
    </x:row>
    <x:row r="842">
      <x:c r="A842" t="str">
        <x:v>L00841</x:v>
      </x:c>
      <x:c r="B842" s="10" t="n">
        <x:v>46021</x:v>
      </x:c>
      <x:c r="C842" t="str">
        <x:v>Ha Vo</x:v>
      </x:c>
      <x:c r="D842" t="str">
        <x:v>North</x:v>
      </x:c>
      <x:c r="E842" t="str">
        <x:v>email nurture</x:v>
      </x:c>
      <x:c r="F842" t="str">
        <x:v>CS-CLOUD</x:v>
      </x:c>
      <x:c r="G842" t="str">
        <x:v>Education</x:v>
      </x:c>
      <x:c r="H842" t="str">
        <x:v>Mid-Market</x:v>
      </x:c>
      <x:c r="I842" t="str">
        <x:v>Closed Lost</x:v>
      </x:c>
      <x:c r="J842" s="10" t="n">
        <x:v>46068</x:v>
      </x:c>
      <x:c r="K842" s="10" t="n">
        <x:v>46068</x:v>
      </x:c>
      <x:c r="L842" s="22" t="n">
        <x:v>42700</x:v>
      </x:c>
      <x:c r="M842" s="24" t="n">
        <x:v>0</x:v>
      </x:c>
      <x:c r="N842" s="24" t="n">
        <x:v>0</x:v>
      </x:c>
      <x:c r="O842" t="str">
        <x:v>Timing</x:v>
      </x:c>
      <x:c r="P842" t="n">
        <x:v>2</x:v>
      </x:c>
      <x:c r="Q842" t="str">
        <x:f>IFERROR(XLOOKUP(E842,Lookups!$A$5:$A$24,Lookups!$B$5:$B$24),"Other")</x:f>
        <x:v>Email</x:v>
      </x:c>
      <x:c r="R842" t="str">
        <x:f>IFERROR(XLOOKUP(F842,Lookups!$D$5:$D$10,Lookups!$E$5:$E$10),"Unknown Product")</x:f>
        <x:v>Service Cloud</x:v>
      </x:c>
      <x:c r="S842" t="str">
        <x:f>IFERROR(XLOOKUP(F842,Lookups!$D$5:$D$10,Lookups!$F$5:$F$10),"Unknown")</x:f>
        <x:v>Customer Service</x:v>
      </x:c>
      <x:c r="T842" t="str">
        <x:f>IF(L842&gt;=50000,"Enterprise",IF(L842&gt;=20000,"Mid-Market","SMB"))</x:f>
        <x:v>Mid-Market</x:v>
      </x:c>
      <x:c r="U842" t="str">
        <x:f>IF(I842="Closed Won","Won",IF(I842="Closed Lost","Lost","Open"))</x:f>
        <x:v>Lost</x:v>
      </x:c>
      <x:c r="V842" s="22" t="n">
        <x:f>IF(U842="Won",L842*(1-M842),0)</x:f>
        <x:v>0</x:v>
      </x:c>
      <x:c r="W842" s="22" t="n">
        <x:f>IF(U842="Open",L842*N842,0)</x:f>
        <x:v>0</x:v>
      </x:c>
      <x:c r="X842" s="26" t="n">
        <x:f>IF(U842="Open","",IFERROR(K842-B842,""))</x:f>
        <x:v>47</x:v>
      </x:c>
      <x:c r="Y842" s="26" t="n">
        <x:f>IF(U842="Open",Lookups!$B$2-B842,X842)</x:f>
        <x:v>47</x:v>
      </x:c>
      <x:c r="Z842" t="str">
        <x:f>IF(AND(U842="Open",Y842&gt;30),"STALE","OK")</x:f>
        <x:v>OK</x:v>
      </x:c>
      <x:c r="AA842" t="str">
        <x:f>TEXT(B842,"yyyy-mm")</x:f>
        <x:v>2025-12</x:v>
      </x:c>
      <x:c r="AB842" t="str">
        <x:f>IF(K842="","",TEXT(K842,"yyyy-mm"))</x:f>
        <x:v>2026-02</x:v>
      </x:c>
      <x:c r="AC842" t="str">
        <x:f>"Q"&amp;ROUNDUP(MONTH(B842)/3,0)&amp;"-"&amp;YEAR(B842)</x:f>
        <x:v>Q4-2025</x:v>
      </x:c>
      <x:c r="AD842" s="26" t="n">
        <x:f>MIN(100,IF(H842="Enterprise",30,IF(H842="Mid-Market",22,14))+IF(T842="Enterprise",25,IF(T842="Mid-Market",18,10))+IF(Q842="Referral",25,IF(Q842="Organic Search",20,IF(Q842="Email",18,14)))+IF(G842="Technology",10,5))</x:f>
        <x:v>63</x:v>
      </x:c>
      <x:c r="AE842" t="str">
        <x:f>IF(U842&lt;&gt;"Open",U842,IF(N842&gt;=0.8,"Commit",IF(N842&gt;=0.5,"Best Case","Pipeline")))</x:f>
        <x:v>Lost</x:v>
      </x:c>
    </x:row>
    <x:row r="843">
      <x:c r="A843" t="str">
        <x:v>L00842</x:v>
      </x:c>
      <x:c r="B843" s="10" t="n">
        <x:v>45869</x:v>
      </x:c>
      <x:c r="C843" t="str">
        <x:v>Duy Pham</x:v>
      </x:c>
      <x:c r="D843" t="str">
        <x:v>South</x:v>
      </x:c>
      <x:c r="E843" t="str">
        <x:v>SDR Outreach</x:v>
      </x:c>
      <x:c r="F843" t="str">
        <x:v>CRM-PRO</x:v>
      </x:c>
      <x:c r="G843" t="str">
        <x:v>Professional Services</x:v>
      </x:c>
      <x:c r="H843" t="str">
        <x:v>SMB</x:v>
      </x:c>
      <x:c r="I843" t="str">
        <x:v>Negotiation</x:v>
      </x:c>
      <x:c r="J843" s="10" t="n">
        <x:v>46169</x:v>
      </x:c>
      <x:c r="K843" s="10"/>
      <x:c r="L843" s="22" t="n">
        <x:v>22400</x:v>
      </x:c>
      <x:c r="M843" s="24" t="n">
        <x:v>0</x:v>
      </x:c>
      <x:c r="N843" s="24" t="n">
        <x:v>0.85</x:v>
      </x:c>
      <x:c r="O843" t="str"/>
      <x:c r="P843" t="n">
        <x:v>5</x:v>
      </x:c>
      <x:c r="Q843" t="str">
        <x:f>IFERROR(XLOOKUP(E843,Lookups!$A$5:$A$24,Lookups!$B$5:$B$24),"Other")</x:f>
        <x:v>Outbound</x:v>
      </x:c>
      <x:c r="R843" t="str">
        <x:f>IFERROR(XLOOKUP(F843,Lookups!$D$5:$D$10,Lookups!$E$5:$E$10),"Unknown Product")</x:f>
        <x:v>NexaCRM Pro</x:v>
      </x:c>
      <x:c r="S843" t="str">
        <x:f>IFERROR(XLOOKUP(F843,Lookups!$D$5:$D$10,Lookups!$F$5:$F$10),"Unknown")</x:f>
        <x:v>CRM</x:v>
      </x:c>
      <x:c r="T843" t="str">
        <x:f>IF(L843&gt;=50000,"Enterprise",IF(L843&gt;=20000,"Mid-Market","SMB"))</x:f>
        <x:v>Mid-Market</x:v>
      </x:c>
      <x:c r="U843" t="str">
        <x:f>IF(I843="Closed Won","Won",IF(I843="Closed Lost","Lost","Open"))</x:f>
        <x:v>Open</x:v>
      </x:c>
      <x:c r="V843" s="22" t="n">
        <x:f>IF(U843="Won",L843*(1-M843),0)</x:f>
        <x:v>0</x:v>
      </x:c>
      <x:c r="W843" s="22" t="n">
        <x:f>IF(U843="Open",L843*N843,0)</x:f>
        <x:v>19040</x:v>
      </x:c>
      <x:c r="X843" s="26" t="str">
        <x:f>IF(U843="Open","",IFERROR(K843-B843,""))</x:f>
      </x:c>
      <x:c r="Y843" s="26" t="n">
        <x:f>IF(U843="Open",Lookups!$B$2-B843,X843)</x:f>
        <x:v>397</x:v>
      </x:c>
      <x:c r="Z843" t="str">
        <x:f>IF(AND(U843="Open",Y843&gt;30),"STALE","OK")</x:f>
        <x:v>STALE</x:v>
      </x:c>
      <x:c r="AA843" t="str">
        <x:f>TEXT(B843,"yyyy-mm")</x:f>
        <x:v>2025-07</x:v>
      </x:c>
      <x:c r="AB843" t="str">
        <x:f>IF(K843="","",TEXT(K843,"yyyy-mm"))</x:f>
      </x:c>
      <x:c r="AC843" t="str">
        <x:f>"Q"&amp;ROUNDUP(MONTH(B843)/3,0)&amp;"-"&amp;YEAR(B843)</x:f>
        <x:v>Q3-2025</x:v>
      </x:c>
      <x:c r="AD843" s="26" t="n">
        <x:f>MIN(100,IF(H843="Enterprise",30,IF(H843="Mid-Market",22,14))+IF(T843="Enterprise",25,IF(T843="Mid-Market",18,10))+IF(Q843="Referral",25,IF(Q843="Organic Search",20,IF(Q843="Email",18,14)))+IF(G843="Technology",10,5))</x:f>
        <x:v>51</x:v>
      </x:c>
      <x:c r="AE843" t="str">
        <x:f>IF(U843&lt;&gt;"Open",U843,IF(N843&gt;=0.8,"Commit",IF(N843&gt;=0.5,"Best Case","Pipeline")))</x:f>
        <x:v>Commit</x:v>
      </x:c>
    </x:row>
    <x:row r="844">
      <x:c r="A844" t="str">
        <x:v>L00843</x:v>
      </x:c>
      <x:c r="B844" s="10" t="n">
        <x:v>46023</x:v>
      </x:c>
      <x:c r="C844" t="str">
        <x:v>Quynh Vu</x:v>
      </x:c>
      <x:c r="D844" t="str">
        <x:v>North</x:v>
      </x:c>
      <x:c r="E844" t="str">
        <x:v>SDR Outreach</x:v>
      </x:c>
      <x:c r="F844" t="str">
        <x:v>CRM-CORE</x:v>
      </x:c>
      <x:c r="G844" t="str">
        <x:v>Manufacturing</x:v>
      </x:c>
      <x:c r="H844" t="str">
        <x:v>Mid-Market</x:v>
      </x:c>
      <x:c r="I844" t="str">
        <x:v>Closed Lost</x:v>
      </x:c>
      <x:c r="J844" s="10" t="n">
        <x:v>46036</x:v>
      </x:c>
      <x:c r="K844" s="10" t="n">
        <x:v>46036</x:v>
      </x:c>
      <x:c r="L844" s="22" t="n">
        <x:v>10900</x:v>
      </x:c>
      <x:c r="M844" s="24" t="n">
        <x:v>0</x:v>
      </x:c>
      <x:c r="N844" s="24" t="n">
        <x:v>0</x:v>
      </x:c>
      <x:c r="O844" t="str">
        <x:v>Timing</x:v>
      </x:c>
      <x:c r="P844" t="n">
        <x:v>5</x:v>
      </x:c>
      <x:c r="Q844" t="str">
        <x:f>IFERROR(XLOOKUP(E844,Lookups!$A$5:$A$24,Lookups!$B$5:$B$24),"Other")</x:f>
        <x:v>Outbound</x:v>
      </x:c>
      <x:c r="R844" t="str">
        <x:f>IFERROR(XLOOKUP(F844,Lookups!$D$5:$D$10,Lookups!$E$5:$E$10),"Unknown Product")</x:f>
        <x:v>NexaCRM Core</x:v>
      </x:c>
      <x:c r="S844" t="str">
        <x:f>IFERROR(XLOOKUP(F844,Lookups!$D$5:$D$10,Lookups!$F$5:$F$10),"Unknown")</x:f>
        <x:v>CRM</x:v>
      </x:c>
      <x:c r="T844" t="str">
        <x:f>IF(L844&gt;=50000,"Enterprise",IF(L844&gt;=20000,"Mid-Market","SMB"))</x:f>
        <x:v>SMB</x:v>
      </x:c>
      <x:c r="U844" t="str">
        <x:f>IF(I844="Closed Won","Won",IF(I844="Closed Lost","Lost","Open"))</x:f>
        <x:v>Lost</x:v>
      </x:c>
      <x:c r="V844" s="22" t="n">
        <x:f>IF(U844="Won",L844*(1-M844),0)</x:f>
        <x:v>0</x:v>
      </x:c>
      <x:c r="W844" s="22" t="n">
        <x:f>IF(U844="Open",L844*N844,0)</x:f>
        <x:v>0</x:v>
      </x:c>
      <x:c r="X844" s="26" t="n">
        <x:f>IF(U844="Open","",IFERROR(K844-B844,""))</x:f>
        <x:v>13</x:v>
      </x:c>
      <x:c r="Y844" s="26" t="n">
        <x:f>IF(U844="Open",Lookups!$B$2-B844,X844)</x:f>
        <x:v>13</x:v>
      </x:c>
      <x:c r="Z844" t="str">
        <x:f>IF(AND(U844="Open",Y844&gt;30),"STALE","OK")</x:f>
        <x:v>OK</x:v>
      </x:c>
      <x:c r="AA844" t="str">
        <x:f>TEXT(B844,"yyyy-mm")</x:f>
        <x:v>2026-01</x:v>
      </x:c>
      <x:c r="AB844" t="str">
        <x:f>IF(K844="","",TEXT(K844,"yyyy-mm"))</x:f>
        <x:v>2026-01</x:v>
      </x:c>
      <x:c r="AC844" t="str">
        <x:f>"Q"&amp;ROUNDUP(MONTH(B844)/3,0)&amp;"-"&amp;YEAR(B844)</x:f>
        <x:v>Q1-2026</x:v>
      </x:c>
      <x:c r="AD844" s="26" t="n">
        <x:f>MIN(100,IF(H844="Enterprise",30,IF(H844="Mid-Market",22,14))+IF(T844="Enterprise",25,IF(T844="Mid-Market",18,10))+IF(Q844="Referral",25,IF(Q844="Organic Search",20,IF(Q844="Email",18,14)))+IF(G844="Technology",10,5))</x:f>
        <x:v>51</x:v>
      </x:c>
      <x:c r="AE844" t="str">
        <x:f>IF(U844&lt;&gt;"Open",U844,IF(N844&gt;=0.8,"Commit",IF(N844&gt;=0.5,"Best Case","Pipeline")))</x:f>
        <x:v>Lost</x:v>
      </x:c>
    </x:row>
    <x:row r="845">
      <x:c r="A845" t="str">
        <x:v>L00844</x:v>
      </x:c>
      <x:c r="B845" s="10" t="n">
        <x:v>45805</x:v>
      </x:c>
      <x:c r="C845" t="str">
        <x:v>Minh Do</x:v>
      </x:c>
      <x:c r="D845" t="str">
        <x:v>North</x:v>
      </x:c>
      <x:c r="E845" t="str">
        <x:v>customer referral</x:v>
      </x:c>
      <x:c r="F845" t="str">
        <x:v>MKT-AUTO</x:v>
      </x:c>
      <x:c r="G845" t="str">
        <x:v>Manufacturing</x:v>
      </x:c>
      <x:c r="H845" t="str">
        <x:v>Enterprise</x:v>
      </x:c>
      <x:c r="I845" t="str">
        <x:v>Closed Lost</x:v>
      </x:c>
      <x:c r="J845" s="10" t="n">
        <x:v>45845</x:v>
      </x:c>
      <x:c r="K845" s="10" t="n">
        <x:v>45845</x:v>
      </x:c>
      <x:c r="L845" s="22" t="n">
        <x:v>66800</x:v>
      </x:c>
      <x:c r="M845" s="24" t="n">
        <x:v>0</x:v>
      </x:c>
      <x:c r="N845" s="24" t="n">
        <x:v>0</x:v>
      </x:c>
      <x:c r="O845" t="str">
        <x:v>No Decision</x:v>
      </x:c>
      <x:c r="P845" t="n">
        <x:v>2</x:v>
      </x:c>
      <x:c r="Q845" t="str">
        <x:f>IFERROR(XLOOKUP(E845,Lookups!$A$5:$A$24,Lookups!$B$5:$B$24),"Other")</x:f>
        <x:v>Referral</x:v>
      </x:c>
      <x:c r="R845" t="str">
        <x:f>IFERROR(XLOOKUP(F845,Lookups!$D$5:$D$10,Lookups!$E$5:$E$10),"Unknown Product")</x:f>
        <x:v>Marketing Automation</x:v>
      </x:c>
      <x:c r="S845" t="str">
        <x:f>IFERROR(XLOOKUP(F845,Lookups!$D$5:$D$10,Lookups!$F$5:$F$10),"Unknown")</x:f>
        <x:v>Marketing</x:v>
      </x:c>
      <x:c r="T845" t="str">
        <x:f>IF(L845&gt;=50000,"Enterprise",IF(L845&gt;=20000,"Mid-Market","SMB"))</x:f>
        <x:v>Enterprise</x:v>
      </x:c>
      <x:c r="U845" t="str">
        <x:f>IF(I845="Closed Won","Won",IF(I845="Closed Lost","Lost","Open"))</x:f>
        <x:v>Lost</x:v>
      </x:c>
      <x:c r="V845" s="22" t="n">
        <x:f>IF(U845="Won",L845*(1-M845),0)</x:f>
        <x:v>0</x:v>
      </x:c>
      <x:c r="W845" s="22" t="n">
        <x:f>IF(U845="Open",L845*N845,0)</x:f>
        <x:v>0</x:v>
      </x:c>
      <x:c r="X845" s="26" t="n">
        <x:f>IF(U845="Open","",IFERROR(K845-B845,""))</x:f>
        <x:v>40</x:v>
      </x:c>
      <x:c r="Y845" s="26" t="n">
        <x:f>IF(U845="Open",Lookups!$B$2-B845,X845)</x:f>
        <x:v>40</x:v>
      </x:c>
      <x:c r="Z845" t="str">
        <x:f>IF(AND(U845="Open",Y845&gt;30),"STALE","OK")</x:f>
        <x:v>OK</x:v>
      </x:c>
      <x:c r="AA845" t="str">
        <x:f>TEXT(B845,"yyyy-mm")</x:f>
        <x:v>2025-05</x:v>
      </x:c>
      <x:c r="AB845" t="str">
        <x:f>IF(K845="","",TEXT(K845,"yyyy-mm"))</x:f>
        <x:v>2025-07</x:v>
      </x:c>
      <x:c r="AC845" t="str">
        <x:f>"Q"&amp;ROUNDUP(MONTH(B845)/3,0)&amp;"-"&amp;YEAR(B845)</x:f>
        <x:v>Q2-2025</x:v>
      </x:c>
      <x:c r="AD845" s="26" t="n">
        <x:f>MIN(100,IF(H845="Enterprise",30,IF(H845="Mid-Market",22,14))+IF(T845="Enterprise",25,IF(T845="Mid-Market",18,10))+IF(Q845="Referral",25,IF(Q845="Organic Search",20,IF(Q845="Email",18,14)))+IF(G845="Technology",10,5))</x:f>
        <x:v>85</x:v>
      </x:c>
      <x:c r="AE845" t="str">
        <x:f>IF(U845&lt;&gt;"Open",U845,IF(N845&gt;=0.8,"Commit",IF(N845&gt;=0.5,"Best Case","Pipeline")))</x:f>
        <x:v>Lost</x:v>
      </x:c>
    </x:row>
    <x:row r="846">
      <x:c r="A846" t="str">
        <x:v>L00845</x:v>
      </x:c>
      <x:c r="B846" s="10" t="n">
        <x:v>46123</x:v>
      </x:c>
      <x:c r="C846" t="str">
        <x:v>Quynh Vu</x:v>
      </x:c>
      <x:c r="D846" t="str">
        <x:v>North</x:v>
      </x:c>
      <x:c r="E846" t="str">
        <x:v>Google Organic</x:v>
      </x:c>
      <x:c r="F846" t="str">
        <x:v>BI-PLUS</x:v>
      </x:c>
      <x:c r="G846" t="str">
        <x:v>Financial Services</x:v>
      </x:c>
      <x:c r="H846" t="str">
        <x:v>Mid-Market</x:v>
      </x:c>
      <x:c r="I846" t="str">
        <x:v>Closed Won</x:v>
      </x:c>
      <x:c r="J846" s="10" t="n">
        <x:v>46139</x:v>
      </x:c>
      <x:c r="K846" s="10" t="n">
        <x:v>46139</x:v>
      </x:c>
      <x:c r="L846" s="22" t="n">
        <x:v>53500</x:v>
      </x:c>
      <x:c r="M846" s="24" t="n">
        <x:v>0.03</x:v>
      </x:c>
      <x:c r="N846" s="24" t="n">
        <x:v>1</x:v>
      </x:c>
      <x:c r="O846" t="str"/>
      <x:c r="P846" t="n">
        <x:v>6</x:v>
      </x:c>
      <x:c r="Q846" t="str">
        <x:f>IFERROR(XLOOKUP(E846,Lookups!$A$5:$A$24,Lookups!$B$5:$B$24),"Other")</x:f>
        <x:v>Organic Search</x:v>
      </x:c>
      <x:c r="R846" t="str">
        <x:f>IFERROR(XLOOKUP(F846,Lookups!$D$5:$D$10,Lookups!$E$5:$E$10),"Unknown Product")</x:f>
        <x:v>Analytics Plus</x:v>
      </x:c>
      <x:c r="S846" t="str">
        <x:f>IFERROR(XLOOKUP(F846,Lookups!$D$5:$D$10,Lookups!$F$5:$F$10),"Unknown")</x:f>
        <x:v>Analytics</x:v>
      </x:c>
      <x:c r="T846" t="str">
        <x:f>IF(L846&gt;=50000,"Enterprise",IF(L846&gt;=20000,"Mid-Market","SMB"))</x:f>
        <x:v>Enterprise</x:v>
      </x:c>
      <x:c r="U846" t="str">
        <x:f>IF(I846="Closed Won","Won",IF(I846="Closed Lost","Lost","Open"))</x:f>
        <x:v>Won</x:v>
      </x:c>
      <x:c r="V846" s="22" t="n">
        <x:f>IF(U846="Won",L846*(1-M846),0)</x:f>
        <x:v>51895</x:v>
      </x:c>
      <x:c r="W846" s="22" t="n">
        <x:f>IF(U846="Open",L846*N846,0)</x:f>
        <x:v>0</x:v>
      </x:c>
      <x:c r="X846" s="26" t="n">
        <x:f>IF(U846="Open","",IFERROR(K846-B846,""))</x:f>
        <x:v>16</x:v>
      </x:c>
      <x:c r="Y846" s="26" t="n">
        <x:f>IF(U846="Open",Lookups!$B$2-B846,X846)</x:f>
        <x:v>16</x:v>
      </x:c>
      <x:c r="Z846" t="str">
        <x:f>IF(AND(U846="Open",Y846&gt;30),"STALE","OK")</x:f>
        <x:v>OK</x:v>
      </x:c>
      <x:c r="AA846" t="str">
        <x:f>TEXT(B846,"yyyy-mm")</x:f>
        <x:v>2026-04</x:v>
      </x:c>
      <x:c r="AB846" t="str">
        <x:f>IF(K846="","",TEXT(K846,"yyyy-mm"))</x:f>
        <x:v>2026-04</x:v>
      </x:c>
      <x:c r="AC846" t="str">
        <x:f>"Q"&amp;ROUNDUP(MONTH(B846)/3,0)&amp;"-"&amp;YEAR(B846)</x:f>
        <x:v>Q2-2026</x:v>
      </x:c>
      <x:c r="AD846" s="26" t="n">
        <x:f>MIN(100,IF(H846="Enterprise",30,IF(H846="Mid-Market",22,14))+IF(T846="Enterprise",25,IF(T846="Mid-Market",18,10))+IF(Q846="Referral",25,IF(Q846="Organic Search",20,IF(Q846="Email",18,14)))+IF(G846="Technology",10,5))</x:f>
        <x:v>72</x:v>
      </x:c>
      <x:c r="AE846" t="str">
        <x:f>IF(U846&lt;&gt;"Open",U846,IF(N846&gt;=0.8,"Commit",IF(N846&gt;=0.5,"Best Case","Pipeline")))</x:f>
        <x:v>Won</x:v>
      </x:c>
    </x:row>
    <x:row r="847">
      <x:c r="A847" t="str">
        <x:v>L00846</x:v>
      </x:c>
      <x:c r="B847" s="10" t="n">
        <x:v>45760</x:v>
      </x:c>
      <x:c r="C847" t="str">
        <x:v>Bao Tran</x:v>
      </x:c>
      <x:c r="D847" t="str">
        <x:v>South</x:v>
      </x:c>
      <x:c r="E847" t="str">
        <x:v>Cold Email</x:v>
      </x:c>
      <x:c r="F847" t="str">
        <x:v>CRM-CORE</x:v>
      </x:c>
      <x:c r="G847" t="str">
        <x:v>Technology</x:v>
      </x:c>
      <x:c r="H847" t="str">
        <x:v>Enterprise</x:v>
      </x:c>
      <x:c r="I847" t="str">
        <x:v>Closed Lost</x:v>
      </x:c>
      <x:c r="J847" s="10" t="n">
        <x:v>45823</x:v>
      </x:c>
      <x:c r="K847" s="10" t="n">
        <x:v>45823</x:v>
      </x:c>
      <x:c r="L847" s="22" t="n">
        <x:v>28700</x:v>
      </x:c>
      <x:c r="M847" s="24" t="n">
        <x:v>0</x:v>
      </x:c>
      <x:c r="N847" s="24" t="n">
        <x:v>0</x:v>
      </x:c>
      <x:c r="O847" t="str">
        <x:v>Price</x:v>
      </x:c>
      <x:c r="P847" t="n">
        <x:v>4</x:v>
      </x:c>
      <x:c r="Q847" t="str">
        <x:f>IFERROR(XLOOKUP(E847,Lookups!$A$5:$A$24,Lookups!$B$5:$B$24),"Other")</x:f>
        <x:v>Outbound</x:v>
      </x:c>
      <x:c r="R847" t="str">
        <x:f>IFERROR(XLOOKUP(F847,Lookups!$D$5:$D$10,Lookups!$E$5:$E$10),"Unknown Product")</x:f>
        <x:v>NexaCRM Core</x:v>
      </x:c>
      <x:c r="S847" t="str">
        <x:f>IFERROR(XLOOKUP(F847,Lookups!$D$5:$D$10,Lookups!$F$5:$F$10),"Unknown")</x:f>
        <x:v>CRM</x:v>
      </x:c>
      <x:c r="T847" t="str">
        <x:f>IF(L847&gt;=50000,"Enterprise",IF(L847&gt;=20000,"Mid-Market","SMB"))</x:f>
        <x:v>Mid-Market</x:v>
      </x:c>
      <x:c r="U847" t="str">
        <x:f>IF(I847="Closed Won","Won",IF(I847="Closed Lost","Lost","Open"))</x:f>
        <x:v>Lost</x:v>
      </x:c>
      <x:c r="V847" s="22" t="n">
        <x:f>IF(U847="Won",L847*(1-M847),0)</x:f>
        <x:v>0</x:v>
      </x:c>
      <x:c r="W847" s="22" t="n">
        <x:f>IF(U847="Open",L847*N847,0)</x:f>
        <x:v>0</x:v>
      </x:c>
      <x:c r="X847" s="26" t="n">
        <x:f>IF(U847="Open","",IFERROR(K847-B847,""))</x:f>
        <x:v>63</x:v>
      </x:c>
      <x:c r="Y847" s="26" t="n">
        <x:f>IF(U847="Open",Lookups!$B$2-B847,X847)</x:f>
        <x:v>63</x:v>
      </x:c>
      <x:c r="Z847" t="str">
        <x:f>IF(AND(U847="Open",Y847&gt;30),"STALE","OK")</x:f>
        <x:v>OK</x:v>
      </x:c>
      <x:c r="AA847" t="str">
        <x:f>TEXT(B847,"yyyy-mm")</x:f>
        <x:v>2025-04</x:v>
      </x:c>
      <x:c r="AB847" t="str">
        <x:f>IF(K847="","",TEXT(K847,"yyyy-mm"))</x:f>
        <x:v>2025-06</x:v>
      </x:c>
      <x:c r="AC847" t="str">
        <x:f>"Q"&amp;ROUNDUP(MONTH(B847)/3,0)&amp;"-"&amp;YEAR(B847)</x:f>
        <x:v>Q2-2025</x:v>
      </x:c>
      <x:c r="AD847" s="26" t="n">
        <x:f>MIN(100,IF(H847="Enterprise",30,IF(H847="Mid-Market",22,14))+IF(T847="Enterprise",25,IF(T847="Mid-Market",18,10))+IF(Q847="Referral",25,IF(Q847="Organic Search",20,IF(Q847="Email",18,14)))+IF(G847="Technology",10,5))</x:f>
        <x:v>72</x:v>
      </x:c>
      <x:c r="AE847" t="str">
        <x:f>IF(U847&lt;&gt;"Open",U847,IF(N847&gt;=0.8,"Commit",IF(N847&gt;=0.5,"Best Case","Pipeline")))</x:f>
        <x:v>Lost</x:v>
      </x:c>
    </x:row>
    <x:row r="848">
      <x:c r="A848" t="str">
        <x:v>L00847</x:v>
      </x:c>
      <x:c r="B848" s="10" t="n">
        <x:v>45976</x:v>
      </x:c>
      <x:c r="C848" t="str">
        <x:v>An Nguyen</x:v>
      </x:c>
      <x:c r="D848" t="str">
        <x:v>South</x:v>
      </x:c>
      <x:c r="E848" t="str">
        <x:v>LI Ads</x:v>
      </x:c>
      <x:c r="F848" t="str">
        <x:v>MKT-AUTO</x:v>
      </x:c>
      <x:c r="G848" t="str">
        <x:v>Education</x:v>
      </x:c>
      <x:c r="H848" t="str">
        <x:v>SMB</x:v>
      </x:c>
      <x:c r="I848" t="str">
        <x:v>Closed Lost</x:v>
      </x:c>
      <x:c r="J848" s="10" t="n">
        <x:v>46028</x:v>
      </x:c>
      <x:c r="K848" s="10" t="n">
        <x:v>46028</x:v>
      </x:c>
      <x:c r="L848" s="22" t="n">
        <x:v>9700</x:v>
      </x:c>
      <x:c r="M848" s="24" t="n">
        <x:v>0</x:v>
      </x:c>
      <x:c r="N848" s="24" t="n">
        <x:v>0</x:v>
      </x:c>
      <x:c r="O848" t="str">
        <x:v>Budget</x:v>
      </x:c>
      <x:c r="P848" t="n">
        <x:v>4</x:v>
      </x:c>
      <x:c r="Q848" t="str">
        <x:f>IFERROR(XLOOKUP(E848,Lookups!$A$5:$A$24,Lookups!$B$5:$B$24),"Other")</x:f>
        <x:v>LinkedIn</x:v>
      </x:c>
      <x:c r="R848" t="str">
        <x:f>IFERROR(XLOOKUP(F848,Lookups!$D$5:$D$10,Lookups!$E$5:$E$10),"Unknown Product")</x:f>
        <x:v>Marketing Automation</x:v>
      </x:c>
      <x:c r="S848" t="str">
        <x:f>IFERROR(XLOOKUP(F848,Lookups!$D$5:$D$10,Lookups!$F$5:$F$10),"Unknown")</x:f>
        <x:v>Marketing</x:v>
      </x:c>
      <x:c r="T848" t="str">
        <x:f>IF(L848&gt;=50000,"Enterprise",IF(L848&gt;=20000,"Mid-Market","SMB"))</x:f>
        <x:v>SMB</x:v>
      </x:c>
      <x:c r="U848" t="str">
        <x:f>IF(I848="Closed Won","Won",IF(I848="Closed Lost","Lost","Open"))</x:f>
        <x:v>Lost</x:v>
      </x:c>
      <x:c r="V848" s="22" t="n">
        <x:f>IF(U848="Won",L848*(1-M848),0)</x:f>
        <x:v>0</x:v>
      </x:c>
      <x:c r="W848" s="22" t="n">
        <x:f>IF(U848="Open",L848*N848,0)</x:f>
        <x:v>0</x:v>
      </x:c>
      <x:c r="X848" s="26" t="n">
        <x:f>IF(U848="Open","",IFERROR(K848-B848,""))</x:f>
        <x:v>52</x:v>
      </x:c>
      <x:c r="Y848" s="26" t="n">
        <x:f>IF(U848="Open",Lookups!$B$2-B848,X848)</x:f>
        <x:v>52</x:v>
      </x:c>
      <x:c r="Z848" t="str">
        <x:f>IF(AND(U848="Open",Y848&gt;30),"STALE","OK")</x:f>
        <x:v>OK</x:v>
      </x:c>
      <x:c r="AA848" t="str">
        <x:f>TEXT(B848,"yyyy-mm")</x:f>
        <x:v>2025-11</x:v>
      </x:c>
      <x:c r="AB848" t="str">
        <x:f>IF(K848="","",TEXT(K848,"yyyy-mm"))</x:f>
        <x:v>2026-01</x:v>
      </x:c>
      <x:c r="AC848" t="str">
        <x:f>"Q"&amp;ROUNDUP(MONTH(B848)/3,0)&amp;"-"&amp;YEAR(B848)</x:f>
        <x:v>Q4-2025</x:v>
      </x:c>
      <x:c r="AD848" s="26" t="n">
        <x:f>MIN(100,IF(H848="Enterprise",30,IF(H848="Mid-Market",22,14))+IF(T848="Enterprise",25,IF(T848="Mid-Market",18,10))+IF(Q848="Referral",25,IF(Q848="Organic Search",20,IF(Q848="Email",18,14)))+IF(G848="Technology",10,5))</x:f>
        <x:v>43</x:v>
      </x:c>
      <x:c r="AE848" t="str">
        <x:f>IF(U848&lt;&gt;"Open",U848,IF(N848&gt;=0.8,"Commit",IF(N848&gt;=0.5,"Best Case","Pipeline")))</x:f>
        <x:v>Lost</x:v>
      </x:c>
    </x:row>
    <x:row r="849">
      <x:c r="A849" t="str">
        <x:v>L00848</x:v>
      </x:c>
      <x:c r="B849" s="10" t="n">
        <x:v>45825</x:v>
      </x:c>
      <x:c r="C849" t="str">
        <x:v>An Nguyen</x:v>
      </x:c>
      <x:c r="D849" t="str">
        <x:v>South</x:v>
      </x:c>
      <x:c r="E849" t="str">
        <x:v>Referral</x:v>
      </x:c>
      <x:c r="F849" t="str">
        <x:v>CRM-CORE</x:v>
      </x:c>
      <x:c r="G849" t="str">
        <x:v>Healthcare</x:v>
      </x:c>
      <x:c r="H849" t="str">
        <x:v>SMB</x:v>
      </x:c>
      <x:c r="I849" t="str">
        <x:v>Closed Lost</x:v>
      </x:c>
      <x:c r="J849" s="10" t="n">
        <x:v>45857</x:v>
      </x:c>
      <x:c r="K849" s="10" t="n">
        <x:v>45857</x:v>
      </x:c>
      <x:c r="L849" s="22" t="n">
        <x:v>4600</x:v>
      </x:c>
      <x:c r="M849" s="24" t="n">
        <x:v>0</x:v>
      </x:c>
      <x:c r="N849" s="24" t="n">
        <x:v>0</x:v>
      </x:c>
      <x:c r="O849" t="str">
        <x:v>No Decision</x:v>
      </x:c>
      <x:c r="P849" t="n">
        <x:v>4</x:v>
      </x:c>
      <x:c r="Q849" t="str">
        <x:f>IFERROR(XLOOKUP(E849,Lookups!$A$5:$A$24,Lookups!$B$5:$B$24),"Other")</x:f>
        <x:v>Referral</x:v>
      </x:c>
      <x:c r="R849" t="str">
        <x:f>IFERROR(XLOOKUP(F849,Lookups!$D$5:$D$10,Lookups!$E$5:$E$10),"Unknown Product")</x:f>
        <x:v>NexaCRM Core</x:v>
      </x:c>
      <x:c r="S849" t="str">
        <x:f>IFERROR(XLOOKUP(F849,Lookups!$D$5:$D$10,Lookups!$F$5:$F$10),"Unknown")</x:f>
        <x:v>CRM</x:v>
      </x:c>
      <x:c r="T849" t="str">
        <x:f>IF(L849&gt;=50000,"Enterprise",IF(L849&gt;=20000,"Mid-Market","SMB"))</x:f>
        <x:v>SMB</x:v>
      </x:c>
      <x:c r="U849" t="str">
        <x:f>IF(I849="Closed Won","Won",IF(I849="Closed Lost","Lost","Open"))</x:f>
        <x:v>Lost</x:v>
      </x:c>
      <x:c r="V849" s="22" t="n">
        <x:f>IF(U849="Won",L849*(1-M849),0)</x:f>
        <x:v>0</x:v>
      </x:c>
      <x:c r="W849" s="22" t="n">
        <x:f>IF(U849="Open",L849*N849,0)</x:f>
        <x:v>0</x:v>
      </x:c>
      <x:c r="X849" s="26" t="n">
        <x:f>IF(U849="Open","",IFERROR(K849-B849,""))</x:f>
        <x:v>32</x:v>
      </x:c>
      <x:c r="Y849" s="26" t="n">
        <x:f>IF(U849="Open",Lookups!$B$2-B849,X849)</x:f>
        <x:v>32</x:v>
      </x:c>
      <x:c r="Z849" t="str">
        <x:f>IF(AND(U849="Open",Y849&gt;30),"STALE","OK")</x:f>
        <x:v>OK</x:v>
      </x:c>
      <x:c r="AA849" t="str">
        <x:f>TEXT(B849,"yyyy-mm")</x:f>
        <x:v>2025-06</x:v>
      </x:c>
      <x:c r="AB849" t="str">
        <x:f>IF(K849="","",TEXT(K849,"yyyy-mm"))</x:f>
        <x:v>2025-07</x:v>
      </x:c>
      <x:c r="AC849" t="str">
        <x:f>"Q"&amp;ROUNDUP(MONTH(B849)/3,0)&amp;"-"&amp;YEAR(B849)</x:f>
        <x:v>Q2-2025</x:v>
      </x:c>
      <x:c r="AD849" s="26" t="n">
        <x:f>MIN(100,IF(H849="Enterprise",30,IF(H849="Mid-Market",22,14))+IF(T849="Enterprise",25,IF(T849="Mid-Market",18,10))+IF(Q849="Referral",25,IF(Q849="Organic Search",20,IF(Q849="Email",18,14)))+IF(G849="Technology",10,5))</x:f>
        <x:v>54</x:v>
      </x:c>
      <x:c r="AE849" t="str">
        <x:f>IF(U849&lt;&gt;"Open",U849,IF(N849&gt;=0.8,"Commit",IF(N849&gt;=0.5,"Best Case","Pipeline")))</x:f>
        <x:v>Lost</x:v>
      </x:c>
    </x:row>
    <x:row r="850">
      <x:c r="A850" t="str">
        <x:v>L00849</x:v>
      </x:c>
      <x:c r="B850" s="10" t="n">
        <x:v>45663</x:v>
      </x:c>
      <x:c r="C850" t="str">
        <x:v>An Nguyen</x:v>
      </x:c>
      <x:c r="D850" t="str">
        <x:v>South</x:v>
      </x:c>
      <x:c r="E850" t="str">
        <x:v>Google Organic</x:v>
      </x:c>
      <x:c r="F850" t="str">
        <x:v>CS-CLOUD</x:v>
      </x:c>
      <x:c r="G850" t="str">
        <x:v>Technology</x:v>
      </x:c>
      <x:c r="H850" t="str">
        <x:v>Mid-Market</x:v>
      </x:c>
      <x:c r="I850" t="str">
        <x:v>Closed Lost</x:v>
      </x:c>
      <x:c r="J850" s="10" t="n">
        <x:v>45742</x:v>
      </x:c>
      <x:c r="K850" s="10" t="n">
        <x:v>45742</x:v>
      </x:c>
      <x:c r="L850" s="22" t="n">
        <x:v>35200</x:v>
      </x:c>
      <x:c r="M850" s="24" t="n">
        <x:v>0</x:v>
      </x:c>
      <x:c r="N850" s="24" t="n">
        <x:v>0</x:v>
      </x:c>
      <x:c r="O850" t="str">
        <x:v>Competitor</x:v>
      </x:c>
      <x:c r="P850" t="n">
        <x:v>5</x:v>
      </x:c>
      <x:c r="Q850" t="str">
        <x:f>IFERROR(XLOOKUP(E850,Lookups!$A$5:$A$24,Lookups!$B$5:$B$24),"Other")</x:f>
        <x:v>Organic Search</x:v>
      </x:c>
      <x:c r="R850" t="str">
        <x:f>IFERROR(XLOOKUP(F850,Lookups!$D$5:$D$10,Lookups!$E$5:$E$10),"Unknown Product")</x:f>
        <x:v>Service Cloud</x:v>
      </x:c>
      <x:c r="S850" t="str">
        <x:f>IFERROR(XLOOKUP(F850,Lookups!$D$5:$D$10,Lookups!$F$5:$F$10),"Unknown")</x:f>
        <x:v>Customer Service</x:v>
      </x:c>
      <x:c r="T850" t="str">
        <x:f>IF(L850&gt;=50000,"Enterprise",IF(L850&gt;=20000,"Mid-Market","SMB"))</x:f>
        <x:v>Mid-Market</x:v>
      </x:c>
      <x:c r="U850" t="str">
        <x:f>IF(I850="Closed Won","Won",IF(I850="Closed Lost","Lost","Open"))</x:f>
        <x:v>Lost</x:v>
      </x:c>
      <x:c r="V850" s="22" t="n">
        <x:f>IF(U850="Won",L850*(1-M850),0)</x:f>
        <x:v>0</x:v>
      </x:c>
      <x:c r="W850" s="22" t="n">
        <x:f>IF(U850="Open",L850*N850,0)</x:f>
        <x:v>0</x:v>
      </x:c>
      <x:c r="X850" s="26" t="n">
        <x:f>IF(U850="Open","",IFERROR(K850-B850,""))</x:f>
        <x:v>79</x:v>
      </x:c>
      <x:c r="Y850" s="26" t="n">
        <x:f>IF(U850="Open",Lookups!$B$2-B850,X850)</x:f>
        <x:v>79</x:v>
      </x:c>
      <x:c r="Z850" t="str">
        <x:f>IF(AND(U850="Open",Y850&gt;30),"STALE","OK")</x:f>
        <x:v>OK</x:v>
      </x:c>
      <x:c r="AA850" t="str">
        <x:f>TEXT(B850,"yyyy-mm")</x:f>
        <x:v>2025-01</x:v>
      </x:c>
      <x:c r="AB850" t="str">
        <x:f>IF(K850="","",TEXT(K850,"yyyy-mm"))</x:f>
        <x:v>2025-03</x:v>
      </x:c>
      <x:c r="AC850" t="str">
        <x:f>"Q"&amp;ROUNDUP(MONTH(B850)/3,0)&amp;"-"&amp;YEAR(B850)</x:f>
        <x:v>Q1-2025</x:v>
      </x:c>
      <x:c r="AD850" s="26" t="n">
        <x:f>MIN(100,IF(H850="Enterprise",30,IF(H850="Mid-Market",22,14))+IF(T850="Enterprise",25,IF(T850="Mid-Market",18,10))+IF(Q850="Referral",25,IF(Q850="Organic Search",20,IF(Q850="Email",18,14)))+IF(G850="Technology",10,5))</x:f>
        <x:v>70</x:v>
      </x:c>
      <x:c r="AE850" t="str">
        <x:f>IF(U850&lt;&gt;"Open",U850,IF(N850&gt;=0.8,"Commit",IF(N850&gt;=0.5,"Best Case","Pipeline")))</x:f>
        <x:v>Lost</x:v>
      </x:c>
    </x:row>
    <x:row r="851">
      <x:c r="A851" t="str">
        <x:v>L00850</x:v>
      </x:c>
      <x:c r="B851" s="10" t="n">
        <x:v>45658</x:v>
      </x:c>
      <x:c r="C851" t="str">
        <x:v>An Nguyen</x:v>
      </x:c>
      <x:c r="D851" t="str">
        <x:v>South</x:v>
      </x:c>
      <x:c r="E851" t="str">
        <x:v>Partner Referral</x:v>
      </x:c>
      <x:c r="F851" t="str">
        <x:v>CS-CLOUD</x:v>
      </x:c>
      <x:c r="G851" t="str">
        <x:v>Technology</x:v>
      </x:c>
      <x:c r="H851" t="str">
        <x:v>Mid-Market</x:v>
      </x:c>
      <x:c r="I851" t="str">
        <x:v>Closed Lost</x:v>
      </x:c>
      <x:c r="J851" s="10" t="n">
        <x:v>45680</x:v>
      </x:c>
      <x:c r="K851" s="10" t="n">
        <x:v>45680</x:v>
      </x:c>
      <x:c r="L851" s="22" t="n">
        <x:v>44400</x:v>
      </x:c>
      <x:c r="M851" s="24" t="n">
        <x:v>0</x:v>
      </x:c>
      <x:c r="N851" s="24" t="n">
        <x:v>0</x:v>
      </x:c>
      <x:c r="O851" t="str">
        <x:v>Budget</x:v>
      </x:c>
      <x:c r="P851" t="n">
        <x:v>3</x:v>
      </x:c>
      <x:c r="Q851" t="str">
        <x:f>IFERROR(XLOOKUP(E851,Lookups!$A$5:$A$24,Lookups!$B$5:$B$24),"Other")</x:f>
        <x:v>Referral</x:v>
      </x:c>
      <x:c r="R851" t="str">
        <x:f>IFERROR(XLOOKUP(F851,Lookups!$D$5:$D$10,Lookups!$E$5:$E$10),"Unknown Product")</x:f>
        <x:v>Service Cloud</x:v>
      </x:c>
      <x:c r="S851" t="str">
        <x:f>IFERROR(XLOOKUP(F851,Lookups!$D$5:$D$10,Lookups!$F$5:$F$10),"Unknown")</x:f>
        <x:v>Customer Service</x:v>
      </x:c>
      <x:c r="T851" t="str">
        <x:f>IF(L851&gt;=50000,"Enterprise",IF(L851&gt;=20000,"Mid-Market","SMB"))</x:f>
        <x:v>Mid-Market</x:v>
      </x:c>
      <x:c r="U851" t="str">
        <x:f>IF(I851="Closed Won","Won",IF(I851="Closed Lost","Lost","Open"))</x:f>
        <x:v>Lost</x:v>
      </x:c>
      <x:c r="V851" s="22" t="n">
        <x:f>IF(U851="Won",L851*(1-M851),0)</x:f>
        <x:v>0</x:v>
      </x:c>
      <x:c r="W851" s="22" t="n">
        <x:f>IF(U851="Open",L851*N851,0)</x:f>
        <x:v>0</x:v>
      </x:c>
      <x:c r="X851" s="26" t="n">
        <x:f>IF(U851="Open","",IFERROR(K851-B851,""))</x:f>
        <x:v>22</x:v>
      </x:c>
      <x:c r="Y851" s="26" t="n">
        <x:f>IF(U851="Open",Lookups!$B$2-B851,X851)</x:f>
        <x:v>22</x:v>
      </x:c>
      <x:c r="Z851" t="str">
        <x:f>IF(AND(U851="Open",Y851&gt;30),"STALE","OK")</x:f>
        <x:v>OK</x:v>
      </x:c>
      <x:c r="AA851" t="str">
        <x:f>TEXT(B851,"yyyy-mm")</x:f>
        <x:v>2025-01</x:v>
      </x:c>
      <x:c r="AB851" t="str">
        <x:f>IF(K851="","",TEXT(K851,"yyyy-mm"))</x:f>
        <x:v>2025-01</x:v>
      </x:c>
      <x:c r="AC851" t="str">
        <x:f>"Q"&amp;ROUNDUP(MONTH(B851)/3,0)&amp;"-"&amp;YEAR(B851)</x:f>
        <x:v>Q1-2025</x:v>
      </x:c>
      <x:c r="AD851" s="26" t="n">
        <x:f>MIN(100,IF(H851="Enterprise",30,IF(H851="Mid-Market",22,14))+IF(T851="Enterprise",25,IF(T851="Mid-Market",18,10))+IF(Q851="Referral",25,IF(Q851="Organic Search",20,IF(Q851="Email",18,14)))+IF(G851="Technology",10,5))</x:f>
        <x:v>75</x:v>
      </x:c>
      <x:c r="AE851" t="str">
        <x:f>IF(U851&lt;&gt;"Open",U851,IF(N851&gt;=0.8,"Commit",IF(N851&gt;=0.5,"Best Case","Pipeline")))</x:f>
        <x:v>Lost</x:v>
      </x:c>
    </x:row>
    <x:row r="852">
      <x:c r="A852" t="str">
        <x:v>L00851</x:v>
      </x:c>
      <x:c r="B852" s="10" t="n">
        <x:v>46026</x:v>
      </x:c>
      <x:c r="C852" t="str">
        <x:v>Duy Pham</x:v>
      </x:c>
      <x:c r="D852" t="str">
        <x:v>South</x:v>
      </x:c>
      <x:c r="E852" t="str">
        <x:v>customer referral</x:v>
      </x:c>
      <x:c r="F852" t="str">
        <x:v>CRM-PRO</x:v>
      </x:c>
      <x:c r="G852" t="str">
        <x:v>Retail</x:v>
      </x:c>
      <x:c r="H852" t="str">
        <x:v>SMB</x:v>
      </x:c>
      <x:c r="I852" t="str">
        <x:v>Closed Lost</x:v>
      </x:c>
      <x:c r="J852" s="10" t="n">
        <x:v>46088</x:v>
      </x:c>
      <x:c r="K852" s="10" t="n">
        <x:v>46088</x:v>
      </x:c>
      <x:c r="L852" s="22" t="n">
        <x:v>12400</x:v>
      </x:c>
      <x:c r="M852" s="24" t="n">
        <x:v>0</x:v>
      </x:c>
      <x:c r="N852" s="24" t="n">
        <x:v>0</x:v>
      </x:c>
      <x:c r="O852" t="str">
        <x:v>No Decision</x:v>
      </x:c>
      <x:c r="P852" t="n">
        <x:v>4</x:v>
      </x:c>
      <x:c r="Q852" t="str">
        <x:f>IFERROR(XLOOKUP(E852,Lookups!$A$5:$A$24,Lookups!$B$5:$B$24),"Other")</x:f>
        <x:v>Referral</x:v>
      </x:c>
      <x:c r="R852" t="str">
        <x:f>IFERROR(XLOOKUP(F852,Lookups!$D$5:$D$10,Lookups!$E$5:$E$10),"Unknown Product")</x:f>
        <x:v>NexaCRM Pro</x:v>
      </x:c>
      <x:c r="S852" t="str">
        <x:f>IFERROR(XLOOKUP(F852,Lookups!$D$5:$D$10,Lookups!$F$5:$F$10),"Unknown")</x:f>
        <x:v>CRM</x:v>
      </x:c>
      <x:c r="T852" t="str">
        <x:f>IF(L852&gt;=50000,"Enterprise",IF(L852&gt;=20000,"Mid-Market","SMB"))</x:f>
        <x:v>SMB</x:v>
      </x:c>
      <x:c r="U852" t="str">
        <x:f>IF(I852="Closed Won","Won",IF(I852="Closed Lost","Lost","Open"))</x:f>
        <x:v>Lost</x:v>
      </x:c>
      <x:c r="V852" s="22" t="n">
        <x:f>IF(U852="Won",L852*(1-M852),0)</x:f>
        <x:v>0</x:v>
      </x:c>
      <x:c r="W852" s="22" t="n">
        <x:f>IF(U852="Open",L852*N852,0)</x:f>
        <x:v>0</x:v>
      </x:c>
      <x:c r="X852" s="26" t="n">
        <x:f>IF(U852="Open","",IFERROR(K852-B852,""))</x:f>
        <x:v>62</x:v>
      </x:c>
      <x:c r="Y852" s="26" t="n">
        <x:f>IF(U852="Open",Lookups!$B$2-B852,X852)</x:f>
        <x:v>62</x:v>
      </x:c>
      <x:c r="Z852" t="str">
        <x:f>IF(AND(U852="Open",Y852&gt;30),"STALE","OK")</x:f>
        <x:v>OK</x:v>
      </x:c>
      <x:c r="AA852" t="str">
        <x:f>TEXT(B852,"yyyy-mm")</x:f>
        <x:v>2026-01</x:v>
      </x:c>
      <x:c r="AB852" t="str">
        <x:f>IF(K852="","",TEXT(K852,"yyyy-mm"))</x:f>
        <x:v>2026-03</x:v>
      </x:c>
      <x:c r="AC852" t="str">
        <x:f>"Q"&amp;ROUNDUP(MONTH(B852)/3,0)&amp;"-"&amp;YEAR(B852)</x:f>
        <x:v>Q1-2026</x:v>
      </x:c>
      <x:c r="AD852" s="26" t="n">
        <x:f>MIN(100,IF(H852="Enterprise",30,IF(H852="Mid-Market",22,14))+IF(T852="Enterprise",25,IF(T852="Mid-Market",18,10))+IF(Q852="Referral",25,IF(Q852="Organic Search",20,IF(Q852="Email",18,14)))+IF(G852="Technology",10,5))</x:f>
        <x:v>54</x:v>
      </x:c>
      <x:c r="AE852" t="str">
        <x:f>IF(U852&lt;&gt;"Open",U852,IF(N852&gt;=0.8,"Commit",IF(N852&gt;=0.5,"Best Case","Pipeline")))</x:f>
        <x:v>Lost</x:v>
      </x:c>
    </x:row>
    <x:row r="853">
      <x:c r="A853" t="str">
        <x:v>L00852</x:v>
      </x:c>
      <x:c r="B853" s="10" t="n">
        <x:v>45743</x:v>
      </x:c>
      <x:c r="C853" t="str">
        <x:v>Tuan Bui</x:v>
      </x:c>
      <x:c r="D853" t="str">
        <x:v>Central</x:v>
      </x:c>
      <x:c r="E853" t="str">
        <x:v>Google Organic</x:v>
      </x:c>
      <x:c r="F853" t="str">
        <x:v>CRM-PRO</x:v>
      </x:c>
      <x:c r="G853" t="str">
        <x:v>Financial Services</x:v>
      </x:c>
      <x:c r="H853" t="str">
        <x:v>SMB</x:v>
      </x:c>
      <x:c r="I853" t="str">
        <x:v>Closed Won</x:v>
      </x:c>
      <x:c r="J853" s="10" t="n">
        <x:v>45783</x:v>
      </x:c>
      <x:c r="K853" s="10" t="n">
        <x:v>45783</x:v>
      </x:c>
      <x:c r="L853" s="22" t="n">
        <x:v>14600</x:v>
      </x:c>
      <x:c r="M853" s="24" t="n">
        <x:v>0.1</x:v>
      </x:c>
      <x:c r="N853" s="24" t="n">
        <x:v>1</x:v>
      </x:c>
      <x:c r="O853" t="str"/>
      <x:c r="P853" t="n">
        <x:v>6</x:v>
      </x:c>
      <x:c r="Q853" t="str">
        <x:f>IFERROR(XLOOKUP(E853,Lookups!$A$5:$A$24,Lookups!$B$5:$B$24),"Other")</x:f>
        <x:v>Organic Search</x:v>
      </x:c>
      <x:c r="R853" t="str">
        <x:f>IFERROR(XLOOKUP(F853,Lookups!$D$5:$D$10,Lookups!$E$5:$E$10),"Unknown Product")</x:f>
        <x:v>NexaCRM Pro</x:v>
      </x:c>
      <x:c r="S853" t="str">
        <x:f>IFERROR(XLOOKUP(F853,Lookups!$D$5:$D$10,Lookups!$F$5:$F$10),"Unknown")</x:f>
        <x:v>CRM</x:v>
      </x:c>
      <x:c r="T853" t="str">
        <x:f>IF(L853&gt;=50000,"Enterprise",IF(L853&gt;=20000,"Mid-Market","SMB"))</x:f>
        <x:v>SMB</x:v>
      </x:c>
      <x:c r="U853" t="str">
        <x:f>IF(I853="Closed Won","Won",IF(I853="Closed Lost","Lost","Open"))</x:f>
        <x:v>Won</x:v>
      </x:c>
      <x:c r="V853" s="22" t="n">
        <x:f>IF(U853="Won",L853*(1-M853),0)</x:f>
        <x:v>13140</x:v>
      </x:c>
      <x:c r="W853" s="22" t="n">
        <x:f>IF(U853="Open",L853*N853,0)</x:f>
        <x:v>0</x:v>
      </x:c>
      <x:c r="X853" s="26" t="n">
        <x:f>IF(U853="Open","",IFERROR(K853-B853,""))</x:f>
        <x:v>40</x:v>
      </x:c>
      <x:c r="Y853" s="26" t="n">
        <x:f>IF(U853="Open",Lookups!$B$2-B853,X853)</x:f>
        <x:v>40</x:v>
      </x:c>
      <x:c r="Z853" t="str">
        <x:f>IF(AND(U853="Open",Y853&gt;30),"STALE","OK")</x:f>
        <x:v>OK</x:v>
      </x:c>
      <x:c r="AA853" t="str">
        <x:f>TEXT(B853,"yyyy-mm")</x:f>
        <x:v>2025-03</x:v>
      </x:c>
      <x:c r="AB853" t="str">
        <x:f>IF(K853="","",TEXT(K853,"yyyy-mm"))</x:f>
        <x:v>2025-05</x:v>
      </x:c>
      <x:c r="AC853" t="str">
        <x:f>"Q"&amp;ROUNDUP(MONTH(B853)/3,0)&amp;"-"&amp;YEAR(B853)</x:f>
        <x:v>Q1-2025</x:v>
      </x:c>
      <x:c r="AD853" s="26" t="n">
        <x:f>MIN(100,IF(H853="Enterprise",30,IF(H853="Mid-Market",22,14))+IF(T853="Enterprise",25,IF(T853="Mid-Market",18,10))+IF(Q853="Referral",25,IF(Q853="Organic Search",20,IF(Q853="Email",18,14)))+IF(G853="Technology",10,5))</x:f>
        <x:v>49</x:v>
      </x:c>
      <x:c r="AE853" t="str">
        <x:f>IF(U853&lt;&gt;"Open",U853,IF(N853&gt;=0.8,"Commit",IF(N853&gt;=0.5,"Best Case","Pipeline")))</x:f>
        <x:v>Won</x:v>
      </x:c>
    </x:row>
    <x:row r="854">
      <x:c r="A854" t="str">
        <x:v>L00853</x:v>
      </x:c>
      <x:c r="B854" s="10" t="n">
        <x:v>45777</x:v>
      </x:c>
      <x:c r="C854" t="str">
        <x:v>Bao Tran</x:v>
      </x:c>
      <x:c r="D854" t="str">
        <x:v>South</x:v>
      </x:c>
      <x:c r="E854" t="str">
        <x:v>customer referral</x:v>
      </x:c>
      <x:c r="F854" t="str">
        <x:v>CS-CLOUD</x:v>
      </x:c>
      <x:c r="G854" t="str">
        <x:v>Healthcare</x:v>
      </x:c>
      <x:c r="H854" t="str">
        <x:v>SMB</x:v>
      </x:c>
      <x:c r="I854" t="str">
        <x:v>Closed Lost</x:v>
      </x:c>
      <x:c r="J854" s="10" t="n">
        <x:v>45809</x:v>
      </x:c>
      <x:c r="K854" s="10" t="n">
        <x:v>45809</x:v>
      </x:c>
      <x:c r="L854" s="22" t="n">
        <x:v>27500</x:v>
      </x:c>
      <x:c r="M854" s="24" t="n">
        <x:v>0</x:v>
      </x:c>
      <x:c r="N854" s="24" t="n">
        <x:v>0</x:v>
      </x:c>
      <x:c r="O854" t="str">
        <x:v>Competitor</x:v>
      </x:c>
      <x:c r="P854" t="n">
        <x:v>3</x:v>
      </x:c>
      <x:c r="Q854" t="str">
        <x:f>IFERROR(XLOOKUP(E854,Lookups!$A$5:$A$24,Lookups!$B$5:$B$24),"Other")</x:f>
        <x:v>Referral</x:v>
      </x:c>
      <x:c r="R854" t="str">
        <x:f>IFERROR(XLOOKUP(F854,Lookups!$D$5:$D$10,Lookups!$E$5:$E$10),"Unknown Product")</x:f>
        <x:v>Service Cloud</x:v>
      </x:c>
      <x:c r="S854" t="str">
        <x:f>IFERROR(XLOOKUP(F854,Lookups!$D$5:$D$10,Lookups!$F$5:$F$10),"Unknown")</x:f>
        <x:v>Customer Service</x:v>
      </x:c>
      <x:c r="T854" t="str">
        <x:f>IF(L854&gt;=50000,"Enterprise",IF(L854&gt;=20000,"Mid-Market","SMB"))</x:f>
        <x:v>Mid-Market</x:v>
      </x:c>
      <x:c r="U854" t="str">
        <x:f>IF(I854="Closed Won","Won",IF(I854="Closed Lost","Lost","Open"))</x:f>
        <x:v>Lost</x:v>
      </x:c>
      <x:c r="V854" s="22" t="n">
        <x:f>IF(U854="Won",L854*(1-M854),0)</x:f>
        <x:v>0</x:v>
      </x:c>
      <x:c r="W854" s="22" t="n">
        <x:f>IF(U854="Open",L854*N854,0)</x:f>
        <x:v>0</x:v>
      </x:c>
      <x:c r="X854" s="26" t="n">
        <x:f>IF(U854="Open","",IFERROR(K854-B854,""))</x:f>
        <x:v>32</x:v>
      </x:c>
      <x:c r="Y854" s="26" t="n">
        <x:f>IF(U854="Open",Lookups!$B$2-B854,X854)</x:f>
        <x:v>32</x:v>
      </x:c>
      <x:c r="Z854" t="str">
        <x:f>IF(AND(U854="Open",Y854&gt;30),"STALE","OK")</x:f>
        <x:v>OK</x:v>
      </x:c>
      <x:c r="AA854" t="str">
        <x:f>TEXT(B854,"yyyy-mm")</x:f>
        <x:v>2025-04</x:v>
      </x:c>
      <x:c r="AB854" t="str">
        <x:f>IF(K854="","",TEXT(K854,"yyyy-mm"))</x:f>
        <x:v>2025-06</x:v>
      </x:c>
      <x:c r="AC854" t="str">
        <x:f>"Q"&amp;ROUNDUP(MONTH(B854)/3,0)&amp;"-"&amp;YEAR(B854)</x:f>
        <x:v>Q2-2025</x:v>
      </x:c>
      <x:c r="AD854" s="26" t="n">
        <x:f>MIN(100,IF(H854="Enterprise",30,IF(H854="Mid-Market",22,14))+IF(T854="Enterprise",25,IF(T854="Mid-Market",18,10))+IF(Q854="Referral",25,IF(Q854="Organic Search",20,IF(Q854="Email",18,14)))+IF(G854="Technology",10,5))</x:f>
        <x:v>62</x:v>
      </x:c>
      <x:c r="AE854" t="str">
        <x:f>IF(U854&lt;&gt;"Open",U854,IF(N854&gt;=0.8,"Commit",IF(N854&gt;=0.5,"Best Case","Pipeline")))</x:f>
        <x:v>Lost</x:v>
      </x:c>
    </x:row>
    <x:row r="855">
      <x:c r="A855" t="str">
        <x:v>L00854</x:v>
      </x:c>
      <x:c r="B855" s="10" t="n">
        <x:v>46248</x:v>
      </x:c>
      <x:c r="C855" t="str">
        <x:v>Tuan Bui</x:v>
      </x:c>
      <x:c r="D855" t="str">
        <x:v>Central</x:v>
      </x:c>
      <x:c r="E855" t="str">
        <x:v>LinkedIn Ads</x:v>
      </x:c>
      <x:c r="F855" t="str">
        <x:v>CRM-CORE</x:v>
      </x:c>
      <x:c r="G855" t="str">
        <x:v>Retail</x:v>
      </x:c>
      <x:c r="H855" t="str">
        <x:v>Enterprise</x:v>
      </x:c>
      <x:c r="I855" t="str">
        <x:v>Qualified</x:v>
      </x:c>
      <x:c r="J855" s="10" t="n">
        <x:v>46254</x:v>
      </x:c>
      <x:c r="K855" s="10"/>
      <x:c r="L855" s="22" t="n">
        <x:v>32700</x:v>
      </x:c>
      <x:c r="M855" s="24" t="n">
        <x:v>0.05</x:v>
      </x:c>
      <x:c r="N855" s="24" t="n">
        <x:v>0.2</x:v>
      </x:c>
      <x:c r="O855" t="str"/>
      <x:c r="P855" t="n">
        <x:v>2</x:v>
      </x:c>
      <x:c r="Q855" t="str">
        <x:f>IFERROR(XLOOKUP(E855,Lookups!$A$5:$A$24,Lookups!$B$5:$B$24),"Other")</x:f>
        <x:v>LinkedIn</x:v>
      </x:c>
      <x:c r="R855" t="str">
        <x:f>IFERROR(XLOOKUP(F855,Lookups!$D$5:$D$10,Lookups!$E$5:$E$10),"Unknown Product")</x:f>
        <x:v>NexaCRM Core</x:v>
      </x:c>
      <x:c r="S855" t="str">
        <x:f>IFERROR(XLOOKUP(F855,Lookups!$D$5:$D$10,Lookups!$F$5:$F$10),"Unknown")</x:f>
        <x:v>CRM</x:v>
      </x:c>
      <x:c r="T855" t="str">
        <x:f>IF(L855&gt;=50000,"Enterprise",IF(L855&gt;=20000,"Mid-Market","SMB"))</x:f>
        <x:v>Mid-Market</x:v>
      </x:c>
      <x:c r="U855" t="str">
        <x:f>IF(I855="Closed Won","Won",IF(I855="Closed Lost","Lost","Open"))</x:f>
        <x:v>Open</x:v>
      </x:c>
      <x:c r="V855" s="22" t="n">
        <x:f>IF(U855="Won",L855*(1-M855),0)</x:f>
        <x:v>0</x:v>
      </x:c>
      <x:c r="W855" s="22" t="n">
        <x:f>IF(U855="Open",L855*N855,0)</x:f>
        <x:v>6540</x:v>
      </x:c>
      <x:c r="X855" s="26" t="str">
        <x:f>IF(U855="Open","",IFERROR(K855-B855,""))</x:f>
      </x:c>
      <x:c r="Y855" s="26" t="n">
        <x:f>IF(U855="Open",Lookups!$B$2-B855,X855)</x:f>
        <x:v>18</x:v>
      </x:c>
      <x:c r="Z855" t="str">
        <x:f>IF(AND(U855="Open",Y855&gt;30),"STALE","OK")</x:f>
        <x:v>OK</x:v>
      </x:c>
      <x:c r="AA855" t="str">
        <x:f>TEXT(B855,"yyyy-mm")</x:f>
        <x:v>2026-08</x:v>
      </x:c>
      <x:c r="AB855" t="str">
        <x:f>IF(K855="","",TEXT(K855,"yyyy-mm"))</x:f>
      </x:c>
      <x:c r="AC855" t="str">
        <x:f>"Q"&amp;ROUNDUP(MONTH(B855)/3,0)&amp;"-"&amp;YEAR(B855)</x:f>
        <x:v>Q3-2026</x:v>
      </x:c>
      <x:c r="AD855" s="26" t="n">
        <x:f>MIN(100,IF(H855="Enterprise",30,IF(H855="Mid-Market",22,14))+IF(T855="Enterprise",25,IF(T855="Mid-Market",18,10))+IF(Q855="Referral",25,IF(Q855="Organic Search",20,IF(Q855="Email",18,14)))+IF(G855="Technology",10,5))</x:f>
        <x:v>67</x:v>
      </x:c>
      <x:c r="AE855" t="str">
        <x:f>IF(U855&lt;&gt;"Open",U855,IF(N855&gt;=0.8,"Commit",IF(N855&gt;=0.5,"Best Case","Pipeline")))</x:f>
        <x:v>Pipeline</x:v>
      </x:c>
    </x:row>
    <x:row r="856">
      <x:c r="A856" t="str">
        <x:v>L00855</x:v>
      </x:c>
      <x:c r="B856" s="10" t="n">
        <x:v>46138</x:v>
      </x:c>
      <x:c r="C856" t="str">
        <x:v>Tuan Bui</x:v>
      </x:c>
      <x:c r="D856" t="str">
        <x:v>Central</x:v>
      </x:c>
      <x:c r="E856" t="str">
        <x:v>SEO</x:v>
      </x:c>
      <x:c r="F856" t="str">
        <x:v>CRM-PRO</x:v>
      </x:c>
      <x:c r="G856" t="str">
        <x:v>Manufacturing</x:v>
      </x:c>
      <x:c r="H856" t="str">
        <x:v>SMB</x:v>
      </x:c>
      <x:c r="I856" t="str">
        <x:v>Demo / Meeting</x:v>
      </x:c>
      <x:c r="J856" s="10" t="n">
        <x:v>46227</x:v>
      </x:c>
      <x:c r="K856" s="10"/>
      <x:c r="L856" s="22" t="n">
        <x:v>18900</x:v>
      </x:c>
      <x:c r="M856" s="24" t="n">
        <x:v>0.03</x:v>
      </x:c>
      <x:c r="N856" s="24" t="n">
        <x:v>0.4</x:v>
      </x:c>
      <x:c r="O856" t="str"/>
      <x:c r="P856" t="n">
        <x:v>3</x:v>
      </x:c>
      <x:c r="Q856" t="str">
        <x:f>IFERROR(XLOOKUP(E856,Lookups!$A$5:$A$24,Lookups!$B$5:$B$24),"Other")</x:f>
        <x:v>Organic Search</x:v>
      </x:c>
      <x:c r="R856" t="str">
        <x:f>IFERROR(XLOOKUP(F856,Lookups!$D$5:$D$10,Lookups!$E$5:$E$10),"Unknown Product")</x:f>
        <x:v>NexaCRM Pro</x:v>
      </x:c>
      <x:c r="S856" t="str">
        <x:f>IFERROR(XLOOKUP(F856,Lookups!$D$5:$D$10,Lookups!$F$5:$F$10),"Unknown")</x:f>
        <x:v>CRM</x:v>
      </x:c>
      <x:c r="T856" t="str">
        <x:f>IF(L856&gt;=50000,"Enterprise",IF(L856&gt;=20000,"Mid-Market","SMB"))</x:f>
        <x:v>SMB</x:v>
      </x:c>
      <x:c r="U856" t="str">
        <x:f>IF(I856="Closed Won","Won",IF(I856="Closed Lost","Lost","Open"))</x:f>
        <x:v>Open</x:v>
      </x:c>
      <x:c r="V856" s="22" t="n">
        <x:f>IF(U856="Won",L856*(1-M856),0)</x:f>
        <x:v>0</x:v>
      </x:c>
      <x:c r="W856" s="22" t="n">
        <x:f>IF(U856="Open",L856*N856,0)</x:f>
        <x:v>7560</x:v>
      </x:c>
      <x:c r="X856" s="26" t="str">
        <x:f>IF(U856="Open","",IFERROR(K856-B856,""))</x:f>
      </x:c>
      <x:c r="Y856" s="26" t="n">
        <x:f>IF(U856="Open",Lookups!$B$2-B856,X856)</x:f>
        <x:v>128</x:v>
      </x:c>
      <x:c r="Z856" t="str">
        <x:f>IF(AND(U856="Open",Y856&gt;30),"STALE","OK")</x:f>
        <x:v>STALE</x:v>
      </x:c>
      <x:c r="AA856" t="str">
        <x:f>TEXT(B856,"yyyy-mm")</x:f>
        <x:v>2026-04</x:v>
      </x:c>
      <x:c r="AB856" t="str">
        <x:f>IF(K856="","",TEXT(K856,"yyyy-mm"))</x:f>
      </x:c>
      <x:c r="AC856" t="str">
        <x:f>"Q"&amp;ROUNDUP(MONTH(B856)/3,0)&amp;"-"&amp;YEAR(B856)</x:f>
        <x:v>Q2-2026</x:v>
      </x:c>
      <x:c r="AD856" s="26" t="n">
        <x:f>MIN(100,IF(H856="Enterprise",30,IF(H856="Mid-Market",22,14))+IF(T856="Enterprise",25,IF(T856="Mid-Market",18,10))+IF(Q856="Referral",25,IF(Q856="Organic Search",20,IF(Q856="Email",18,14)))+IF(G856="Technology",10,5))</x:f>
        <x:v>49</x:v>
      </x:c>
      <x:c r="AE856" t="str">
        <x:f>IF(U856&lt;&gt;"Open",U856,IF(N856&gt;=0.8,"Commit",IF(N856&gt;=0.5,"Best Case","Pipeline")))</x:f>
        <x:v>Pipeline</x:v>
      </x:c>
    </x:row>
    <x:row r="857">
      <x:c r="A857" t="str">
        <x:v>L00856</x:v>
      </x:c>
      <x:c r="B857" s="10" t="n">
        <x:v>45936</x:v>
      </x:c>
      <x:c r="C857" t="str">
        <x:v>Bao Tran</x:v>
      </x:c>
      <x:c r="D857" t="str">
        <x:v>South</x:v>
      </x:c>
      <x:c r="E857" t="str">
        <x:v>Email Campaign</x:v>
      </x:c>
      <x:c r="F857" t="str">
        <x:v>MKT-AUTO</x:v>
      </x:c>
      <x:c r="G857" t="str">
        <x:v>Manufacturing</x:v>
      </x:c>
      <x:c r="H857" t="str">
        <x:v>Mid-Market</x:v>
      </x:c>
      <x:c r="I857" t="str">
        <x:v>Closed Won</x:v>
      </x:c>
      <x:c r="J857" s="10" t="n">
        <x:v>46005</x:v>
      </x:c>
      <x:c r="K857" s="10" t="n">
        <x:v>46005</x:v>
      </x:c>
      <x:c r="L857" s="22" t="n">
        <x:v>36400</x:v>
      </x:c>
      <x:c r="M857" s="24" t="n">
        <x:v>0.08</x:v>
      </x:c>
      <x:c r="N857" s="24" t="n">
        <x:v>1</x:v>
      </x:c>
      <x:c r="O857" t="str"/>
      <x:c r="P857" t="n">
        <x:v>6</x:v>
      </x:c>
      <x:c r="Q857" t="str">
        <x:f>IFERROR(XLOOKUP(E857,Lookups!$A$5:$A$24,Lookups!$B$5:$B$24),"Other")</x:f>
        <x:v>Email</x:v>
      </x:c>
      <x:c r="R857" t="str">
        <x:f>IFERROR(XLOOKUP(F857,Lookups!$D$5:$D$10,Lookups!$E$5:$E$10),"Unknown Product")</x:f>
        <x:v>Marketing Automation</x:v>
      </x:c>
      <x:c r="S857" t="str">
        <x:f>IFERROR(XLOOKUP(F857,Lookups!$D$5:$D$10,Lookups!$F$5:$F$10),"Unknown")</x:f>
        <x:v>Marketing</x:v>
      </x:c>
      <x:c r="T857" t="str">
        <x:f>IF(L857&gt;=50000,"Enterprise",IF(L857&gt;=20000,"Mid-Market","SMB"))</x:f>
        <x:v>Mid-Market</x:v>
      </x:c>
      <x:c r="U857" t="str">
        <x:f>IF(I857="Closed Won","Won",IF(I857="Closed Lost","Lost","Open"))</x:f>
        <x:v>Won</x:v>
      </x:c>
      <x:c r="V857" s="22" t="n">
        <x:f>IF(U857="Won",L857*(1-M857),0)</x:f>
        <x:v>33488</x:v>
      </x:c>
      <x:c r="W857" s="22" t="n">
        <x:f>IF(U857="Open",L857*N857,0)</x:f>
        <x:v>0</x:v>
      </x:c>
      <x:c r="X857" s="26" t="n">
        <x:f>IF(U857="Open","",IFERROR(K857-B857,""))</x:f>
        <x:v>69</x:v>
      </x:c>
      <x:c r="Y857" s="26" t="n">
        <x:f>IF(U857="Open",Lookups!$B$2-B857,X857)</x:f>
        <x:v>69</x:v>
      </x:c>
      <x:c r="Z857" t="str">
        <x:f>IF(AND(U857="Open",Y857&gt;30),"STALE","OK")</x:f>
        <x:v>OK</x:v>
      </x:c>
      <x:c r="AA857" t="str">
        <x:f>TEXT(B857,"yyyy-mm")</x:f>
        <x:v>2025-10</x:v>
      </x:c>
      <x:c r="AB857" t="str">
        <x:f>IF(K857="","",TEXT(K857,"yyyy-mm"))</x:f>
        <x:v>2025-12</x:v>
      </x:c>
      <x:c r="AC857" t="str">
        <x:f>"Q"&amp;ROUNDUP(MONTH(B857)/3,0)&amp;"-"&amp;YEAR(B857)</x:f>
        <x:v>Q4-2025</x:v>
      </x:c>
      <x:c r="AD857" s="26" t="n">
        <x:f>MIN(100,IF(H857="Enterprise",30,IF(H857="Mid-Market",22,14))+IF(T857="Enterprise",25,IF(T857="Mid-Market",18,10))+IF(Q857="Referral",25,IF(Q857="Organic Search",20,IF(Q857="Email",18,14)))+IF(G857="Technology",10,5))</x:f>
        <x:v>63</x:v>
      </x:c>
      <x:c r="AE857" t="str">
        <x:f>IF(U857&lt;&gt;"Open",U857,IF(N857&gt;=0.8,"Commit",IF(N857&gt;=0.5,"Best Case","Pipeline")))</x:f>
        <x:v>Won</x:v>
      </x:c>
    </x:row>
    <x:row r="858">
      <x:c r="A858" t="str">
        <x:v>L00857</x:v>
      </x:c>
      <x:c r="B858" s="10" t="n">
        <x:v>46033</x:v>
      </x:c>
      <x:c r="C858" t="str">
        <x:v>Chi Le</x:v>
      </x:c>
      <x:c r="D858" t="str">
        <x:v>South</x:v>
      </x:c>
      <x:c r="E858" t="str">
        <x:v>email nurture</x:v>
      </x:c>
      <x:c r="F858" t="str">
        <x:v>BI-PLUS</x:v>
      </x:c>
      <x:c r="G858" t="str">
        <x:v>Professional Services</x:v>
      </x:c>
      <x:c r="H858" t="str">
        <x:v>Mid-Market</x:v>
      </x:c>
      <x:c r="I858" t="str">
        <x:v>Closed Lost</x:v>
      </x:c>
      <x:c r="J858" s="10" t="n">
        <x:v>46096</x:v>
      </x:c>
      <x:c r="K858" s="10" t="n">
        <x:v>46096</x:v>
      </x:c>
      <x:c r="L858" s="22" t="n">
        <x:v>38700</x:v>
      </x:c>
      <x:c r="M858" s="24" t="n">
        <x:v>0</x:v>
      </x:c>
      <x:c r="N858" s="24" t="n">
        <x:v>0</x:v>
      </x:c>
      <x:c r="O858" t="str">
        <x:v>No Decision</x:v>
      </x:c>
      <x:c r="P858" t="n">
        <x:v>3</x:v>
      </x:c>
      <x:c r="Q858" t="str">
        <x:f>IFERROR(XLOOKUP(E858,Lookups!$A$5:$A$24,Lookups!$B$5:$B$24),"Other")</x:f>
        <x:v>Email</x:v>
      </x:c>
      <x:c r="R858" t="str">
        <x:f>IFERROR(XLOOKUP(F858,Lookups!$D$5:$D$10,Lookups!$E$5:$E$10),"Unknown Product")</x:f>
        <x:v>Analytics Plus</x:v>
      </x:c>
      <x:c r="S858" t="str">
        <x:f>IFERROR(XLOOKUP(F858,Lookups!$D$5:$D$10,Lookups!$F$5:$F$10),"Unknown")</x:f>
        <x:v>Analytics</x:v>
      </x:c>
      <x:c r="T858" t="str">
        <x:f>IF(L858&gt;=50000,"Enterprise",IF(L858&gt;=20000,"Mid-Market","SMB"))</x:f>
        <x:v>Mid-Market</x:v>
      </x:c>
      <x:c r="U858" t="str">
        <x:f>IF(I858="Closed Won","Won",IF(I858="Closed Lost","Lost","Open"))</x:f>
        <x:v>Lost</x:v>
      </x:c>
      <x:c r="V858" s="22" t="n">
        <x:f>IF(U858="Won",L858*(1-M858),0)</x:f>
        <x:v>0</x:v>
      </x:c>
      <x:c r="W858" s="22" t="n">
        <x:f>IF(U858="Open",L858*N858,0)</x:f>
        <x:v>0</x:v>
      </x:c>
      <x:c r="X858" s="26" t="n">
        <x:f>IF(U858="Open","",IFERROR(K858-B858,""))</x:f>
        <x:v>63</x:v>
      </x:c>
      <x:c r="Y858" s="26" t="n">
        <x:f>IF(U858="Open",Lookups!$B$2-B858,X858)</x:f>
        <x:v>63</x:v>
      </x:c>
      <x:c r="Z858" t="str">
        <x:f>IF(AND(U858="Open",Y858&gt;30),"STALE","OK")</x:f>
        <x:v>OK</x:v>
      </x:c>
      <x:c r="AA858" t="str">
        <x:f>TEXT(B858,"yyyy-mm")</x:f>
        <x:v>2026-01</x:v>
      </x:c>
      <x:c r="AB858" t="str">
        <x:f>IF(K858="","",TEXT(K858,"yyyy-mm"))</x:f>
        <x:v>2026-03</x:v>
      </x:c>
      <x:c r="AC858" t="str">
        <x:f>"Q"&amp;ROUNDUP(MONTH(B858)/3,0)&amp;"-"&amp;YEAR(B858)</x:f>
        <x:v>Q1-2026</x:v>
      </x:c>
      <x:c r="AD858" s="26" t="n">
        <x:f>MIN(100,IF(H858="Enterprise",30,IF(H858="Mid-Market",22,14))+IF(T858="Enterprise",25,IF(T858="Mid-Market",18,10))+IF(Q858="Referral",25,IF(Q858="Organic Search",20,IF(Q858="Email",18,14)))+IF(G858="Technology",10,5))</x:f>
        <x:v>63</x:v>
      </x:c>
      <x:c r="AE858" t="str">
        <x:f>IF(U858&lt;&gt;"Open",U858,IF(N858&gt;=0.8,"Commit",IF(N858&gt;=0.5,"Best Case","Pipeline")))</x:f>
        <x:v>Lost</x:v>
      </x:c>
    </x:row>
    <x:row r="859">
      <x:c r="A859" t="str">
        <x:v>L00858</x:v>
      </x:c>
      <x:c r="B859" s="10" t="n">
        <x:v>45954</x:v>
      </x:c>
      <x:c r="C859" t="str">
        <x:v>An Nguyen</x:v>
      </x:c>
      <x:c r="D859" t="str">
        <x:v>South</x:v>
      </x:c>
      <x:c r="E859" t="str">
        <x:v>Email Campaign</x:v>
      </x:c>
      <x:c r="F859" t="str">
        <x:v>REV-OPS</x:v>
      </x:c>
      <x:c r="G859" t="str">
        <x:v>Technology</x:v>
      </x:c>
      <x:c r="H859" t="str">
        <x:v>SMB</x:v>
      </x:c>
      <x:c r="I859" t="str">
        <x:v>Closed Lost</x:v>
      </x:c>
      <x:c r="J859" s="10" t="n">
        <x:v>45980</x:v>
      </x:c>
      <x:c r="K859" s="10" t="n">
        <x:v>45980</x:v>
      </x:c>
      <x:c r="L859" s="22" t="n">
        <x:v>48400</x:v>
      </x:c>
      <x:c r="M859" s="24" t="n">
        <x:v>0</x:v>
      </x:c>
      <x:c r="N859" s="24" t="n">
        <x:v>0</x:v>
      </x:c>
      <x:c r="O859" t="str">
        <x:v>Timing</x:v>
      </x:c>
      <x:c r="P859" t="n">
        <x:v>5</x:v>
      </x:c>
      <x:c r="Q859" t="str">
        <x:f>IFERROR(XLOOKUP(E859,Lookups!$A$5:$A$24,Lookups!$B$5:$B$24),"Other")</x:f>
        <x:v>Email</x:v>
      </x:c>
      <x:c r="R859" t="str">
        <x:f>IFERROR(XLOOKUP(F859,Lookups!$D$5:$D$10,Lookups!$E$5:$E$10),"Unknown Product")</x:f>
        <x:v>Revenue Operations Suite</x:v>
      </x:c>
      <x:c r="S859" t="str">
        <x:f>IFERROR(XLOOKUP(F859,Lookups!$D$5:$D$10,Lookups!$F$5:$F$10),"Unknown")</x:f>
        <x:v>Revenue Ops</x:v>
      </x:c>
      <x:c r="T859" t="str">
        <x:f>IF(L859&gt;=50000,"Enterprise",IF(L859&gt;=20000,"Mid-Market","SMB"))</x:f>
        <x:v>Mid-Market</x:v>
      </x:c>
      <x:c r="U859" t="str">
        <x:f>IF(I859="Closed Won","Won",IF(I859="Closed Lost","Lost","Open"))</x:f>
        <x:v>Lost</x:v>
      </x:c>
      <x:c r="V859" s="22" t="n">
        <x:f>IF(U859="Won",L859*(1-M859),0)</x:f>
        <x:v>0</x:v>
      </x:c>
      <x:c r="W859" s="22" t="n">
        <x:f>IF(U859="Open",L859*N859,0)</x:f>
        <x:v>0</x:v>
      </x:c>
      <x:c r="X859" s="26" t="n">
        <x:f>IF(U859="Open","",IFERROR(K859-B859,""))</x:f>
        <x:v>26</x:v>
      </x:c>
      <x:c r="Y859" s="26" t="n">
        <x:f>IF(U859="Open",Lookups!$B$2-B859,X859)</x:f>
        <x:v>26</x:v>
      </x:c>
      <x:c r="Z859" t="str">
        <x:f>IF(AND(U859="Open",Y859&gt;30),"STALE","OK")</x:f>
        <x:v>OK</x:v>
      </x:c>
      <x:c r="AA859" t="str">
        <x:f>TEXT(B859,"yyyy-mm")</x:f>
        <x:v>2025-10</x:v>
      </x:c>
      <x:c r="AB859" t="str">
        <x:f>IF(K859="","",TEXT(K859,"yyyy-mm"))</x:f>
        <x:v>2025-11</x:v>
      </x:c>
      <x:c r="AC859" t="str">
        <x:f>"Q"&amp;ROUNDUP(MONTH(B859)/3,0)&amp;"-"&amp;YEAR(B859)</x:f>
        <x:v>Q4-2025</x:v>
      </x:c>
      <x:c r="AD859" s="26" t="n">
        <x:f>MIN(100,IF(H859="Enterprise",30,IF(H859="Mid-Market",22,14))+IF(T859="Enterprise",25,IF(T859="Mid-Market",18,10))+IF(Q859="Referral",25,IF(Q859="Organic Search",20,IF(Q859="Email",18,14)))+IF(G859="Technology",10,5))</x:f>
        <x:v>60</x:v>
      </x:c>
      <x:c r="AE859" t="str">
        <x:f>IF(U859&lt;&gt;"Open",U859,IF(N859&gt;=0.8,"Commit",IF(N859&gt;=0.5,"Best Case","Pipeline")))</x:f>
        <x:v>Lost</x:v>
      </x:c>
    </x:row>
    <x:row r="860">
      <x:c r="A860" t="str">
        <x:v>L00859</x:v>
      </x:c>
      <x:c r="B860" s="10" t="n">
        <x:v>45726</x:v>
      </x:c>
      <x:c r="C860" t="str">
        <x:v>An Nguyen</x:v>
      </x:c>
      <x:c r="D860" t="str">
        <x:v>South</x:v>
      </x:c>
      <x:c r="E860" t="str">
        <x:v>SDR Outreach</x:v>
      </x:c>
      <x:c r="F860" t="str">
        <x:v>CRM-CORE</x:v>
      </x:c>
      <x:c r="G860" t="str">
        <x:v>Healthcare</x:v>
      </x:c>
      <x:c r="H860" t="str">
        <x:v>Mid-Market</x:v>
      </x:c>
      <x:c r="I860" t="str">
        <x:v>Closed Lost</x:v>
      </x:c>
      <x:c r="J860" s="10" t="n">
        <x:v>45771</x:v>
      </x:c>
      <x:c r="K860" s="10" t="n">
        <x:v>45771</x:v>
      </x:c>
      <x:c r="L860" s="22" t="n">
        <x:v>12300</x:v>
      </x:c>
      <x:c r="M860" s="24" t="n">
        <x:v>0</x:v>
      </x:c>
      <x:c r="N860" s="24" t="n">
        <x:v>0</x:v>
      </x:c>
      <x:c r="O860" t="str">
        <x:v>Timing</x:v>
      </x:c>
      <x:c r="P860" t="n">
        <x:v>3</x:v>
      </x:c>
      <x:c r="Q860" t="str">
        <x:f>IFERROR(XLOOKUP(E860,Lookups!$A$5:$A$24,Lookups!$B$5:$B$24),"Other")</x:f>
        <x:v>Outbound</x:v>
      </x:c>
      <x:c r="R860" t="str">
        <x:f>IFERROR(XLOOKUP(F860,Lookups!$D$5:$D$10,Lookups!$E$5:$E$10),"Unknown Product")</x:f>
        <x:v>NexaCRM Core</x:v>
      </x:c>
      <x:c r="S860" t="str">
        <x:f>IFERROR(XLOOKUP(F860,Lookups!$D$5:$D$10,Lookups!$F$5:$F$10),"Unknown")</x:f>
        <x:v>CRM</x:v>
      </x:c>
      <x:c r="T860" t="str">
        <x:f>IF(L860&gt;=50000,"Enterprise",IF(L860&gt;=20000,"Mid-Market","SMB"))</x:f>
        <x:v>SMB</x:v>
      </x:c>
      <x:c r="U860" t="str">
        <x:f>IF(I860="Closed Won","Won",IF(I860="Closed Lost","Lost","Open"))</x:f>
        <x:v>Lost</x:v>
      </x:c>
      <x:c r="V860" s="22" t="n">
        <x:f>IF(U860="Won",L860*(1-M860),0)</x:f>
        <x:v>0</x:v>
      </x:c>
      <x:c r="W860" s="22" t="n">
        <x:f>IF(U860="Open",L860*N860,0)</x:f>
        <x:v>0</x:v>
      </x:c>
      <x:c r="X860" s="26" t="n">
        <x:f>IF(U860="Open","",IFERROR(K860-B860,""))</x:f>
        <x:v>45</x:v>
      </x:c>
      <x:c r="Y860" s="26" t="n">
        <x:f>IF(U860="Open",Lookups!$B$2-B860,X860)</x:f>
        <x:v>45</x:v>
      </x:c>
      <x:c r="Z860" t="str">
        <x:f>IF(AND(U860="Open",Y860&gt;30),"STALE","OK")</x:f>
        <x:v>OK</x:v>
      </x:c>
      <x:c r="AA860" t="str">
        <x:f>TEXT(B860,"yyyy-mm")</x:f>
        <x:v>2025-03</x:v>
      </x:c>
      <x:c r="AB860" t="str">
        <x:f>IF(K860="","",TEXT(K860,"yyyy-mm"))</x:f>
        <x:v>2025-04</x:v>
      </x:c>
      <x:c r="AC860" t="str">
        <x:f>"Q"&amp;ROUNDUP(MONTH(B860)/3,0)&amp;"-"&amp;YEAR(B860)</x:f>
        <x:v>Q1-2025</x:v>
      </x:c>
      <x:c r="AD860" s="26" t="n">
        <x:f>MIN(100,IF(H860="Enterprise",30,IF(H860="Mid-Market",22,14))+IF(T860="Enterprise",25,IF(T860="Mid-Market",18,10))+IF(Q860="Referral",25,IF(Q860="Organic Search",20,IF(Q860="Email",18,14)))+IF(G860="Technology",10,5))</x:f>
        <x:v>51</x:v>
      </x:c>
      <x:c r="AE860" t="str">
        <x:f>IF(U860&lt;&gt;"Open",U860,IF(N860&gt;=0.8,"Commit",IF(N860&gt;=0.5,"Best Case","Pipeline")))</x:f>
        <x:v>Lost</x:v>
      </x:c>
    </x:row>
    <x:row r="861">
      <x:c r="A861" t="str">
        <x:v>L00860</x:v>
      </x:c>
      <x:c r="B861" s="10" t="n">
        <x:v>46100</x:v>
      </x:c>
      <x:c r="C861" t="str">
        <x:v>Bao Tran</x:v>
      </x:c>
      <x:c r="D861" t="str">
        <x:v>South</x:v>
      </x:c>
      <x:c r="E861" t="str">
        <x:v>Google Ads</x:v>
      </x:c>
      <x:c r="F861" t="str">
        <x:v>MKT-AUTO</x:v>
      </x:c>
      <x:c r="G861" t="str">
        <x:v>Healthcare</x:v>
      </x:c>
      <x:c r="H861" t="str">
        <x:v>Mid-Market</x:v>
      </x:c>
      <x:c r="I861" t="str">
        <x:v>Closed Lost</x:v>
      </x:c>
      <x:c r="J861" s="10" t="n">
        <x:v>46160</x:v>
      </x:c>
      <x:c r="K861" s="10" t="n">
        <x:v>46160</x:v>
      </x:c>
      <x:c r="L861" s="22" t="n">
        <x:v>22400</x:v>
      </x:c>
      <x:c r="M861" s="24" t="n">
        <x:v>0</x:v>
      </x:c>
      <x:c r="N861" s="24" t="n">
        <x:v>0</x:v>
      </x:c>
      <x:c r="O861" t="str">
        <x:v>Competitor</x:v>
      </x:c>
      <x:c r="P861" t="n">
        <x:v>5</x:v>
      </x:c>
      <x:c r="Q861" t="str">
        <x:f>IFERROR(XLOOKUP(E861,Lookups!$A$5:$A$24,Lookups!$B$5:$B$24),"Other")</x:f>
        <x:v>Paid Search</x:v>
      </x:c>
      <x:c r="R861" t="str">
        <x:f>IFERROR(XLOOKUP(F861,Lookups!$D$5:$D$10,Lookups!$E$5:$E$10),"Unknown Product")</x:f>
        <x:v>Marketing Automation</x:v>
      </x:c>
      <x:c r="S861" t="str">
        <x:f>IFERROR(XLOOKUP(F861,Lookups!$D$5:$D$10,Lookups!$F$5:$F$10),"Unknown")</x:f>
        <x:v>Marketing</x:v>
      </x:c>
      <x:c r="T861" t="str">
        <x:f>IF(L861&gt;=50000,"Enterprise",IF(L861&gt;=20000,"Mid-Market","SMB"))</x:f>
        <x:v>Mid-Market</x:v>
      </x:c>
      <x:c r="U861" t="str">
        <x:f>IF(I861="Closed Won","Won",IF(I861="Closed Lost","Lost","Open"))</x:f>
        <x:v>Lost</x:v>
      </x:c>
      <x:c r="V861" s="22" t="n">
        <x:f>IF(U861="Won",L861*(1-M861),0)</x:f>
        <x:v>0</x:v>
      </x:c>
      <x:c r="W861" s="22" t="n">
        <x:f>IF(U861="Open",L861*N861,0)</x:f>
        <x:v>0</x:v>
      </x:c>
      <x:c r="X861" s="26" t="n">
        <x:f>IF(U861="Open","",IFERROR(K861-B861,""))</x:f>
        <x:v>60</x:v>
      </x:c>
      <x:c r="Y861" s="26" t="n">
        <x:f>IF(U861="Open",Lookups!$B$2-B861,X861)</x:f>
        <x:v>60</x:v>
      </x:c>
      <x:c r="Z861" t="str">
        <x:f>IF(AND(U861="Open",Y861&gt;30),"STALE","OK")</x:f>
        <x:v>OK</x:v>
      </x:c>
      <x:c r="AA861" t="str">
        <x:f>TEXT(B861,"yyyy-mm")</x:f>
        <x:v>2026-03</x:v>
      </x:c>
      <x:c r="AB861" t="str">
        <x:f>IF(K861="","",TEXT(K861,"yyyy-mm"))</x:f>
        <x:v>2026-05</x:v>
      </x:c>
      <x:c r="AC861" t="str">
        <x:f>"Q"&amp;ROUNDUP(MONTH(B861)/3,0)&amp;"-"&amp;YEAR(B861)</x:f>
        <x:v>Q1-2026</x:v>
      </x:c>
      <x:c r="AD861" s="26" t="n">
        <x:f>MIN(100,IF(H861="Enterprise",30,IF(H861="Mid-Market",22,14))+IF(T861="Enterprise",25,IF(T861="Mid-Market",18,10))+IF(Q861="Referral",25,IF(Q861="Organic Search",20,IF(Q861="Email",18,14)))+IF(G861="Technology",10,5))</x:f>
        <x:v>59</x:v>
      </x:c>
      <x:c r="AE861" t="str">
        <x:f>IF(U861&lt;&gt;"Open",U861,IF(N861&gt;=0.8,"Commit",IF(N861&gt;=0.5,"Best Case","Pipeline")))</x:f>
        <x:v>Lost</x:v>
      </x:c>
    </x:row>
    <x:row r="862">
      <x:c r="A862" t="str">
        <x:v>L00861</x:v>
      </x:c>
      <x:c r="B862" s="10" t="n">
        <x:v>45755</x:v>
      </x:c>
      <x:c r="C862" t="str">
        <x:v>Tuan Bui</x:v>
      </x:c>
      <x:c r="D862" t="str">
        <x:v>Central</x:v>
      </x:c>
      <x:c r="E862" t="str">
        <x:v>Email Campaign</x:v>
      </x:c>
      <x:c r="F862" t="str">
        <x:v>CS-CLOUD</x:v>
      </x:c>
      <x:c r="G862" t="str">
        <x:v>Healthcare</x:v>
      </x:c>
      <x:c r="H862" t="str">
        <x:v>SMB</x:v>
      </x:c>
      <x:c r="I862" t="str">
        <x:v>Negotiation</x:v>
      </x:c>
      <x:c r="J862" s="10" t="n">
        <x:v>45980</x:v>
      </x:c>
      <x:c r="K862" s="10"/>
      <x:c r="L862" s="22" t="n">
        <x:v>18800</x:v>
      </x:c>
      <x:c r="M862" s="24" t="n">
        <x:v>0</x:v>
      </x:c>
      <x:c r="N862" s="24" t="n">
        <x:v>0.85</x:v>
      </x:c>
      <x:c r="O862" t="str"/>
      <x:c r="P862" t="n">
        <x:v>5</x:v>
      </x:c>
      <x:c r="Q862" t="str">
        <x:f>IFERROR(XLOOKUP(E862,Lookups!$A$5:$A$24,Lookups!$B$5:$B$24),"Other")</x:f>
        <x:v>Email</x:v>
      </x:c>
      <x:c r="R862" t="str">
        <x:f>IFERROR(XLOOKUP(F862,Lookups!$D$5:$D$10,Lookups!$E$5:$E$10),"Unknown Product")</x:f>
        <x:v>Service Cloud</x:v>
      </x:c>
      <x:c r="S862" t="str">
        <x:f>IFERROR(XLOOKUP(F862,Lookups!$D$5:$D$10,Lookups!$F$5:$F$10),"Unknown")</x:f>
        <x:v>Customer Service</x:v>
      </x:c>
      <x:c r="T862" t="str">
        <x:f>IF(L862&gt;=50000,"Enterprise",IF(L862&gt;=20000,"Mid-Market","SMB"))</x:f>
        <x:v>SMB</x:v>
      </x:c>
      <x:c r="U862" t="str">
        <x:f>IF(I862="Closed Won","Won",IF(I862="Closed Lost","Lost","Open"))</x:f>
        <x:v>Open</x:v>
      </x:c>
      <x:c r="V862" s="22" t="n">
        <x:f>IF(U862="Won",L862*(1-M862),0)</x:f>
        <x:v>0</x:v>
      </x:c>
      <x:c r="W862" s="22" t="n">
        <x:f>IF(U862="Open",L862*N862,0)</x:f>
        <x:v>15980</x:v>
      </x:c>
      <x:c r="X862" s="26" t="str">
        <x:f>IF(U862="Open","",IFERROR(K862-B862,""))</x:f>
      </x:c>
      <x:c r="Y862" s="26" t="n">
        <x:f>IF(U862="Open",Lookups!$B$2-B862,X862)</x:f>
        <x:v>511</x:v>
      </x:c>
      <x:c r="Z862" t="str">
        <x:f>IF(AND(U862="Open",Y862&gt;30),"STALE","OK")</x:f>
        <x:v>STALE</x:v>
      </x:c>
      <x:c r="AA862" t="str">
        <x:f>TEXT(B862,"yyyy-mm")</x:f>
        <x:v>2025-04</x:v>
      </x:c>
      <x:c r="AB862" t="str">
        <x:f>IF(K862="","",TEXT(K862,"yyyy-mm"))</x:f>
      </x:c>
      <x:c r="AC862" t="str">
        <x:f>"Q"&amp;ROUNDUP(MONTH(B862)/3,0)&amp;"-"&amp;YEAR(B862)</x:f>
        <x:v>Q2-2025</x:v>
      </x:c>
      <x:c r="AD862" s="26" t="n">
        <x:f>MIN(100,IF(H862="Enterprise",30,IF(H862="Mid-Market",22,14))+IF(T862="Enterprise",25,IF(T862="Mid-Market",18,10))+IF(Q862="Referral",25,IF(Q862="Organic Search",20,IF(Q862="Email",18,14)))+IF(G862="Technology",10,5))</x:f>
        <x:v>47</x:v>
      </x:c>
      <x:c r="AE862" t="str">
        <x:f>IF(U862&lt;&gt;"Open",U862,IF(N862&gt;=0.8,"Commit",IF(N862&gt;=0.5,"Best Case","Pipeline")))</x:f>
        <x:v>Commit</x:v>
      </x:c>
    </x:row>
    <x:row r="863">
      <x:c r="A863" t="str">
        <x:v>L00862</x:v>
      </x:c>
      <x:c r="B863" s="10" t="n">
        <x:v>46145</x:v>
      </x:c>
      <x:c r="C863" t="str">
        <x:v>Tuan Bui</x:v>
      </x:c>
      <x:c r="D863" t="str">
        <x:v>Central</x:v>
      </x:c>
      <x:c r="E863" t="str">
        <x:v>Email Campaign</x:v>
      </x:c>
      <x:c r="F863" t="str">
        <x:v>CS-CLOUD</x:v>
      </x:c>
      <x:c r="G863" t="str">
        <x:v>Education</x:v>
      </x:c>
      <x:c r="H863" t="str">
        <x:v>Mid-Market</x:v>
      </x:c>
      <x:c r="I863" t="str">
        <x:v>Closed Won</x:v>
      </x:c>
      <x:c r="J863" s="10" t="n">
        <x:v>46230</x:v>
      </x:c>
      <x:c r="K863" s="10" t="n">
        <x:v>46230</x:v>
      </x:c>
      <x:c r="L863" s="22" t="n">
        <x:v>33200</x:v>
      </x:c>
      <x:c r="M863" s="24" t="n">
        <x:v>0.12</x:v>
      </x:c>
      <x:c r="N863" s="24" t="n">
        <x:v>1</x:v>
      </x:c>
      <x:c r="O863" t="str"/>
      <x:c r="P863" t="n">
        <x:v>6</x:v>
      </x:c>
      <x:c r="Q863" t="str">
        <x:f>IFERROR(XLOOKUP(E863,Lookups!$A$5:$A$24,Lookups!$B$5:$B$24),"Other")</x:f>
        <x:v>Email</x:v>
      </x:c>
      <x:c r="R863" t="str">
        <x:f>IFERROR(XLOOKUP(F863,Lookups!$D$5:$D$10,Lookups!$E$5:$E$10),"Unknown Product")</x:f>
        <x:v>Service Cloud</x:v>
      </x:c>
      <x:c r="S863" t="str">
        <x:f>IFERROR(XLOOKUP(F863,Lookups!$D$5:$D$10,Lookups!$F$5:$F$10),"Unknown")</x:f>
        <x:v>Customer Service</x:v>
      </x:c>
      <x:c r="T863" t="str">
        <x:f>IF(L863&gt;=50000,"Enterprise",IF(L863&gt;=20000,"Mid-Market","SMB"))</x:f>
        <x:v>Mid-Market</x:v>
      </x:c>
      <x:c r="U863" t="str">
        <x:f>IF(I863="Closed Won","Won",IF(I863="Closed Lost","Lost","Open"))</x:f>
        <x:v>Won</x:v>
      </x:c>
      <x:c r="V863" s="22" t="n">
        <x:f>IF(U863="Won",L863*(1-M863),0)</x:f>
        <x:v>29216</x:v>
      </x:c>
      <x:c r="W863" s="22" t="n">
        <x:f>IF(U863="Open",L863*N863,0)</x:f>
        <x:v>0</x:v>
      </x:c>
      <x:c r="X863" s="26" t="n">
        <x:f>IF(U863="Open","",IFERROR(K863-B863,""))</x:f>
        <x:v>85</x:v>
      </x:c>
      <x:c r="Y863" s="26" t="n">
        <x:f>IF(U863="Open",Lookups!$B$2-B863,X863)</x:f>
        <x:v>85</x:v>
      </x:c>
      <x:c r="Z863" t="str">
        <x:f>IF(AND(U863="Open",Y863&gt;30),"STALE","OK")</x:f>
        <x:v>OK</x:v>
      </x:c>
      <x:c r="AA863" t="str">
        <x:f>TEXT(B863,"yyyy-mm")</x:f>
        <x:v>2026-05</x:v>
      </x:c>
      <x:c r="AB863" t="str">
        <x:f>IF(K863="","",TEXT(K863,"yyyy-mm"))</x:f>
        <x:v>2026-07</x:v>
      </x:c>
      <x:c r="AC863" t="str">
        <x:f>"Q"&amp;ROUNDUP(MONTH(B863)/3,0)&amp;"-"&amp;YEAR(B863)</x:f>
        <x:v>Q2-2026</x:v>
      </x:c>
      <x:c r="AD863" s="26" t="n">
        <x:f>MIN(100,IF(H863="Enterprise",30,IF(H863="Mid-Market",22,14))+IF(T863="Enterprise",25,IF(T863="Mid-Market",18,10))+IF(Q863="Referral",25,IF(Q863="Organic Search",20,IF(Q863="Email",18,14)))+IF(G863="Technology",10,5))</x:f>
        <x:v>63</x:v>
      </x:c>
      <x:c r="AE863" t="str">
        <x:f>IF(U863&lt;&gt;"Open",U863,IF(N863&gt;=0.8,"Commit",IF(N863&gt;=0.5,"Best Case","Pipeline")))</x:f>
        <x:v>Won</x:v>
      </x:c>
    </x:row>
    <x:row r="864">
      <x:c r="A864" t="str">
        <x:v>L00863</x:v>
      </x:c>
      <x:c r="B864" s="10" t="n">
        <x:v>45905</x:v>
      </x:c>
      <x:c r="C864" t="str">
        <x:v>Duy Pham</x:v>
      </x:c>
      <x:c r="D864" t="str">
        <x:v>South</x:v>
      </x:c>
      <x:c r="E864" t="str">
        <x:v>Email Campaign</x:v>
      </x:c>
      <x:c r="F864" t="str">
        <x:v>REV-OPS</x:v>
      </x:c>
      <x:c r="G864" t="str">
        <x:v>Education</x:v>
      </x:c>
      <x:c r="H864" t="str">
        <x:v>Enterprise</x:v>
      </x:c>
      <x:c r="I864" t="str">
        <x:v>Closed Lost</x:v>
      </x:c>
      <x:c r="J864" s="10" t="n">
        <x:v>45961</x:v>
      </x:c>
      <x:c r="K864" s="10" t="n">
        <x:v>45961</x:v>
      </x:c>
      <x:c r="L864" s="22" t="n">
        <x:v>126200</x:v>
      </x:c>
      <x:c r="M864" s="24" t="n">
        <x:v>0</x:v>
      </x:c>
      <x:c r="N864" s="24" t="n">
        <x:v>0</x:v>
      </x:c>
      <x:c r="O864" t="str">
        <x:v>Competitor</x:v>
      </x:c>
      <x:c r="P864" t="n">
        <x:v>3</x:v>
      </x:c>
      <x:c r="Q864" t="str">
        <x:f>IFERROR(XLOOKUP(E864,Lookups!$A$5:$A$24,Lookups!$B$5:$B$24),"Other")</x:f>
        <x:v>Email</x:v>
      </x:c>
      <x:c r="R864" t="str">
        <x:f>IFERROR(XLOOKUP(F864,Lookups!$D$5:$D$10,Lookups!$E$5:$E$10),"Unknown Product")</x:f>
        <x:v>Revenue Operations Suite</x:v>
      </x:c>
      <x:c r="S864" t="str">
        <x:f>IFERROR(XLOOKUP(F864,Lookups!$D$5:$D$10,Lookups!$F$5:$F$10),"Unknown")</x:f>
        <x:v>Revenue Ops</x:v>
      </x:c>
      <x:c r="T864" t="str">
        <x:f>IF(L864&gt;=50000,"Enterprise",IF(L864&gt;=20000,"Mid-Market","SMB"))</x:f>
        <x:v>Enterprise</x:v>
      </x:c>
      <x:c r="U864" t="str">
        <x:f>IF(I864="Closed Won","Won",IF(I864="Closed Lost","Lost","Open"))</x:f>
        <x:v>Lost</x:v>
      </x:c>
      <x:c r="V864" s="22" t="n">
        <x:f>IF(U864="Won",L864*(1-M864),0)</x:f>
        <x:v>0</x:v>
      </x:c>
      <x:c r="W864" s="22" t="n">
        <x:f>IF(U864="Open",L864*N864,0)</x:f>
        <x:v>0</x:v>
      </x:c>
      <x:c r="X864" s="26" t="n">
        <x:f>IF(U864="Open","",IFERROR(K864-B864,""))</x:f>
        <x:v>56</x:v>
      </x:c>
      <x:c r="Y864" s="26" t="n">
        <x:f>IF(U864="Open",Lookups!$B$2-B864,X864)</x:f>
        <x:v>56</x:v>
      </x:c>
      <x:c r="Z864" t="str">
        <x:f>IF(AND(U864="Open",Y864&gt;30),"STALE","OK")</x:f>
        <x:v>OK</x:v>
      </x:c>
      <x:c r="AA864" t="str">
        <x:f>TEXT(B864,"yyyy-mm")</x:f>
        <x:v>2025-09</x:v>
      </x:c>
      <x:c r="AB864" t="str">
        <x:f>IF(K864="","",TEXT(K864,"yyyy-mm"))</x:f>
        <x:v>2025-10</x:v>
      </x:c>
      <x:c r="AC864" t="str">
        <x:f>"Q"&amp;ROUNDUP(MONTH(B864)/3,0)&amp;"-"&amp;YEAR(B864)</x:f>
        <x:v>Q3-2025</x:v>
      </x:c>
      <x:c r="AD864" s="26" t="n">
        <x:f>MIN(100,IF(H864="Enterprise",30,IF(H864="Mid-Market",22,14))+IF(T864="Enterprise",25,IF(T864="Mid-Market",18,10))+IF(Q864="Referral",25,IF(Q864="Organic Search",20,IF(Q864="Email",18,14)))+IF(G864="Technology",10,5))</x:f>
        <x:v>78</x:v>
      </x:c>
      <x:c r="AE864" t="str">
        <x:f>IF(U864&lt;&gt;"Open",U864,IF(N864&gt;=0.8,"Commit",IF(N864&gt;=0.5,"Best Case","Pipeline")))</x:f>
        <x:v>Lost</x:v>
      </x:c>
    </x:row>
    <x:row r="865">
      <x:c r="A865" t="str">
        <x:v>L00864</x:v>
      </x:c>
      <x:c r="B865" s="10" t="n">
        <x:v>45883</x:v>
      </x:c>
      <x:c r="C865" t="str">
        <x:v>Ha Vo</x:v>
      </x:c>
      <x:c r="D865" t="str">
        <x:v>North</x:v>
      </x:c>
      <x:c r="E865" t="str">
        <x:v>SEM - Google</x:v>
      </x:c>
      <x:c r="F865" t="str">
        <x:v>CRM-PRO</x:v>
      </x:c>
      <x:c r="G865" t="str">
        <x:v>Healthcare</x:v>
      </x:c>
      <x:c r="H865" t="str">
        <x:v>Enterprise</x:v>
      </x:c>
      <x:c r="I865" t="str">
        <x:v>Closed Lost</x:v>
      </x:c>
      <x:c r="J865" s="10" t="n">
        <x:v>45950</x:v>
      </x:c>
      <x:c r="K865" s="10" t="n">
        <x:v>45950</x:v>
      </x:c>
      <x:c r="L865" s="22" t="n">
        <x:v>56200</x:v>
      </x:c>
      <x:c r="M865" s="24" t="n">
        <x:v>0</x:v>
      </x:c>
      <x:c r="N865" s="24" t="n">
        <x:v>0</x:v>
      </x:c>
      <x:c r="O865" t="str">
        <x:v>No Decision</x:v>
      </x:c>
      <x:c r="P865" t="n">
        <x:v>3</x:v>
      </x:c>
      <x:c r="Q865" t="str">
        <x:f>IFERROR(XLOOKUP(E865,Lookups!$A$5:$A$24,Lookups!$B$5:$B$24),"Other")</x:f>
        <x:v>Paid Search</x:v>
      </x:c>
      <x:c r="R865" t="str">
        <x:f>IFERROR(XLOOKUP(F865,Lookups!$D$5:$D$10,Lookups!$E$5:$E$10),"Unknown Product")</x:f>
        <x:v>NexaCRM Pro</x:v>
      </x:c>
      <x:c r="S865" t="str">
        <x:f>IFERROR(XLOOKUP(F865,Lookups!$D$5:$D$10,Lookups!$F$5:$F$10),"Unknown")</x:f>
        <x:v>CRM</x:v>
      </x:c>
      <x:c r="T865" t="str">
        <x:f>IF(L865&gt;=50000,"Enterprise",IF(L865&gt;=20000,"Mid-Market","SMB"))</x:f>
        <x:v>Enterprise</x:v>
      </x:c>
      <x:c r="U865" t="str">
        <x:f>IF(I865="Closed Won","Won",IF(I865="Closed Lost","Lost","Open"))</x:f>
        <x:v>Lost</x:v>
      </x:c>
      <x:c r="V865" s="22" t="n">
        <x:f>IF(U865="Won",L865*(1-M865),0)</x:f>
        <x:v>0</x:v>
      </x:c>
      <x:c r="W865" s="22" t="n">
        <x:f>IF(U865="Open",L865*N865,0)</x:f>
        <x:v>0</x:v>
      </x:c>
      <x:c r="X865" s="26" t="n">
        <x:f>IF(U865="Open","",IFERROR(K865-B865,""))</x:f>
        <x:v>67</x:v>
      </x:c>
      <x:c r="Y865" s="26" t="n">
        <x:f>IF(U865="Open",Lookups!$B$2-B865,X865)</x:f>
        <x:v>67</x:v>
      </x:c>
      <x:c r="Z865" t="str">
        <x:f>IF(AND(U865="Open",Y865&gt;30),"STALE","OK")</x:f>
        <x:v>OK</x:v>
      </x:c>
      <x:c r="AA865" t="str">
        <x:f>TEXT(B865,"yyyy-mm")</x:f>
        <x:v>2025-08</x:v>
      </x:c>
      <x:c r="AB865" t="str">
        <x:f>IF(K865="","",TEXT(K865,"yyyy-mm"))</x:f>
        <x:v>2025-10</x:v>
      </x:c>
      <x:c r="AC865" t="str">
        <x:f>"Q"&amp;ROUNDUP(MONTH(B865)/3,0)&amp;"-"&amp;YEAR(B865)</x:f>
        <x:v>Q3-2025</x:v>
      </x:c>
      <x:c r="AD865" s="26" t="n">
        <x:f>MIN(100,IF(H865="Enterprise",30,IF(H865="Mid-Market",22,14))+IF(T865="Enterprise",25,IF(T865="Mid-Market",18,10))+IF(Q865="Referral",25,IF(Q865="Organic Search",20,IF(Q865="Email",18,14)))+IF(G865="Technology",10,5))</x:f>
        <x:v>74</x:v>
      </x:c>
      <x:c r="AE865" t="str">
        <x:f>IF(U865&lt;&gt;"Open",U865,IF(N865&gt;=0.8,"Commit",IF(N865&gt;=0.5,"Best Case","Pipeline")))</x:f>
        <x:v>Lost</x:v>
      </x:c>
    </x:row>
    <x:row r="866">
      <x:c r="A866" t="str">
        <x:v>L00865</x:v>
      </x:c>
      <x:c r="B866" s="10" t="n">
        <x:v>46141</x:v>
      </x:c>
      <x:c r="C866" t="str">
        <x:v>Tuan Bui</x:v>
      </x:c>
      <x:c r="D866" t="str">
        <x:v>Central</x:v>
      </x:c>
      <x:c r="E866" t="str">
        <x:v>Unknown Event</x:v>
      </x:c>
      <x:c r="F866" t="str">
        <x:v>BI-PLUS</x:v>
      </x:c>
      <x:c r="G866" t="str">
        <x:v>Manufacturing</x:v>
      </x:c>
      <x:c r="H866" t="str">
        <x:v>Mid-Market</x:v>
      </x:c>
      <x:c r="I866" t="str">
        <x:v>Demo / Meeting</x:v>
      </x:c>
      <x:c r="J866" s="10" t="n">
        <x:v>46226</x:v>
      </x:c>
      <x:c r="K866" s="10"/>
      <x:c r="L866" s="22" t="n">
        <x:v>32700</x:v>
      </x:c>
      <x:c r="M866" s="24" t="n">
        <x:v>0.03</x:v>
      </x:c>
      <x:c r="N866" s="24" t="n">
        <x:v>0.4</x:v>
      </x:c>
      <x:c r="O866" t="str"/>
      <x:c r="P866" t="n">
        <x:v>3</x:v>
      </x:c>
      <x:c r="Q866" t="str">
        <x:f>IFERROR(XLOOKUP(E866,Lookups!$A$5:$A$24,Lookups!$B$5:$B$24),"Other")</x:f>
        <x:v>Other</x:v>
      </x:c>
      <x:c r="R866" t="str">
        <x:f>IFERROR(XLOOKUP(F866,Lookups!$D$5:$D$10,Lookups!$E$5:$E$10),"Unknown Product")</x:f>
        <x:v>Analytics Plus</x:v>
      </x:c>
      <x:c r="S866" t="str">
        <x:f>IFERROR(XLOOKUP(F866,Lookups!$D$5:$D$10,Lookups!$F$5:$F$10),"Unknown")</x:f>
        <x:v>Analytics</x:v>
      </x:c>
      <x:c r="T866" t="str">
        <x:f>IF(L866&gt;=50000,"Enterprise",IF(L866&gt;=20000,"Mid-Market","SMB"))</x:f>
        <x:v>Mid-Market</x:v>
      </x:c>
      <x:c r="U866" t="str">
        <x:f>IF(I866="Closed Won","Won",IF(I866="Closed Lost","Lost","Open"))</x:f>
        <x:v>Open</x:v>
      </x:c>
      <x:c r="V866" s="22" t="n">
        <x:f>IF(U866="Won",L866*(1-M866),0)</x:f>
        <x:v>0</x:v>
      </x:c>
      <x:c r="W866" s="22" t="n">
        <x:f>IF(U866="Open",L866*N866,0)</x:f>
        <x:v>13080</x:v>
      </x:c>
      <x:c r="X866" s="26" t="str">
        <x:f>IF(U866="Open","",IFERROR(K866-B866,""))</x:f>
      </x:c>
      <x:c r="Y866" s="26" t="n">
        <x:f>IF(U866="Open",Lookups!$B$2-B866,X866)</x:f>
        <x:v>125</x:v>
      </x:c>
      <x:c r="Z866" t="str">
        <x:f>IF(AND(U866="Open",Y866&gt;30),"STALE","OK")</x:f>
        <x:v>STALE</x:v>
      </x:c>
      <x:c r="AA866" t="str">
        <x:f>TEXT(B866,"yyyy-mm")</x:f>
        <x:v>2026-04</x:v>
      </x:c>
      <x:c r="AB866" t="str">
        <x:f>IF(K866="","",TEXT(K866,"yyyy-mm"))</x:f>
      </x:c>
      <x:c r="AC866" t="str">
        <x:f>"Q"&amp;ROUNDUP(MONTH(B866)/3,0)&amp;"-"&amp;YEAR(B866)</x:f>
        <x:v>Q2-2026</x:v>
      </x:c>
      <x:c r="AD866" s="26" t="n">
        <x:f>MIN(100,IF(H866="Enterprise",30,IF(H866="Mid-Market",22,14))+IF(T866="Enterprise",25,IF(T866="Mid-Market",18,10))+IF(Q866="Referral",25,IF(Q866="Organic Search",20,IF(Q866="Email",18,14)))+IF(G866="Technology",10,5))</x:f>
        <x:v>59</x:v>
      </x:c>
      <x:c r="AE866" t="str">
        <x:f>IF(U866&lt;&gt;"Open",U866,IF(N866&gt;=0.8,"Commit",IF(N866&gt;=0.5,"Best Case","Pipeline")))</x:f>
        <x:v>Pipeline</x:v>
      </x:c>
    </x:row>
    <x:row r="867">
      <x:c r="A867" t="str">
        <x:v>L00866</x:v>
      </x:c>
      <x:c r="B867" s="10" t="n">
        <x:v>45925</x:v>
      </x:c>
      <x:c r="C867" t="str">
        <x:v>Bao Tran</x:v>
      </x:c>
      <x:c r="D867" t="str">
        <x:v>South</x:v>
      </x:c>
      <x:c r="E867" t="str">
        <x:v>SDR Outreach</x:v>
      </x:c>
      <x:c r="F867" t="str">
        <x:v>CRM-CORE</x:v>
      </x:c>
      <x:c r="G867" t="str">
        <x:v>Technology</x:v>
      </x:c>
      <x:c r="H867" t="str">
        <x:v>SMB</x:v>
      </x:c>
      <x:c r="I867" t="str">
        <x:v>Closed Lost</x:v>
      </x:c>
      <x:c r="J867" s="10" t="n">
        <x:v>45933</x:v>
      </x:c>
      <x:c r="K867" s="10" t="n">
        <x:v>45933</x:v>
      </x:c>
      <x:c r="L867" s="22" t="n">
        <x:v>6000</x:v>
      </x:c>
      <x:c r="M867" s="24" t="n">
        <x:v>0</x:v>
      </x:c>
      <x:c r="N867" s="24" t="n">
        <x:v>0</x:v>
      </x:c>
      <x:c r="O867" t="str">
        <x:v>Price</x:v>
      </x:c>
      <x:c r="P867" t="n">
        <x:v>3</x:v>
      </x:c>
      <x:c r="Q867" t="str">
        <x:f>IFERROR(XLOOKUP(E867,Lookups!$A$5:$A$24,Lookups!$B$5:$B$24),"Other")</x:f>
        <x:v>Outbound</x:v>
      </x:c>
      <x:c r="R867" t="str">
        <x:f>IFERROR(XLOOKUP(F867,Lookups!$D$5:$D$10,Lookups!$E$5:$E$10),"Unknown Product")</x:f>
        <x:v>NexaCRM Core</x:v>
      </x:c>
      <x:c r="S867" t="str">
        <x:f>IFERROR(XLOOKUP(F867,Lookups!$D$5:$D$10,Lookups!$F$5:$F$10),"Unknown")</x:f>
        <x:v>CRM</x:v>
      </x:c>
      <x:c r="T867" t="str">
        <x:f>IF(L867&gt;=50000,"Enterprise",IF(L867&gt;=20000,"Mid-Market","SMB"))</x:f>
        <x:v>SMB</x:v>
      </x:c>
      <x:c r="U867" t="str">
        <x:f>IF(I867="Closed Won","Won",IF(I867="Closed Lost","Lost","Open"))</x:f>
        <x:v>Lost</x:v>
      </x:c>
      <x:c r="V867" s="22" t="n">
        <x:f>IF(U867="Won",L867*(1-M867),0)</x:f>
        <x:v>0</x:v>
      </x:c>
      <x:c r="W867" s="22" t="n">
        <x:f>IF(U867="Open",L867*N867,0)</x:f>
        <x:v>0</x:v>
      </x:c>
      <x:c r="X867" s="26" t="n">
        <x:f>IF(U867="Open","",IFERROR(K867-B867,""))</x:f>
        <x:v>8</x:v>
      </x:c>
      <x:c r="Y867" s="26" t="n">
        <x:f>IF(U867="Open",Lookups!$B$2-B867,X867)</x:f>
        <x:v>8</x:v>
      </x:c>
      <x:c r="Z867" t="str">
        <x:f>IF(AND(U867="Open",Y867&gt;30),"STALE","OK")</x:f>
        <x:v>OK</x:v>
      </x:c>
      <x:c r="AA867" t="str">
        <x:f>TEXT(B867,"yyyy-mm")</x:f>
        <x:v>2025-09</x:v>
      </x:c>
      <x:c r="AB867" t="str">
        <x:f>IF(K867="","",TEXT(K867,"yyyy-mm"))</x:f>
        <x:v>2025-10</x:v>
      </x:c>
      <x:c r="AC867" t="str">
        <x:f>"Q"&amp;ROUNDUP(MONTH(B867)/3,0)&amp;"-"&amp;YEAR(B867)</x:f>
        <x:v>Q3-2025</x:v>
      </x:c>
      <x:c r="AD867" s="26" t="n">
        <x:f>MIN(100,IF(H867="Enterprise",30,IF(H867="Mid-Market",22,14))+IF(T867="Enterprise",25,IF(T867="Mid-Market",18,10))+IF(Q867="Referral",25,IF(Q867="Organic Search",20,IF(Q867="Email",18,14)))+IF(G867="Technology",10,5))</x:f>
        <x:v>48</x:v>
      </x:c>
      <x:c r="AE867" t="str">
        <x:f>IF(U867&lt;&gt;"Open",U867,IF(N867&gt;=0.8,"Commit",IF(N867&gt;=0.5,"Best Case","Pipeline")))</x:f>
        <x:v>Lost</x:v>
      </x:c>
    </x:row>
    <x:row r="868">
      <x:c r="A868" t="str">
        <x:v>L00867</x:v>
      </x:c>
      <x:c r="B868" s="10" t="n">
        <x:v>46166</x:v>
      </x:c>
      <x:c r="C868" t="str">
        <x:v>Ha Vo</x:v>
      </x:c>
      <x:c r="D868" t="str">
        <x:v>North</x:v>
      </x:c>
      <x:c r="E868" t="str">
        <x:v>Google Ads</x:v>
      </x:c>
      <x:c r="F868" t="str">
        <x:v>BI-PLUS</x:v>
      </x:c>
      <x:c r="G868" t="str">
        <x:v>Education</x:v>
      </x:c>
      <x:c r="H868" t="str">
        <x:v>Enterprise</x:v>
      </x:c>
      <x:c r="I868" t="str">
        <x:v>Closed Lost</x:v>
      </x:c>
      <x:c r="J868" s="10" t="n">
        <x:v>46222</x:v>
      </x:c>
      <x:c r="K868" s="10" t="n">
        <x:v>46222</x:v>
      </x:c>
      <x:c r="L868" s="22" t="n">
        <x:v>87200</x:v>
      </x:c>
      <x:c r="M868" s="24" t="n">
        <x:v>0</x:v>
      </x:c>
      <x:c r="N868" s="24" t="n">
        <x:v>0</x:v>
      </x:c>
      <x:c r="O868" t="str">
        <x:v>Competitor</x:v>
      </x:c>
      <x:c r="P868" t="n">
        <x:v>5</x:v>
      </x:c>
      <x:c r="Q868" t="str">
        <x:f>IFERROR(XLOOKUP(E868,Lookups!$A$5:$A$24,Lookups!$B$5:$B$24),"Other")</x:f>
        <x:v>Paid Search</x:v>
      </x:c>
      <x:c r="R868" t="str">
        <x:f>IFERROR(XLOOKUP(F868,Lookups!$D$5:$D$10,Lookups!$E$5:$E$10),"Unknown Product")</x:f>
        <x:v>Analytics Plus</x:v>
      </x:c>
      <x:c r="S868" t="str">
        <x:f>IFERROR(XLOOKUP(F868,Lookups!$D$5:$D$10,Lookups!$F$5:$F$10),"Unknown")</x:f>
        <x:v>Analytics</x:v>
      </x:c>
      <x:c r="T868" t="str">
        <x:f>IF(L868&gt;=50000,"Enterprise",IF(L868&gt;=20000,"Mid-Market","SMB"))</x:f>
        <x:v>Enterprise</x:v>
      </x:c>
      <x:c r="U868" t="str">
        <x:f>IF(I868="Closed Won","Won",IF(I868="Closed Lost","Lost","Open"))</x:f>
        <x:v>Lost</x:v>
      </x:c>
      <x:c r="V868" s="22" t="n">
        <x:f>IF(U868="Won",L868*(1-M868),0)</x:f>
        <x:v>0</x:v>
      </x:c>
      <x:c r="W868" s="22" t="n">
        <x:f>IF(U868="Open",L868*N868,0)</x:f>
        <x:v>0</x:v>
      </x:c>
      <x:c r="X868" s="26" t="n">
        <x:f>IF(U868="Open","",IFERROR(K868-B868,""))</x:f>
        <x:v>56</x:v>
      </x:c>
      <x:c r="Y868" s="26" t="n">
        <x:f>IF(U868="Open",Lookups!$B$2-B868,X868)</x:f>
        <x:v>56</x:v>
      </x:c>
      <x:c r="Z868" t="str">
        <x:f>IF(AND(U868="Open",Y868&gt;30),"STALE","OK")</x:f>
        <x:v>OK</x:v>
      </x:c>
      <x:c r="AA868" t="str">
        <x:f>TEXT(B868,"yyyy-mm")</x:f>
        <x:v>2026-05</x:v>
      </x:c>
      <x:c r="AB868" t="str">
        <x:f>IF(K868="","",TEXT(K868,"yyyy-mm"))</x:f>
        <x:v>2026-07</x:v>
      </x:c>
      <x:c r="AC868" t="str">
        <x:f>"Q"&amp;ROUNDUP(MONTH(B868)/3,0)&amp;"-"&amp;YEAR(B868)</x:f>
        <x:v>Q2-2026</x:v>
      </x:c>
      <x:c r="AD868" s="26" t="n">
        <x:f>MIN(100,IF(H868="Enterprise",30,IF(H868="Mid-Market",22,14))+IF(T868="Enterprise",25,IF(T868="Mid-Market",18,10))+IF(Q868="Referral",25,IF(Q868="Organic Search",20,IF(Q868="Email",18,14)))+IF(G868="Technology",10,5))</x:f>
        <x:v>74</x:v>
      </x:c>
      <x:c r="AE868" t="str">
        <x:f>IF(U868&lt;&gt;"Open",U868,IF(N868&gt;=0.8,"Commit",IF(N868&gt;=0.5,"Best Case","Pipeline")))</x:f>
        <x:v>Lost</x:v>
      </x:c>
    </x:row>
    <x:row r="869">
      <x:c r="A869" t="str">
        <x:v>L00868</x:v>
      </x:c>
      <x:c r="B869" s="10" t="n">
        <x:v>45718</x:v>
      </x:c>
      <x:c r="C869" t="str">
        <x:v>Duy Pham</x:v>
      </x:c>
      <x:c r="D869" t="str">
        <x:v>South</x:v>
      </x:c>
      <x:c r="E869" t="str">
        <x:v>SDR Outreach</x:v>
      </x:c>
      <x:c r="F869" t="str">
        <x:v>BI-PLUS</x:v>
      </x:c>
      <x:c r="G869" t="str">
        <x:v>Education</x:v>
      </x:c>
      <x:c r="H869" t="str">
        <x:v>SMB</x:v>
      </x:c>
      <x:c r="I869" t="str">
        <x:v>Closed Lost</x:v>
      </x:c>
      <x:c r="J869" s="10" t="n">
        <x:v>45806</x:v>
      </x:c>
      <x:c r="K869" s="10" t="n">
        <x:v>45806</x:v>
      </x:c>
      <x:c r="L869" s="22" t="n">
        <x:v>13400</x:v>
      </x:c>
      <x:c r="M869" s="24" t="n">
        <x:v>0</x:v>
      </x:c>
      <x:c r="N869" s="24" t="n">
        <x:v>0</x:v>
      </x:c>
      <x:c r="O869" t="str">
        <x:v>Timing</x:v>
      </x:c>
      <x:c r="P869" t="n">
        <x:v>2</x:v>
      </x:c>
      <x:c r="Q869" t="str">
        <x:f>IFERROR(XLOOKUP(E869,Lookups!$A$5:$A$24,Lookups!$B$5:$B$24),"Other")</x:f>
        <x:v>Outbound</x:v>
      </x:c>
      <x:c r="R869" t="str">
        <x:f>IFERROR(XLOOKUP(F869,Lookups!$D$5:$D$10,Lookups!$E$5:$E$10),"Unknown Product")</x:f>
        <x:v>Analytics Plus</x:v>
      </x:c>
      <x:c r="S869" t="str">
        <x:f>IFERROR(XLOOKUP(F869,Lookups!$D$5:$D$10,Lookups!$F$5:$F$10),"Unknown")</x:f>
        <x:v>Analytics</x:v>
      </x:c>
      <x:c r="T869" t="str">
        <x:f>IF(L869&gt;=50000,"Enterprise",IF(L869&gt;=20000,"Mid-Market","SMB"))</x:f>
        <x:v>SMB</x:v>
      </x:c>
      <x:c r="U869" t="str">
        <x:f>IF(I869="Closed Won","Won",IF(I869="Closed Lost","Lost","Open"))</x:f>
        <x:v>Lost</x:v>
      </x:c>
      <x:c r="V869" s="22" t="n">
        <x:f>IF(U869="Won",L869*(1-M869),0)</x:f>
        <x:v>0</x:v>
      </x:c>
      <x:c r="W869" s="22" t="n">
        <x:f>IF(U869="Open",L869*N869,0)</x:f>
        <x:v>0</x:v>
      </x:c>
      <x:c r="X869" s="26" t="n">
        <x:f>IF(U869="Open","",IFERROR(K869-B869,""))</x:f>
        <x:v>88</x:v>
      </x:c>
      <x:c r="Y869" s="26" t="n">
        <x:f>IF(U869="Open",Lookups!$B$2-B869,X869)</x:f>
        <x:v>88</x:v>
      </x:c>
      <x:c r="Z869" t="str">
        <x:f>IF(AND(U869="Open",Y869&gt;30),"STALE","OK")</x:f>
        <x:v>OK</x:v>
      </x:c>
      <x:c r="AA869" t="str">
        <x:f>TEXT(B869,"yyyy-mm")</x:f>
        <x:v>2025-03</x:v>
      </x:c>
      <x:c r="AB869" t="str">
        <x:f>IF(K869="","",TEXT(K869,"yyyy-mm"))</x:f>
        <x:v>2025-05</x:v>
      </x:c>
      <x:c r="AC869" t="str">
        <x:f>"Q"&amp;ROUNDUP(MONTH(B869)/3,0)&amp;"-"&amp;YEAR(B869)</x:f>
        <x:v>Q1-2025</x:v>
      </x:c>
      <x:c r="AD869" s="26" t="n">
        <x:f>MIN(100,IF(H869="Enterprise",30,IF(H869="Mid-Market",22,14))+IF(T869="Enterprise",25,IF(T869="Mid-Market",18,10))+IF(Q869="Referral",25,IF(Q869="Organic Search",20,IF(Q869="Email",18,14)))+IF(G869="Technology",10,5))</x:f>
        <x:v>43</x:v>
      </x:c>
      <x:c r="AE869" t="str">
        <x:f>IF(U869&lt;&gt;"Open",U869,IF(N869&gt;=0.8,"Commit",IF(N869&gt;=0.5,"Best Case","Pipeline")))</x:f>
        <x:v>Lost</x:v>
      </x:c>
    </x:row>
    <x:row r="870">
      <x:c r="A870" t="str">
        <x:v>L00869</x:v>
      </x:c>
      <x:c r="B870" s="10" t="n">
        <x:v>46187</x:v>
      </x:c>
      <x:c r="C870" t="str">
        <x:v>Tuan Bui</x:v>
      </x:c>
      <x:c r="D870" t="str">
        <x:v>Central</x:v>
      </x:c>
      <x:c r="E870" t="str">
        <x:v>email nurture</x:v>
      </x:c>
      <x:c r="F870" t="str">
        <x:v>BI-PLUS</x:v>
      </x:c>
      <x:c r="G870" t="str">
        <x:v>Financial Services</x:v>
      </x:c>
      <x:c r="H870" t="str">
        <x:v>Mid-Market</x:v>
      </x:c>
      <x:c r="I870" t="str">
        <x:v>Proposal</x:v>
      </x:c>
      <x:c r="J870" s="10" t="n">
        <x:v>46230</x:v>
      </x:c>
      <x:c r="K870" s="10"/>
      <x:c r="L870" s="22" t="n">
        <x:v>51400</x:v>
      </x:c>
      <x:c r="M870" s="24" t="n">
        <x:v>0</x:v>
      </x:c>
      <x:c r="N870" s="24" t="n">
        <x:v>0.65</x:v>
      </x:c>
      <x:c r="O870" t="str"/>
      <x:c r="P870" t="n">
        <x:v>4</x:v>
      </x:c>
      <x:c r="Q870" t="str">
        <x:f>IFERROR(XLOOKUP(E870,Lookups!$A$5:$A$24,Lookups!$B$5:$B$24),"Other")</x:f>
        <x:v>Email</x:v>
      </x:c>
      <x:c r="R870" t="str">
        <x:f>IFERROR(XLOOKUP(F870,Lookups!$D$5:$D$10,Lookups!$E$5:$E$10),"Unknown Product")</x:f>
        <x:v>Analytics Plus</x:v>
      </x:c>
      <x:c r="S870" t="str">
        <x:f>IFERROR(XLOOKUP(F870,Lookups!$D$5:$D$10,Lookups!$F$5:$F$10),"Unknown")</x:f>
        <x:v>Analytics</x:v>
      </x:c>
      <x:c r="T870" t="str">
        <x:f>IF(L870&gt;=50000,"Enterprise",IF(L870&gt;=20000,"Mid-Market","SMB"))</x:f>
        <x:v>Enterprise</x:v>
      </x:c>
      <x:c r="U870" t="str">
        <x:f>IF(I870="Closed Won","Won",IF(I870="Closed Lost","Lost","Open"))</x:f>
        <x:v>Open</x:v>
      </x:c>
      <x:c r="V870" s="22" t="n">
        <x:f>IF(U870="Won",L870*(1-M870),0)</x:f>
        <x:v>0</x:v>
      </x:c>
      <x:c r="W870" s="22" t="n">
        <x:f>IF(U870="Open",L870*N870,0)</x:f>
        <x:v>33410</x:v>
      </x:c>
      <x:c r="X870" s="26" t="str">
        <x:f>IF(U870="Open","",IFERROR(K870-B870,""))</x:f>
      </x:c>
      <x:c r="Y870" s="26" t="n">
        <x:f>IF(U870="Open",Lookups!$B$2-B870,X870)</x:f>
        <x:v>79</x:v>
      </x:c>
      <x:c r="Z870" t="str">
        <x:f>IF(AND(U870="Open",Y870&gt;30),"STALE","OK")</x:f>
        <x:v>STALE</x:v>
      </x:c>
      <x:c r="AA870" t="str">
        <x:f>TEXT(B870,"yyyy-mm")</x:f>
        <x:v>2026-06</x:v>
      </x:c>
      <x:c r="AB870" t="str">
        <x:f>IF(K870="","",TEXT(K870,"yyyy-mm"))</x:f>
      </x:c>
      <x:c r="AC870" t="str">
        <x:f>"Q"&amp;ROUNDUP(MONTH(B870)/3,0)&amp;"-"&amp;YEAR(B870)</x:f>
        <x:v>Q2-2026</x:v>
      </x:c>
      <x:c r="AD870" s="26" t="n">
        <x:f>MIN(100,IF(H870="Enterprise",30,IF(H870="Mid-Market",22,14))+IF(T870="Enterprise",25,IF(T870="Mid-Market",18,10))+IF(Q870="Referral",25,IF(Q870="Organic Search",20,IF(Q870="Email",18,14)))+IF(G870="Technology",10,5))</x:f>
        <x:v>70</x:v>
      </x:c>
      <x:c r="AE870" t="str">
        <x:f>IF(U870&lt;&gt;"Open",U870,IF(N870&gt;=0.8,"Commit",IF(N870&gt;=0.5,"Best Case","Pipeline")))</x:f>
        <x:v>Best Case</x:v>
      </x:c>
    </x:row>
    <x:row r="871">
      <x:c r="A871" t="str">
        <x:v>L00870</x:v>
      </x:c>
      <x:c r="B871" s="10" t="n">
        <x:v>45797</x:v>
      </x:c>
      <x:c r="C871" t="str">
        <x:v>An Nguyen</x:v>
      </x:c>
      <x:c r="D871" t="str">
        <x:v>South</x:v>
      </x:c>
      <x:c r="E871" t="str">
        <x:v>LinkedIn Ads</x:v>
      </x:c>
      <x:c r="F871" t="str">
        <x:v>CRM-PRO</x:v>
      </x:c>
      <x:c r="G871" t="str">
        <x:v>Technology</x:v>
      </x:c>
      <x:c r="H871" t="str">
        <x:v>Mid-Market</x:v>
      </x:c>
      <x:c r="I871" t="str">
        <x:v>Closed Won</x:v>
      </x:c>
      <x:c r="J871" s="10" t="n">
        <x:v>45821</x:v>
      </x:c>
      <x:c r="K871" s="10" t="n">
        <x:v>45821</x:v>
      </x:c>
      <x:c r="L871" s="22" t="n">
        <x:v>22100</x:v>
      </x:c>
      <x:c r="M871" s="24" t="n">
        <x:v>0</x:v>
      </x:c>
      <x:c r="N871" s="24" t="n">
        <x:v>1</x:v>
      </x:c>
      <x:c r="O871" t="str"/>
      <x:c r="P871" t="n">
        <x:v>6</x:v>
      </x:c>
      <x:c r="Q871" t="str">
        <x:f>IFERROR(XLOOKUP(E871,Lookups!$A$5:$A$24,Lookups!$B$5:$B$24),"Other")</x:f>
        <x:v>LinkedIn</x:v>
      </x:c>
      <x:c r="R871" t="str">
        <x:f>IFERROR(XLOOKUP(F871,Lookups!$D$5:$D$10,Lookups!$E$5:$E$10),"Unknown Product")</x:f>
        <x:v>NexaCRM Pro</x:v>
      </x:c>
      <x:c r="S871" t="str">
        <x:f>IFERROR(XLOOKUP(F871,Lookups!$D$5:$D$10,Lookups!$F$5:$F$10),"Unknown")</x:f>
        <x:v>CRM</x:v>
      </x:c>
      <x:c r="T871" t="str">
        <x:f>IF(L871&gt;=50000,"Enterprise",IF(L871&gt;=20000,"Mid-Market","SMB"))</x:f>
        <x:v>Mid-Market</x:v>
      </x:c>
      <x:c r="U871" t="str">
        <x:f>IF(I871="Closed Won","Won",IF(I871="Closed Lost","Lost","Open"))</x:f>
        <x:v>Won</x:v>
      </x:c>
      <x:c r="V871" s="22" t="n">
        <x:f>IF(U871="Won",L871*(1-M871),0)</x:f>
        <x:v>22100</x:v>
      </x:c>
      <x:c r="W871" s="22" t="n">
        <x:f>IF(U871="Open",L871*N871,0)</x:f>
        <x:v>0</x:v>
      </x:c>
      <x:c r="X871" s="26" t="n">
        <x:f>IF(U871="Open","",IFERROR(K871-B871,""))</x:f>
        <x:v>24</x:v>
      </x:c>
      <x:c r="Y871" s="26" t="n">
        <x:f>IF(U871="Open",Lookups!$B$2-B871,X871)</x:f>
        <x:v>24</x:v>
      </x:c>
      <x:c r="Z871" t="str">
        <x:f>IF(AND(U871="Open",Y871&gt;30),"STALE","OK")</x:f>
        <x:v>OK</x:v>
      </x:c>
      <x:c r="AA871" t="str">
        <x:f>TEXT(B871,"yyyy-mm")</x:f>
        <x:v>2025-05</x:v>
      </x:c>
      <x:c r="AB871" t="str">
        <x:f>IF(K871="","",TEXT(K871,"yyyy-mm"))</x:f>
        <x:v>2025-06</x:v>
      </x:c>
      <x:c r="AC871" t="str">
        <x:f>"Q"&amp;ROUNDUP(MONTH(B871)/3,0)&amp;"-"&amp;YEAR(B871)</x:f>
        <x:v>Q2-2025</x:v>
      </x:c>
      <x:c r="AD871" s="26" t="n">
        <x:f>MIN(100,IF(H871="Enterprise",30,IF(H871="Mid-Market",22,14))+IF(T871="Enterprise",25,IF(T871="Mid-Market",18,10))+IF(Q871="Referral",25,IF(Q871="Organic Search",20,IF(Q871="Email",18,14)))+IF(G871="Technology",10,5))</x:f>
        <x:v>64</x:v>
      </x:c>
      <x:c r="AE871" t="str">
        <x:f>IF(U871&lt;&gt;"Open",U871,IF(N871&gt;=0.8,"Commit",IF(N871&gt;=0.5,"Best Case","Pipeline")))</x:f>
        <x:v>Won</x:v>
      </x:c>
    </x:row>
    <x:row r="872">
      <x:c r="A872" t="str">
        <x:v>L00871</x:v>
      </x:c>
      <x:c r="B872" s="10" t="n">
        <x:v>46112</x:v>
      </x:c>
      <x:c r="C872" t="str">
        <x:v>Duy Pham</x:v>
      </x:c>
      <x:c r="D872" t="str">
        <x:v>South</x:v>
      </x:c>
      <x:c r="E872" t="str">
        <x:v>LI Ads</x:v>
      </x:c>
      <x:c r="F872" t="str">
        <x:v>CS-CLOUD</x:v>
      </x:c>
      <x:c r="G872" t="str">
        <x:v>Financial Services</x:v>
      </x:c>
      <x:c r="H872" t="str">
        <x:v>SMB</x:v>
      </x:c>
      <x:c r="I872" t="str">
        <x:v>Closed Lost</x:v>
      </x:c>
      <x:c r="J872" s="10" t="n">
        <x:v>46154</x:v>
      </x:c>
      <x:c r="K872" s="10" t="n">
        <x:v>46154</x:v>
      </x:c>
      <x:c r="L872" s="22" t="n">
        <x:v>13500</x:v>
      </x:c>
      <x:c r="M872" s="24" t="n">
        <x:v>0</x:v>
      </x:c>
      <x:c r="N872" s="24" t="n">
        <x:v>0</x:v>
      </x:c>
      <x:c r="O872" t="str">
        <x:v>Timing</x:v>
      </x:c>
      <x:c r="P872" t="n">
        <x:v>3</x:v>
      </x:c>
      <x:c r="Q872" t="str">
        <x:f>IFERROR(XLOOKUP(E872,Lookups!$A$5:$A$24,Lookups!$B$5:$B$24),"Other")</x:f>
        <x:v>LinkedIn</x:v>
      </x:c>
      <x:c r="R872" t="str">
        <x:f>IFERROR(XLOOKUP(F872,Lookups!$D$5:$D$10,Lookups!$E$5:$E$10),"Unknown Product")</x:f>
        <x:v>Service Cloud</x:v>
      </x:c>
      <x:c r="S872" t="str">
        <x:f>IFERROR(XLOOKUP(F872,Lookups!$D$5:$D$10,Lookups!$F$5:$F$10),"Unknown")</x:f>
        <x:v>Customer Service</x:v>
      </x:c>
      <x:c r="T872" t="str">
        <x:f>IF(L872&gt;=50000,"Enterprise",IF(L872&gt;=20000,"Mid-Market","SMB"))</x:f>
        <x:v>SMB</x:v>
      </x:c>
      <x:c r="U872" t="str">
        <x:f>IF(I872="Closed Won","Won",IF(I872="Closed Lost","Lost","Open"))</x:f>
        <x:v>Lost</x:v>
      </x:c>
      <x:c r="V872" s="22" t="n">
        <x:f>IF(U872="Won",L872*(1-M872),0)</x:f>
        <x:v>0</x:v>
      </x:c>
      <x:c r="W872" s="22" t="n">
        <x:f>IF(U872="Open",L872*N872,0)</x:f>
        <x:v>0</x:v>
      </x:c>
      <x:c r="X872" s="26" t="n">
        <x:f>IF(U872="Open","",IFERROR(K872-B872,""))</x:f>
        <x:v>42</x:v>
      </x:c>
      <x:c r="Y872" s="26" t="n">
        <x:f>IF(U872="Open",Lookups!$B$2-B872,X872)</x:f>
        <x:v>42</x:v>
      </x:c>
      <x:c r="Z872" t="str">
        <x:f>IF(AND(U872="Open",Y872&gt;30),"STALE","OK")</x:f>
        <x:v>OK</x:v>
      </x:c>
      <x:c r="AA872" t="str">
        <x:f>TEXT(B872,"yyyy-mm")</x:f>
        <x:v>2026-03</x:v>
      </x:c>
      <x:c r="AB872" t="str">
        <x:f>IF(K872="","",TEXT(K872,"yyyy-mm"))</x:f>
        <x:v>2026-05</x:v>
      </x:c>
      <x:c r="AC872" t="str">
        <x:f>"Q"&amp;ROUNDUP(MONTH(B872)/3,0)&amp;"-"&amp;YEAR(B872)</x:f>
        <x:v>Q1-2026</x:v>
      </x:c>
      <x:c r="AD872" s="26" t="n">
        <x:f>MIN(100,IF(H872="Enterprise",30,IF(H872="Mid-Market",22,14))+IF(T872="Enterprise",25,IF(T872="Mid-Market",18,10))+IF(Q872="Referral",25,IF(Q872="Organic Search",20,IF(Q872="Email",18,14)))+IF(G872="Technology",10,5))</x:f>
        <x:v>43</x:v>
      </x:c>
      <x:c r="AE872" t="str">
        <x:f>IF(U872&lt;&gt;"Open",U872,IF(N872&gt;=0.8,"Commit",IF(N872&gt;=0.5,"Best Case","Pipeline")))</x:f>
        <x:v>Lost</x:v>
      </x:c>
    </x:row>
    <x:row r="873">
      <x:c r="A873" t="str">
        <x:v>L00872</x:v>
      </x:c>
      <x:c r="B873" s="10" t="n">
        <x:v>45835</x:v>
      </x:c>
      <x:c r="C873" t="str">
        <x:v>An Nguyen</x:v>
      </x:c>
      <x:c r="D873" t="str">
        <x:v>South</x:v>
      </x:c>
      <x:c r="E873" t="str">
        <x:v>Outbound</x:v>
      </x:c>
      <x:c r="F873" t="str">
        <x:v>MKT-AUTO</x:v>
      </x:c>
      <x:c r="G873" t="str">
        <x:v>Retail</x:v>
      </x:c>
      <x:c r="H873" t="str">
        <x:v>SMB</x:v>
      </x:c>
      <x:c r="I873" t="str">
        <x:v>Closed Lost</x:v>
      </x:c>
      <x:c r="J873" s="10" t="n">
        <x:v>45884</x:v>
      </x:c>
      <x:c r="K873" s="10" t="n">
        <x:v>45884</x:v>
      </x:c>
      <x:c r="L873" s="22" t="n">
        <x:v>14500</x:v>
      </x:c>
      <x:c r="M873" s="24" t="n">
        <x:v>0</x:v>
      </x:c>
      <x:c r="N873" s="24" t="n">
        <x:v>0</x:v>
      </x:c>
      <x:c r="O873" t="str">
        <x:v>Budget</x:v>
      </x:c>
      <x:c r="P873" t="n">
        <x:v>5</x:v>
      </x:c>
      <x:c r="Q873" t="str">
        <x:f>IFERROR(XLOOKUP(E873,Lookups!$A$5:$A$24,Lookups!$B$5:$B$24),"Other")</x:f>
        <x:v>Outbound</x:v>
      </x:c>
      <x:c r="R873" t="str">
        <x:f>IFERROR(XLOOKUP(F873,Lookups!$D$5:$D$10,Lookups!$E$5:$E$10),"Unknown Product")</x:f>
        <x:v>Marketing Automation</x:v>
      </x:c>
      <x:c r="S873" t="str">
        <x:f>IFERROR(XLOOKUP(F873,Lookups!$D$5:$D$10,Lookups!$F$5:$F$10),"Unknown")</x:f>
        <x:v>Marketing</x:v>
      </x:c>
      <x:c r="T873" t="str">
        <x:f>IF(L873&gt;=50000,"Enterprise",IF(L873&gt;=20000,"Mid-Market","SMB"))</x:f>
        <x:v>SMB</x:v>
      </x:c>
      <x:c r="U873" t="str">
        <x:f>IF(I873="Closed Won","Won",IF(I873="Closed Lost","Lost","Open"))</x:f>
        <x:v>Lost</x:v>
      </x:c>
      <x:c r="V873" s="22" t="n">
        <x:f>IF(U873="Won",L873*(1-M873),0)</x:f>
        <x:v>0</x:v>
      </x:c>
      <x:c r="W873" s="22" t="n">
        <x:f>IF(U873="Open",L873*N873,0)</x:f>
        <x:v>0</x:v>
      </x:c>
      <x:c r="X873" s="26" t="n">
        <x:f>IF(U873="Open","",IFERROR(K873-B873,""))</x:f>
        <x:v>49</x:v>
      </x:c>
      <x:c r="Y873" s="26" t="n">
        <x:f>IF(U873="Open",Lookups!$B$2-B873,X873)</x:f>
        <x:v>49</x:v>
      </x:c>
      <x:c r="Z873" t="str">
        <x:f>IF(AND(U873="Open",Y873&gt;30),"STALE","OK")</x:f>
        <x:v>OK</x:v>
      </x:c>
      <x:c r="AA873" t="str">
        <x:f>TEXT(B873,"yyyy-mm")</x:f>
        <x:v>2025-06</x:v>
      </x:c>
      <x:c r="AB873" t="str">
        <x:f>IF(K873="","",TEXT(K873,"yyyy-mm"))</x:f>
        <x:v>2025-08</x:v>
      </x:c>
      <x:c r="AC873" t="str">
        <x:f>"Q"&amp;ROUNDUP(MONTH(B873)/3,0)&amp;"-"&amp;YEAR(B873)</x:f>
        <x:v>Q2-2025</x:v>
      </x:c>
      <x:c r="AD873" s="26" t="n">
        <x:f>MIN(100,IF(H873="Enterprise",30,IF(H873="Mid-Market",22,14))+IF(T873="Enterprise",25,IF(T873="Mid-Market",18,10))+IF(Q873="Referral",25,IF(Q873="Organic Search",20,IF(Q873="Email",18,14)))+IF(G873="Technology",10,5))</x:f>
        <x:v>43</x:v>
      </x:c>
      <x:c r="AE873" t="str">
        <x:f>IF(U873&lt;&gt;"Open",U873,IF(N873&gt;=0.8,"Commit",IF(N873&gt;=0.5,"Best Case","Pipeline")))</x:f>
        <x:v>Lost</x:v>
      </x:c>
    </x:row>
    <x:row r="874">
      <x:c r="A874" t="str">
        <x:v>L00873</x:v>
      </x:c>
      <x:c r="B874" s="10" t="n">
        <x:v>46166</x:v>
      </x:c>
      <x:c r="C874" t="str">
        <x:v>Bao Tran</x:v>
      </x:c>
      <x:c r="D874" t="str">
        <x:v>South</x:v>
      </x:c>
      <x:c r="E874" t="str">
        <x:v>customer referral</x:v>
      </x:c>
      <x:c r="F874" t="str">
        <x:v>BI-PLUS</x:v>
      </x:c>
      <x:c r="G874" t="str">
        <x:v>Technology</x:v>
      </x:c>
      <x:c r="H874" t="str">
        <x:v>Mid-Market</x:v>
      </x:c>
      <x:c r="I874" t="str">
        <x:v>Demo / Meeting</x:v>
      </x:c>
      <x:c r="J874" s="10" t="n">
        <x:v>46236</x:v>
      </x:c>
      <x:c r="K874" s="10"/>
      <x:c r="L874" s="22" t="n">
        <x:v>51100</x:v>
      </x:c>
      <x:c r="M874" s="24" t="n">
        <x:v>0</x:v>
      </x:c>
      <x:c r="N874" s="24" t="n">
        <x:v>0.4</x:v>
      </x:c>
      <x:c r="O874" t="str"/>
      <x:c r="P874" t="n">
        <x:v>3</x:v>
      </x:c>
      <x:c r="Q874" t="str">
        <x:f>IFERROR(XLOOKUP(E874,Lookups!$A$5:$A$24,Lookups!$B$5:$B$24),"Other")</x:f>
        <x:v>Referral</x:v>
      </x:c>
      <x:c r="R874" t="str">
        <x:f>IFERROR(XLOOKUP(F874,Lookups!$D$5:$D$10,Lookups!$E$5:$E$10),"Unknown Product")</x:f>
        <x:v>Analytics Plus</x:v>
      </x:c>
      <x:c r="S874" t="str">
        <x:f>IFERROR(XLOOKUP(F874,Lookups!$D$5:$D$10,Lookups!$F$5:$F$10),"Unknown")</x:f>
        <x:v>Analytics</x:v>
      </x:c>
      <x:c r="T874" t="str">
        <x:f>IF(L874&gt;=50000,"Enterprise",IF(L874&gt;=20000,"Mid-Market","SMB"))</x:f>
        <x:v>Enterprise</x:v>
      </x:c>
      <x:c r="U874" t="str">
        <x:f>IF(I874="Closed Won","Won",IF(I874="Closed Lost","Lost","Open"))</x:f>
        <x:v>Open</x:v>
      </x:c>
      <x:c r="V874" s="22" t="n">
        <x:f>IF(U874="Won",L874*(1-M874),0)</x:f>
        <x:v>0</x:v>
      </x:c>
      <x:c r="W874" s="22" t="n">
        <x:f>IF(U874="Open",L874*N874,0)</x:f>
        <x:v>20440</x:v>
      </x:c>
      <x:c r="X874" s="26" t="str">
        <x:f>IF(U874="Open","",IFERROR(K874-B874,""))</x:f>
      </x:c>
      <x:c r="Y874" s="26" t="n">
        <x:f>IF(U874="Open",Lookups!$B$2-B874,X874)</x:f>
        <x:v>100</x:v>
      </x:c>
      <x:c r="Z874" t="str">
        <x:f>IF(AND(U874="Open",Y874&gt;30),"STALE","OK")</x:f>
        <x:v>STALE</x:v>
      </x:c>
      <x:c r="AA874" t="str">
        <x:f>TEXT(B874,"yyyy-mm")</x:f>
        <x:v>2026-05</x:v>
      </x:c>
      <x:c r="AB874" t="str">
        <x:f>IF(K874="","",TEXT(K874,"yyyy-mm"))</x:f>
      </x:c>
      <x:c r="AC874" t="str">
        <x:f>"Q"&amp;ROUNDUP(MONTH(B874)/3,0)&amp;"-"&amp;YEAR(B874)</x:f>
        <x:v>Q2-2026</x:v>
      </x:c>
      <x:c r="AD874" s="26" t="n">
        <x:f>MIN(100,IF(H874="Enterprise",30,IF(H874="Mid-Market",22,14))+IF(T874="Enterprise",25,IF(T874="Mid-Market",18,10))+IF(Q874="Referral",25,IF(Q874="Organic Search",20,IF(Q874="Email",18,14)))+IF(G874="Technology",10,5))</x:f>
        <x:v>82</x:v>
      </x:c>
      <x:c r="AE874" t="str">
        <x:f>IF(U874&lt;&gt;"Open",U874,IF(N874&gt;=0.8,"Commit",IF(N874&gt;=0.5,"Best Case","Pipeline")))</x:f>
        <x:v>Pipeline</x:v>
      </x:c>
    </x:row>
    <x:row r="875">
      <x:c r="A875" t="str">
        <x:v>L00874</x:v>
      </x:c>
      <x:c r="B875" s="10" t="n">
        <x:v>46051</x:v>
      </x:c>
      <x:c r="C875" t="str">
        <x:v>Minh Do</x:v>
      </x:c>
      <x:c r="D875" t="str">
        <x:v>North</x:v>
      </x:c>
      <x:c r="E875" t="str">
        <x:v>Email Campaign</x:v>
      </x:c>
      <x:c r="F875" t="str">
        <x:v>BI-PLUS</x:v>
      </x:c>
      <x:c r="G875" t="str">
        <x:v>Healthcare</x:v>
      </x:c>
      <x:c r="H875" t="str">
        <x:v>Mid-Market</x:v>
      </x:c>
      <x:c r="I875" t="str">
        <x:v>Closed Lost</x:v>
      </x:c>
      <x:c r="J875" s="10" t="n">
        <x:v>46110</x:v>
      </x:c>
      <x:c r="K875" s="10" t="n">
        <x:v>46110</x:v>
      </x:c>
      <x:c r="L875" s="22" t="n">
        <x:v>34600</x:v>
      </x:c>
      <x:c r="M875" s="24" t="n">
        <x:v>0</x:v>
      </x:c>
      <x:c r="N875" s="24" t="n">
        <x:v>0</x:v>
      </x:c>
      <x:c r="O875" t="str">
        <x:v>Price</x:v>
      </x:c>
      <x:c r="P875" t="n">
        <x:v>5</x:v>
      </x:c>
      <x:c r="Q875" t="str">
        <x:f>IFERROR(XLOOKUP(E875,Lookups!$A$5:$A$24,Lookups!$B$5:$B$24),"Other")</x:f>
        <x:v>Email</x:v>
      </x:c>
      <x:c r="R875" t="str">
        <x:f>IFERROR(XLOOKUP(F875,Lookups!$D$5:$D$10,Lookups!$E$5:$E$10),"Unknown Product")</x:f>
        <x:v>Analytics Plus</x:v>
      </x:c>
      <x:c r="S875" t="str">
        <x:f>IFERROR(XLOOKUP(F875,Lookups!$D$5:$D$10,Lookups!$F$5:$F$10),"Unknown")</x:f>
        <x:v>Analytics</x:v>
      </x:c>
      <x:c r="T875" t="str">
        <x:f>IF(L875&gt;=50000,"Enterprise",IF(L875&gt;=20000,"Mid-Market","SMB"))</x:f>
        <x:v>Mid-Market</x:v>
      </x:c>
      <x:c r="U875" t="str">
        <x:f>IF(I875="Closed Won","Won",IF(I875="Closed Lost","Lost","Open"))</x:f>
        <x:v>Lost</x:v>
      </x:c>
      <x:c r="V875" s="22" t="n">
        <x:f>IF(U875="Won",L875*(1-M875),0)</x:f>
        <x:v>0</x:v>
      </x:c>
      <x:c r="W875" s="22" t="n">
        <x:f>IF(U875="Open",L875*N875,0)</x:f>
        <x:v>0</x:v>
      </x:c>
      <x:c r="X875" s="26" t="n">
        <x:f>IF(U875="Open","",IFERROR(K875-B875,""))</x:f>
        <x:v>59</x:v>
      </x:c>
      <x:c r="Y875" s="26" t="n">
        <x:f>IF(U875="Open",Lookups!$B$2-B875,X875)</x:f>
        <x:v>59</x:v>
      </x:c>
      <x:c r="Z875" t="str">
        <x:f>IF(AND(U875="Open",Y875&gt;30),"STALE","OK")</x:f>
        <x:v>OK</x:v>
      </x:c>
      <x:c r="AA875" t="str">
        <x:f>TEXT(B875,"yyyy-mm")</x:f>
        <x:v>2026-01</x:v>
      </x:c>
      <x:c r="AB875" t="str">
        <x:f>IF(K875="","",TEXT(K875,"yyyy-mm"))</x:f>
        <x:v>2026-03</x:v>
      </x:c>
      <x:c r="AC875" t="str">
        <x:f>"Q"&amp;ROUNDUP(MONTH(B875)/3,0)&amp;"-"&amp;YEAR(B875)</x:f>
        <x:v>Q1-2026</x:v>
      </x:c>
      <x:c r="AD875" s="26" t="n">
        <x:f>MIN(100,IF(H875="Enterprise",30,IF(H875="Mid-Market",22,14))+IF(T875="Enterprise",25,IF(T875="Mid-Market",18,10))+IF(Q875="Referral",25,IF(Q875="Organic Search",20,IF(Q875="Email",18,14)))+IF(G875="Technology",10,5))</x:f>
        <x:v>63</x:v>
      </x:c>
      <x:c r="AE875" t="str">
        <x:f>IF(U875&lt;&gt;"Open",U875,IF(N875&gt;=0.8,"Commit",IF(N875&gt;=0.5,"Best Case","Pipeline")))</x:f>
        <x:v>Lost</x:v>
      </x:c>
    </x:row>
    <x:row r="876">
      <x:c r="A876" t="str">
        <x:v>L00875</x:v>
      </x:c>
      <x:c r="B876" s="10" t="n">
        <x:v>45976</x:v>
      </x:c>
      <x:c r="C876" t="str">
        <x:v>Bao Tran</x:v>
      </x:c>
      <x:c r="D876" t="str">
        <x:v>South</x:v>
      </x:c>
      <x:c r="E876" t="str">
        <x:v>SEO</x:v>
      </x:c>
      <x:c r="F876" t="str">
        <x:v>BI-PLUS</x:v>
      </x:c>
      <x:c r="G876" t="str">
        <x:v>Financial Services</x:v>
      </x:c>
      <x:c r="H876" t="str">
        <x:v>SMB</x:v>
      </x:c>
      <x:c r="I876" t="str">
        <x:v>Closed Won</x:v>
      </x:c>
      <x:c r="J876" s="10" t="n">
        <x:v>45991</x:v>
      </x:c>
      <x:c r="K876" s="10" t="n">
        <x:v>45991</x:v>
      </x:c>
      <x:c r="L876" s="22" t="n">
        <x:v>28200</x:v>
      </x:c>
      <x:c r="M876" s="24" t="n">
        <x:v>0</x:v>
      </x:c>
      <x:c r="N876" s="24" t="n">
        <x:v>1</x:v>
      </x:c>
      <x:c r="O876" t="str"/>
      <x:c r="P876" t="n">
        <x:v>6</x:v>
      </x:c>
      <x:c r="Q876" t="str">
        <x:f>IFERROR(XLOOKUP(E876,Lookups!$A$5:$A$24,Lookups!$B$5:$B$24),"Other")</x:f>
        <x:v>Organic Search</x:v>
      </x:c>
      <x:c r="R876" t="str">
        <x:f>IFERROR(XLOOKUP(F876,Lookups!$D$5:$D$10,Lookups!$E$5:$E$10),"Unknown Product")</x:f>
        <x:v>Analytics Plus</x:v>
      </x:c>
      <x:c r="S876" t="str">
        <x:f>IFERROR(XLOOKUP(F876,Lookups!$D$5:$D$10,Lookups!$F$5:$F$10),"Unknown")</x:f>
        <x:v>Analytics</x:v>
      </x:c>
      <x:c r="T876" t="str">
        <x:f>IF(L876&gt;=50000,"Enterprise",IF(L876&gt;=20000,"Mid-Market","SMB"))</x:f>
        <x:v>Mid-Market</x:v>
      </x:c>
      <x:c r="U876" t="str">
        <x:f>IF(I876="Closed Won","Won",IF(I876="Closed Lost","Lost","Open"))</x:f>
        <x:v>Won</x:v>
      </x:c>
      <x:c r="V876" s="22" t="n">
        <x:f>IF(U876="Won",L876*(1-M876),0)</x:f>
        <x:v>28200</x:v>
      </x:c>
      <x:c r="W876" s="22" t="n">
        <x:f>IF(U876="Open",L876*N876,0)</x:f>
        <x:v>0</x:v>
      </x:c>
      <x:c r="X876" s="26" t="n">
        <x:f>IF(U876="Open","",IFERROR(K876-B876,""))</x:f>
        <x:v>15</x:v>
      </x:c>
      <x:c r="Y876" s="26" t="n">
        <x:f>IF(U876="Open",Lookups!$B$2-B876,X876)</x:f>
        <x:v>15</x:v>
      </x:c>
      <x:c r="Z876" t="str">
        <x:f>IF(AND(U876="Open",Y876&gt;30),"STALE","OK")</x:f>
        <x:v>OK</x:v>
      </x:c>
      <x:c r="AA876" t="str">
        <x:f>TEXT(B876,"yyyy-mm")</x:f>
        <x:v>2025-11</x:v>
      </x:c>
      <x:c r="AB876" t="str">
        <x:f>IF(K876="","",TEXT(K876,"yyyy-mm"))</x:f>
        <x:v>2025-11</x:v>
      </x:c>
      <x:c r="AC876" t="str">
        <x:f>"Q"&amp;ROUNDUP(MONTH(B876)/3,0)&amp;"-"&amp;YEAR(B876)</x:f>
        <x:v>Q4-2025</x:v>
      </x:c>
      <x:c r="AD876" s="26" t="n">
        <x:f>MIN(100,IF(H876="Enterprise",30,IF(H876="Mid-Market",22,14))+IF(T876="Enterprise",25,IF(T876="Mid-Market",18,10))+IF(Q876="Referral",25,IF(Q876="Organic Search",20,IF(Q876="Email",18,14)))+IF(G876="Technology",10,5))</x:f>
        <x:v>57</x:v>
      </x:c>
      <x:c r="AE876" t="str">
        <x:f>IF(U876&lt;&gt;"Open",U876,IF(N876&gt;=0.8,"Commit",IF(N876&gt;=0.5,"Best Case","Pipeline")))</x:f>
        <x:v>Won</x:v>
      </x:c>
    </x:row>
    <x:row r="877">
      <x:c r="A877" t="str">
        <x:v>L00876</x:v>
      </x:c>
      <x:c r="B877" s="10" t="n">
        <x:v>46077</x:v>
      </x:c>
      <x:c r="C877" t="str">
        <x:v>Quynh Vu</x:v>
      </x:c>
      <x:c r="D877" t="str">
        <x:v>North</x:v>
      </x:c>
      <x:c r="E877" t="str">
        <x:v>SEO</x:v>
      </x:c>
      <x:c r="F877" t="str">
        <x:v>REV-OPS</x:v>
      </x:c>
      <x:c r="G877" t="str">
        <x:v>Healthcare</x:v>
      </x:c>
      <x:c r="H877" t="str">
        <x:v>SMB</x:v>
      </x:c>
      <x:c r="I877" t="str">
        <x:v>Closed Won</x:v>
      </x:c>
      <x:c r="J877" s="10" t="n">
        <x:v>46114</x:v>
      </x:c>
      <x:c r="K877" s="10" t="n">
        <x:v>46114</x:v>
      </x:c>
      <x:c r="L877" s="22" t="n">
        <x:v>41700</x:v>
      </x:c>
      <x:c r="M877" s="24" t="n">
        <x:v>0.12</x:v>
      </x:c>
      <x:c r="N877" s="24" t="n">
        <x:v>1</x:v>
      </x:c>
      <x:c r="O877" t="str"/>
      <x:c r="P877" t="n">
        <x:v>6</x:v>
      </x:c>
      <x:c r="Q877" t="str">
        <x:f>IFERROR(XLOOKUP(E877,Lookups!$A$5:$A$24,Lookups!$B$5:$B$24),"Other")</x:f>
        <x:v>Organic Search</x:v>
      </x:c>
      <x:c r="R877" t="str">
        <x:f>IFERROR(XLOOKUP(F877,Lookups!$D$5:$D$10,Lookups!$E$5:$E$10),"Unknown Product")</x:f>
        <x:v>Revenue Operations Suite</x:v>
      </x:c>
      <x:c r="S877" t="str">
        <x:f>IFERROR(XLOOKUP(F877,Lookups!$D$5:$D$10,Lookups!$F$5:$F$10),"Unknown")</x:f>
        <x:v>Revenue Ops</x:v>
      </x:c>
      <x:c r="T877" t="str">
        <x:f>IF(L877&gt;=50000,"Enterprise",IF(L877&gt;=20000,"Mid-Market","SMB"))</x:f>
        <x:v>Mid-Market</x:v>
      </x:c>
      <x:c r="U877" t="str">
        <x:f>IF(I877="Closed Won","Won",IF(I877="Closed Lost","Lost","Open"))</x:f>
        <x:v>Won</x:v>
      </x:c>
      <x:c r="V877" s="22" t="n">
        <x:f>IF(U877="Won",L877*(1-M877),0)</x:f>
        <x:v>36696</x:v>
      </x:c>
      <x:c r="W877" s="22" t="n">
        <x:f>IF(U877="Open",L877*N877,0)</x:f>
        <x:v>0</x:v>
      </x:c>
      <x:c r="X877" s="26" t="n">
        <x:f>IF(U877="Open","",IFERROR(K877-B877,""))</x:f>
        <x:v>37</x:v>
      </x:c>
      <x:c r="Y877" s="26" t="n">
        <x:f>IF(U877="Open",Lookups!$B$2-B877,X877)</x:f>
        <x:v>37</x:v>
      </x:c>
      <x:c r="Z877" t="str">
        <x:f>IF(AND(U877="Open",Y877&gt;30),"STALE","OK")</x:f>
        <x:v>OK</x:v>
      </x:c>
      <x:c r="AA877" t="str">
        <x:f>TEXT(B877,"yyyy-mm")</x:f>
        <x:v>2026-02</x:v>
      </x:c>
      <x:c r="AB877" t="str">
        <x:f>IF(K877="","",TEXT(K877,"yyyy-mm"))</x:f>
        <x:v>2026-04</x:v>
      </x:c>
      <x:c r="AC877" t="str">
        <x:f>"Q"&amp;ROUNDUP(MONTH(B877)/3,0)&amp;"-"&amp;YEAR(B877)</x:f>
        <x:v>Q1-2026</x:v>
      </x:c>
      <x:c r="AD877" s="26" t="n">
        <x:f>MIN(100,IF(H877="Enterprise",30,IF(H877="Mid-Market",22,14))+IF(T877="Enterprise",25,IF(T877="Mid-Market",18,10))+IF(Q877="Referral",25,IF(Q877="Organic Search",20,IF(Q877="Email",18,14)))+IF(G877="Technology",10,5))</x:f>
        <x:v>57</x:v>
      </x:c>
      <x:c r="AE877" t="str">
        <x:f>IF(U877&lt;&gt;"Open",U877,IF(N877&gt;=0.8,"Commit",IF(N877&gt;=0.5,"Best Case","Pipeline")))</x:f>
        <x:v>Won</x:v>
      </x:c>
    </x:row>
    <x:row r="878">
      <x:c r="A878" t="str">
        <x:v>L00877</x:v>
      </x:c>
      <x:c r="B878" s="10" t="n">
        <x:v>46240</x:v>
      </x:c>
      <x:c r="C878" t="str">
        <x:v>Duy Pham</x:v>
      </x:c>
      <x:c r="D878" t="str">
        <x:v>South</x:v>
      </x:c>
      <x:c r="E878" t="str">
        <x:v>Outbound</x:v>
      </x:c>
      <x:c r="F878" t="str">
        <x:v>MKT-AUTO</x:v>
      </x:c>
      <x:c r="G878" t="str">
        <x:v>Financial Services</x:v>
      </x:c>
      <x:c r="H878" t="str">
        <x:v>SMB</x:v>
      </x:c>
      <x:c r="I878" t="str">
        <x:v>Closed Lost</x:v>
      </x:c>
      <x:c r="J878" s="10" t="n">
        <x:v>46251</x:v>
      </x:c>
      <x:c r="K878" s="10" t="n">
        <x:v>46251</x:v>
      </x:c>
      <x:c r="L878" s="22" t="n">
        <x:v>18600</x:v>
      </x:c>
      <x:c r="M878" s="24" t="n">
        <x:v>0</x:v>
      </x:c>
      <x:c r="N878" s="24" t="n">
        <x:v>0</x:v>
      </x:c>
      <x:c r="O878" t="str">
        <x:v>Competitor</x:v>
      </x:c>
      <x:c r="P878" t="n">
        <x:v>2</x:v>
      </x:c>
      <x:c r="Q878" t="str">
        <x:f>IFERROR(XLOOKUP(E878,Lookups!$A$5:$A$24,Lookups!$B$5:$B$24),"Other")</x:f>
        <x:v>Outbound</x:v>
      </x:c>
      <x:c r="R878" t="str">
        <x:f>IFERROR(XLOOKUP(F878,Lookups!$D$5:$D$10,Lookups!$E$5:$E$10),"Unknown Product")</x:f>
        <x:v>Marketing Automation</x:v>
      </x:c>
      <x:c r="S878" t="str">
        <x:f>IFERROR(XLOOKUP(F878,Lookups!$D$5:$D$10,Lookups!$F$5:$F$10),"Unknown")</x:f>
        <x:v>Marketing</x:v>
      </x:c>
      <x:c r="T878" t="str">
        <x:f>IF(L878&gt;=50000,"Enterprise",IF(L878&gt;=20000,"Mid-Market","SMB"))</x:f>
        <x:v>SMB</x:v>
      </x:c>
      <x:c r="U878" t="str">
        <x:f>IF(I878="Closed Won","Won",IF(I878="Closed Lost","Lost","Open"))</x:f>
        <x:v>Lost</x:v>
      </x:c>
      <x:c r="V878" s="22" t="n">
        <x:f>IF(U878="Won",L878*(1-M878),0)</x:f>
        <x:v>0</x:v>
      </x:c>
      <x:c r="W878" s="22" t="n">
        <x:f>IF(U878="Open",L878*N878,0)</x:f>
        <x:v>0</x:v>
      </x:c>
      <x:c r="X878" s="26" t="n">
        <x:f>IF(U878="Open","",IFERROR(K878-B878,""))</x:f>
        <x:v>11</x:v>
      </x:c>
      <x:c r="Y878" s="26" t="n">
        <x:f>IF(U878="Open",Lookups!$B$2-B878,X878)</x:f>
        <x:v>11</x:v>
      </x:c>
      <x:c r="Z878" t="str">
        <x:f>IF(AND(U878="Open",Y878&gt;30),"STALE","OK")</x:f>
        <x:v>OK</x:v>
      </x:c>
      <x:c r="AA878" t="str">
        <x:f>TEXT(B878,"yyyy-mm")</x:f>
        <x:v>2026-08</x:v>
      </x:c>
      <x:c r="AB878" t="str">
        <x:f>IF(K878="","",TEXT(K878,"yyyy-mm"))</x:f>
        <x:v>2026-08</x:v>
      </x:c>
      <x:c r="AC878" t="str">
        <x:f>"Q"&amp;ROUNDUP(MONTH(B878)/3,0)&amp;"-"&amp;YEAR(B878)</x:f>
        <x:v>Q3-2026</x:v>
      </x:c>
      <x:c r="AD878" s="26" t="n">
        <x:f>MIN(100,IF(H878="Enterprise",30,IF(H878="Mid-Market",22,14))+IF(T878="Enterprise",25,IF(T878="Mid-Market",18,10))+IF(Q878="Referral",25,IF(Q878="Organic Search",20,IF(Q878="Email",18,14)))+IF(G878="Technology",10,5))</x:f>
        <x:v>43</x:v>
      </x:c>
      <x:c r="AE878" t="str">
        <x:f>IF(U878&lt;&gt;"Open",U878,IF(N878&gt;=0.8,"Commit",IF(N878&gt;=0.5,"Best Case","Pipeline")))</x:f>
        <x:v>Lost</x:v>
      </x:c>
    </x:row>
    <x:row r="879">
      <x:c r="A879" t="str">
        <x:v>L00878</x:v>
      </x:c>
      <x:c r="B879" s="10" t="n">
        <x:v>45754</x:v>
      </x:c>
      <x:c r="C879" t="str">
        <x:v>Duy Pham</x:v>
      </x:c>
      <x:c r="D879" t="str">
        <x:v>South</x:v>
      </x:c>
      <x:c r="E879" t="str">
        <x:v>Google Organic</x:v>
      </x:c>
      <x:c r="F879" t="str">
        <x:v>CRM-PRO</x:v>
      </x:c>
      <x:c r="G879" t="str">
        <x:v>Healthcare</x:v>
      </x:c>
      <x:c r="H879" t="str">
        <x:v>Mid-Market</x:v>
      </x:c>
      <x:c r="I879" t="str">
        <x:v>Negotiation</x:v>
      </x:c>
      <x:c r="J879" s="10" t="n">
        <x:v>45937</x:v>
      </x:c>
      <x:c r="K879" s="10"/>
      <x:c r="L879" s="22" t="n">
        <x:v>30100</x:v>
      </x:c>
      <x:c r="M879" s="24" t="n">
        <x:v>0.03</x:v>
      </x:c>
      <x:c r="N879" s="24" t="n">
        <x:v>0.85</x:v>
      </x:c>
      <x:c r="O879" t="str"/>
      <x:c r="P879" t="n">
        <x:v>5</x:v>
      </x:c>
      <x:c r="Q879" t="str">
        <x:f>IFERROR(XLOOKUP(E879,Lookups!$A$5:$A$24,Lookups!$B$5:$B$24),"Other")</x:f>
        <x:v>Organic Search</x:v>
      </x:c>
      <x:c r="R879" t="str">
        <x:f>IFERROR(XLOOKUP(F879,Lookups!$D$5:$D$10,Lookups!$E$5:$E$10),"Unknown Product")</x:f>
        <x:v>NexaCRM Pro</x:v>
      </x:c>
      <x:c r="S879" t="str">
        <x:f>IFERROR(XLOOKUP(F879,Lookups!$D$5:$D$10,Lookups!$F$5:$F$10),"Unknown")</x:f>
        <x:v>CRM</x:v>
      </x:c>
      <x:c r="T879" t="str">
        <x:f>IF(L879&gt;=50000,"Enterprise",IF(L879&gt;=20000,"Mid-Market","SMB"))</x:f>
        <x:v>Mid-Market</x:v>
      </x:c>
      <x:c r="U879" t="str">
        <x:f>IF(I879="Closed Won","Won",IF(I879="Closed Lost","Lost","Open"))</x:f>
        <x:v>Open</x:v>
      </x:c>
      <x:c r="V879" s="22" t="n">
        <x:f>IF(U879="Won",L879*(1-M879),0)</x:f>
        <x:v>0</x:v>
      </x:c>
      <x:c r="W879" s="22" t="n">
        <x:f>IF(U879="Open",L879*N879,0)</x:f>
        <x:v>25585</x:v>
      </x:c>
      <x:c r="X879" s="26" t="str">
        <x:f>IF(U879="Open","",IFERROR(K879-B879,""))</x:f>
      </x:c>
      <x:c r="Y879" s="26" t="n">
        <x:f>IF(U879="Open",Lookups!$B$2-B879,X879)</x:f>
        <x:v>512</x:v>
      </x:c>
      <x:c r="Z879" t="str">
        <x:f>IF(AND(U879="Open",Y879&gt;30),"STALE","OK")</x:f>
        <x:v>STALE</x:v>
      </x:c>
      <x:c r="AA879" t="str">
        <x:f>TEXT(B879,"yyyy-mm")</x:f>
        <x:v>2025-04</x:v>
      </x:c>
      <x:c r="AB879" t="str">
        <x:f>IF(K879="","",TEXT(K879,"yyyy-mm"))</x:f>
      </x:c>
      <x:c r="AC879" t="str">
        <x:f>"Q"&amp;ROUNDUP(MONTH(B879)/3,0)&amp;"-"&amp;YEAR(B879)</x:f>
        <x:v>Q2-2025</x:v>
      </x:c>
      <x:c r="AD879" s="26" t="n">
        <x:f>MIN(100,IF(H879="Enterprise",30,IF(H879="Mid-Market",22,14))+IF(T879="Enterprise",25,IF(T879="Mid-Market",18,10))+IF(Q879="Referral",25,IF(Q879="Organic Search",20,IF(Q879="Email",18,14)))+IF(G879="Technology",10,5))</x:f>
        <x:v>65</x:v>
      </x:c>
      <x:c r="AE879" t="str">
        <x:f>IF(U879&lt;&gt;"Open",U879,IF(N879&gt;=0.8,"Commit",IF(N879&gt;=0.5,"Best Case","Pipeline")))</x:f>
        <x:v>Commit</x:v>
      </x:c>
    </x:row>
    <x:row r="880">
      <x:c r="A880" t="str">
        <x:v>L00879</x:v>
      </x:c>
      <x:c r="B880" s="10" t="n">
        <x:v>45737</x:v>
      </x:c>
      <x:c r="C880" t="str">
        <x:v>Chi Le</x:v>
      </x:c>
      <x:c r="D880" t="str">
        <x:v>South</x:v>
      </x:c>
      <x:c r="E880" t="str">
        <x:v>organic search</x:v>
      </x:c>
      <x:c r="F880" t="str">
        <x:v>MKT-AUTO</x:v>
      </x:c>
      <x:c r="G880" t="str">
        <x:v>Professional Services</x:v>
      </x:c>
      <x:c r="H880" t="str">
        <x:v>Enterprise</x:v>
      </x:c>
      <x:c r="I880" t="str">
        <x:v>Closed Lost</x:v>
      </x:c>
      <x:c r="J880" s="10" t="n">
        <x:v>45812</x:v>
      </x:c>
      <x:c r="K880" s="10" t="n">
        <x:v>45812</x:v>
      </x:c>
      <x:c r="L880" s="22" t="n">
        <x:v>65200</x:v>
      </x:c>
      <x:c r="M880" s="24" t="n">
        <x:v>0</x:v>
      </x:c>
      <x:c r="N880" s="24" t="n">
        <x:v>0</x:v>
      </x:c>
      <x:c r="O880" t="str">
        <x:v>Timing</x:v>
      </x:c>
      <x:c r="P880" t="n">
        <x:v>3</x:v>
      </x:c>
      <x:c r="Q880" t="str">
        <x:f>IFERROR(XLOOKUP(E880,Lookups!$A$5:$A$24,Lookups!$B$5:$B$24),"Other")</x:f>
        <x:v>Organic Search</x:v>
      </x:c>
      <x:c r="R880" t="str">
        <x:f>IFERROR(XLOOKUP(F880,Lookups!$D$5:$D$10,Lookups!$E$5:$E$10),"Unknown Product")</x:f>
        <x:v>Marketing Automation</x:v>
      </x:c>
      <x:c r="S880" t="str">
        <x:f>IFERROR(XLOOKUP(F880,Lookups!$D$5:$D$10,Lookups!$F$5:$F$10),"Unknown")</x:f>
        <x:v>Marketing</x:v>
      </x:c>
      <x:c r="T880" t="str">
        <x:f>IF(L880&gt;=50000,"Enterprise",IF(L880&gt;=20000,"Mid-Market","SMB"))</x:f>
        <x:v>Enterprise</x:v>
      </x:c>
      <x:c r="U880" t="str">
        <x:f>IF(I880="Closed Won","Won",IF(I880="Closed Lost","Lost","Open"))</x:f>
        <x:v>Lost</x:v>
      </x:c>
      <x:c r="V880" s="22" t="n">
        <x:f>IF(U880="Won",L880*(1-M880),0)</x:f>
        <x:v>0</x:v>
      </x:c>
      <x:c r="W880" s="22" t="n">
        <x:f>IF(U880="Open",L880*N880,0)</x:f>
        <x:v>0</x:v>
      </x:c>
      <x:c r="X880" s="26" t="n">
        <x:f>IF(U880="Open","",IFERROR(K880-B880,""))</x:f>
        <x:v>75</x:v>
      </x:c>
      <x:c r="Y880" s="26" t="n">
        <x:f>IF(U880="Open",Lookups!$B$2-B880,X880)</x:f>
        <x:v>75</x:v>
      </x:c>
      <x:c r="Z880" t="str">
        <x:f>IF(AND(U880="Open",Y880&gt;30),"STALE","OK")</x:f>
        <x:v>OK</x:v>
      </x:c>
      <x:c r="AA880" t="str">
        <x:f>TEXT(B880,"yyyy-mm")</x:f>
        <x:v>2025-03</x:v>
      </x:c>
      <x:c r="AB880" t="str">
        <x:f>IF(K880="","",TEXT(K880,"yyyy-mm"))</x:f>
        <x:v>2025-06</x:v>
      </x:c>
      <x:c r="AC880" t="str">
        <x:f>"Q"&amp;ROUNDUP(MONTH(B880)/3,0)&amp;"-"&amp;YEAR(B880)</x:f>
        <x:v>Q1-2025</x:v>
      </x:c>
      <x:c r="AD880" s="26" t="n">
        <x:f>MIN(100,IF(H880="Enterprise",30,IF(H880="Mid-Market",22,14))+IF(T880="Enterprise",25,IF(T880="Mid-Market",18,10))+IF(Q880="Referral",25,IF(Q880="Organic Search",20,IF(Q880="Email",18,14)))+IF(G880="Technology",10,5))</x:f>
        <x:v>80</x:v>
      </x:c>
      <x:c r="AE880" t="str">
        <x:f>IF(U880&lt;&gt;"Open",U880,IF(N880&gt;=0.8,"Commit",IF(N880&gt;=0.5,"Best Case","Pipeline")))</x:f>
        <x:v>Lost</x:v>
      </x:c>
    </x:row>
    <x:row r="881">
      <x:c r="A881" t="str">
        <x:v>L00880</x:v>
      </x:c>
      <x:c r="B881" s="10" t="n">
        <x:v>45697</x:v>
      </x:c>
      <x:c r="C881" t="str">
        <x:v>Quynh Vu</x:v>
      </x:c>
      <x:c r="D881" t="str">
        <x:v>North</x:v>
      </x:c>
      <x:c r="E881" t="str">
        <x:v>Email Campaign</x:v>
      </x:c>
      <x:c r="F881" t="str">
        <x:v>CRM-CORE</x:v>
      </x:c>
      <x:c r="G881" t="str">
        <x:v>Healthcare</x:v>
      </x:c>
      <x:c r="H881" t="str">
        <x:v>Mid-Market</x:v>
      </x:c>
      <x:c r="I881" t="str">
        <x:v>Negotiation</x:v>
      </x:c>
      <x:c r="J881" s="10" t="n">
        <x:v>46137</x:v>
      </x:c>
      <x:c r="K881" s="10"/>
      <x:c r="L881" s="22" t="n">
        <x:v>13900</x:v>
      </x:c>
      <x:c r="M881" s="24" t="n">
        <x:v>0.05</x:v>
      </x:c>
      <x:c r="N881" s="24" t="n">
        <x:v>0.85</x:v>
      </x:c>
      <x:c r="O881" t="str"/>
      <x:c r="P881" t="n">
        <x:v>5</x:v>
      </x:c>
      <x:c r="Q881" t="str">
        <x:f>IFERROR(XLOOKUP(E881,Lookups!$A$5:$A$24,Lookups!$B$5:$B$24),"Other")</x:f>
        <x:v>Email</x:v>
      </x:c>
      <x:c r="R881" t="str">
        <x:f>IFERROR(XLOOKUP(F881,Lookups!$D$5:$D$10,Lookups!$E$5:$E$10),"Unknown Product")</x:f>
        <x:v>NexaCRM Core</x:v>
      </x:c>
      <x:c r="S881" t="str">
        <x:f>IFERROR(XLOOKUP(F881,Lookups!$D$5:$D$10,Lookups!$F$5:$F$10),"Unknown")</x:f>
        <x:v>CRM</x:v>
      </x:c>
      <x:c r="T881" t="str">
        <x:f>IF(L881&gt;=50000,"Enterprise",IF(L881&gt;=20000,"Mid-Market","SMB"))</x:f>
        <x:v>SMB</x:v>
      </x:c>
      <x:c r="U881" t="str">
        <x:f>IF(I881="Closed Won","Won",IF(I881="Closed Lost","Lost","Open"))</x:f>
        <x:v>Open</x:v>
      </x:c>
      <x:c r="V881" s="22" t="n">
        <x:f>IF(U881="Won",L881*(1-M881),0)</x:f>
        <x:v>0</x:v>
      </x:c>
      <x:c r="W881" s="22" t="n">
        <x:f>IF(U881="Open",L881*N881,0)</x:f>
        <x:v>11815</x:v>
      </x:c>
      <x:c r="X881" s="26" t="str">
        <x:f>IF(U881="Open","",IFERROR(K881-B881,""))</x:f>
      </x:c>
      <x:c r="Y881" s="26" t="n">
        <x:f>IF(U881="Open",Lookups!$B$2-B881,X881)</x:f>
        <x:v>569</x:v>
      </x:c>
      <x:c r="Z881" t="str">
        <x:f>IF(AND(U881="Open",Y881&gt;30),"STALE","OK")</x:f>
        <x:v>STALE</x:v>
      </x:c>
      <x:c r="AA881" t="str">
        <x:f>TEXT(B881,"yyyy-mm")</x:f>
        <x:v>2025-02</x:v>
      </x:c>
      <x:c r="AB881" t="str">
        <x:f>IF(K881="","",TEXT(K881,"yyyy-mm"))</x:f>
      </x:c>
      <x:c r="AC881" t="str">
        <x:f>"Q"&amp;ROUNDUP(MONTH(B881)/3,0)&amp;"-"&amp;YEAR(B881)</x:f>
        <x:v>Q1-2025</x:v>
      </x:c>
      <x:c r="AD881" s="26" t="n">
        <x:f>MIN(100,IF(H881="Enterprise",30,IF(H881="Mid-Market",22,14))+IF(T881="Enterprise",25,IF(T881="Mid-Market",18,10))+IF(Q881="Referral",25,IF(Q881="Organic Search",20,IF(Q881="Email",18,14)))+IF(G881="Technology",10,5))</x:f>
        <x:v>55</x:v>
      </x:c>
      <x:c r="AE881" t="str">
        <x:f>IF(U881&lt;&gt;"Open",U881,IF(N881&gt;=0.8,"Commit",IF(N881&gt;=0.5,"Best Case","Pipeline")))</x:f>
        <x:v>Commit</x:v>
      </x:c>
    </x:row>
    <x:row r="882">
      <x:c r="A882" t="str">
        <x:v>L00881</x:v>
      </x:c>
      <x:c r="B882" s="10" t="n">
        <x:v>45697</x:v>
      </x:c>
      <x:c r="C882" t="str">
        <x:v>Chi Le</x:v>
      </x:c>
      <x:c r="D882" t="str">
        <x:v>South</x:v>
      </x:c>
      <x:c r="E882" t="str">
        <x:v>LinkedIn Ads</x:v>
      </x:c>
      <x:c r="F882" t="str">
        <x:v>CRM-PRO</x:v>
      </x:c>
      <x:c r="G882" t="str">
        <x:v>Professional Services</x:v>
      </x:c>
      <x:c r="H882" t="str">
        <x:v>SMB</x:v>
      </x:c>
      <x:c r="I882" t="str">
        <x:v>Negotiation</x:v>
      </x:c>
      <x:c r="J882" s="10" t="n">
        <x:v>46094</x:v>
      </x:c>
      <x:c r="K882" s="10"/>
      <x:c r="L882" s="22" t="n">
        <x:v>12700</x:v>
      </x:c>
      <x:c r="M882" s="24" t="n">
        <x:v>0</x:v>
      </x:c>
      <x:c r="N882" s="24" t="n">
        <x:v>0.85</x:v>
      </x:c>
      <x:c r="O882" t="str"/>
      <x:c r="P882" t="n">
        <x:v>5</x:v>
      </x:c>
      <x:c r="Q882" t="str">
        <x:f>IFERROR(XLOOKUP(E882,Lookups!$A$5:$A$24,Lookups!$B$5:$B$24),"Other")</x:f>
        <x:v>LinkedIn</x:v>
      </x:c>
      <x:c r="R882" t="str">
        <x:f>IFERROR(XLOOKUP(F882,Lookups!$D$5:$D$10,Lookups!$E$5:$E$10),"Unknown Product")</x:f>
        <x:v>NexaCRM Pro</x:v>
      </x:c>
      <x:c r="S882" t="str">
        <x:f>IFERROR(XLOOKUP(F882,Lookups!$D$5:$D$10,Lookups!$F$5:$F$10),"Unknown")</x:f>
        <x:v>CRM</x:v>
      </x:c>
      <x:c r="T882" t="str">
        <x:f>IF(L882&gt;=50000,"Enterprise",IF(L882&gt;=20000,"Mid-Market","SMB"))</x:f>
        <x:v>SMB</x:v>
      </x:c>
      <x:c r="U882" t="str">
        <x:f>IF(I882="Closed Won","Won",IF(I882="Closed Lost","Lost","Open"))</x:f>
        <x:v>Open</x:v>
      </x:c>
      <x:c r="V882" s="22" t="n">
        <x:f>IF(U882="Won",L882*(1-M882),0)</x:f>
        <x:v>0</x:v>
      </x:c>
      <x:c r="W882" s="22" t="n">
        <x:f>IF(U882="Open",L882*N882,0)</x:f>
        <x:v>10795</x:v>
      </x:c>
      <x:c r="X882" s="26" t="str">
        <x:f>IF(U882="Open","",IFERROR(K882-B882,""))</x:f>
      </x:c>
      <x:c r="Y882" s="26" t="n">
        <x:f>IF(U882="Open",Lookups!$B$2-B882,X882)</x:f>
        <x:v>569</x:v>
      </x:c>
      <x:c r="Z882" t="str">
        <x:f>IF(AND(U882="Open",Y882&gt;30),"STALE","OK")</x:f>
        <x:v>STALE</x:v>
      </x:c>
      <x:c r="AA882" t="str">
        <x:f>TEXT(B882,"yyyy-mm")</x:f>
        <x:v>2025-02</x:v>
      </x:c>
      <x:c r="AB882" t="str">
        <x:f>IF(K882="","",TEXT(K882,"yyyy-mm"))</x:f>
      </x:c>
      <x:c r="AC882" t="str">
        <x:f>"Q"&amp;ROUNDUP(MONTH(B882)/3,0)&amp;"-"&amp;YEAR(B882)</x:f>
        <x:v>Q1-2025</x:v>
      </x:c>
      <x:c r="AD882" s="26" t="n">
        <x:f>MIN(100,IF(H882="Enterprise",30,IF(H882="Mid-Market",22,14))+IF(T882="Enterprise",25,IF(T882="Mid-Market",18,10))+IF(Q882="Referral",25,IF(Q882="Organic Search",20,IF(Q882="Email",18,14)))+IF(G882="Technology",10,5))</x:f>
        <x:v>43</x:v>
      </x:c>
      <x:c r="AE882" t="str">
        <x:f>IF(U882&lt;&gt;"Open",U882,IF(N882&gt;=0.8,"Commit",IF(N882&gt;=0.5,"Best Case","Pipeline")))</x:f>
        <x:v>Commit</x:v>
      </x:c>
    </x:row>
    <x:row r="883">
      <x:c r="A883" t="str">
        <x:v>L00882</x:v>
      </x:c>
      <x:c r="B883" s="10" t="n">
        <x:v>46154</x:v>
      </x:c>
      <x:c r="C883" t="str">
        <x:v>An Nguyen</x:v>
      </x:c>
      <x:c r="D883" t="str">
        <x:v>South</x:v>
      </x:c>
      <x:c r="E883" t="str">
        <x:v>Google Ads</x:v>
      </x:c>
      <x:c r="F883" t="str">
        <x:v>REV-OPS</x:v>
      </x:c>
      <x:c r="G883" t="str">
        <x:v>Education</x:v>
      </x:c>
      <x:c r="H883" t="str">
        <x:v>SMB</x:v>
      </x:c>
      <x:c r="I883" t="str">
        <x:v>Closed Lost</x:v>
      </x:c>
      <x:c r="J883" s="10" t="n">
        <x:v>46205</x:v>
      </x:c>
      <x:c r="K883" s="10" t="n">
        <x:v>46205</x:v>
      </x:c>
      <x:c r="L883" s="22" t="n">
        <x:v>25400</x:v>
      </x:c>
      <x:c r="M883" s="24" t="n">
        <x:v>0</x:v>
      </x:c>
      <x:c r="N883" s="24" t="n">
        <x:v>0</x:v>
      </x:c>
      <x:c r="O883" t="str">
        <x:v>Budget</x:v>
      </x:c>
      <x:c r="P883" t="n">
        <x:v>4</x:v>
      </x:c>
      <x:c r="Q883" t="str">
        <x:f>IFERROR(XLOOKUP(E883,Lookups!$A$5:$A$24,Lookups!$B$5:$B$24),"Other")</x:f>
        <x:v>Paid Search</x:v>
      </x:c>
      <x:c r="R883" t="str">
        <x:f>IFERROR(XLOOKUP(F883,Lookups!$D$5:$D$10,Lookups!$E$5:$E$10),"Unknown Product")</x:f>
        <x:v>Revenue Operations Suite</x:v>
      </x:c>
      <x:c r="S883" t="str">
        <x:f>IFERROR(XLOOKUP(F883,Lookups!$D$5:$D$10,Lookups!$F$5:$F$10),"Unknown")</x:f>
        <x:v>Revenue Ops</x:v>
      </x:c>
      <x:c r="T883" t="str">
        <x:f>IF(L883&gt;=50000,"Enterprise",IF(L883&gt;=20000,"Mid-Market","SMB"))</x:f>
        <x:v>Mid-Market</x:v>
      </x:c>
      <x:c r="U883" t="str">
        <x:f>IF(I883="Closed Won","Won",IF(I883="Closed Lost","Lost","Open"))</x:f>
        <x:v>Lost</x:v>
      </x:c>
      <x:c r="V883" s="22" t="n">
        <x:f>IF(U883="Won",L883*(1-M883),0)</x:f>
        <x:v>0</x:v>
      </x:c>
      <x:c r="W883" s="22" t="n">
        <x:f>IF(U883="Open",L883*N883,0)</x:f>
        <x:v>0</x:v>
      </x:c>
      <x:c r="X883" s="26" t="n">
        <x:f>IF(U883="Open","",IFERROR(K883-B883,""))</x:f>
        <x:v>51</x:v>
      </x:c>
      <x:c r="Y883" s="26" t="n">
        <x:f>IF(U883="Open",Lookups!$B$2-B883,X883)</x:f>
        <x:v>51</x:v>
      </x:c>
      <x:c r="Z883" t="str">
        <x:f>IF(AND(U883="Open",Y883&gt;30),"STALE","OK")</x:f>
        <x:v>OK</x:v>
      </x:c>
      <x:c r="AA883" t="str">
        <x:f>TEXT(B883,"yyyy-mm")</x:f>
        <x:v>2026-05</x:v>
      </x:c>
      <x:c r="AB883" t="str">
        <x:f>IF(K883="","",TEXT(K883,"yyyy-mm"))</x:f>
        <x:v>2026-07</x:v>
      </x:c>
      <x:c r="AC883" t="str">
        <x:f>"Q"&amp;ROUNDUP(MONTH(B883)/3,0)&amp;"-"&amp;YEAR(B883)</x:f>
        <x:v>Q2-2026</x:v>
      </x:c>
      <x:c r="AD883" s="26" t="n">
        <x:f>MIN(100,IF(H883="Enterprise",30,IF(H883="Mid-Market",22,14))+IF(T883="Enterprise",25,IF(T883="Mid-Market",18,10))+IF(Q883="Referral",25,IF(Q883="Organic Search",20,IF(Q883="Email",18,14)))+IF(G883="Technology",10,5))</x:f>
        <x:v>51</x:v>
      </x:c>
      <x:c r="AE883" t="str">
        <x:f>IF(U883&lt;&gt;"Open",U883,IF(N883&gt;=0.8,"Commit",IF(N883&gt;=0.5,"Best Case","Pipeline")))</x:f>
        <x:v>Lost</x:v>
      </x:c>
    </x:row>
    <x:row r="884">
      <x:c r="A884" t="str">
        <x:v>L00883</x:v>
      </x:c>
      <x:c r="B884" s="10" t="n">
        <x:v>45922</x:v>
      </x:c>
      <x:c r="C884" t="str">
        <x:v>Tuan Bui</x:v>
      </x:c>
      <x:c r="D884" t="str">
        <x:v>Central</x:v>
      </x:c>
      <x:c r="E884" t="str">
        <x:v>SEO</x:v>
      </x:c>
      <x:c r="F884" t="str">
        <x:v>CRM-CORE</x:v>
      </x:c>
      <x:c r="G884" t="str">
        <x:v>Education</x:v>
      </x:c>
      <x:c r="H884" t="str">
        <x:v>SMB</x:v>
      </x:c>
      <x:c r="I884" t="str">
        <x:v>Closed Lost</x:v>
      </x:c>
      <x:c r="J884" s="10" t="n">
        <x:v>45970</x:v>
      </x:c>
      <x:c r="K884" s="10" t="n">
        <x:v>45970</x:v>
      </x:c>
      <x:c r="L884" s="22" t="n">
        <x:v>7400</x:v>
      </x:c>
      <x:c r="M884" s="24" t="n">
        <x:v>0</x:v>
      </x:c>
      <x:c r="N884" s="24" t="n">
        <x:v>0</x:v>
      </x:c>
      <x:c r="O884" t="str">
        <x:v>No Decision</x:v>
      </x:c>
      <x:c r="P884" t="n">
        <x:v>4</x:v>
      </x:c>
      <x:c r="Q884" t="str">
        <x:f>IFERROR(XLOOKUP(E884,Lookups!$A$5:$A$24,Lookups!$B$5:$B$24),"Other")</x:f>
        <x:v>Organic Search</x:v>
      </x:c>
      <x:c r="R884" t="str">
        <x:f>IFERROR(XLOOKUP(F884,Lookups!$D$5:$D$10,Lookups!$E$5:$E$10),"Unknown Product")</x:f>
        <x:v>NexaCRM Core</x:v>
      </x:c>
      <x:c r="S884" t="str">
        <x:f>IFERROR(XLOOKUP(F884,Lookups!$D$5:$D$10,Lookups!$F$5:$F$10),"Unknown")</x:f>
        <x:v>CRM</x:v>
      </x:c>
      <x:c r="T884" t="str">
        <x:f>IF(L884&gt;=50000,"Enterprise",IF(L884&gt;=20000,"Mid-Market","SMB"))</x:f>
        <x:v>SMB</x:v>
      </x:c>
      <x:c r="U884" t="str">
        <x:f>IF(I884="Closed Won","Won",IF(I884="Closed Lost","Lost","Open"))</x:f>
        <x:v>Lost</x:v>
      </x:c>
      <x:c r="V884" s="22" t="n">
        <x:f>IF(U884="Won",L884*(1-M884),0)</x:f>
        <x:v>0</x:v>
      </x:c>
      <x:c r="W884" s="22" t="n">
        <x:f>IF(U884="Open",L884*N884,0)</x:f>
        <x:v>0</x:v>
      </x:c>
      <x:c r="X884" s="26" t="n">
        <x:f>IF(U884="Open","",IFERROR(K884-B884,""))</x:f>
        <x:v>48</x:v>
      </x:c>
      <x:c r="Y884" s="26" t="n">
        <x:f>IF(U884="Open",Lookups!$B$2-B884,X884)</x:f>
        <x:v>48</x:v>
      </x:c>
      <x:c r="Z884" t="str">
        <x:f>IF(AND(U884="Open",Y884&gt;30),"STALE","OK")</x:f>
        <x:v>OK</x:v>
      </x:c>
      <x:c r="AA884" t="str">
        <x:f>TEXT(B884,"yyyy-mm")</x:f>
        <x:v>2025-09</x:v>
      </x:c>
      <x:c r="AB884" t="str">
        <x:f>IF(K884="","",TEXT(K884,"yyyy-mm"))</x:f>
        <x:v>2025-11</x:v>
      </x:c>
      <x:c r="AC884" t="str">
        <x:f>"Q"&amp;ROUNDUP(MONTH(B884)/3,0)&amp;"-"&amp;YEAR(B884)</x:f>
        <x:v>Q3-2025</x:v>
      </x:c>
      <x:c r="AD884" s="26" t="n">
        <x:f>MIN(100,IF(H884="Enterprise",30,IF(H884="Mid-Market",22,14))+IF(T884="Enterprise",25,IF(T884="Mid-Market",18,10))+IF(Q884="Referral",25,IF(Q884="Organic Search",20,IF(Q884="Email",18,14)))+IF(G884="Technology",10,5))</x:f>
        <x:v>49</x:v>
      </x:c>
      <x:c r="AE884" t="str">
        <x:f>IF(U884&lt;&gt;"Open",U884,IF(N884&gt;=0.8,"Commit",IF(N884&gt;=0.5,"Best Case","Pipeline")))</x:f>
        <x:v>Lost</x:v>
      </x:c>
    </x:row>
    <x:row r="885">
      <x:c r="A885" t="str">
        <x:v>L00884</x:v>
      </x:c>
      <x:c r="B885" s="10" t="n">
        <x:v>45905</x:v>
      </x:c>
      <x:c r="C885" t="str">
        <x:v>Ha Vo</x:v>
      </x:c>
      <x:c r="D885" t="str">
        <x:v>North</x:v>
      </x:c>
      <x:c r="E885" t="str">
        <x:v>Referral</x:v>
      </x:c>
      <x:c r="F885" t="str">
        <x:v>CRM-CORE</x:v>
      </x:c>
      <x:c r="G885" t="str">
        <x:v>Professional Services</x:v>
      </x:c>
      <x:c r="H885" t="str">
        <x:v>Enterprise</x:v>
      </x:c>
      <x:c r="I885" t="str">
        <x:v>Closed Lost</x:v>
      </x:c>
      <x:c r="J885" s="10" t="n">
        <x:v>45960</x:v>
      </x:c>
      <x:c r="K885" s="10" t="n">
        <x:v>45960</x:v>
      </x:c>
      <x:c r="L885" s="22" t="n">
        <x:v>31200</x:v>
      </x:c>
      <x:c r="M885" s="24" t="n">
        <x:v>0</x:v>
      </x:c>
      <x:c r="N885" s="24" t="n">
        <x:v>0</x:v>
      </x:c>
      <x:c r="O885" t="str">
        <x:v>Price</x:v>
      </x:c>
      <x:c r="P885" t="n">
        <x:v>3</x:v>
      </x:c>
      <x:c r="Q885" t="str">
        <x:f>IFERROR(XLOOKUP(E885,Lookups!$A$5:$A$24,Lookups!$B$5:$B$24),"Other")</x:f>
        <x:v>Referral</x:v>
      </x:c>
      <x:c r="R885" t="str">
        <x:f>IFERROR(XLOOKUP(F885,Lookups!$D$5:$D$10,Lookups!$E$5:$E$10),"Unknown Product")</x:f>
        <x:v>NexaCRM Core</x:v>
      </x:c>
      <x:c r="S885" t="str">
        <x:f>IFERROR(XLOOKUP(F885,Lookups!$D$5:$D$10,Lookups!$F$5:$F$10),"Unknown")</x:f>
        <x:v>CRM</x:v>
      </x:c>
      <x:c r="T885" t="str">
        <x:f>IF(L885&gt;=50000,"Enterprise",IF(L885&gt;=20000,"Mid-Market","SMB"))</x:f>
        <x:v>Mid-Market</x:v>
      </x:c>
      <x:c r="U885" t="str">
        <x:f>IF(I885="Closed Won","Won",IF(I885="Closed Lost","Lost","Open"))</x:f>
        <x:v>Lost</x:v>
      </x:c>
      <x:c r="V885" s="22" t="n">
        <x:f>IF(U885="Won",L885*(1-M885),0)</x:f>
        <x:v>0</x:v>
      </x:c>
      <x:c r="W885" s="22" t="n">
        <x:f>IF(U885="Open",L885*N885,0)</x:f>
        <x:v>0</x:v>
      </x:c>
      <x:c r="X885" s="26" t="n">
        <x:f>IF(U885="Open","",IFERROR(K885-B885,""))</x:f>
        <x:v>55</x:v>
      </x:c>
      <x:c r="Y885" s="26" t="n">
        <x:f>IF(U885="Open",Lookups!$B$2-B885,X885)</x:f>
        <x:v>55</x:v>
      </x:c>
      <x:c r="Z885" t="str">
        <x:f>IF(AND(U885="Open",Y885&gt;30),"STALE","OK")</x:f>
        <x:v>OK</x:v>
      </x:c>
      <x:c r="AA885" t="str">
        <x:f>TEXT(B885,"yyyy-mm")</x:f>
        <x:v>2025-09</x:v>
      </x:c>
      <x:c r="AB885" t="str">
        <x:f>IF(K885="","",TEXT(K885,"yyyy-mm"))</x:f>
        <x:v>2025-10</x:v>
      </x:c>
      <x:c r="AC885" t="str">
        <x:f>"Q"&amp;ROUNDUP(MONTH(B885)/3,0)&amp;"-"&amp;YEAR(B885)</x:f>
        <x:v>Q3-2025</x:v>
      </x:c>
      <x:c r="AD885" s="26" t="n">
        <x:f>MIN(100,IF(H885="Enterprise",30,IF(H885="Mid-Market",22,14))+IF(T885="Enterprise",25,IF(T885="Mid-Market",18,10))+IF(Q885="Referral",25,IF(Q885="Organic Search",20,IF(Q885="Email",18,14)))+IF(G885="Technology",10,5))</x:f>
        <x:v>78</x:v>
      </x:c>
      <x:c r="AE885" t="str">
        <x:f>IF(U885&lt;&gt;"Open",U885,IF(N885&gt;=0.8,"Commit",IF(N885&gt;=0.5,"Best Case","Pipeline")))</x:f>
        <x:v>Lost</x:v>
      </x:c>
    </x:row>
    <x:row r="886">
      <x:c r="A886" t="str">
        <x:v>L00885</x:v>
      </x:c>
      <x:c r="B886" s="10" t="n">
        <x:v>45773</x:v>
      </x:c>
      <x:c r="C886" t="str">
        <x:v>Minh Do</x:v>
      </x:c>
      <x:c r="D886" t="str">
        <x:v>North</x:v>
      </x:c>
      <x:c r="E886" t="str">
        <x:v>newsletter</x:v>
      </x:c>
      <x:c r="F886" t="str">
        <x:v>CRM-PRO</x:v>
      </x:c>
      <x:c r="G886" t="str">
        <x:v>Retail</x:v>
      </x:c>
      <x:c r="H886" t="str">
        <x:v>Mid-Market</x:v>
      </x:c>
      <x:c r="I886" t="str">
        <x:v>Closed Lost</x:v>
      </x:c>
      <x:c r="J886" s="10" t="n">
        <x:v>45799</x:v>
      </x:c>
      <x:c r="K886" s="10" t="n">
        <x:v>45799</x:v>
      </x:c>
      <x:c r="L886" s="22" t="n">
        <x:v>31300</x:v>
      </x:c>
      <x:c r="M886" s="24" t="n">
        <x:v>0</x:v>
      </x:c>
      <x:c r="N886" s="24" t="n">
        <x:v>0</x:v>
      </x:c>
      <x:c r="O886" t="str">
        <x:v>Price</x:v>
      </x:c>
      <x:c r="P886" t="n">
        <x:v>5</x:v>
      </x:c>
      <x:c r="Q886" t="str">
        <x:f>IFERROR(XLOOKUP(E886,Lookups!$A$5:$A$24,Lookups!$B$5:$B$24),"Other")</x:f>
        <x:v>Email</x:v>
      </x:c>
      <x:c r="R886" t="str">
        <x:f>IFERROR(XLOOKUP(F886,Lookups!$D$5:$D$10,Lookups!$E$5:$E$10),"Unknown Product")</x:f>
        <x:v>NexaCRM Pro</x:v>
      </x:c>
      <x:c r="S886" t="str">
        <x:f>IFERROR(XLOOKUP(F886,Lookups!$D$5:$D$10,Lookups!$F$5:$F$10),"Unknown")</x:f>
        <x:v>CRM</x:v>
      </x:c>
      <x:c r="T886" t="str">
        <x:f>IF(L886&gt;=50000,"Enterprise",IF(L886&gt;=20000,"Mid-Market","SMB"))</x:f>
        <x:v>Mid-Market</x:v>
      </x:c>
      <x:c r="U886" t="str">
        <x:f>IF(I886="Closed Won","Won",IF(I886="Closed Lost","Lost","Open"))</x:f>
        <x:v>Lost</x:v>
      </x:c>
      <x:c r="V886" s="22" t="n">
        <x:f>IF(U886="Won",L886*(1-M886),0)</x:f>
        <x:v>0</x:v>
      </x:c>
      <x:c r="W886" s="22" t="n">
        <x:f>IF(U886="Open",L886*N886,0)</x:f>
        <x:v>0</x:v>
      </x:c>
      <x:c r="X886" s="26" t="n">
        <x:f>IF(U886="Open","",IFERROR(K886-B886,""))</x:f>
        <x:v>26</x:v>
      </x:c>
      <x:c r="Y886" s="26" t="n">
        <x:f>IF(U886="Open",Lookups!$B$2-B886,X886)</x:f>
        <x:v>26</x:v>
      </x:c>
      <x:c r="Z886" t="str">
        <x:f>IF(AND(U886="Open",Y886&gt;30),"STALE","OK")</x:f>
        <x:v>OK</x:v>
      </x:c>
      <x:c r="AA886" t="str">
        <x:f>TEXT(B886,"yyyy-mm")</x:f>
        <x:v>2025-04</x:v>
      </x:c>
      <x:c r="AB886" t="str">
        <x:f>IF(K886="","",TEXT(K886,"yyyy-mm"))</x:f>
        <x:v>2025-05</x:v>
      </x:c>
      <x:c r="AC886" t="str">
        <x:f>"Q"&amp;ROUNDUP(MONTH(B886)/3,0)&amp;"-"&amp;YEAR(B886)</x:f>
        <x:v>Q2-2025</x:v>
      </x:c>
      <x:c r="AD886" s="26" t="n">
        <x:f>MIN(100,IF(H886="Enterprise",30,IF(H886="Mid-Market",22,14))+IF(T886="Enterprise",25,IF(T886="Mid-Market",18,10))+IF(Q886="Referral",25,IF(Q886="Organic Search",20,IF(Q886="Email",18,14)))+IF(G886="Technology",10,5))</x:f>
        <x:v>63</x:v>
      </x:c>
      <x:c r="AE886" t="str">
        <x:f>IF(U886&lt;&gt;"Open",U886,IF(N886&gt;=0.8,"Commit",IF(N886&gt;=0.5,"Best Case","Pipeline")))</x:f>
        <x:v>Lost</x:v>
      </x:c>
    </x:row>
    <x:row r="887">
      <x:c r="A887" t="str">
        <x:v>L00886</x:v>
      </x:c>
      <x:c r="B887" s="10" t="n">
        <x:v>45960</x:v>
      </x:c>
      <x:c r="C887" t="str">
        <x:v>Minh Do</x:v>
      </x:c>
      <x:c r="D887" t="str">
        <x:v>North</x:v>
      </x:c>
      <x:c r="E887" t="str">
        <x:v>customer referral</x:v>
      </x:c>
      <x:c r="F887" t="str">
        <x:v>REV-OPS</x:v>
      </x:c>
      <x:c r="G887" t="str">
        <x:v>Financial Services</x:v>
      </x:c>
      <x:c r="H887" t="str">
        <x:v>Enterprise</x:v>
      </x:c>
      <x:c r="I887" t="str">
        <x:v>Closed Lost</x:v>
      </x:c>
      <x:c r="J887" s="10" t="n">
        <x:v>46003</x:v>
      </x:c>
      <x:c r="K887" s="10" t="n">
        <x:v>46003</x:v>
      </x:c>
      <x:c r="L887" s="22" t="n">
        <x:v>131500</x:v>
      </x:c>
      <x:c r="M887" s="24" t="n">
        <x:v>0</x:v>
      </x:c>
      <x:c r="N887" s="24" t="n">
        <x:v>0</x:v>
      </x:c>
      <x:c r="O887" t="str">
        <x:v>Price</x:v>
      </x:c>
      <x:c r="P887" t="n">
        <x:v>3</x:v>
      </x:c>
      <x:c r="Q887" t="str">
        <x:f>IFERROR(XLOOKUP(E887,Lookups!$A$5:$A$24,Lookups!$B$5:$B$24),"Other")</x:f>
        <x:v>Referral</x:v>
      </x:c>
      <x:c r="R887" t="str">
        <x:f>IFERROR(XLOOKUP(F887,Lookups!$D$5:$D$10,Lookups!$E$5:$E$10),"Unknown Product")</x:f>
        <x:v>Revenue Operations Suite</x:v>
      </x:c>
      <x:c r="S887" t="str">
        <x:f>IFERROR(XLOOKUP(F887,Lookups!$D$5:$D$10,Lookups!$F$5:$F$10),"Unknown")</x:f>
        <x:v>Revenue Ops</x:v>
      </x:c>
      <x:c r="T887" t="str">
        <x:f>IF(L887&gt;=50000,"Enterprise",IF(L887&gt;=20000,"Mid-Market","SMB"))</x:f>
        <x:v>Enterprise</x:v>
      </x:c>
      <x:c r="U887" t="str">
        <x:f>IF(I887="Closed Won","Won",IF(I887="Closed Lost","Lost","Open"))</x:f>
        <x:v>Lost</x:v>
      </x:c>
      <x:c r="V887" s="22" t="n">
        <x:f>IF(U887="Won",L887*(1-M887),0)</x:f>
        <x:v>0</x:v>
      </x:c>
      <x:c r="W887" s="22" t="n">
        <x:f>IF(U887="Open",L887*N887,0)</x:f>
        <x:v>0</x:v>
      </x:c>
      <x:c r="X887" s="26" t="n">
        <x:f>IF(U887="Open","",IFERROR(K887-B887,""))</x:f>
        <x:v>43</x:v>
      </x:c>
      <x:c r="Y887" s="26" t="n">
        <x:f>IF(U887="Open",Lookups!$B$2-B887,X887)</x:f>
        <x:v>43</x:v>
      </x:c>
      <x:c r="Z887" t="str">
        <x:f>IF(AND(U887="Open",Y887&gt;30),"STALE","OK")</x:f>
        <x:v>OK</x:v>
      </x:c>
      <x:c r="AA887" t="str">
        <x:f>TEXT(B887,"yyyy-mm")</x:f>
        <x:v>2025-10</x:v>
      </x:c>
      <x:c r="AB887" t="str">
        <x:f>IF(K887="","",TEXT(K887,"yyyy-mm"))</x:f>
        <x:v>2025-12</x:v>
      </x:c>
      <x:c r="AC887" t="str">
        <x:f>"Q"&amp;ROUNDUP(MONTH(B887)/3,0)&amp;"-"&amp;YEAR(B887)</x:f>
        <x:v>Q4-2025</x:v>
      </x:c>
      <x:c r="AD887" s="26" t="n">
        <x:f>MIN(100,IF(H887="Enterprise",30,IF(H887="Mid-Market",22,14))+IF(T887="Enterprise",25,IF(T887="Mid-Market",18,10))+IF(Q887="Referral",25,IF(Q887="Organic Search",20,IF(Q887="Email",18,14)))+IF(G887="Technology",10,5))</x:f>
        <x:v>85</x:v>
      </x:c>
      <x:c r="AE887" t="str">
        <x:f>IF(U887&lt;&gt;"Open",U887,IF(N887&gt;=0.8,"Commit",IF(N887&gt;=0.5,"Best Case","Pipeline")))</x:f>
        <x:v>Lost</x:v>
      </x:c>
    </x:row>
    <x:row r="888">
      <x:c r="A888" t="str">
        <x:v>L00887</x:v>
      </x:c>
      <x:c r="B888" s="10" t="n">
        <x:v>45932</x:v>
      </x:c>
      <x:c r="C888" t="str">
        <x:v>An Nguyen</x:v>
      </x:c>
      <x:c r="D888" t="str">
        <x:v>South</x:v>
      </x:c>
      <x:c r="E888" t="str">
        <x:v>Partner Referral</x:v>
      </x:c>
      <x:c r="F888" t="str">
        <x:v>CS-CLOUD</x:v>
      </x:c>
      <x:c r="G888" t="str">
        <x:v>Financial Services</x:v>
      </x:c>
      <x:c r="H888" t="str">
        <x:v>SMB</x:v>
      </x:c>
      <x:c r="I888" t="str">
        <x:v>Closed Lost</x:v>
      </x:c>
      <x:c r="J888" s="10" t="n">
        <x:v>45967</x:v>
      </x:c>
      <x:c r="K888" s="10" t="n">
        <x:v>45967</x:v>
      </x:c>
      <x:c r="L888" s="22" t="n">
        <x:v>18900</x:v>
      </x:c>
      <x:c r="M888" s="24" t="n">
        <x:v>0</x:v>
      </x:c>
      <x:c r="N888" s="24" t="n">
        <x:v>0</x:v>
      </x:c>
      <x:c r="O888" t="str">
        <x:v>No Decision</x:v>
      </x:c>
      <x:c r="P888" t="n">
        <x:v>3</x:v>
      </x:c>
      <x:c r="Q888" t="str">
        <x:f>IFERROR(XLOOKUP(E888,Lookups!$A$5:$A$24,Lookups!$B$5:$B$24),"Other")</x:f>
        <x:v>Referral</x:v>
      </x:c>
      <x:c r="R888" t="str">
        <x:f>IFERROR(XLOOKUP(F888,Lookups!$D$5:$D$10,Lookups!$E$5:$E$10),"Unknown Product")</x:f>
        <x:v>Service Cloud</x:v>
      </x:c>
      <x:c r="S888" t="str">
        <x:f>IFERROR(XLOOKUP(F888,Lookups!$D$5:$D$10,Lookups!$F$5:$F$10),"Unknown")</x:f>
        <x:v>Customer Service</x:v>
      </x:c>
      <x:c r="T888" t="str">
        <x:f>IF(L888&gt;=50000,"Enterprise",IF(L888&gt;=20000,"Mid-Market","SMB"))</x:f>
        <x:v>SMB</x:v>
      </x:c>
      <x:c r="U888" t="str">
        <x:f>IF(I888="Closed Won","Won",IF(I888="Closed Lost","Lost","Open"))</x:f>
        <x:v>Lost</x:v>
      </x:c>
      <x:c r="V888" s="22" t="n">
        <x:f>IF(U888="Won",L888*(1-M888),0)</x:f>
        <x:v>0</x:v>
      </x:c>
      <x:c r="W888" s="22" t="n">
        <x:f>IF(U888="Open",L888*N888,0)</x:f>
        <x:v>0</x:v>
      </x:c>
      <x:c r="X888" s="26" t="n">
        <x:f>IF(U888="Open","",IFERROR(K888-B888,""))</x:f>
        <x:v>35</x:v>
      </x:c>
      <x:c r="Y888" s="26" t="n">
        <x:f>IF(U888="Open",Lookups!$B$2-B888,X888)</x:f>
        <x:v>35</x:v>
      </x:c>
      <x:c r="Z888" t="str">
        <x:f>IF(AND(U888="Open",Y888&gt;30),"STALE","OK")</x:f>
        <x:v>OK</x:v>
      </x:c>
      <x:c r="AA888" t="str">
        <x:f>TEXT(B888,"yyyy-mm")</x:f>
        <x:v>2025-10</x:v>
      </x:c>
      <x:c r="AB888" t="str">
        <x:f>IF(K888="","",TEXT(K888,"yyyy-mm"))</x:f>
        <x:v>2025-11</x:v>
      </x:c>
      <x:c r="AC888" t="str">
        <x:f>"Q"&amp;ROUNDUP(MONTH(B888)/3,0)&amp;"-"&amp;YEAR(B888)</x:f>
        <x:v>Q4-2025</x:v>
      </x:c>
      <x:c r="AD888" s="26" t="n">
        <x:f>MIN(100,IF(H888="Enterprise",30,IF(H888="Mid-Market",22,14))+IF(T888="Enterprise",25,IF(T888="Mid-Market",18,10))+IF(Q888="Referral",25,IF(Q888="Organic Search",20,IF(Q888="Email",18,14)))+IF(G888="Technology",10,5))</x:f>
        <x:v>54</x:v>
      </x:c>
      <x:c r="AE888" t="str">
        <x:f>IF(U888&lt;&gt;"Open",U888,IF(N888&gt;=0.8,"Commit",IF(N888&gt;=0.5,"Best Case","Pipeline")))</x:f>
        <x:v>Lost</x:v>
      </x:c>
    </x:row>
    <x:row r="889">
      <x:c r="A889" t="str">
        <x:v>L00888</x:v>
      </x:c>
      <x:c r="B889" s="10" t="n">
        <x:v>45941</x:v>
      </x:c>
      <x:c r="C889" t="str">
        <x:v>Minh Do</x:v>
      </x:c>
      <x:c r="D889" t="str">
        <x:v>North</x:v>
      </x:c>
      <x:c r="E889" t="str">
        <x:v>organic search</x:v>
      </x:c>
      <x:c r="F889" t="str">
        <x:v>BI-PLUS</x:v>
      </x:c>
      <x:c r="G889" t="str">
        <x:v>Education</x:v>
      </x:c>
      <x:c r="H889" t="str">
        <x:v>Mid-Market</x:v>
      </x:c>
      <x:c r="I889" t="str">
        <x:v>Closed Lost</x:v>
      </x:c>
      <x:c r="J889" s="10" t="n">
        <x:v>46001</x:v>
      </x:c>
      <x:c r="K889" s="10" t="n">
        <x:v>46001</x:v>
      </x:c>
      <x:c r="L889" s="22" t="n">
        <x:v>28600</x:v>
      </x:c>
      <x:c r="M889" s="24" t="n">
        <x:v>0</x:v>
      </x:c>
      <x:c r="N889" s="24" t="n">
        <x:v>0</x:v>
      </x:c>
      <x:c r="O889" t="str">
        <x:v>Timing</x:v>
      </x:c>
      <x:c r="P889" t="n">
        <x:v>3</x:v>
      </x:c>
      <x:c r="Q889" t="str">
        <x:f>IFERROR(XLOOKUP(E889,Lookups!$A$5:$A$24,Lookups!$B$5:$B$24),"Other")</x:f>
        <x:v>Organic Search</x:v>
      </x:c>
      <x:c r="R889" t="str">
        <x:f>IFERROR(XLOOKUP(F889,Lookups!$D$5:$D$10,Lookups!$E$5:$E$10),"Unknown Product")</x:f>
        <x:v>Analytics Plus</x:v>
      </x:c>
      <x:c r="S889" t="str">
        <x:f>IFERROR(XLOOKUP(F889,Lookups!$D$5:$D$10,Lookups!$F$5:$F$10),"Unknown")</x:f>
        <x:v>Analytics</x:v>
      </x:c>
      <x:c r="T889" t="str">
        <x:f>IF(L889&gt;=50000,"Enterprise",IF(L889&gt;=20000,"Mid-Market","SMB"))</x:f>
        <x:v>Mid-Market</x:v>
      </x:c>
      <x:c r="U889" t="str">
        <x:f>IF(I889="Closed Won","Won",IF(I889="Closed Lost","Lost","Open"))</x:f>
        <x:v>Lost</x:v>
      </x:c>
      <x:c r="V889" s="22" t="n">
        <x:f>IF(U889="Won",L889*(1-M889),0)</x:f>
        <x:v>0</x:v>
      </x:c>
      <x:c r="W889" s="22" t="n">
        <x:f>IF(U889="Open",L889*N889,0)</x:f>
        <x:v>0</x:v>
      </x:c>
      <x:c r="X889" s="26" t="n">
        <x:f>IF(U889="Open","",IFERROR(K889-B889,""))</x:f>
        <x:v>60</x:v>
      </x:c>
      <x:c r="Y889" s="26" t="n">
        <x:f>IF(U889="Open",Lookups!$B$2-B889,X889)</x:f>
        <x:v>60</x:v>
      </x:c>
      <x:c r="Z889" t="str">
        <x:f>IF(AND(U889="Open",Y889&gt;30),"STALE","OK")</x:f>
        <x:v>OK</x:v>
      </x:c>
      <x:c r="AA889" t="str">
        <x:f>TEXT(B889,"yyyy-mm")</x:f>
        <x:v>2025-10</x:v>
      </x:c>
      <x:c r="AB889" t="str">
        <x:f>IF(K889="","",TEXT(K889,"yyyy-mm"))</x:f>
        <x:v>2025-12</x:v>
      </x:c>
      <x:c r="AC889" t="str">
        <x:f>"Q"&amp;ROUNDUP(MONTH(B889)/3,0)&amp;"-"&amp;YEAR(B889)</x:f>
        <x:v>Q4-2025</x:v>
      </x:c>
      <x:c r="AD889" s="26" t="n">
        <x:f>MIN(100,IF(H889="Enterprise",30,IF(H889="Mid-Market",22,14))+IF(T889="Enterprise",25,IF(T889="Mid-Market",18,10))+IF(Q889="Referral",25,IF(Q889="Organic Search",20,IF(Q889="Email",18,14)))+IF(G889="Technology",10,5))</x:f>
        <x:v>65</x:v>
      </x:c>
      <x:c r="AE889" t="str">
        <x:f>IF(U889&lt;&gt;"Open",U889,IF(N889&gt;=0.8,"Commit",IF(N889&gt;=0.5,"Best Case","Pipeline")))</x:f>
        <x:v>Lost</x:v>
      </x:c>
    </x:row>
    <x:row r="890">
      <x:c r="A890" t="str">
        <x:v>L00889</x:v>
      </x:c>
      <x:c r="B890" s="10" t="n">
        <x:v>45993</x:v>
      </x:c>
      <x:c r="C890" t="str">
        <x:v>Tuan Bui</x:v>
      </x:c>
      <x:c r="D890" t="str">
        <x:v>Central</x:v>
      </x:c>
      <x:c r="E890" t="str">
        <x:v>Google Organic</x:v>
      </x:c>
      <x:c r="F890" t="str">
        <x:v>CRM-PRO</x:v>
      </x:c>
      <x:c r="G890" t="str">
        <x:v>Education</x:v>
      </x:c>
      <x:c r="H890" t="str">
        <x:v>Mid-Market</x:v>
      </x:c>
      <x:c r="I890" t="str">
        <x:v>Negotiation</x:v>
      </x:c>
      <x:c r="J890" s="10" t="n">
        <x:v>46135</x:v>
      </x:c>
      <x:c r="K890" s="10"/>
      <x:c r="L890" s="22" t="n">
        <x:v>21600</x:v>
      </x:c>
      <x:c r="M890" s="24" t="n">
        <x:v>0</x:v>
      </x:c>
      <x:c r="N890" s="24" t="n">
        <x:v>0.85</x:v>
      </x:c>
      <x:c r="O890" t="str"/>
      <x:c r="P890" t="n">
        <x:v>5</x:v>
      </x:c>
      <x:c r="Q890" t="str">
        <x:f>IFERROR(XLOOKUP(E890,Lookups!$A$5:$A$24,Lookups!$B$5:$B$24),"Other")</x:f>
        <x:v>Organic Search</x:v>
      </x:c>
      <x:c r="R890" t="str">
        <x:f>IFERROR(XLOOKUP(F890,Lookups!$D$5:$D$10,Lookups!$E$5:$E$10),"Unknown Product")</x:f>
        <x:v>NexaCRM Pro</x:v>
      </x:c>
      <x:c r="S890" t="str">
        <x:f>IFERROR(XLOOKUP(F890,Lookups!$D$5:$D$10,Lookups!$F$5:$F$10),"Unknown")</x:f>
        <x:v>CRM</x:v>
      </x:c>
      <x:c r="T890" t="str">
        <x:f>IF(L890&gt;=50000,"Enterprise",IF(L890&gt;=20000,"Mid-Market","SMB"))</x:f>
        <x:v>Mid-Market</x:v>
      </x:c>
      <x:c r="U890" t="str">
        <x:f>IF(I890="Closed Won","Won",IF(I890="Closed Lost","Lost","Open"))</x:f>
        <x:v>Open</x:v>
      </x:c>
      <x:c r="V890" s="22" t="n">
        <x:f>IF(U890="Won",L890*(1-M890),0)</x:f>
        <x:v>0</x:v>
      </x:c>
      <x:c r="W890" s="22" t="n">
        <x:f>IF(U890="Open",L890*N890,0)</x:f>
        <x:v>18360</x:v>
      </x:c>
      <x:c r="X890" s="26" t="str">
        <x:f>IF(U890="Open","",IFERROR(K890-B890,""))</x:f>
      </x:c>
      <x:c r="Y890" s="26" t="n">
        <x:f>IF(U890="Open",Lookups!$B$2-B890,X890)</x:f>
        <x:v>273</x:v>
      </x:c>
      <x:c r="Z890" t="str">
        <x:f>IF(AND(U890="Open",Y890&gt;30),"STALE","OK")</x:f>
        <x:v>STALE</x:v>
      </x:c>
      <x:c r="AA890" t="str">
        <x:f>TEXT(B890,"yyyy-mm")</x:f>
        <x:v>2025-12</x:v>
      </x:c>
      <x:c r="AB890" t="str">
        <x:f>IF(K890="","",TEXT(K890,"yyyy-mm"))</x:f>
      </x:c>
      <x:c r="AC890" t="str">
        <x:f>"Q"&amp;ROUNDUP(MONTH(B890)/3,0)&amp;"-"&amp;YEAR(B890)</x:f>
        <x:v>Q4-2025</x:v>
      </x:c>
      <x:c r="AD890" s="26" t="n">
        <x:f>MIN(100,IF(H890="Enterprise",30,IF(H890="Mid-Market",22,14))+IF(T890="Enterprise",25,IF(T890="Mid-Market",18,10))+IF(Q890="Referral",25,IF(Q890="Organic Search",20,IF(Q890="Email",18,14)))+IF(G890="Technology",10,5))</x:f>
        <x:v>65</x:v>
      </x:c>
      <x:c r="AE890" t="str">
        <x:f>IF(U890&lt;&gt;"Open",U890,IF(N890&gt;=0.8,"Commit",IF(N890&gt;=0.5,"Best Case","Pipeline")))</x:f>
        <x:v>Commit</x:v>
      </x:c>
    </x:row>
    <x:row r="891">
      <x:c r="A891" t="str">
        <x:v>L00890</x:v>
      </x:c>
      <x:c r="B891" s="10" t="n">
        <x:v>45868</x:v>
      </x:c>
      <x:c r="C891" t="str">
        <x:v>Minh Do</x:v>
      </x:c>
      <x:c r="D891" t="str">
        <x:v>North</x:v>
      </x:c>
      <x:c r="E891" t="str">
        <x:v>newsletter</x:v>
      </x:c>
      <x:c r="F891" t="str">
        <x:v>MKT-AUTO</x:v>
      </x:c>
      <x:c r="G891" t="str">
        <x:v>Technology</x:v>
      </x:c>
      <x:c r="H891" t="str">
        <x:v>Mid-Market</x:v>
      </x:c>
      <x:c r="I891" t="str">
        <x:v>Closed Lost</x:v>
      </x:c>
      <x:c r="J891" s="10" t="n">
        <x:v>45928</x:v>
      </x:c>
      <x:c r="K891" s="10" t="n">
        <x:v>45928</x:v>
      </x:c>
      <x:c r="L891" s="22" t="n">
        <x:v>17300</x:v>
      </x:c>
      <x:c r="M891" s="24" t="n">
        <x:v>0</x:v>
      </x:c>
      <x:c r="N891" s="24" t="n">
        <x:v>0</x:v>
      </x:c>
      <x:c r="O891" t="str">
        <x:v>Price</x:v>
      </x:c>
      <x:c r="P891" t="n">
        <x:v>4</x:v>
      </x:c>
      <x:c r="Q891" t="str">
        <x:f>IFERROR(XLOOKUP(E891,Lookups!$A$5:$A$24,Lookups!$B$5:$B$24),"Other")</x:f>
        <x:v>Email</x:v>
      </x:c>
      <x:c r="R891" t="str">
        <x:f>IFERROR(XLOOKUP(F891,Lookups!$D$5:$D$10,Lookups!$E$5:$E$10),"Unknown Product")</x:f>
        <x:v>Marketing Automation</x:v>
      </x:c>
      <x:c r="S891" t="str">
        <x:f>IFERROR(XLOOKUP(F891,Lookups!$D$5:$D$10,Lookups!$F$5:$F$10),"Unknown")</x:f>
        <x:v>Marketing</x:v>
      </x:c>
      <x:c r="T891" t="str">
        <x:f>IF(L891&gt;=50000,"Enterprise",IF(L891&gt;=20000,"Mid-Market","SMB"))</x:f>
        <x:v>SMB</x:v>
      </x:c>
      <x:c r="U891" t="str">
        <x:f>IF(I891="Closed Won","Won",IF(I891="Closed Lost","Lost","Open"))</x:f>
        <x:v>Lost</x:v>
      </x:c>
      <x:c r="V891" s="22" t="n">
        <x:f>IF(U891="Won",L891*(1-M891),0)</x:f>
        <x:v>0</x:v>
      </x:c>
      <x:c r="W891" s="22" t="n">
        <x:f>IF(U891="Open",L891*N891,0)</x:f>
        <x:v>0</x:v>
      </x:c>
      <x:c r="X891" s="26" t="n">
        <x:f>IF(U891="Open","",IFERROR(K891-B891,""))</x:f>
        <x:v>60</x:v>
      </x:c>
      <x:c r="Y891" s="26" t="n">
        <x:f>IF(U891="Open",Lookups!$B$2-B891,X891)</x:f>
        <x:v>60</x:v>
      </x:c>
      <x:c r="Z891" t="str">
        <x:f>IF(AND(U891="Open",Y891&gt;30),"STALE","OK")</x:f>
        <x:v>OK</x:v>
      </x:c>
      <x:c r="AA891" t="str">
        <x:f>TEXT(B891,"yyyy-mm")</x:f>
        <x:v>2025-07</x:v>
      </x:c>
      <x:c r="AB891" t="str">
        <x:f>IF(K891="","",TEXT(K891,"yyyy-mm"))</x:f>
        <x:v>2025-09</x:v>
      </x:c>
      <x:c r="AC891" t="str">
        <x:f>"Q"&amp;ROUNDUP(MONTH(B891)/3,0)&amp;"-"&amp;YEAR(B891)</x:f>
        <x:v>Q3-2025</x:v>
      </x:c>
      <x:c r="AD891" s="26" t="n">
        <x:f>MIN(100,IF(H891="Enterprise",30,IF(H891="Mid-Market",22,14))+IF(T891="Enterprise",25,IF(T891="Mid-Market",18,10))+IF(Q891="Referral",25,IF(Q891="Organic Search",20,IF(Q891="Email",18,14)))+IF(G891="Technology",10,5))</x:f>
        <x:v>60</x:v>
      </x:c>
      <x:c r="AE891" t="str">
        <x:f>IF(U891&lt;&gt;"Open",U891,IF(N891&gt;=0.8,"Commit",IF(N891&gt;=0.5,"Best Case","Pipeline")))</x:f>
        <x:v>Lost</x:v>
      </x:c>
    </x:row>
    <x:row r="892">
      <x:c r="A892" t="str">
        <x:v>L00891</x:v>
      </x:c>
      <x:c r="B892" s="10" t="n">
        <x:v>46042</x:v>
      </x:c>
      <x:c r="C892" t="str">
        <x:v>Quynh Vu</x:v>
      </x:c>
      <x:c r="D892" t="str">
        <x:v>North</x:v>
      </x:c>
      <x:c r="E892" t="str">
        <x:v>SDR Outreach</x:v>
      </x:c>
      <x:c r="F892" t="str">
        <x:v>CRM-CORE</x:v>
      </x:c>
      <x:c r="G892" t="str">
        <x:v>Manufacturing</x:v>
      </x:c>
      <x:c r="H892" t="str">
        <x:v>SMB</x:v>
      </x:c>
      <x:c r="I892" t="str">
        <x:v>Negotiation</x:v>
      </x:c>
      <x:c r="J892" s="10" t="n">
        <x:v>46127</x:v>
      </x:c>
      <x:c r="K892" s="10"/>
      <x:c r="L892" s="22" t="n">
        <x:v>5300</x:v>
      </x:c>
      <x:c r="M892" s="24" t="n">
        <x:v>0.05</x:v>
      </x:c>
      <x:c r="N892" s="24" t="n">
        <x:v>0.85</x:v>
      </x:c>
      <x:c r="O892" t="str"/>
      <x:c r="P892" t="n">
        <x:v>5</x:v>
      </x:c>
      <x:c r="Q892" t="str">
        <x:f>IFERROR(XLOOKUP(E892,Lookups!$A$5:$A$24,Lookups!$B$5:$B$24),"Other")</x:f>
        <x:v>Outbound</x:v>
      </x:c>
      <x:c r="R892" t="str">
        <x:f>IFERROR(XLOOKUP(F892,Lookups!$D$5:$D$10,Lookups!$E$5:$E$10),"Unknown Product")</x:f>
        <x:v>NexaCRM Core</x:v>
      </x:c>
      <x:c r="S892" t="str">
        <x:f>IFERROR(XLOOKUP(F892,Lookups!$D$5:$D$10,Lookups!$F$5:$F$10),"Unknown")</x:f>
        <x:v>CRM</x:v>
      </x:c>
      <x:c r="T892" t="str">
        <x:f>IF(L892&gt;=50000,"Enterprise",IF(L892&gt;=20000,"Mid-Market","SMB"))</x:f>
        <x:v>SMB</x:v>
      </x:c>
      <x:c r="U892" t="str">
        <x:f>IF(I892="Closed Won","Won",IF(I892="Closed Lost","Lost","Open"))</x:f>
        <x:v>Open</x:v>
      </x:c>
      <x:c r="V892" s="22" t="n">
        <x:f>IF(U892="Won",L892*(1-M892),0)</x:f>
        <x:v>0</x:v>
      </x:c>
      <x:c r="W892" s="22" t="n">
        <x:f>IF(U892="Open",L892*N892,0)</x:f>
        <x:v>4505</x:v>
      </x:c>
      <x:c r="X892" s="26" t="str">
        <x:f>IF(U892="Open","",IFERROR(K892-B892,""))</x:f>
      </x:c>
      <x:c r="Y892" s="26" t="n">
        <x:f>IF(U892="Open",Lookups!$B$2-B892,X892)</x:f>
        <x:v>224</x:v>
      </x:c>
      <x:c r="Z892" t="str">
        <x:f>IF(AND(U892="Open",Y892&gt;30),"STALE","OK")</x:f>
        <x:v>STALE</x:v>
      </x:c>
      <x:c r="AA892" t="str">
        <x:f>TEXT(B892,"yyyy-mm")</x:f>
        <x:v>2026-01</x:v>
      </x:c>
      <x:c r="AB892" t="str">
        <x:f>IF(K892="","",TEXT(K892,"yyyy-mm"))</x:f>
      </x:c>
      <x:c r="AC892" t="str">
        <x:f>"Q"&amp;ROUNDUP(MONTH(B892)/3,0)&amp;"-"&amp;YEAR(B892)</x:f>
        <x:v>Q1-2026</x:v>
      </x:c>
      <x:c r="AD892" s="26" t="n">
        <x:f>MIN(100,IF(H892="Enterprise",30,IF(H892="Mid-Market",22,14))+IF(T892="Enterprise",25,IF(T892="Mid-Market",18,10))+IF(Q892="Referral",25,IF(Q892="Organic Search",20,IF(Q892="Email",18,14)))+IF(G892="Technology",10,5))</x:f>
        <x:v>43</x:v>
      </x:c>
      <x:c r="AE892" t="str">
        <x:f>IF(U892&lt;&gt;"Open",U892,IF(N892&gt;=0.8,"Commit",IF(N892&gt;=0.5,"Best Case","Pipeline")))</x:f>
        <x:v>Commit</x:v>
      </x:c>
    </x:row>
    <x:row r="893">
      <x:c r="A893" t="str">
        <x:v>L00892</x:v>
      </x:c>
      <x:c r="B893" s="10" t="n">
        <x:v>45930</x:v>
      </x:c>
      <x:c r="C893" t="str">
        <x:v>Duy Pham</x:v>
      </x:c>
      <x:c r="D893" t="str">
        <x:v>South</x:v>
      </x:c>
      <x:c r="E893" t="str">
        <x:v>Webinar</x:v>
      </x:c>
      <x:c r="F893" t="str">
        <x:v>CRM-PRO</x:v>
      </x:c>
      <x:c r="G893" t="str">
        <x:v>Manufacturing</x:v>
      </x:c>
      <x:c r="H893" t="str">
        <x:v>SMB</x:v>
      </x:c>
      <x:c r="I893" t="str">
        <x:v>Closed Won</x:v>
      </x:c>
      <x:c r="J893" s="10" t="n">
        <x:v>45975</x:v>
      </x:c>
      <x:c r="K893" s="10" t="n">
        <x:v>45975</x:v>
      </x:c>
      <x:c r="L893" s="22" t="n">
        <x:v>18100</x:v>
      </x:c>
      <x:c r="M893" s="24" t="n">
        <x:v>0.03</x:v>
      </x:c>
      <x:c r="N893" s="24" t="n">
        <x:v>1</x:v>
      </x:c>
      <x:c r="O893" t="str"/>
      <x:c r="P893" t="n">
        <x:v>6</x:v>
      </x:c>
      <x:c r="Q893" t="str">
        <x:f>IFERROR(XLOOKUP(E893,Lookups!$A$5:$A$24,Lookups!$B$5:$B$24),"Other")</x:f>
        <x:v>Webinar</x:v>
      </x:c>
      <x:c r="R893" t="str">
        <x:f>IFERROR(XLOOKUP(F893,Lookups!$D$5:$D$10,Lookups!$E$5:$E$10),"Unknown Product")</x:f>
        <x:v>NexaCRM Pro</x:v>
      </x:c>
      <x:c r="S893" t="str">
        <x:f>IFERROR(XLOOKUP(F893,Lookups!$D$5:$D$10,Lookups!$F$5:$F$10),"Unknown")</x:f>
        <x:v>CRM</x:v>
      </x:c>
      <x:c r="T893" t="str">
        <x:f>IF(L893&gt;=50000,"Enterprise",IF(L893&gt;=20000,"Mid-Market","SMB"))</x:f>
        <x:v>SMB</x:v>
      </x:c>
      <x:c r="U893" t="str">
        <x:f>IF(I893="Closed Won","Won",IF(I893="Closed Lost","Lost","Open"))</x:f>
        <x:v>Won</x:v>
      </x:c>
      <x:c r="V893" s="22" t="n">
        <x:f>IF(U893="Won",L893*(1-M893),0)</x:f>
        <x:v>17557</x:v>
      </x:c>
      <x:c r="W893" s="22" t="n">
        <x:f>IF(U893="Open",L893*N893,0)</x:f>
        <x:v>0</x:v>
      </x:c>
      <x:c r="X893" s="26" t="n">
        <x:f>IF(U893="Open","",IFERROR(K893-B893,""))</x:f>
        <x:v>45</x:v>
      </x:c>
      <x:c r="Y893" s="26" t="n">
        <x:f>IF(U893="Open",Lookups!$B$2-B893,X893)</x:f>
        <x:v>45</x:v>
      </x:c>
      <x:c r="Z893" t="str">
        <x:f>IF(AND(U893="Open",Y893&gt;30),"STALE","OK")</x:f>
        <x:v>OK</x:v>
      </x:c>
      <x:c r="AA893" t="str">
        <x:f>TEXT(B893,"yyyy-mm")</x:f>
        <x:v>2025-09</x:v>
      </x:c>
      <x:c r="AB893" t="str">
        <x:f>IF(K893="","",TEXT(K893,"yyyy-mm"))</x:f>
        <x:v>2025-11</x:v>
      </x:c>
      <x:c r="AC893" t="str">
        <x:f>"Q"&amp;ROUNDUP(MONTH(B893)/3,0)&amp;"-"&amp;YEAR(B893)</x:f>
        <x:v>Q3-2025</x:v>
      </x:c>
      <x:c r="AD893" s="26" t="n">
        <x:f>MIN(100,IF(H893="Enterprise",30,IF(H893="Mid-Market",22,14))+IF(T893="Enterprise",25,IF(T893="Mid-Market",18,10))+IF(Q893="Referral",25,IF(Q893="Organic Search",20,IF(Q893="Email",18,14)))+IF(G893="Technology",10,5))</x:f>
        <x:v>43</x:v>
      </x:c>
      <x:c r="AE893" t="str">
        <x:f>IF(U893&lt;&gt;"Open",U893,IF(N893&gt;=0.8,"Commit",IF(N893&gt;=0.5,"Best Case","Pipeline")))</x:f>
        <x:v>Won</x:v>
      </x:c>
    </x:row>
    <x:row r="894">
      <x:c r="A894" t="str">
        <x:v>L00893</x:v>
      </x:c>
      <x:c r="B894" s="10" t="n">
        <x:v>46054</x:v>
      </x:c>
      <x:c r="C894" t="str">
        <x:v>Ha Vo</x:v>
      </x:c>
      <x:c r="D894" t="str">
        <x:v>North</x:v>
      </x:c>
      <x:c r="E894" t="str">
        <x:v>linkedin</x:v>
      </x:c>
      <x:c r="F894" t="str">
        <x:v>MKT-AUTO</x:v>
      </x:c>
      <x:c r="G894" t="str">
        <x:v>Technology</x:v>
      </x:c>
      <x:c r="H894" t="str">
        <x:v>SMB</x:v>
      </x:c>
      <x:c r="I894" t="str">
        <x:v>Closed Lost</x:v>
      </x:c>
      <x:c r="J894" s="10" t="n">
        <x:v>46089</x:v>
      </x:c>
      <x:c r="K894" s="10" t="n">
        <x:v>46089</x:v>
      </x:c>
      <x:c r="L894" s="22" t="n">
        <x:v>20200</x:v>
      </x:c>
      <x:c r="M894" s="24" t="n">
        <x:v>0</x:v>
      </x:c>
      <x:c r="N894" s="24" t="n">
        <x:v>0</x:v>
      </x:c>
      <x:c r="O894" t="str">
        <x:v>No Decision</x:v>
      </x:c>
      <x:c r="P894" t="n">
        <x:v>5</x:v>
      </x:c>
      <x:c r="Q894" t="str">
        <x:f>IFERROR(XLOOKUP(E894,Lookups!$A$5:$A$24,Lookups!$B$5:$B$24),"Other")</x:f>
        <x:v>LinkedIn</x:v>
      </x:c>
      <x:c r="R894" t="str">
        <x:f>IFERROR(XLOOKUP(F894,Lookups!$D$5:$D$10,Lookups!$E$5:$E$10),"Unknown Product")</x:f>
        <x:v>Marketing Automation</x:v>
      </x:c>
      <x:c r="S894" t="str">
        <x:f>IFERROR(XLOOKUP(F894,Lookups!$D$5:$D$10,Lookups!$F$5:$F$10),"Unknown")</x:f>
        <x:v>Marketing</x:v>
      </x:c>
      <x:c r="T894" t="str">
        <x:f>IF(L894&gt;=50000,"Enterprise",IF(L894&gt;=20000,"Mid-Market","SMB"))</x:f>
        <x:v>Mid-Market</x:v>
      </x:c>
      <x:c r="U894" t="str">
        <x:f>IF(I894="Closed Won","Won",IF(I894="Closed Lost","Lost","Open"))</x:f>
        <x:v>Lost</x:v>
      </x:c>
      <x:c r="V894" s="22" t="n">
        <x:f>IF(U894="Won",L894*(1-M894),0)</x:f>
        <x:v>0</x:v>
      </x:c>
      <x:c r="W894" s="22" t="n">
        <x:f>IF(U894="Open",L894*N894,0)</x:f>
        <x:v>0</x:v>
      </x:c>
      <x:c r="X894" s="26" t="n">
        <x:f>IF(U894="Open","",IFERROR(K894-B894,""))</x:f>
        <x:v>35</x:v>
      </x:c>
      <x:c r="Y894" s="26" t="n">
        <x:f>IF(U894="Open",Lookups!$B$2-B894,X894)</x:f>
        <x:v>35</x:v>
      </x:c>
      <x:c r="Z894" t="str">
        <x:f>IF(AND(U894="Open",Y894&gt;30),"STALE","OK")</x:f>
        <x:v>OK</x:v>
      </x:c>
      <x:c r="AA894" t="str">
        <x:f>TEXT(B894,"yyyy-mm")</x:f>
        <x:v>2026-02</x:v>
      </x:c>
      <x:c r="AB894" t="str">
        <x:f>IF(K894="","",TEXT(K894,"yyyy-mm"))</x:f>
        <x:v>2026-03</x:v>
      </x:c>
      <x:c r="AC894" t="str">
        <x:f>"Q"&amp;ROUNDUP(MONTH(B894)/3,0)&amp;"-"&amp;YEAR(B894)</x:f>
        <x:v>Q1-2026</x:v>
      </x:c>
      <x:c r="AD894" s="26" t="n">
        <x:f>MIN(100,IF(H894="Enterprise",30,IF(H894="Mid-Market",22,14))+IF(T894="Enterprise",25,IF(T894="Mid-Market",18,10))+IF(Q894="Referral",25,IF(Q894="Organic Search",20,IF(Q894="Email",18,14)))+IF(G894="Technology",10,5))</x:f>
        <x:v>56</x:v>
      </x:c>
      <x:c r="AE894" t="str">
        <x:f>IF(U894&lt;&gt;"Open",U894,IF(N894&gt;=0.8,"Commit",IF(N894&gt;=0.5,"Best Case","Pipeline")))</x:f>
        <x:v>Lost</x:v>
      </x:c>
    </x:row>
    <x:row r="895">
      <x:c r="A895" t="str">
        <x:v>L00894</x:v>
      </x:c>
      <x:c r="B895" s="10" t="n">
        <x:v>45968</x:v>
      </x:c>
      <x:c r="C895" t="str">
        <x:v>Chi Le</x:v>
      </x:c>
      <x:c r="D895" t="str">
        <x:v>South</x:v>
      </x:c>
      <x:c r="E895" t="str">
        <x:v>SDR Outreach</x:v>
      </x:c>
      <x:c r="F895" t="str">
        <x:v>CRM-PRO</x:v>
      </x:c>
      <x:c r="G895" t="str">
        <x:v>Retail</x:v>
      </x:c>
      <x:c r="H895" t="str">
        <x:v>Enterprise</x:v>
      </x:c>
      <x:c r="I895" t="str">
        <x:v>Closed Lost</x:v>
      </x:c>
      <x:c r="J895" s="10" t="n">
        <x:v>45997</x:v>
      </x:c>
      <x:c r="K895" s="10" t="n">
        <x:v>45997</x:v>
      </x:c>
      <x:c r="L895" s="22" t="n">
        <x:v>77500</x:v>
      </x:c>
      <x:c r="M895" s="24" t="n">
        <x:v>0</x:v>
      </x:c>
      <x:c r="N895" s="24" t="n">
        <x:v>0</x:v>
      </x:c>
      <x:c r="O895" t="str">
        <x:v>No Decision</x:v>
      </x:c>
      <x:c r="P895" t="n">
        <x:v>2</x:v>
      </x:c>
      <x:c r="Q895" t="str">
        <x:f>IFERROR(XLOOKUP(E895,Lookups!$A$5:$A$24,Lookups!$B$5:$B$24),"Other")</x:f>
        <x:v>Outbound</x:v>
      </x:c>
      <x:c r="R895" t="str">
        <x:f>IFERROR(XLOOKUP(F895,Lookups!$D$5:$D$10,Lookups!$E$5:$E$10),"Unknown Product")</x:f>
        <x:v>NexaCRM Pro</x:v>
      </x:c>
      <x:c r="S895" t="str">
        <x:f>IFERROR(XLOOKUP(F895,Lookups!$D$5:$D$10,Lookups!$F$5:$F$10),"Unknown")</x:f>
        <x:v>CRM</x:v>
      </x:c>
      <x:c r="T895" t="str">
        <x:f>IF(L895&gt;=50000,"Enterprise",IF(L895&gt;=20000,"Mid-Market","SMB"))</x:f>
        <x:v>Enterprise</x:v>
      </x:c>
      <x:c r="U895" t="str">
        <x:f>IF(I895="Closed Won","Won",IF(I895="Closed Lost","Lost","Open"))</x:f>
        <x:v>Lost</x:v>
      </x:c>
      <x:c r="V895" s="22" t="n">
        <x:f>IF(U895="Won",L895*(1-M895),0)</x:f>
        <x:v>0</x:v>
      </x:c>
      <x:c r="W895" s="22" t="n">
        <x:f>IF(U895="Open",L895*N895,0)</x:f>
        <x:v>0</x:v>
      </x:c>
      <x:c r="X895" s="26" t="n">
        <x:f>IF(U895="Open","",IFERROR(K895-B895,""))</x:f>
        <x:v>29</x:v>
      </x:c>
      <x:c r="Y895" s="26" t="n">
        <x:f>IF(U895="Open",Lookups!$B$2-B895,X895)</x:f>
        <x:v>29</x:v>
      </x:c>
      <x:c r="Z895" t="str">
        <x:f>IF(AND(U895="Open",Y895&gt;30),"STALE","OK")</x:f>
        <x:v>OK</x:v>
      </x:c>
      <x:c r="AA895" t="str">
        <x:f>TEXT(B895,"yyyy-mm")</x:f>
        <x:v>2025-11</x:v>
      </x:c>
      <x:c r="AB895" t="str">
        <x:f>IF(K895="","",TEXT(K895,"yyyy-mm"))</x:f>
        <x:v>2025-12</x:v>
      </x:c>
      <x:c r="AC895" t="str">
        <x:f>"Q"&amp;ROUNDUP(MONTH(B895)/3,0)&amp;"-"&amp;YEAR(B895)</x:f>
        <x:v>Q4-2025</x:v>
      </x:c>
      <x:c r="AD895" s="26" t="n">
        <x:f>MIN(100,IF(H895="Enterprise",30,IF(H895="Mid-Market",22,14))+IF(T895="Enterprise",25,IF(T895="Mid-Market",18,10))+IF(Q895="Referral",25,IF(Q895="Organic Search",20,IF(Q895="Email",18,14)))+IF(G895="Technology",10,5))</x:f>
        <x:v>74</x:v>
      </x:c>
      <x:c r="AE895" t="str">
        <x:f>IF(U895&lt;&gt;"Open",U895,IF(N895&gt;=0.8,"Commit",IF(N895&gt;=0.5,"Best Case","Pipeline")))</x:f>
        <x:v>Lost</x:v>
      </x:c>
    </x:row>
    <x:row r="896">
      <x:c r="A896" t="str">
        <x:v>L00895</x:v>
      </x:c>
      <x:c r="B896" s="10" t="n">
        <x:v>46219</x:v>
      </x:c>
      <x:c r="C896" t="str">
        <x:v>Duy Pham</x:v>
      </x:c>
      <x:c r="D896" t="str">
        <x:v>South</x:v>
      </x:c>
      <x:c r="E896" t="str">
        <x:v>Google Organic</x:v>
      </x:c>
      <x:c r="F896" t="str">
        <x:v>REV-OPS</x:v>
      </x:c>
      <x:c r="G896" t="str">
        <x:v>Education</x:v>
      </x:c>
      <x:c r="H896" t="str">
        <x:v>Mid-Market</x:v>
      </x:c>
      <x:c r="I896" t="str">
        <x:v>Qualified</x:v>
      </x:c>
      <x:c r="J896" s="10" t="n">
        <x:v>46250</x:v>
      </x:c>
      <x:c r="K896" s="10"/>
      <x:c r="L896" s="22" t="n">
        <x:v>53400</x:v>
      </x:c>
      <x:c r="M896" s="24" t="n">
        <x:v>0.05</x:v>
      </x:c>
      <x:c r="N896" s="24" t="n">
        <x:v>0.2</x:v>
      </x:c>
      <x:c r="O896" t="str"/>
      <x:c r="P896" t="n">
        <x:v>2</x:v>
      </x:c>
      <x:c r="Q896" t="str">
        <x:f>IFERROR(XLOOKUP(E896,Lookups!$A$5:$A$24,Lookups!$B$5:$B$24),"Other")</x:f>
        <x:v>Organic Search</x:v>
      </x:c>
      <x:c r="R896" t="str">
        <x:f>IFERROR(XLOOKUP(F896,Lookups!$D$5:$D$10,Lookups!$E$5:$E$10),"Unknown Product")</x:f>
        <x:v>Revenue Operations Suite</x:v>
      </x:c>
      <x:c r="S896" t="str">
        <x:f>IFERROR(XLOOKUP(F896,Lookups!$D$5:$D$10,Lookups!$F$5:$F$10),"Unknown")</x:f>
        <x:v>Revenue Ops</x:v>
      </x:c>
      <x:c r="T896" t="str">
        <x:f>IF(L896&gt;=50000,"Enterprise",IF(L896&gt;=20000,"Mid-Market","SMB"))</x:f>
        <x:v>Enterprise</x:v>
      </x:c>
      <x:c r="U896" t="str">
        <x:f>IF(I896="Closed Won","Won",IF(I896="Closed Lost","Lost","Open"))</x:f>
        <x:v>Open</x:v>
      </x:c>
      <x:c r="V896" s="22" t="n">
        <x:f>IF(U896="Won",L896*(1-M896),0)</x:f>
        <x:v>0</x:v>
      </x:c>
      <x:c r="W896" s="22" t="n">
        <x:f>IF(U896="Open",L896*N896,0)</x:f>
        <x:v>10680</x:v>
      </x:c>
      <x:c r="X896" s="26" t="str">
        <x:f>IF(U896="Open","",IFERROR(K896-B896,""))</x:f>
      </x:c>
      <x:c r="Y896" s="26" t="n">
        <x:f>IF(U896="Open",Lookups!$B$2-B896,X896)</x:f>
        <x:v>47</x:v>
      </x:c>
      <x:c r="Z896" t="str">
        <x:f>IF(AND(U896="Open",Y896&gt;30),"STALE","OK")</x:f>
        <x:v>STALE</x:v>
      </x:c>
      <x:c r="AA896" t="str">
        <x:f>TEXT(B896,"yyyy-mm")</x:f>
        <x:v>2026-07</x:v>
      </x:c>
      <x:c r="AB896" t="str">
        <x:f>IF(K896="","",TEXT(K896,"yyyy-mm"))</x:f>
      </x:c>
      <x:c r="AC896" t="str">
        <x:f>"Q"&amp;ROUNDUP(MONTH(B896)/3,0)&amp;"-"&amp;YEAR(B896)</x:f>
        <x:v>Q3-2026</x:v>
      </x:c>
      <x:c r="AD896" s="26" t="n">
        <x:f>MIN(100,IF(H896="Enterprise",30,IF(H896="Mid-Market",22,14))+IF(T896="Enterprise",25,IF(T896="Mid-Market",18,10))+IF(Q896="Referral",25,IF(Q896="Organic Search",20,IF(Q896="Email",18,14)))+IF(G896="Technology",10,5))</x:f>
        <x:v>72</x:v>
      </x:c>
      <x:c r="AE896" t="str">
        <x:f>IF(U896&lt;&gt;"Open",U896,IF(N896&gt;=0.8,"Commit",IF(N896&gt;=0.5,"Best Case","Pipeline")))</x:f>
        <x:v>Pipeline</x:v>
      </x:c>
    </x:row>
    <x:row r="897">
      <x:c r="A897" t="str">
        <x:v>L00896</x:v>
      </x:c>
      <x:c r="B897" s="10" t="n">
        <x:v>45805</x:v>
      </x:c>
      <x:c r="C897" t="str">
        <x:v>Chi Le</x:v>
      </x:c>
      <x:c r="D897" t="str">
        <x:v>South</x:v>
      </x:c>
      <x:c r="E897" t="str">
        <x:v>Google Organic</x:v>
      </x:c>
      <x:c r="F897" t="str">
        <x:v>MKT-AUTO</x:v>
      </x:c>
      <x:c r="G897" t="str">
        <x:v>Manufacturing</x:v>
      </x:c>
      <x:c r="H897" t="str">
        <x:v>Mid-Market</x:v>
      </x:c>
      <x:c r="I897" t="str">
        <x:v>Negotiation</x:v>
      </x:c>
      <x:c r="J897" s="10" t="n">
        <x:v>46168</x:v>
      </x:c>
      <x:c r="K897" s="10"/>
      <x:c r="L897" s="22" t="n">
        <x:v>23700</x:v>
      </x:c>
      <x:c r="M897" s="24" t="n">
        <x:v>0</x:v>
      </x:c>
      <x:c r="N897" s="24" t="n">
        <x:v>0.85</x:v>
      </x:c>
      <x:c r="O897" t="str"/>
      <x:c r="P897" t="n">
        <x:v>5</x:v>
      </x:c>
      <x:c r="Q897" t="str">
        <x:f>IFERROR(XLOOKUP(E897,Lookups!$A$5:$A$24,Lookups!$B$5:$B$24),"Other")</x:f>
        <x:v>Organic Search</x:v>
      </x:c>
      <x:c r="R897" t="str">
        <x:f>IFERROR(XLOOKUP(F897,Lookups!$D$5:$D$10,Lookups!$E$5:$E$10),"Unknown Product")</x:f>
        <x:v>Marketing Automation</x:v>
      </x:c>
      <x:c r="S897" t="str">
        <x:f>IFERROR(XLOOKUP(F897,Lookups!$D$5:$D$10,Lookups!$F$5:$F$10),"Unknown")</x:f>
        <x:v>Marketing</x:v>
      </x:c>
      <x:c r="T897" t="str">
        <x:f>IF(L897&gt;=50000,"Enterprise",IF(L897&gt;=20000,"Mid-Market","SMB"))</x:f>
        <x:v>Mid-Market</x:v>
      </x:c>
      <x:c r="U897" t="str">
        <x:f>IF(I897="Closed Won","Won",IF(I897="Closed Lost","Lost","Open"))</x:f>
        <x:v>Open</x:v>
      </x:c>
      <x:c r="V897" s="22" t="n">
        <x:f>IF(U897="Won",L897*(1-M897),0)</x:f>
        <x:v>0</x:v>
      </x:c>
      <x:c r="W897" s="22" t="n">
        <x:f>IF(U897="Open",L897*N897,0)</x:f>
        <x:v>20145</x:v>
      </x:c>
      <x:c r="X897" s="26" t="str">
        <x:f>IF(U897="Open","",IFERROR(K897-B897,""))</x:f>
      </x:c>
      <x:c r="Y897" s="26" t="n">
        <x:f>IF(U897="Open",Lookups!$B$2-B897,X897)</x:f>
        <x:v>461</x:v>
      </x:c>
      <x:c r="Z897" t="str">
        <x:f>IF(AND(U897="Open",Y897&gt;30),"STALE","OK")</x:f>
        <x:v>STALE</x:v>
      </x:c>
      <x:c r="AA897" t="str">
        <x:f>TEXT(B897,"yyyy-mm")</x:f>
        <x:v>2025-05</x:v>
      </x:c>
      <x:c r="AB897" t="str">
        <x:f>IF(K897="","",TEXT(K897,"yyyy-mm"))</x:f>
      </x:c>
      <x:c r="AC897" t="str">
        <x:f>"Q"&amp;ROUNDUP(MONTH(B897)/3,0)&amp;"-"&amp;YEAR(B897)</x:f>
        <x:v>Q2-2025</x:v>
      </x:c>
      <x:c r="AD897" s="26" t="n">
        <x:f>MIN(100,IF(H897="Enterprise",30,IF(H897="Mid-Market",22,14))+IF(T897="Enterprise",25,IF(T897="Mid-Market",18,10))+IF(Q897="Referral",25,IF(Q897="Organic Search",20,IF(Q897="Email",18,14)))+IF(G897="Technology",10,5))</x:f>
        <x:v>65</x:v>
      </x:c>
      <x:c r="AE897" t="str">
        <x:f>IF(U897&lt;&gt;"Open",U897,IF(N897&gt;=0.8,"Commit",IF(N897&gt;=0.5,"Best Case","Pipeline")))</x:f>
        <x:v>Commit</x:v>
      </x:c>
    </x:row>
    <x:row r="898">
      <x:c r="A898" t="str">
        <x:v>L00897</x:v>
      </x:c>
      <x:c r="B898" s="10" t="n">
        <x:v>46230</x:v>
      </x:c>
      <x:c r="C898" t="str">
        <x:v>Bao Tran</x:v>
      </x:c>
      <x:c r="D898" t="str">
        <x:v>South</x:v>
      </x:c>
      <x:c r="E898" t="str">
        <x:v>virtual event</x:v>
      </x:c>
      <x:c r="F898" t="str">
        <x:v>CS-CLOUD</x:v>
      </x:c>
      <x:c r="G898" t="str">
        <x:v>Professional Services</x:v>
      </x:c>
      <x:c r="H898" t="str">
        <x:v>SMB</x:v>
      </x:c>
      <x:c r="I898" t="str">
        <x:v>Closed Lost</x:v>
      </x:c>
      <x:c r="J898" s="10" t="n">
        <x:v>46242</x:v>
      </x:c>
      <x:c r="K898" s="10" t="n">
        <x:v>46242</x:v>
      </x:c>
      <x:c r="L898" s="22" t="n">
        <x:v>14300</x:v>
      </x:c>
      <x:c r="M898" s="24" t="n">
        <x:v>0</x:v>
      </x:c>
      <x:c r="N898" s="24" t="n">
        <x:v>0</x:v>
      </x:c>
      <x:c r="O898" t="str">
        <x:v>Price</x:v>
      </x:c>
      <x:c r="P898" t="n">
        <x:v>3</x:v>
      </x:c>
      <x:c r="Q898" t="str">
        <x:f>IFERROR(XLOOKUP(E898,Lookups!$A$5:$A$24,Lookups!$B$5:$B$24),"Other")</x:f>
        <x:v>Webinar</x:v>
      </x:c>
      <x:c r="R898" t="str">
        <x:f>IFERROR(XLOOKUP(F898,Lookups!$D$5:$D$10,Lookups!$E$5:$E$10),"Unknown Product")</x:f>
        <x:v>Service Cloud</x:v>
      </x:c>
      <x:c r="S898" t="str">
        <x:f>IFERROR(XLOOKUP(F898,Lookups!$D$5:$D$10,Lookups!$F$5:$F$10),"Unknown")</x:f>
        <x:v>Customer Service</x:v>
      </x:c>
      <x:c r="T898" t="str">
        <x:f>IF(L898&gt;=50000,"Enterprise",IF(L898&gt;=20000,"Mid-Market","SMB"))</x:f>
        <x:v>SMB</x:v>
      </x:c>
      <x:c r="U898" t="str">
        <x:f>IF(I898="Closed Won","Won",IF(I898="Closed Lost","Lost","Open"))</x:f>
        <x:v>Lost</x:v>
      </x:c>
      <x:c r="V898" s="22" t="n">
        <x:f>IF(U898="Won",L898*(1-M898),0)</x:f>
        <x:v>0</x:v>
      </x:c>
      <x:c r="W898" s="22" t="n">
        <x:f>IF(U898="Open",L898*N898,0)</x:f>
        <x:v>0</x:v>
      </x:c>
      <x:c r="X898" s="26" t="n">
        <x:f>IF(U898="Open","",IFERROR(K898-B898,""))</x:f>
        <x:v>12</x:v>
      </x:c>
      <x:c r="Y898" s="26" t="n">
        <x:f>IF(U898="Open",Lookups!$B$2-B898,X898)</x:f>
        <x:v>12</x:v>
      </x:c>
      <x:c r="Z898" t="str">
        <x:f>IF(AND(U898="Open",Y898&gt;30),"STALE","OK")</x:f>
        <x:v>OK</x:v>
      </x:c>
      <x:c r="AA898" t="str">
        <x:f>TEXT(B898,"yyyy-mm")</x:f>
        <x:v>2026-07</x:v>
      </x:c>
      <x:c r="AB898" t="str">
        <x:f>IF(K898="","",TEXT(K898,"yyyy-mm"))</x:f>
        <x:v>2026-08</x:v>
      </x:c>
      <x:c r="AC898" t="str">
        <x:f>"Q"&amp;ROUNDUP(MONTH(B898)/3,0)&amp;"-"&amp;YEAR(B898)</x:f>
        <x:v>Q3-2026</x:v>
      </x:c>
      <x:c r="AD898" s="26" t="n">
        <x:f>MIN(100,IF(H898="Enterprise",30,IF(H898="Mid-Market",22,14))+IF(T898="Enterprise",25,IF(T898="Mid-Market",18,10))+IF(Q898="Referral",25,IF(Q898="Organic Search",20,IF(Q898="Email",18,14)))+IF(G898="Technology",10,5))</x:f>
        <x:v>43</x:v>
      </x:c>
      <x:c r="AE898" t="str">
        <x:f>IF(U898&lt;&gt;"Open",U898,IF(N898&gt;=0.8,"Commit",IF(N898&gt;=0.5,"Best Case","Pipeline")))</x:f>
        <x:v>Lost</x:v>
      </x:c>
    </x:row>
    <x:row r="899">
      <x:c r="A899" t="str">
        <x:v>L00898</x:v>
      </x:c>
      <x:c r="B899" s="10" t="n">
        <x:v>45794</x:v>
      </x:c>
      <x:c r="C899" t="str">
        <x:v>Quynh Vu</x:v>
      </x:c>
      <x:c r="D899" t="str">
        <x:v>North</x:v>
      </x:c>
      <x:c r="E899" t="str">
        <x:v>SEM - Google</x:v>
      </x:c>
      <x:c r="F899" t="str">
        <x:v>CS-CLOUD</x:v>
      </x:c>
      <x:c r="G899" t="str">
        <x:v>Retail</x:v>
      </x:c>
      <x:c r="H899" t="str">
        <x:v>Mid-Market</x:v>
      </x:c>
      <x:c r="I899" t="str">
        <x:v>Closed Lost</x:v>
      </x:c>
      <x:c r="J899" s="10" t="n">
        <x:v>45826</x:v>
      </x:c>
      <x:c r="K899" s="10" t="n">
        <x:v>45826</x:v>
      </x:c>
      <x:c r="L899" s="22" t="n">
        <x:v>25800</x:v>
      </x:c>
      <x:c r="M899" s="24" t="n">
        <x:v>0</x:v>
      </x:c>
      <x:c r="N899" s="24" t="n">
        <x:v>0</x:v>
      </x:c>
      <x:c r="O899" t="str">
        <x:v>Competitor</x:v>
      </x:c>
      <x:c r="P899" t="n">
        <x:v>3</x:v>
      </x:c>
      <x:c r="Q899" t="str">
        <x:f>IFERROR(XLOOKUP(E899,Lookups!$A$5:$A$24,Lookups!$B$5:$B$24),"Other")</x:f>
        <x:v>Paid Search</x:v>
      </x:c>
      <x:c r="R899" t="str">
        <x:f>IFERROR(XLOOKUP(F899,Lookups!$D$5:$D$10,Lookups!$E$5:$E$10),"Unknown Product")</x:f>
        <x:v>Service Cloud</x:v>
      </x:c>
      <x:c r="S899" t="str">
        <x:f>IFERROR(XLOOKUP(F899,Lookups!$D$5:$D$10,Lookups!$F$5:$F$10),"Unknown")</x:f>
        <x:v>Customer Service</x:v>
      </x:c>
      <x:c r="T899" t="str">
        <x:f>IF(L899&gt;=50000,"Enterprise",IF(L899&gt;=20000,"Mid-Market","SMB"))</x:f>
        <x:v>Mid-Market</x:v>
      </x:c>
      <x:c r="U899" t="str">
        <x:f>IF(I899="Closed Won","Won",IF(I899="Closed Lost","Lost","Open"))</x:f>
        <x:v>Lost</x:v>
      </x:c>
      <x:c r="V899" s="22" t="n">
        <x:f>IF(U899="Won",L899*(1-M899),0)</x:f>
        <x:v>0</x:v>
      </x:c>
      <x:c r="W899" s="22" t="n">
        <x:f>IF(U899="Open",L899*N899,0)</x:f>
        <x:v>0</x:v>
      </x:c>
      <x:c r="X899" s="26" t="n">
        <x:f>IF(U899="Open","",IFERROR(K899-B899,""))</x:f>
        <x:v>32</x:v>
      </x:c>
      <x:c r="Y899" s="26" t="n">
        <x:f>IF(U899="Open",Lookups!$B$2-B899,X899)</x:f>
        <x:v>32</x:v>
      </x:c>
      <x:c r="Z899" t="str">
        <x:f>IF(AND(U899="Open",Y899&gt;30),"STALE","OK")</x:f>
        <x:v>OK</x:v>
      </x:c>
      <x:c r="AA899" t="str">
        <x:f>TEXT(B899,"yyyy-mm")</x:f>
        <x:v>2025-05</x:v>
      </x:c>
      <x:c r="AB899" t="str">
        <x:f>IF(K899="","",TEXT(K899,"yyyy-mm"))</x:f>
        <x:v>2025-06</x:v>
      </x:c>
      <x:c r="AC899" t="str">
        <x:f>"Q"&amp;ROUNDUP(MONTH(B899)/3,0)&amp;"-"&amp;YEAR(B899)</x:f>
        <x:v>Q2-2025</x:v>
      </x:c>
      <x:c r="AD899" s="26" t="n">
        <x:f>MIN(100,IF(H899="Enterprise",30,IF(H899="Mid-Market",22,14))+IF(T899="Enterprise",25,IF(T899="Mid-Market",18,10))+IF(Q899="Referral",25,IF(Q899="Organic Search",20,IF(Q899="Email",18,14)))+IF(G899="Technology",10,5))</x:f>
        <x:v>59</x:v>
      </x:c>
      <x:c r="AE899" t="str">
        <x:f>IF(U899&lt;&gt;"Open",U899,IF(N899&gt;=0.8,"Commit",IF(N899&gt;=0.5,"Best Case","Pipeline")))</x:f>
        <x:v>Lost</x:v>
      </x:c>
    </x:row>
    <x:row r="900">
      <x:c r="A900" t="str">
        <x:v>L00899</x:v>
      </x:c>
      <x:c r="B900" s="10" t="n">
        <x:v>46206</x:v>
      </x:c>
      <x:c r="C900" t="str">
        <x:v>Quynh Vu</x:v>
      </x:c>
      <x:c r="D900" t="str">
        <x:v>North</x:v>
      </x:c>
      <x:c r="E900" t="str">
        <x:v>google cpc</x:v>
      </x:c>
      <x:c r="F900" t="str">
        <x:v>REV-OPS</x:v>
      </x:c>
      <x:c r="G900" t="str">
        <x:v>Professional Services</x:v>
      </x:c>
      <x:c r="H900" t="str">
        <x:v>SMB</x:v>
      </x:c>
      <x:c r="I900" t="str">
        <x:v>Closed Lost</x:v>
      </x:c>
      <x:c r="J900" s="10" t="n">
        <x:v>46253</x:v>
      </x:c>
      <x:c r="K900" s="10" t="n">
        <x:v>46253</x:v>
      </x:c>
      <x:c r="L900" s="22" t="n">
        <x:v>42000</x:v>
      </x:c>
      <x:c r="M900" s="24" t="n">
        <x:v>0</x:v>
      </x:c>
      <x:c r="N900" s="24" t="n">
        <x:v>0</x:v>
      </x:c>
      <x:c r="O900" t="str">
        <x:v>Budget</x:v>
      </x:c>
      <x:c r="P900" t="n">
        <x:v>4</x:v>
      </x:c>
      <x:c r="Q900" t="str">
        <x:f>IFERROR(XLOOKUP(E900,Lookups!$A$5:$A$24,Lookups!$B$5:$B$24),"Other")</x:f>
        <x:v>Paid Search</x:v>
      </x:c>
      <x:c r="R900" t="str">
        <x:f>IFERROR(XLOOKUP(F900,Lookups!$D$5:$D$10,Lookups!$E$5:$E$10),"Unknown Product")</x:f>
        <x:v>Revenue Operations Suite</x:v>
      </x:c>
      <x:c r="S900" t="str">
        <x:f>IFERROR(XLOOKUP(F900,Lookups!$D$5:$D$10,Lookups!$F$5:$F$10),"Unknown")</x:f>
        <x:v>Revenue Ops</x:v>
      </x:c>
      <x:c r="T900" t="str">
        <x:f>IF(L900&gt;=50000,"Enterprise",IF(L900&gt;=20000,"Mid-Market","SMB"))</x:f>
        <x:v>Mid-Market</x:v>
      </x:c>
      <x:c r="U900" t="str">
        <x:f>IF(I900="Closed Won","Won",IF(I900="Closed Lost","Lost","Open"))</x:f>
        <x:v>Lost</x:v>
      </x:c>
      <x:c r="V900" s="22" t="n">
        <x:f>IF(U900="Won",L900*(1-M900),0)</x:f>
        <x:v>0</x:v>
      </x:c>
      <x:c r="W900" s="22" t="n">
        <x:f>IF(U900="Open",L900*N900,0)</x:f>
        <x:v>0</x:v>
      </x:c>
      <x:c r="X900" s="26" t="n">
        <x:f>IF(U900="Open","",IFERROR(K900-B900,""))</x:f>
        <x:v>47</x:v>
      </x:c>
      <x:c r="Y900" s="26" t="n">
        <x:f>IF(U900="Open",Lookups!$B$2-B900,X900)</x:f>
        <x:v>47</x:v>
      </x:c>
      <x:c r="Z900" t="str">
        <x:f>IF(AND(U900="Open",Y900&gt;30),"STALE","OK")</x:f>
        <x:v>OK</x:v>
      </x:c>
      <x:c r="AA900" t="str">
        <x:f>TEXT(B900,"yyyy-mm")</x:f>
        <x:v>2026-07</x:v>
      </x:c>
      <x:c r="AB900" t="str">
        <x:f>IF(K900="","",TEXT(K900,"yyyy-mm"))</x:f>
        <x:v>2026-08</x:v>
      </x:c>
      <x:c r="AC900" t="str">
        <x:f>"Q"&amp;ROUNDUP(MONTH(B900)/3,0)&amp;"-"&amp;YEAR(B900)</x:f>
        <x:v>Q3-2026</x:v>
      </x:c>
      <x:c r="AD900" s="26" t="n">
        <x:f>MIN(100,IF(H900="Enterprise",30,IF(H900="Mid-Market",22,14))+IF(T900="Enterprise",25,IF(T900="Mid-Market",18,10))+IF(Q900="Referral",25,IF(Q900="Organic Search",20,IF(Q900="Email",18,14)))+IF(G900="Technology",10,5))</x:f>
        <x:v>51</x:v>
      </x:c>
      <x:c r="AE900" t="str">
        <x:f>IF(U900&lt;&gt;"Open",U900,IF(N900&gt;=0.8,"Commit",IF(N900&gt;=0.5,"Best Case","Pipeline")))</x:f>
        <x:v>Lost</x:v>
      </x:c>
    </x:row>
    <x:row r="901">
      <x:c r="A901" t="str">
        <x:v>L00900</x:v>
      </x:c>
      <x:c r="B901" s="10" t="n">
        <x:v>46164</x:v>
      </x:c>
      <x:c r="C901" t="str">
        <x:v>Ha Vo</x:v>
      </x:c>
      <x:c r="D901" t="str">
        <x:v>North</x:v>
      </x:c>
      <x:c r="E901" t="str">
        <x:v>Referral</x:v>
      </x:c>
      <x:c r="F901" t="str">
        <x:v>REV-OPS</x:v>
      </x:c>
      <x:c r="G901" t="str">
        <x:v>Technology</x:v>
      </x:c>
      <x:c r="H901" t="str">
        <x:v>SMB</x:v>
      </x:c>
      <x:c r="I901" t="str">
        <x:v>Closed Lost</x:v>
      </x:c>
      <x:c r="J901" s="10" t="n">
        <x:v>46190</x:v>
      </x:c>
      <x:c r="K901" s="10" t="n">
        <x:v>46190</x:v>
      </x:c>
      <x:c r="L901" s="22" t="n">
        <x:v>34500</x:v>
      </x:c>
      <x:c r="M901" s="24" t="n">
        <x:v>0</x:v>
      </x:c>
      <x:c r="N901" s="24" t="n">
        <x:v>0</x:v>
      </x:c>
      <x:c r="O901" t="str">
        <x:v>Budget</x:v>
      </x:c>
      <x:c r="P901" t="n">
        <x:v>3</x:v>
      </x:c>
      <x:c r="Q901" t="str">
        <x:f>IFERROR(XLOOKUP(E901,Lookups!$A$5:$A$24,Lookups!$B$5:$B$24),"Other")</x:f>
        <x:v>Referral</x:v>
      </x:c>
      <x:c r="R901" t="str">
        <x:f>IFERROR(XLOOKUP(F901,Lookups!$D$5:$D$10,Lookups!$E$5:$E$10),"Unknown Product")</x:f>
        <x:v>Revenue Operations Suite</x:v>
      </x:c>
      <x:c r="S901" t="str">
        <x:f>IFERROR(XLOOKUP(F901,Lookups!$D$5:$D$10,Lookups!$F$5:$F$10),"Unknown")</x:f>
        <x:v>Revenue Ops</x:v>
      </x:c>
      <x:c r="T901" t="str">
        <x:f>IF(L901&gt;=50000,"Enterprise",IF(L901&gt;=20000,"Mid-Market","SMB"))</x:f>
        <x:v>Mid-Market</x:v>
      </x:c>
      <x:c r="U901" t="str">
        <x:f>IF(I901="Closed Won","Won",IF(I901="Closed Lost","Lost","Open"))</x:f>
        <x:v>Lost</x:v>
      </x:c>
      <x:c r="V901" s="22" t="n">
        <x:f>IF(U901="Won",L901*(1-M901),0)</x:f>
        <x:v>0</x:v>
      </x:c>
      <x:c r="W901" s="22" t="n">
        <x:f>IF(U901="Open",L901*N901,0)</x:f>
        <x:v>0</x:v>
      </x:c>
      <x:c r="X901" s="26" t="n">
        <x:f>IF(U901="Open","",IFERROR(K901-B901,""))</x:f>
        <x:v>26</x:v>
      </x:c>
      <x:c r="Y901" s="26" t="n">
        <x:f>IF(U901="Open",Lookups!$B$2-B901,X901)</x:f>
        <x:v>26</x:v>
      </x:c>
      <x:c r="Z901" t="str">
        <x:f>IF(AND(U901="Open",Y901&gt;30),"STALE","OK")</x:f>
        <x:v>OK</x:v>
      </x:c>
      <x:c r="AA901" t="str">
        <x:f>TEXT(B901,"yyyy-mm")</x:f>
        <x:v>2026-05</x:v>
      </x:c>
      <x:c r="AB901" t="str">
        <x:f>IF(K901="","",TEXT(K901,"yyyy-mm"))</x:f>
        <x:v>2026-06</x:v>
      </x:c>
      <x:c r="AC901" t="str">
        <x:f>"Q"&amp;ROUNDUP(MONTH(B901)/3,0)&amp;"-"&amp;YEAR(B901)</x:f>
        <x:v>Q2-2026</x:v>
      </x:c>
      <x:c r="AD901" s="26" t="n">
        <x:f>MIN(100,IF(H901="Enterprise",30,IF(H901="Mid-Market",22,14))+IF(T901="Enterprise",25,IF(T901="Mid-Market",18,10))+IF(Q901="Referral",25,IF(Q901="Organic Search",20,IF(Q901="Email",18,14)))+IF(G901="Technology",10,5))</x:f>
        <x:v>67</x:v>
      </x:c>
      <x:c r="AE901" t="str">
        <x:f>IF(U901&lt;&gt;"Open",U901,IF(N901&gt;=0.8,"Commit",IF(N901&gt;=0.5,"Best Case","Pipeline")))</x:f>
        <x:v>Lost</x:v>
      </x:c>
    </x:row>
    <x:row r="902">
      <x:c r="A902" t="str">
        <x:v>L00901</x:v>
      </x:c>
      <x:c r="B902" s="10" t="n">
        <x:v>46113</x:v>
      </x:c>
      <x:c r="C902" t="str">
        <x:v>An Nguyen</x:v>
      </x:c>
      <x:c r="D902" t="str">
        <x:v>South</x:v>
      </x:c>
      <x:c r="E902" t="str">
        <x:v>SEM - Google</x:v>
      </x:c>
      <x:c r="F902" t="str">
        <x:v>CRM-PRO</x:v>
      </x:c>
      <x:c r="G902" t="str">
        <x:v>Professional Services</x:v>
      </x:c>
      <x:c r="H902" t="str">
        <x:v>Mid-Market</x:v>
      </x:c>
      <x:c r="I902" t="str">
        <x:v>Closed Lost</x:v>
      </x:c>
      <x:c r="J902" s="10" t="n">
        <x:v>46145</x:v>
      </x:c>
      <x:c r="K902" s="10" t="n">
        <x:v>46145</x:v>
      </x:c>
      <x:c r="L902" s="22" t="n">
        <x:v>28200</x:v>
      </x:c>
      <x:c r="M902" s="24" t="n">
        <x:v>0</x:v>
      </x:c>
      <x:c r="N902" s="24" t="n">
        <x:v>0</x:v>
      </x:c>
      <x:c r="O902" t="str">
        <x:v>No Decision</x:v>
      </x:c>
      <x:c r="P902" t="n">
        <x:v>3</x:v>
      </x:c>
      <x:c r="Q902" t="str">
        <x:f>IFERROR(XLOOKUP(E902,Lookups!$A$5:$A$24,Lookups!$B$5:$B$24),"Other")</x:f>
        <x:v>Paid Search</x:v>
      </x:c>
      <x:c r="R902" t="str">
        <x:f>IFERROR(XLOOKUP(F902,Lookups!$D$5:$D$10,Lookups!$E$5:$E$10),"Unknown Product")</x:f>
        <x:v>NexaCRM Pro</x:v>
      </x:c>
      <x:c r="S902" t="str">
        <x:f>IFERROR(XLOOKUP(F902,Lookups!$D$5:$D$10,Lookups!$F$5:$F$10),"Unknown")</x:f>
        <x:v>CRM</x:v>
      </x:c>
      <x:c r="T902" t="str">
        <x:f>IF(L902&gt;=50000,"Enterprise",IF(L902&gt;=20000,"Mid-Market","SMB"))</x:f>
        <x:v>Mid-Market</x:v>
      </x:c>
      <x:c r="U902" t="str">
        <x:f>IF(I902="Closed Won","Won",IF(I902="Closed Lost","Lost","Open"))</x:f>
        <x:v>Lost</x:v>
      </x:c>
      <x:c r="V902" s="22" t="n">
        <x:f>IF(U902="Won",L902*(1-M902),0)</x:f>
        <x:v>0</x:v>
      </x:c>
      <x:c r="W902" s="22" t="n">
        <x:f>IF(U902="Open",L902*N902,0)</x:f>
        <x:v>0</x:v>
      </x:c>
      <x:c r="X902" s="26" t="n">
        <x:f>IF(U902="Open","",IFERROR(K902-B902,""))</x:f>
        <x:v>32</x:v>
      </x:c>
      <x:c r="Y902" s="26" t="n">
        <x:f>IF(U902="Open",Lookups!$B$2-B902,X902)</x:f>
        <x:v>32</x:v>
      </x:c>
      <x:c r="Z902" t="str">
        <x:f>IF(AND(U902="Open",Y902&gt;30),"STALE","OK")</x:f>
        <x:v>OK</x:v>
      </x:c>
      <x:c r="AA902" t="str">
        <x:f>TEXT(B902,"yyyy-mm")</x:f>
        <x:v>2026-04</x:v>
      </x:c>
      <x:c r="AB902" t="str">
        <x:f>IF(K902="","",TEXT(K902,"yyyy-mm"))</x:f>
        <x:v>2026-05</x:v>
      </x:c>
      <x:c r="AC902" t="str">
        <x:f>"Q"&amp;ROUNDUP(MONTH(B902)/3,0)&amp;"-"&amp;YEAR(B902)</x:f>
        <x:v>Q2-2026</x:v>
      </x:c>
      <x:c r="AD902" s="26" t="n">
        <x:f>MIN(100,IF(H902="Enterprise",30,IF(H902="Mid-Market",22,14))+IF(T902="Enterprise",25,IF(T902="Mid-Market",18,10))+IF(Q902="Referral",25,IF(Q902="Organic Search",20,IF(Q902="Email",18,14)))+IF(G902="Technology",10,5))</x:f>
        <x:v>59</x:v>
      </x:c>
      <x:c r="AE902" t="str">
        <x:f>IF(U902&lt;&gt;"Open",U902,IF(N902&gt;=0.8,"Commit",IF(N902&gt;=0.5,"Best Case","Pipeline")))</x:f>
        <x:v>Lost</x:v>
      </x:c>
    </x:row>
    <x:row r="903">
      <x:c r="A903" t="str">
        <x:v>L00902</x:v>
      </x:c>
      <x:c r="B903" s="10" t="n">
        <x:v>46040</x:v>
      </x:c>
      <x:c r="C903" t="str">
        <x:v>An Nguyen</x:v>
      </x:c>
      <x:c r="D903" t="str">
        <x:v>South</x:v>
      </x:c>
      <x:c r="E903" t="str">
        <x:v>SEM - Google</x:v>
      </x:c>
      <x:c r="F903" t="str">
        <x:v>BI-PLUS</x:v>
      </x:c>
      <x:c r="G903" t="str">
        <x:v>Retail</x:v>
      </x:c>
      <x:c r="H903" t="str">
        <x:v>SMB</x:v>
      </x:c>
      <x:c r="I903" t="str">
        <x:v>Closed Won</x:v>
      </x:c>
      <x:c r="J903" s="10" t="n">
        <x:v>46099</x:v>
      </x:c>
      <x:c r="K903" s="10" t="n">
        <x:v>46099</x:v>
      </x:c>
      <x:c r="L903" s="22" t="n">
        <x:v>19600</x:v>
      </x:c>
      <x:c r="M903" s="24" t="n">
        <x:v>0.1</x:v>
      </x:c>
      <x:c r="N903" s="24" t="n">
        <x:v>1</x:v>
      </x:c>
      <x:c r="O903" t="str"/>
      <x:c r="P903" t="n">
        <x:v>6</x:v>
      </x:c>
      <x:c r="Q903" t="str">
        <x:f>IFERROR(XLOOKUP(E903,Lookups!$A$5:$A$24,Lookups!$B$5:$B$24),"Other")</x:f>
        <x:v>Paid Search</x:v>
      </x:c>
      <x:c r="R903" t="str">
        <x:f>IFERROR(XLOOKUP(F903,Lookups!$D$5:$D$10,Lookups!$E$5:$E$10),"Unknown Product")</x:f>
        <x:v>Analytics Plus</x:v>
      </x:c>
      <x:c r="S903" t="str">
        <x:f>IFERROR(XLOOKUP(F903,Lookups!$D$5:$D$10,Lookups!$F$5:$F$10),"Unknown")</x:f>
        <x:v>Analytics</x:v>
      </x:c>
      <x:c r="T903" t="str">
        <x:f>IF(L903&gt;=50000,"Enterprise",IF(L903&gt;=20000,"Mid-Market","SMB"))</x:f>
        <x:v>SMB</x:v>
      </x:c>
      <x:c r="U903" t="str">
        <x:f>IF(I903="Closed Won","Won",IF(I903="Closed Lost","Lost","Open"))</x:f>
        <x:v>Won</x:v>
      </x:c>
      <x:c r="V903" s="22" t="n">
        <x:f>IF(U903="Won",L903*(1-M903),0)</x:f>
        <x:v>17640</x:v>
      </x:c>
      <x:c r="W903" s="22" t="n">
        <x:f>IF(U903="Open",L903*N903,0)</x:f>
        <x:v>0</x:v>
      </x:c>
      <x:c r="X903" s="26" t="n">
        <x:f>IF(U903="Open","",IFERROR(K903-B903,""))</x:f>
        <x:v>59</x:v>
      </x:c>
      <x:c r="Y903" s="26" t="n">
        <x:f>IF(U903="Open",Lookups!$B$2-B903,X903)</x:f>
        <x:v>59</x:v>
      </x:c>
      <x:c r="Z903" t="str">
        <x:f>IF(AND(U903="Open",Y903&gt;30),"STALE","OK")</x:f>
        <x:v>OK</x:v>
      </x:c>
      <x:c r="AA903" t="str">
        <x:f>TEXT(B903,"yyyy-mm")</x:f>
        <x:v>2026-01</x:v>
      </x:c>
      <x:c r="AB903" t="str">
        <x:f>IF(K903="","",TEXT(K903,"yyyy-mm"))</x:f>
        <x:v>2026-03</x:v>
      </x:c>
      <x:c r="AC903" t="str">
        <x:f>"Q"&amp;ROUNDUP(MONTH(B903)/3,0)&amp;"-"&amp;YEAR(B903)</x:f>
        <x:v>Q1-2026</x:v>
      </x:c>
      <x:c r="AD903" s="26" t="n">
        <x:f>MIN(100,IF(H903="Enterprise",30,IF(H903="Mid-Market",22,14))+IF(T903="Enterprise",25,IF(T903="Mid-Market",18,10))+IF(Q903="Referral",25,IF(Q903="Organic Search",20,IF(Q903="Email",18,14)))+IF(G903="Technology",10,5))</x:f>
        <x:v>43</x:v>
      </x:c>
      <x:c r="AE903" t="str">
        <x:f>IF(U903&lt;&gt;"Open",U903,IF(N903&gt;=0.8,"Commit",IF(N903&gt;=0.5,"Best Case","Pipeline")))</x:f>
        <x:v>Won</x:v>
      </x:c>
    </x:row>
    <x:row r="904">
      <x:c r="A904" t="str">
        <x:v>L00903</x:v>
      </x:c>
      <x:c r="B904" s="10" t="n">
        <x:v>45672</x:v>
      </x:c>
      <x:c r="C904" t="str">
        <x:v>Chi Le</x:v>
      </x:c>
      <x:c r="D904" t="str">
        <x:v>South</x:v>
      </x:c>
      <x:c r="E904" t="str">
        <x:v>SEO</x:v>
      </x:c>
      <x:c r="F904" t="str">
        <x:v>CRM-CORE</x:v>
      </x:c>
      <x:c r="G904" t="str">
        <x:v>Retail</x:v>
      </x:c>
      <x:c r="H904" t="str">
        <x:v>SMB</x:v>
      </x:c>
      <x:c r="I904" t="str">
        <x:v>Closed Lost</x:v>
      </x:c>
      <x:c r="J904" s="10" t="n">
        <x:v>45722</x:v>
      </x:c>
      <x:c r="K904" s="10" t="n">
        <x:v>45722</x:v>
      </x:c>
      <x:c r="L904" s="22" t="n">
        <x:v>5900</x:v>
      </x:c>
      <x:c r="M904" s="24" t="n">
        <x:v>0</x:v>
      </x:c>
      <x:c r="N904" s="24" t="n">
        <x:v>0</x:v>
      </x:c>
      <x:c r="O904" t="str">
        <x:v>Competitor</x:v>
      </x:c>
      <x:c r="P904" t="n">
        <x:v>2</x:v>
      </x:c>
      <x:c r="Q904" t="str">
        <x:f>IFERROR(XLOOKUP(E904,Lookups!$A$5:$A$24,Lookups!$B$5:$B$24),"Other")</x:f>
        <x:v>Organic Search</x:v>
      </x:c>
      <x:c r="R904" t="str">
        <x:f>IFERROR(XLOOKUP(F904,Lookups!$D$5:$D$10,Lookups!$E$5:$E$10),"Unknown Product")</x:f>
        <x:v>NexaCRM Core</x:v>
      </x:c>
      <x:c r="S904" t="str">
        <x:f>IFERROR(XLOOKUP(F904,Lookups!$D$5:$D$10,Lookups!$F$5:$F$10),"Unknown")</x:f>
        <x:v>CRM</x:v>
      </x:c>
      <x:c r="T904" t="str">
        <x:f>IF(L904&gt;=50000,"Enterprise",IF(L904&gt;=20000,"Mid-Market","SMB"))</x:f>
        <x:v>SMB</x:v>
      </x:c>
      <x:c r="U904" t="str">
        <x:f>IF(I904="Closed Won","Won",IF(I904="Closed Lost","Lost","Open"))</x:f>
        <x:v>Lost</x:v>
      </x:c>
      <x:c r="V904" s="22" t="n">
        <x:f>IF(U904="Won",L904*(1-M904),0)</x:f>
        <x:v>0</x:v>
      </x:c>
      <x:c r="W904" s="22" t="n">
        <x:f>IF(U904="Open",L904*N904,0)</x:f>
        <x:v>0</x:v>
      </x:c>
      <x:c r="X904" s="26" t="n">
        <x:f>IF(U904="Open","",IFERROR(K904-B904,""))</x:f>
        <x:v>50</x:v>
      </x:c>
      <x:c r="Y904" s="26" t="n">
        <x:f>IF(U904="Open",Lookups!$B$2-B904,X904)</x:f>
        <x:v>50</x:v>
      </x:c>
      <x:c r="Z904" t="str">
        <x:f>IF(AND(U904="Open",Y904&gt;30),"STALE","OK")</x:f>
        <x:v>OK</x:v>
      </x:c>
      <x:c r="AA904" t="str">
        <x:f>TEXT(B904,"yyyy-mm")</x:f>
        <x:v>2025-01</x:v>
      </x:c>
      <x:c r="AB904" t="str">
        <x:f>IF(K904="","",TEXT(K904,"yyyy-mm"))</x:f>
        <x:v>2025-03</x:v>
      </x:c>
      <x:c r="AC904" t="str">
        <x:f>"Q"&amp;ROUNDUP(MONTH(B904)/3,0)&amp;"-"&amp;YEAR(B904)</x:f>
        <x:v>Q1-2025</x:v>
      </x:c>
      <x:c r="AD904" s="26" t="n">
        <x:f>MIN(100,IF(H904="Enterprise",30,IF(H904="Mid-Market",22,14))+IF(T904="Enterprise",25,IF(T904="Mid-Market",18,10))+IF(Q904="Referral",25,IF(Q904="Organic Search",20,IF(Q904="Email",18,14)))+IF(G904="Technology",10,5))</x:f>
        <x:v>49</x:v>
      </x:c>
      <x:c r="AE904" t="str">
        <x:f>IF(U904&lt;&gt;"Open",U904,IF(N904&gt;=0.8,"Commit",IF(N904&gt;=0.5,"Best Case","Pipeline")))</x:f>
        <x:v>Lost</x:v>
      </x:c>
    </x:row>
    <x:row r="905">
      <x:c r="A905" t="str">
        <x:v>L00904</x:v>
      </x:c>
      <x:c r="B905" s="10" t="n">
        <x:v>46152</x:v>
      </x:c>
      <x:c r="C905" t="str">
        <x:v>Minh Do</x:v>
      </x:c>
      <x:c r="D905" t="str">
        <x:v>North</x:v>
      </x:c>
      <x:c r="E905" t="str">
        <x:v>LI Ads</x:v>
      </x:c>
      <x:c r="F905" t="str">
        <x:v>MKT-AUTO</x:v>
      </x:c>
      <x:c r="G905" t="str">
        <x:v>Professional Services</x:v>
      </x:c>
      <x:c r="H905" t="str">
        <x:v>Mid-Market</x:v>
      </x:c>
      <x:c r="I905" t="str">
        <x:v>Closed Won</x:v>
      </x:c>
      <x:c r="J905" s="10" t="n">
        <x:v>46208</x:v>
      </x:c>
      <x:c r="K905" s="10" t="n">
        <x:v>46208</x:v>
      </x:c>
      <x:c r="L905" s="22" t="n">
        <x:v>37600</x:v>
      </x:c>
      <x:c r="M905" s="24" t="n">
        <x:v>0.05</x:v>
      </x:c>
      <x:c r="N905" s="24" t="n">
        <x:v>1</x:v>
      </x:c>
      <x:c r="O905" t="str"/>
      <x:c r="P905" t="n">
        <x:v>6</x:v>
      </x:c>
      <x:c r="Q905" t="str">
        <x:f>IFERROR(XLOOKUP(E905,Lookups!$A$5:$A$24,Lookups!$B$5:$B$24),"Other")</x:f>
        <x:v>LinkedIn</x:v>
      </x:c>
      <x:c r="R905" t="str">
        <x:f>IFERROR(XLOOKUP(F905,Lookups!$D$5:$D$10,Lookups!$E$5:$E$10),"Unknown Product")</x:f>
        <x:v>Marketing Automation</x:v>
      </x:c>
      <x:c r="S905" t="str">
        <x:f>IFERROR(XLOOKUP(F905,Lookups!$D$5:$D$10,Lookups!$F$5:$F$10),"Unknown")</x:f>
        <x:v>Marketing</x:v>
      </x:c>
      <x:c r="T905" t="str">
        <x:f>IF(L905&gt;=50000,"Enterprise",IF(L905&gt;=20000,"Mid-Market","SMB"))</x:f>
        <x:v>Mid-Market</x:v>
      </x:c>
      <x:c r="U905" t="str">
        <x:f>IF(I905="Closed Won","Won",IF(I905="Closed Lost","Lost","Open"))</x:f>
        <x:v>Won</x:v>
      </x:c>
      <x:c r="V905" s="22" t="n">
        <x:f>IF(U905="Won",L905*(1-M905),0)</x:f>
        <x:v>35720</x:v>
      </x:c>
      <x:c r="W905" s="22" t="n">
        <x:f>IF(U905="Open",L905*N905,0)</x:f>
        <x:v>0</x:v>
      </x:c>
      <x:c r="X905" s="26" t="n">
        <x:f>IF(U905="Open","",IFERROR(K905-B905,""))</x:f>
        <x:v>56</x:v>
      </x:c>
      <x:c r="Y905" s="26" t="n">
        <x:f>IF(U905="Open",Lookups!$B$2-B905,X905)</x:f>
        <x:v>56</x:v>
      </x:c>
      <x:c r="Z905" t="str">
        <x:f>IF(AND(U905="Open",Y905&gt;30),"STALE","OK")</x:f>
        <x:v>OK</x:v>
      </x:c>
      <x:c r="AA905" t="str">
        <x:f>TEXT(B905,"yyyy-mm")</x:f>
        <x:v>2026-05</x:v>
      </x:c>
      <x:c r="AB905" t="str">
        <x:f>IF(K905="","",TEXT(K905,"yyyy-mm"))</x:f>
        <x:v>2026-07</x:v>
      </x:c>
      <x:c r="AC905" t="str">
        <x:f>"Q"&amp;ROUNDUP(MONTH(B905)/3,0)&amp;"-"&amp;YEAR(B905)</x:f>
        <x:v>Q2-2026</x:v>
      </x:c>
      <x:c r="AD905" s="26" t="n">
        <x:f>MIN(100,IF(H905="Enterprise",30,IF(H905="Mid-Market",22,14))+IF(T905="Enterprise",25,IF(T905="Mid-Market",18,10))+IF(Q905="Referral",25,IF(Q905="Organic Search",20,IF(Q905="Email",18,14)))+IF(G905="Technology",10,5))</x:f>
        <x:v>59</x:v>
      </x:c>
      <x:c r="AE905" t="str">
        <x:f>IF(U905&lt;&gt;"Open",U905,IF(N905&gt;=0.8,"Commit",IF(N905&gt;=0.5,"Best Case","Pipeline")))</x:f>
        <x:v>Won</x:v>
      </x:c>
    </x:row>
    <x:row r="906">
      <x:c r="A906" t="str">
        <x:v>L00905</x:v>
      </x:c>
      <x:c r="B906" s="10" t="n">
        <x:v>46068</x:v>
      </x:c>
      <x:c r="C906" t="str">
        <x:v>Bao Tran</x:v>
      </x:c>
      <x:c r="D906" t="str">
        <x:v>South</x:v>
      </x:c>
      <x:c r="E906" t="str">
        <x:v>Google Organic</x:v>
      </x:c>
      <x:c r="F906" t="str">
        <x:v>CRM-CORE</x:v>
      </x:c>
      <x:c r="G906" t="str">
        <x:v>Retail</x:v>
      </x:c>
      <x:c r="H906" t="str">
        <x:v>SMB</x:v>
      </x:c>
      <x:c r="I906" t="str">
        <x:v>Closed Won</x:v>
      </x:c>
      <x:c r="J906" s="10" t="n">
        <x:v>46137</x:v>
      </x:c>
      <x:c r="K906" s="10" t="n">
        <x:v>46137</x:v>
      </x:c>
      <x:c r="L906" s="22" t="n">
        <x:v>7400</x:v>
      </x:c>
      <x:c r="M906" s="24" t="n">
        <x:v>0.12</x:v>
      </x:c>
      <x:c r="N906" s="24" t="n">
        <x:v>1</x:v>
      </x:c>
      <x:c r="O906" t="str"/>
      <x:c r="P906" t="n">
        <x:v>6</x:v>
      </x:c>
      <x:c r="Q906" t="str">
        <x:f>IFERROR(XLOOKUP(E906,Lookups!$A$5:$A$24,Lookups!$B$5:$B$24),"Other")</x:f>
        <x:v>Organic Search</x:v>
      </x:c>
      <x:c r="R906" t="str">
        <x:f>IFERROR(XLOOKUP(F906,Lookups!$D$5:$D$10,Lookups!$E$5:$E$10),"Unknown Product")</x:f>
        <x:v>NexaCRM Core</x:v>
      </x:c>
      <x:c r="S906" t="str">
        <x:f>IFERROR(XLOOKUP(F906,Lookups!$D$5:$D$10,Lookups!$F$5:$F$10),"Unknown")</x:f>
        <x:v>CRM</x:v>
      </x:c>
      <x:c r="T906" t="str">
        <x:f>IF(L906&gt;=50000,"Enterprise",IF(L906&gt;=20000,"Mid-Market","SMB"))</x:f>
        <x:v>SMB</x:v>
      </x:c>
      <x:c r="U906" t="str">
        <x:f>IF(I906="Closed Won","Won",IF(I906="Closed Lost","Lost","Open"))</x:f>
        <x:v>Won</x:v>
      </x:c>
      <x:c r="V906" s="22" t="n">
        <x:f>IF(U906="Won",L906*(1-M906),0)</x:f>
        <x:v>6512</x:v>
      </x:c>
      <x:c r="W906" s="22" t="n">
        <x:f>IF(U906="Open",L906*N906,0)</x:f>
        <x:v>0</x:v>
      </x:c>
      <x:c r="X906" s="26" t="n">
        <x:f>IF(U906="Open","",IFERROR(K906-B906,""))</x:f>
        <x:v>69</x:v>
      </x:c>
      <x:c r="Y906" s="26" t="n">
        <x:f>IF(U906="Open",Lookups!$B$2-B906,X906)</x:f>
        <x:v>69</x:v>
      </x:c>
      <x:c r="Z906" t="str">
        <x:f>IF(AND(U906="Open",Y906&gt;30),"STALE","OK")</x:f>
        <x:v>OK</x:v>
      </x:c>
      <x:c r="AA906" t="str">
        <x:f>TEXT(B906,"yyyy-mm")</x:f>
        <x:v>2026-02</x:v>
      </x:c>
      <x:c r="AB906" t="str">
        <x:f>IF(K906="","",TEXT(K906,"yyyy-mm"))</x:f>
        <x:v>2026-04</x:v>
      </x:c>
      <x:c r="AC906" t="str">
        <x:f>"Q"&amp;ROUNDUP(MONTH(B906)/3,0)&amp;"-"&amp;YEAR(B906)</x:f>
        <x:v>Q1-2026</x:v>
      </x:c>
      <x:c r="AD906" s="26" t="n">
        <x:f>MIN(100,IF(H906="Enterprise",30,IF(H906="Mid-Market",22,14))+IF(T906="Enterprise",25,IF(T906="Mid-Market",18,10))+IF(Q906="Referral",25,IF(Q906="Organic Search",20,IF(Q906="Email",18,14)))+IF(G906="Technology",10,5))</x:f>
        <x:v>49</x:v>
      </x:c>
      <x:c r="AE906" t="str">
        <x:f>IF(U906&lt;&gt;"Open",U906,IF(N906&gt;=0.8,"Commit",IF(N906&gt;=0.5,"Best Case","Pipeline")))</x:f>
        <x:v>Won</x:v>
      </x:c>
    </x:row>
    <x:row r="907">
      <x:c r="A907" t="str">
        <x:v>L00906</x:v>
      </x:c>
      <x:c r="B907" s="10" t="n">
        <x:v>46195</x:v>
      </x:c>
      <x:c r="C907" t="str">
        <x:v>Quynh Vu</x:v>
      </x:c>
      <x:c r="D907" t="str">
        <x:v>North</x:v>
      </x:c>
      <x:c r="E907" t="str">
        <x:v>SEO</x:v>
      </x:c>
      <x:c r="F907" t="str">
        <x:v>REV-OPS</x:v>
      </x:c>
      <x:c r="G907" t="str">
        <x:v>Education</x:v>
      </x:c>
      <x:c r="H907" t="str">
        <x:v>Mid-Market</x:v>
      </x:c>
      <x:c r="I907" t="str">
        <x:v>Demo / Meeting</x:v>
      </x:c>
      <x:c r="J907" s="10" t="n">
        <x:v>46245</x:v>
      </x:c>
      <x:c r="K907" s="10"/>
      <x:c r="L907" s="22" t="n">
        <x:v>39200</x:v>
      </x:c>
      <x:c r="M907" s="24" t="n">
        <x:v>0</x:v>
      </x:c>
      <x:c r="N907" s="24" t="n">
        <x:v>0.4</x:v>
      </x:c>
      <x:c r="O907" t="str"/>
      <x:c r="P907" t="n">
        <x:v>3</x:v>
      </x:c>
      <x:c r="Q907" t="str">
        <x:f>IFERROR(XLOOKUP(E907,Lookups!$A$5:$A$24,Lookups!$B$5:$B$24),"Other")</x:f>
        <x:v>Organic Search</x:v>
      </x:c>
      <x:c r="R907" t="str">
        <x:f>IFERROR(XLOOKUP(F907,Lookups!$D$5:$D$10,Lookups!$E$5:$E$10),"Unknown Product")</x:f>
        <x:v>Revenue Operations Suite</x:v>
      </x:c>
      <x:c r="S907" t="str">
        <x:f>IFERROR(XLOOKUP(F907,Lookups!$D$5:$D$10,Lookups!$F$5:$F$10),"Unknown")</x:f>
        <x:v>Revenue Ops</x:v>
      </x:c>
      <x:c r="T907" t="str">
        <x:f>IF(L907&gt;=50000,"Enterprise",IF(L907&gt;=20000,"Mid-Market","SMB"))</x:f>
        <x:v>Mid-Market</x:v>
      </x:c>
      <x:c r="U907" t="str">
        <x:f>IF(I907="Closed Won","Won",IF(I907="Closed Lost","Lost","Open"))</x:f>
        <x:v>Open</x:v>
      </x:c>
      <x:c r="V907" s="22" t="n">
        <x:f>IF(U907="Won",L907*(1-M907),0)</x:f>
        <x:v>0</x:v>
      </x:c>
      <x:c r="W907" s="22" t="n">
        <x:f>IF(U907="Open",L907*N907,0)</x:f>
        <x:v>15680</x:v>
      </x:c>
      <x:c r="X907" s="26" t="str">
        <x:f>IF(U907="Open","",IFERROR(K907-B907,""))</x:f>
      </x:c>
      <x:c r="Y907" s="26" t="n">
        <x:f>IF(U907="Open",Lookups!$B$2-B907,X907)</x:f>
        <x:v>71</x:v>
      </x:c>
      <x:c r="Z907" t="str">
        <x:f>IF(AND(U907="Open",Y907&gt;30),"STALE","OK")</x:f>
        <x:v>STALE</x:v>
      </x:c>
      <x:c r="AA907" t="str">
        <x:f>TEXT(B907,"yyyy-mm")</x:f>
        <x:v>2026-06</x:v>
      </x:c>
      <x:c r="AB907" t="str">
        <x:f>IF(K907="","",TEXT(K907,"yyyy-mm"))</x:f>
      </x:c>
      <x:c r="AC907" t="str">
        <x:f>"Q"&amp;ROUNDUP(MONTH(B907)/3,0)&amp;"-"&amp;YEAR(B907)</x:f>
        <x:v>Q2-2026</x:v>
      </x:c>
      <x:c r="AD907" s="26" t="n">
        <x:f>MIN(100,IF(H907="Enterprise",30,IF(H907="Mid-Market",22,14))+IF(T907="Enterprise",25,IF(T907="Mid-Market",18,10))+IF(Q907="Referral",25,IF(Q907="Organic Search",20,IF(Q907="Email",18,14)))+IF(G907="Technology",10,5))</x:f>
        <x:v>65</x:v>
      </x:c>
      <x:c r="AE907" t="str">
        <x:f>IF(U907&lt;&gt;"Open",U907,IF(N907&gt;=0.8,"Commit",IF(N907&gt;=0.5,"Best Case","Pipeline")))</x:f>
        <x:v>Pipeline</x:v>
      </x:c>
    </x:row>
    <x:row r="908">
      <x:c r="A908" t="str">
        <x:v>L00907</x:v>
      </x:c>
      <x:c r="B908" s="10" t="n">
        <x:v>46093</x:v>
      </x:c>
      <x:c r="C908" t="str">
        <x:v>Minh Do</x:v>
      </x:c>
      <x:c r="D908" t="str">
        <x:v>North</x:v>
      </x:c>
      <x:c r="E908" t="str">
        <x:v>linkedin</x:v>
      </x:c>
      <x:c r="F908" t="str">
        <x:v>CRM-PRO</x:v>
      </x:c>
      <x:c r="G908" t="str">
        <x:v>Technology</x:v>
      </x:c>
      <x:c r="H908" t="str">
        <x:v>Mid-Market</x:v>
      </x:c>
      <x:c r="I908" t="str">
        <x:v>Closed Won</x:v>
      </x:c>
      <x:c r="J908" s="10" t="n">
        <x:v>46164</x:v>
      </x:c>
      <x:c r="K908" s="10" t="n">
        <x:v>46164</x:v>
      </x:c>
      <x:c r="L908" s="22" t="n">
        <x:v>35500</x:v>
      </x:c>
      <x:c r="M908" s="24" t="n">
        <x:v>0.1</x:v>
      </x:c>
      <x:c r="N908" s="24" t="n">
        <x:v>1</x:v>
      </x:c>
      <x:c r="O908" t="str"/>
      <x:c r="P908" t="n">
        <x:v>6</x:v>
      </x:c>
      <x:c r="Q908" t="str">
        <x:f>IFERROR(XLOOKUP(E908,Lookups!$A$5:$A$24,Lookups!$B$5:$B$24),"Other")</x:f>
        <x:v>LinkedIn</x:v>
      </x:c>
      <x:c r="R908" t="str">
        <x:f>IFERROR(XLOOKUP(F908,Lookups!$D$5:$D$10,Lookups!$E$5:$E$10),"Unknown Product")</x:f>
        <x:v>NexaCRM Pro</x:v>
      </x:c>
      <x:c r="S908" t="str">
        <x:f>IFERROR(XLOOKUP(F908,Lookups!$D$5:$D$10,Lookups!$F$5:$F$10),"Unknown")</x:f>
        <x:v>CRM</x:v>
      </x:c>
      <x:c r="T908" t="str">
        <x:f>IF(L908&gt;=50000,"Enterprise",IF(L908&gt;=20000,"Mid-Market","SMB"))</x:f>
        <x:v>Mid-Market</x:v>
      </x:c>
      <x:c r="U908" t="str">
        <x:f>IF(I908="Closed Won","Won",IF(I908="Closed Lost","Lost","Open"))</x:f>
        <x:v>Won</x:v>
      </x:c>
      <x:c r="V908" s="22" t="n">
        <x:f>IF(U908="Won",L908*(1-M908),0)</x:f>
        <x:v>31950</x:v>
      </x:c>
      <x:c r="W908" s="22" t="n">
        <x:f>IF(U908="Open",L908*N908,0)</x:f>
        <x:v>0</x:v>
      </x:c>
      <x:c r="X908" s="26" t="n">
        <x:f>IF(U908="Open","",IFERROR(K908-B908,""))</x:f>
        <x:v>71</x:v>
      </x:c>
      <x:c r="Y908" s="26" t="n">
        <x:f>IF(U908="Open",Lookups!$B$2-B908,X908)</x:f>
        <x:v>71</x:v>
      </x:c>
      <x:c r="Z908" t="str">
        <x:f>IF(AND(U908="Open",Y908&gt;30),"STALE","OK")</x:f>
        <x:v>OK</x:v>
      </x:c>
      <x:c r="AA908" t="str">
        <x:f>TEXT(B908,"yyyy-mm")</x:f>
        <x:v>2026-03</x:v>
      </x:c>
      <x:c r="AB908" t="str">
        <x:f>IF(K908="","",TEXT(K908,"yyyy-mm"))</x:f>
        <x:v>2026-05</x:v>
      </x:c>
      <x:c r="AC908" t="str">
        <x:f>"Q"&amp;ROUNDUP(MONTH(B908)/3,0)&amp;"-"&amp;YEAR(B908)</x:f>
        <x:v>Q1-2026</x:v>
      </x:c>
      <x:c r="AD908" s="26" t="n">
        <x:f>MIN(100,IF(H908="Enterprise",30,IF(H908="Mid-Market",22,14))+IF(T908="Enterprise",25,IF(T908="Mid-Market",18,10))+IF(Q908="Referral",25,IF(Q908="Organic Search",20,IF(Q908="Email",18,14)))+IF(G908="Technology",10,5))</x:f>
        <x:v>64</x:v>
      </x:c>
      <x:c r="AE908" t="str">
        <x:f>IF(U908&lt;&gt;"Open",U908,IF(N908&gt;=0.8,"Commit",IF(N908&gt;=0.5,"Best Case","Pipeline")))</x:f>
        <x:v>Won</x:v>
      </x:c>
    </x:row>
    <x:row r="909">
      <x:c r="A909" t="str">
        <x:v>L00908</x:v>
      </x:c>
      <x:c r="B909" s="10" t="n">
        <x:v>46176</x:v>
      </x:c>
      <x:c r="C909" t="str">
        <x:v>Chi Le</x:v>
      </x:c>
      <x:c r="D909" t="str">
        <x:v>South</x:v>
      </x:c>
      <x:c r="E909" t="str">
        <x:v>SEM - Google</x:v>
      </x:c>
      <x:c r="F909" t="str">
        <x:v>REV-OPS</x:v>
      </x:c>
      <x:c r="G909" t="str">
        <x:v>Retail</x:v>
      </x:c>
      <x:c r="H909" t="str">
        <x:v>SMB</x:v>
      </x:c>
      <x:c r="I909" t="str">
        <x:v>Closed Lost</x:v>
      </x:c>
      <x:c r="J909" s="10" t="n">
        <x:v>46220</x:v>
      </x:c>
      <x:c r="K909" s="10" t="n">
        <x:v>46220</x:v>
      </x:c>
      <x:c r="L909" s="22" t="n">
        <x:v>32500</x:v>
      </x:c>
      <x:c r="M909" s="24" t="n">
        <x:v>0</x:v>
      </x:c>
      <x:c r="N909" s="24" t="n">
        <x:v>0</x:v>
      </x:c>
      <x:c r="O909" t="str">
        <x:v>No Decision</x:v>
      </x:c>
      <x:c r="P909" t="n">
        <x:v>2</x:v>
      </x:c>
      <x:c r="Q909" t="str">
        <x:f>IFERROR(XLOOKUP(E909,Lookups!$A$5:$A$24,Lookups!$B$5:$B$24),"Other")</x:f>
        <x:v>Paid Search</x:v>
      </x:c>
      <x:c r="R909" t="str">
        <x:f>IFERROR(XLOOKUP(F909,Lookups!$D$5:$D$10,Lookups!$E$5:$E$10),"Unknown Product")</x:f>
        <x:v>Revenue Operations Suite</x:v>
      </x:c>
      <x:c r="S909" t="str">
        <x:f>IFERROR(XLOOKUP(F909,Lookups!$D$5:$D$10,Lookups!$F$5:$F$10),"Unknown")</x:f>
        <x:v>Revenue Ops</x:v>
      </x:c>
      <x:c r="T909" t="str">
        <x:f>IF(L909&gt;=50000,"Enterprise",IF(L909&gt;=20000,"Mid-Market","SMB"))</x:f>
        <x:v>Mid-Market</x:v>
      </x:c>
      <x:c r="U909" t="str">
        <x:f>IF(I909="Closed Won","Won",IF(I909="Closed Lost","Lost","Open"))</x:f>
        <x:v>Lost</x:v>
      </x:c>
      <x:c r="V909" s="22" t="n">
        <x:f>IF(U909="Won",L909*(1-M909),0)</x:f>
        <x:v>0</x:v>
      </x:c>
      <x:c r="W909" s="22" t="n">
        <x:f>IF(U909="Open",L909*N909,0)</x:f>
        <x:v>0</x:v>
      </x:c>
      <x:c r="X909" s="26" t="n">
        <x:f>IF(U909="Open","",IFERROR(K909-B909,""))</x:f>
        <x:v>44</x:v>
      </x:c>
      <x:c r="Y909" s="26" t="n">
        <x:f>IF(U909="Open",Lookups!$B$2-B909,X909)</x:f>
        <x:v>44</x:v>
      </x:c>
      <x:c r="Z909" t="str">
        <x:f>IF(AND(U909="Open",Y909&gt;30),"STALE","OK")</x:f>
        <x:v>OK</x:v>
      </x:c>
      <x:c r="AA909" t="str">
        <x:f>TEXT(B909,"yyyy-mm")</x:f>
        <x:v>2026-06</x:v>
      </x:c>
      <x:c r="AB909" t="str">
        <x:f>IF(K909="","",TEXT(K909,"yyyy-mm"))</x:f>
        <x:v>2026-07</x:v>
      </x:c>
      <x:c r="AC909" t="str">
        <x:f>"Q"&amp;ROUNDUP(MONTH(B909)/3,0)&amp;"-"&amp;YEAR(B909)</x:f>
        <x:v>Q2-2026</x:v>
      </x:c>
      <x:c r="AD909" s="26" t="n">
        <x:f>MIN(100,IF(H909="Enterprise",30,IF(H909="Mid-Market",22,14))+IF(T909="Enterprise",25,IF(T909="Mid-Market",18,10))+IF(Q909="Referral",25,IF(Q909="Organic Search",20,IF(Q909="Email",18,14)))+IF(G909="Technology",10,5))</x:f>
        <x:v>51</x:v>
      </x:c>
      <x:c r="AE909" t="str">
        <x:f>IF(U909&lt;&gt;"Open",U909,IF(N909&gt;=0.8,"Commit",IF(N909&gt;=0.5,"Best Case","Pipeline")))</x:f>
        <x:v>Lost</x:v>
      </x:c>
    </x:row>
    <x:row r="910">
      <x:c r="A910" t="str">
        <x:v>L00909</x:v>
      </x:c>
      <x:c r="B910" s="10" t="n">
        <x:v>45847</x:v>
      </x:c>
      <x:c r="C910" t="str">
        <x:v>Ha Vo</x:v>
      </x:c>
      <x:c r="D910" t="str">
        <x:v>North</x:v>
      </x:c>
      <x:c r="E910" t="str">
        <x:v>virtual event</x:v>
      </x:c>
      <x:c r="F910" t="str">
        <x:v>MKT-AUTO</x:v>
      </x:c>
      <x:c r="G910" t="str">
        <x:v>Healthcare</x:v>
      </x:c>
      <x:c r="H910" t="str">
        <x:v>SMB</x:v>
      </x:c>
      <x:c r="I910" t="str">
        <x:v>Closed Lost</x:v>
      </x:c>
      <x:c r="J910" s="10" t="n">
        <x:v>45897</x:v>
      </x:c>
      <x:c r="K910" s="10" t="n">
        <x:v>45897</x:v>
      </x:c>
      <x:c r="L910" s="22" t="n">
        <x:v>18400</x:v>
      </x:c>
      <x:c r="M910" s="24" t="n">
        <x:v>0</x:v>
      </x:c>
      <x:c r="N910" s="24" t="n">
        <x:v>0</x:v>
      </x:c>
      <x:c r="O910" t="str">
        <x:v>Price</x:v>
      </x:c>
      <x:c r="P910" t="n">
        <x:v>5</x:v>
      </x:c>
      <x:c r="Q910" t="str">
        <x:f>IFERROR(XLOOKUP(E910,Lookups!$A$5:$A$24,Lookups!$B$5:$B$24),"Other")</x:f>
        <x:v>Webinar</x:v>
      </x:c>
      <x:c r="R910" t="str">
        <x:f>IFERROR(XLOOKUP(F910,Lookups!$D$5:$D$10,Lookups!$E$5:$E$10),"Unknown Product")</x:f>
        <x:v>Marketing Automation</x:v>
      </x:c>
      <x:c r="S910" t="str">
        <x:f>IFERROR(XLOOKUP(F910,Lookups!$D$5:$D$10,Lookups!$F$5:$F$10),"Unknown")</x:f>
        <x:v>Marketing</x:v>
      </x:c>
      <x:c r="T910" t="str">
        <x:f>IF(L910&gt;=50000,"Enterprise",IF(L910&gt;=20000,"Mid-Market","SMB"))</x:f>
        <x:v>SMB</x:v>
      </x:c>
      <x:c r="U910" t="str">
        <x:f>IF(I910="Closed Won","Won",IF(I910="Closed Lost","Lost","Open"))</x:f>
        <x:v>Lost</x:v>
      </x:c>
      <x:c r="V910" s="22" t="n">
        <x:f>IF(U910="Won",L910*(1-M910),0)</x:f>
        <x:v>0</x:v>
      </x:c>
      <x:c r="W910" s="22" t="n">
        <x:f>IF(U910="Open",L910*N910,0)</x:f>
        <x:v>0</x:v>
      </x:c>
      <x:c r="X910" s="26" t="n">
        <x:f>IF(U910="Open","",IFERROR(K910-B910,""))</x:f>
        <x:v>50</x:v>
      </x:c>
      <x:c r="Y910" s="26" t="n">
        <x:f>IF(U910="Open",Lookups!$B$2-B910,X910)</x:f>
        <x:v>50</x:v>
      </x:c>
      <x:c r="Z910" t="str">
        <x:f>IF(AND(U910="Open",Y910&gt;30),"STALE","OK")</x:f>
        <x:v>OK</x:v>
      </x:c>
      <x:c r="AA910" t="str">
        <x:f>TEXT(B910,"yyyy-mm")</x:f>
        <x:v>2025-07</x:v>
      </x:c>
      <x:c r="AB910" t="str">
        <x:f>IF(K910="","",TEXT(K910,"yyyy-mm"))</x:f>
        <x:v>2025-08</x:v>
      </x:c>
      <x:c r="AC910" t="str">
        <x:f>"Q"&amp;ROUNDUP(MONTH(B910)/3,0)&amp;"-"&amp;YEAR(B910)</x:f>
        <x:v>Q3-2025</x:v>
      </x:c>
      <x:c r="AD910" s="26" t="n">
        <x:f>MIN(100,IF(H910="Enterprise",30,IF(H910="Mid-Market",22,14))+IF(T910="Enterprise",25,IF(T910="Mid-Market",18,10))+IF(Q910="Referral",25,IF(Q910="Organic Search",20,IF(Q910="Email",18,14)))+IF(G910="Technology",10,5))</x:f>
        <x:v>43</x:v>
      </x:c>
      <x:c r="AE910" t="str">
        <x:f>IF(U910&lt;&gt;"Open",U910,IF(N910&gt;=0.8,"Commit",IF(N910&gt;=0.5,"Best Case","Pipeline")))</x:f>
        <x:v>Lost</x:v>
      </x:c>
    </x:row>
    <x:row r="911">
      <x:c r="A911" t="str">
        <x:v>L00910</x:v>
      </x:c>
      <x:c r="B911" s="10" t="n">
        <x:v>45963</x:v>
      </x:c>
      <x:c r="C911" t="str">
        <x:v>Duy Pham</x:v>
      </x:c>
      <x:c r="D911" t="str">
        <x:v>South</x:v>
      </x:c>
      <x:c r="E911" t="str">
        <x:v>SEM - Google</x:v>
      </x:c>
      <x:c r="F911" t="str">
        <x:v>CRM-PRO</x:v>
      </x:c>
      <x:c r="G911" t="str">
        <x:v>Education</x:v>
      </x:c>
      <x:c r="H911" t="str">
        <x:v>SMB</x:v>
      </x:c>
      <x:c r="I911" t="str">
        <x:v>Closed Lost</x:v>
      </x:c>
      <x:c r="J911" s="10" t="n">
        <x:v>46027</x:v>
      </x:c>
      <x:c r="K911" s="10" t="n">
        <x:v>46027</x:v>
      </x:c>
      <x:c r="L911" s="22" t="n">
        <x:v>19700</x:v>
      </x:c>
      <x:c r="M911" s="24" t="n">
        <x:v>0</x:v>
      </x:c>
      <x:c r="N911" s="24" t="n">
        <x:v>0</x:v>
      </x:c>
      <x:c r="O911" t="str">
        <x:v>Budget</x:v>
      </x:c>
      <x:c r="P911" t="n">
        <x:v>2</x:v>
      </x:c>
      <x:c r="Q911" t="str">
        <x:f>IFERROR(XLOOKUP(E911,Lookups!$A$5:$A$24,Lookups!$B$5:$B$24),"Other")</x:f>
        <x:v>Paid Search</x:v>
      </x:c>
      <x:c r="R911" t="str">
        <x:f>IFERROR(XLOOKUP(F911,Lookups!$D$5:$D$10,Lookups!$E$5:$E$10),"Unknown Product")</x:f>
        <x:v>NexaCRM Pro</x:v>
      </x:c>
      <x:c r="S911" t="str">
        <x:f>IFERROR(XLOOKUP(F911,Lookups!$D$5:$D$10,Lookups!$F$5:$F$10),"Unknown")</x:f>
        <x:v>CRM</x:v>
      </x:c>
      <x:c r="T911" t="str">
        <x:f>IF(L911&gt;=50000,"Enterprise",IF(L911&gt;=20000,"Mid-Market","SMB"))</x:f>
        <x:v>SMB</x:v>
      </x:c>
      <x:c r="U911" t="str">
        <x:f>IF(I911="Closed Won","Won",IF(I911="Closed Lost","Lost","Open"))</x:f>
        <x:v>Lost</x:v>
      </x:c>
      <x:c r="V911" s="22" t="n">
        <x:f>IF(U911="Won",L911*(1-M911),0)</x:f>
        <x:v>0</x:v>
      </x:c>
      <x:c r="W911" s="22" t="n">
        <x:f>IF(U911="Open",L911*N911,0)</x:f>
        <x:v>0</x:v>
      </x:c>
      <x:c r="X911" s="26" t="n">
        <x:f>IF(U911="Open","",IFERROR(K911-B911,""))</x:f>
        <x:v>64</x:v>
      </x:c>
      <x:c r="Y911" s="26" t="n">
        <x:f>IF(U911="Open",Lookups!$B$2-B911,X911)</x:f>
        <x:v>64</x:v>
      </x:c>
      <x:c r="Z911" t="str">
        <x:f>IF(AND(U911="Open",Y911&gt;30),"STALE","OK")</x:f>
        <x:v>OK</x:v>
      </x:c>
      <x:c r="AA911" t="str">
        <x:f>TEXT(B911,"yyyy-mm")</x:f>
        <x:v>2025-11</x:v>
      </x:c>
      <x:c r="AB911" t="str">
        <x:f>IF(K911="","",TEXT(K911,"yyyy-mm"))</x:f>
        <x:v>2026-01</x:v>
      </x:c>
      <x:c r="AC911" t="str">
        <x:f>"Q"&amp;ROUNDUP(MONTH(B911)/3,0)&amp;"-"&amp;YEAR(B911)</x:f>
        <x:v>Q4-2025</x:v>
      </x:c>
      <x:c r="AD911" s="26" t="n">
        <x:f>MIN(100,IF(H911="Enterprise",30,IF(H911="Mid-Market",22,14))+IF(T911="Enterprise",25,IF(T911="Mid-Market",18,10))+IF(Q911="Referral",25,IF(Q911="Organic Search",20,IF(Q911="Email",18,14)))+IF(G911="Technology",10,5))</x:f>
        <x:v>43</x:v>
      </x:c>
      <x:c r="AE911" t="str">
        <x:f>IF(U911&lt;&gt;"Open",U911,IF(N911&gt;=0.8,"Commit",IF(N911&gt;=0.5,"Best Case","Pipeline")))</x:f>
        <x:v>Lost</x:v>
      </x:c>
    </x:row>
    <x:row r="912">
      <x:c r="A912" t="str">
        <x:v>L00911</x:v>
      </x:c>
      <x:c r="B912" s="10" t="n">
        <x:v>46013</x:v>
      </x:c>
      <x:c r="C912" t="str">
        <x:v>Minh Do</x:v>
      </x:c>
      <x:c r="D912" t="str">
        <x:v>North</x:v>
      </x:c>
      <x:c r="E912" t="str">
        <x:v>Referral</x:v>
      </x:c>
      <x:c r="F912" t="str">
        <x:v>MKT-AUTO</x:v>
      </x:c>
      <x:c r="G912" t="str">
        <x:v>Retail</x:v>
      </x:c>
      <x:c r="H912" t="str">
        <x:v>SMB</x:v>
      </x:c>
      <x:c r="I912" t="str">
        <x:v>Closed Won</x:v>
      </x:c>
      <x:c r="J912" s="10" t="n">
        <x:v>46064</x:v>
      </x:c>
      <x:c r="K912" s="10" t="n">
        <x:v>46064</x:v>
      </x:c>
      <x:c r="L912" s="22" t="n">
        <x:v>13500</x:v>
      </x:c>
      <x:c r="M912" s="24" t="n">
        <x:v>0.08</x:v>
      </x:c>
      <x:c r="N912" s="24" t="n">
        <x:v>1</x:v>
      </x:c>
      <x:c r="O912" t="str"/>
      <x:c r="P912" t="n">
        <x:v>6</x:v>
      </x:c>
      <x:c r="Q912" t="str">
        <x:f>IFERROR(XLOOKUP(E912,Lookups!$A$5:$A$24,Lookups!$B$5:$B$24),"Other")</x:f>
        <x:v>Referral</x:v>
      </x:c>
      <x:c r="R912" t="str">
        <x:f>IFERROR(XLOOKUP(F912,Lookups!$D$5:$D$10,Lookups!$E$5:$E$10),"Unknown Product")</x:f>
        <x:v>Marketing Automation</x:v>
      </x:c>
      <x:c r="S912" t="str">
        <x:f>IFERROR(XLOOKUP(F912,Lookups!$D$5:$D$10,Lookups!$F$5:$F$10),"Unknown")</x:f>
        <x:v>Marketing</x:v>
      </x:c>
      <x:c r="T912" t="str">
        <x:f>IF(L912&gt;=50000,"Enterprise",IF(L912&gt;=20000,"Mid-Market","SMB"))</x:f>
        <x:v>SMB</x:v>
      </x:c>
      <x:c r="U912" t="str">
        <x:f>IF(I912="Closed Won","Won",IF(I912="Closed Lost","Lost","Open"))</x:f>
        <x:v>Won</x:v>
      </x:c>
      <x:c r="V912" s="22" t="n">
        <x:f>IF(U912="Won",L912*(1-M912),0)</x:f>
        <x:v>12420</x:v>
      </x:c>
      <x:c r="W912" s="22" t="n">
        <x:f>IF(U912="Open",L912*N912,0)</x:f>
        <x:v>0</x:v>
      </x:c>
      <x:c r="X912" s="26" t="n">
        <x:f>IF(U912="Open","",IFERROR(K912-B912,""))</x:f>
        <x:v>51</x:v>
      </x:c>
      <x:c r="Y912" s="26" t="n">
        <x:f>IF(U912="Open",Lookups!$B$2-B912,X912)</x:f>
        <x:v>51</x:v>
      </x:c>
      <x:c r="Z912" t="str">
        <x:f>IF(AND(U912="Open",Y912&gt;30),"STALE","OK")</x:f>
        <x:v>OK</x:v>
      </x:c>
      <x:c r="AA912" t="str">
        <x:f>TEXT(B912,"yyyy-mm")</x:f>
        <x:v>2025-12</x:v>
      </x:c>
      <x:c r="AB912" t="str">
        <x:f>IF(K912="","",TEXT(K912,"yyyy-mm"))</x:f>
        <x:v>2026-02</x:v>
      </x:c>
      <x:c r="AC912" t="str">
        <x:f>"Q"&amp;ROUNDUP(MONTH(B912)/3,0)&amp;"-"&amp;YEAR(B912)</x:f>
        <x:v>Q4-2025</x:v>
      </x:c>
      <x:c r="AD912" s="26" t="n">
        <x:f>MIN(100,IF(H912="Enterprise",30,IF(H912="Mid-Market",22,14))+IF(T912="Enterprise",25,IF(T912="Mid-Market",18,10))+IF(Q912="Referral",25,IF(Q912="Organic Search",20,IF(Q912="Email",18,14)))+IF(G912="Technology",10,5))</x:f>
        <x:v>54</x:v>
      </x:c>
      <x:c r="AE912" t="str">
        <x:f>IF(U912&lt;&gt;"Open",U912,IF(N912&gt;=0.8,"Commit",IF(N912&gt;=0.5,"Best Case","Pipeline")))</x:f>
        <x:v>Won</x:v>
      </x:c>
    </x:row>
    <x:row r="913">
      <x:c r="A913" t="str">
        <x:v>L00912</x:v>
      </x:c>
      <x:c r="B913" s="10" t="n">
        <x:v>46248</x:v>
      </x:c>
      <x:c r="C913" t="str">
        <x:v>An Nguyen</x:v>
      </x:c>
      <x:c r="D913" t="str">
        <x:v>South</x:v>
      </x:c>
      <x:c r="E913" t="str">
        <x:v>Webinar</x:v>
      </x:c>
      <x:c r="F913" t="str">
        <x:v>REV-OPS</x:v>
      </x:c>
      <x:c r="G913" t="str">
        <x:v>Education</x:v>
      </x:c>
      <x:c r="H913" t="str">
        <x:v>SMB</x:v>
      </x:c>
      <x:c r="I913" t="str">
        <x:v>New</x:v>
      </x:c>
      <x:c r="J913" s="10" t="n">
        <x:v>46258</x:v>
      </x:c>
      <x:c r="K913" s="10"/>
      <x:c r="L913" s="22" t="n">
        <x:v>36100</x:v>
      </x:c>
      <x:c r="M913" s="24" t="n">
        <x:v>0</x:v>
      </x:c>
      <x:c r="N913" s="24" t="n">
        <x:v>0.05</x:v>
      </x:c>
      <x:c r="O913" t="str"/>
      <x:c r="P913" t="n">
        <x:v>1</x:v>
      </x:c>
      <x:c r="Q913" t="str">
        <x:f>IFERROR(XLOOKUP(E913,Lookups!$A$5:$A$24,Lookups!$B$5:$B$24),"Other")</x:f>
        <x:v>Webinar</x:v>
      </x:c>
      <x:c r="R913" t="str">
        <x:f>IFERROR(XLOOKUP(F913,Lookups!$D$5:$D$10,Lookups!$E$5:$E$10),"Unknown Product")</x:f>
        <x:v>Revenue Operations Suite</x:v>
      </x:c>
      <x:c r="S913" t="str">
        <x:f>IFERROR(XLOOKUP(F913,Lookups!$D$5:$D$10,Lookups!$F$5:$F$10),"Unknown")</x:f>
        <x:v>Revenue Ops</x:v>
      </x:c>
      <x:c r="T913" t="str">
        <x:f>IF(L913&gt;=50000,"Enterprise",IF(L913&gt;=20000,"Mid-Market","SMB"))</x:f>
        <x:v>Mid-Market</x:v>
      </x:c>
      <x:c r="U913" t="str">
        <x:f>IF(I913="Closed Won","Won",IF(I913="Closed Lost","Lost","Open"))</x:f>
        <x:v>Open</x:v>
      </x:c>
      <x:c r="V913" s="22" t="n">
        <x:f>IF(U913="Won",L913*(1-M913),0)</x:f>
        <x:v>0</x:v>
      </x:c>
      <x:c r="W913" s="22" t="n">
        <x:f>IF(U913="Open",L913*N913,0)</x:f>
        <x:v>1805</x:v>
      </x:c>
      <x:c r="X913" s="26" t="str">
        <x:f>IF(U913="Open","",IFERROR(K913-B913,""))</x:f>
      </x:c>
      <x:c r="Y913" s="26" t="n">
        <x:f>IF(U913="Open",Lookups!$B$2-B913,X913)</x:f>
        <x:v>18</x:v>
      </x:c>
      <x:c r="Z913" t="str">
        <x:f>IF(AND(U913="Open",Y913&gt;30),"STALE","OK")</x:f>
        <x:v>OK</x:v>
      </x:c>
      <x:c r="AA913" t="str">
        <x:f>TEXT(B913,"yyyy-mm")</x:f>
        <x:v>2026-08</x:v>
      </x:c>
      <x:c r="AB913" t="str">
        <x:f>IF(K913="","",TEXT(K913,"yyyy-mm"))</x:f>
      </x:c>
      <x:c r="AC913" t="str">
        <x:f>"Q"&amp;ROUNDUP(MONTH(B913)/3,0)&amp;"-"&amp;YEAR(B913)</x:f>
        <x:v>Q3-2026</x:v>
      </x:c>
      <x:c r="AD913" s="26" t="n">
        <x:f>MIN(100,IF(H913="Enterprise",30,IF(H913="Mid-Market",22,14))+IF(T913="Enterprise",25,IF(T913="Mid-Market",18,10))+IF(Q913="Referral",25,IF(Q913="Organic Search",20,IF(Q913="Email",18,14)))+IF(G913="Technology",10,5))</x:f>
        <x:v>51</x:v>
      </x:c>
      <x:c r="AE913" t="str">
        <x:f>IF(U913&lt;&gt;"Open",U913,IF(N913&gt;=0.8,"Commit",IF(N913&gt;=0.5,"Best Case","Pipeline")))</x:f>
        <x:v>Pipeline</x:v>
      </x:c>
    </x:row>
    <x:row r="914">
      <x:c r="A914" t="str">
        <x:v>L00913</x:v>
      </x:c>
      <x:c r="B914" s="10" t="n">
        <x:v>45999</x:v>
      </x:c>
      <x:c r="C914" t="str">
        <x:v>Ha Vo</x:v>
      </x:c>
      <x:c r="D914" t="str">
        <x:v>North</x:v>
      </x:c>
      <x:c r="E914" t="str">
        <x:v>Google Organic</x:v>
      </x:c>
      <x:c r="F914" t="str">
        <x:v>REV-OPS</x:v>
      </x:c>
      <x:c r="G914" t="str">
        <x:v>Education</x:v>
      </x:c>
      <x:c r="H914" t="str">
        <x:v>SMB</x:v>
      </x:c>
      <x:c r="I914" t="str">
        <x:v>Closed Won</x:v>
      </x:c>
      <x:c r="J914" s="10" t="n">
        <x:v>46029</x:v>
      </x:c>
      <x:c r="K914" s="10" t="n">
        <x:v>46029</x:v>
      </x:c>
      <x:c r="L914" s="22" t="n">
        <x:v>22400</x:v>
      </x:c>
      <x:c r="M914" s="24" t="n">
        <x:v>0.03</x:v>
      </x:c>
      <x:c r="N914" s="24" t="n">
        <x:v>1</x:v>
      </x:c>
      <x:c r="O914" t="str"/>
      <x:c r="P914" t="n">
        <x:v>6</x:v>
      </x:c>
      <x:c r="Q914" t="str">
        <x:f>IFERROR(XLOOKUP(E914,Lookups!$A$5:$A$24,Lookups!$B$5:$B$24),"Other")</x:f>
        <x:v>Organic Search</x:v>
      </x:c>
      <x:c r="R914" t="str">
        <x:f>IFERROR(XLOOKUP(F914,Lookups!$D$5:$D$10,Lookups!$E$5:$E$10),"Unknown Product")</x:f>
        <x:v>Revenue Operations Suite</x:v>
      </x:c>
      <x:c r="S914" t="str">
        <x:f>IFERROR(XLOOKUP(F914,Lookups!$D$5:$D$10,Lookups!$F$5:$F$10),"Unknown")</x:f>
        <x:v>Revenue Ops</x:v>
      </x:c>
      <x:c r="T914" t="str">
        <x:f>IF(L914&gt;=50000,"Enterprise",IF(L914&gt;=20000,"Mid-Market","SMB"))</x:f>
        <x:v>Mid-Market</x:v>
      </x:c>
      <x:c r="U914" t="str">
        <x:f>IF(I914="Closed Won","Won",IF(I914="Closed Lost","Lost","Open"))</x:f>
        <x:v>Won</x:v>
      </x:c>
      <x:c r="V914" s="22" t="n">
        <x:f>IF(U914="Won",L914*(1-M914),0)</x:f>
        <x:v>21728</x:v>
      </x:c>
      <x:c r="W914" s="22" t="n">
        <x:f>IF(U914="Open",L914*N914,0)</x:f>
        <x:v>0</x:v>
      </x:c>
      <x:c r="X914" s="26" t="n">
        <x:f>IF(U914="Open","",IFERROR(K914-B914,""))</x:f>
        <x:v>30</x:v>
      </x:c>
      <x:c r="Y914" s="26" t="n">
        <x:f>IF(U914="Open",Lookups!$B$2-B914,X914)</x:f>
        <x:v>30</x:v>
      </x:c>
      <x:c r="Z914" t="str">
        <x:f>IF(AND(U914="Open",Y914&gt;30),"STALE","OK")</x:f>
        <x:v>OK</x:v>
      </x:c>
      <x:c r="AA914" t="str">
        <x:f>TEXT(B914,"yyyy-mm")</x:f>
        <x:v>2025-12</x:v>
      </x:c>
      <x:c r="AB914" t="str">
        <x:f>IF(K914="","",TEXT(K914,"yyyy-mm"))</x:f>
        <x:v>2026-01</x:v>
      </x:c>
      <x:c r="AC914" t="str">
        <x:f>"Q"&amp;ROUNDUP(MONTH(B914)/3,0)&amp;"-"&amp;YEAR(B914)</x:f>
        <x:v>Q4-2025</x:v>
      </x:c>
      <x:c r="AD914" s="26" t="n">
        <x:f>MIN(100,IF(H914="Enterprise",30,IF(H914="Mid-Market",22,14))+IF(T914="Enterprise",25,IF(T914="Mid-Market",18,10))+IF(Q914="Referral",25,IF(Q914="Organic Search",20,IF(Q914="Email",18,14)))+IF(G914="Technology",10,5))</x:f>
        <x:v>57</x:v>
      </x:c>
      <x:c r="AE914" t="str">
        <x:f>IF(U914&lt;&gt;"Open",U914,IF(N914&gt;=0.8,"Commit",IF(N914&gt;=0.5,"Best Case","Pipeline")))</x:f>
        <x:v>Won</x:v>
      </x:c>
    </x:row>
    <x:row r="915">
      <x:c r="A915" t="str">
        <x:v>L00914</x:v>
      </x:c>
      <x:c r="B915" s="10" t="n">
        <x:v>45732</x:v>
      </x:c>
      <x:c r="C915" t="str">
        <x:v>Minh Do</x:v>
      </x:c>
      <x:c r="D915" t="str">
        <x:v>North</x:v>
      </x:c>
      <x:c r="E915" t="str">
        <x:v>newsletter</x:v>
      </x:c>
      <x:c r="F915" t="str">
        <x:v>CRM-PRO</x:v>
      </x:c>
      <x:c r="G915" t="str">
        <x:v>Retail</x:v>
      </x:c>
      <x:c r="H915" t="str">
        <x:v>Mid-Market</x:v>
      </x:c>
      <x:c r="I915" t="str">
        <x:v>Closed Lost</x:v>
      </x:c>
      <x:c r="J915" s="10" t="n">
        <x:v>45740</x:v>
      </x:c>
      <x:c r="K915" s="10" t="n">
        <x:v>45740</x:v>
      </x:c>
      <x:c r="L915" s="22" t="n">
        <x:v>42200</x:v>
      </x:c>
      <x:c r="M915" s="24" t="n">
        <x:v>0</x:v>
      </x:c>
      <x:c r="N915" s="24" t="n">
        <x:v>0</x:v>
      </x:c>
      <x:c r="O915" t="str">
        <x:v>Price</x:v>
      </x:c>
      <x:c r="P915" t="n">
        <x:v>3</x:v>
      </x:c>
      <x:c r="Q915" t="str">
        <x:f>IFERROR(XLOOKUP(E915,Lookups!$A$5:$A$24,Lookups!$B$5:$B$24),"Other")</x:f>
        <x:v>Email</x:v>
      </x:c>
      <x:c r="R915" t="str">
        <x:f>IFERROR(XLOOKUP(F915,Lookups!$D$5:$D$10,Lookups!$E$5:$E$10),"Unknown Product")</x:f>
        <x:v>NexaCRM Pro</x:v>
      </x:c>
      <x:c r="S915" t="str">
        <x:f>IFERROR(XLOOKUP(F915,Lookups!$D$5:$D$10,Lookups!$F$5:$F$10),"Unknown")</x:f>
        <x:v>CRM</x:v>
      </x:c>
      <x:c r="T915" t="str">
        <x:f>IF(L915&gt;=50000,"Enterprise",IF(L915&gt;=20000,"Mid-Market","SMB"))</x:f>
        <x:v>Mid-Market</x:v>
      </x:c>
      <x:c r="U915" t="str">
        <x:f>IF(I915="Closed Won","Won",IF(I915="Closed Lost","Lost","Open"))</x:f>
        <x:v>Lost</x:v>
      </x:c>
      <x:c r="V915" s="22" t="n">
        <x:f>IF(U915="Won",L915*(1-M915),0)</x:f>
        <x:v>0</x:v>
      </x:c>
      <x:c r="W915" s="22" t="n">
        <x:f>IF(U915="Open",L915*N915,0)</x:f>
        <x:v>0</x:v>
      </x:c>
      <x:c r="X915" s="26" t="n">
        <x:f>IF(U915="Open","",IFERROR(K915-B915,""))</x:f>
        <x:v>8</x:v>
      </x:c>
      <x:c r="Y915" s="26" t="n">
        <x:f>IF(U915="Open",Lookups!$B$2-B915,X915)</x:f>
        <x:v>8</x:v>
      </x:c>
      <x:c r="Z915" t="str">
        <x:f>IF(AND(U915="Open",Y915&gt;30),"STALE","OK")</x:f>
        <x:v>OK</x:v>
      </x:c>
      <x:c r="AA915" t="str">
        <x:f>TEXT(B915,"yyyy-mm")</x:f>
        <x:v>2025-03</x:v>
      </x:c>
      <x:c r="AB915" t="str">
        <x:f>IF(K915="","",TEXT(K915,"yyyy-mm"))</x:f>
        <x:v>2025-03</x:v>
      </x:c>
      <x:c r="AC915" t="str">
        <x:f>"Q"&amp;ROUNDUP(MONTH(B915)/3,0)&amp;"-"&amp;YEAR(B915)</x:f>
        <x:v>Q1-2025</x:v>
      </x:c>
      <x:c r="AD915" s="26" t="n">
        <x:f>MIN(100,IF(H915="Enterprise",30,IF(H915="Mid-Market",22,14))+IF(T915="Enterprise",25,IF(T915="Mid-Market",18,10))+IF(Q915="Referral",25,IF(Q915="Organic Search",20,IF(Q915="Email",18,14)))+IF(G915="Technology",10,5))</x:f>
        <x:v>63</x:v>
      </x:c>
      <x:c r="AE915" t="str">
        <x:f>IF(U915&lt;&gt;"Open",U915,IF(N915&gt;=0.8,"Commit",IF(N915&gt;=0.5,"Best Case","Pipeline")))</x:f>
        <x:v>Lost</x:v>
      </x:c>
    </x:row>
    <x:row r="916">
      <x:c r="A916" t="str">
        <x:v>L00915</x:v>
      </x:c>
      <x:c r="B916" s="10" t="n">
        <x:v>45664</x:v>
      </x:c>
      <x:c r="C916" t="str">
        <x:v>Chi Le</x:v>
      </x:c>
      <x:c r="D916" t="str">
        <x:v>South</x:v>
      </x:c>
      <x:c r="E916" t="str">
        <x:v>Outbound</x:v>
      </x:c>
      <x:c r="F916" t="str">
        <x:v>CRM-CORE</x:v>
      </x:c>
      <x:c r="G916" t="str">
        <x:v>Manufacturing</x:v>
      </x:c>
      <x:c r="H916" t="str">
        <x:v>SMB</x:v>
      </x:c>
      <x:c r="I916" t="str">
        <x:v>Closed Lost</x:v>
      </x:c>
      <x:c r="J916" s="10" t="n">
        <x:v>45688</x:v>
      </x:c>
      <x:c r="K916" s="10" t="n">
        <x:v>45688</x:v>
      </x:c>
      <x:c r="L916" s="22" t="n">
        <x:v>8700</x:v>
      </x:c>
      <x:c r="M916" s="24" t="n">
        <x:v>0</x:v>
      </x:c>
      <x:c r="N916" s="24" t="n">
        <x:v>0</x:v>
      </x:c>
      <x:c r="O916" t="str">
        <x:v>Budget</x:v>
      </x:c>
      <x:c r="P916" t="n">
        <x:v>5</x:v>
      </x:c>
      <x:c r="Q916" t="str">
        <x:f>IFERROR(XLOOKUP(E916,Lookups!$A$5:$A$24,Lookups!$B$5:$B$24),"Other")</x:f>
        <x:v>Outbound</x:v>
      </x:c>
      <x:c r="R916" t="str">
        <x:f>IFERROR(XLOOKUP(F916,Lookups!$D$5:$D$10,Lookups!$E$5:$E$10),"Unknown Product")</x:f>
        <x:v>NexaCRM Core</x:v>
      </x:c>
      <x:c r="S916" t="str">
        <x:f>IFERROR(XLOOKUP(F916,Lookups!$D$5:$D$10,Lookups!$F$5:$F$10),"Unknown")</x:f>
        <x:v>CRM</x:v>
      </x:c>
      <x:c r="T916" t="str">
        <x:f>IF(L916&gt;=50000,"Enterprise",IF(L916&gt;=20000,"Mid-Market","SMB"))</x:f>
        <x:v>SMB</x:v>
      </x:c>
      <x:c r="U916" t="str">
        <x:f>IF(I916="Closed Won","Won",IF(I916="Closed Lost","Lost","Open"))</x:f>
        <x:v>Lost</x:v>
      </x:c>
      <x:c r="V916" s="22" t="n">
        <x:f>IF(U916="Won",L916*(1-M916),0)</x:f>
        <x:v>0</x:v>
      </x:c>
      <x:c r="W916" s="22" t="n">
        <x:f>IF(U916="Open",L916*N916,0)</x:f>
        <x:v>0</x:v>
      </x:c>
      <x:c r="X916" s="26" t="n">
        <x:f>IF(U916="Open","",IFERROR(K916-B916,""))</x:f>
        <x:v>24</x:v>
      </x:c>
      <x:c r="Y916" s="26" t="n">
        <x:f>IF(U916="Open",Lookups!$B$2-B916,X916)</x:f>
        <x:v>24</x:v>
      </x:c>
      <x:c r="Z916" t="str">
        <x:f>IF(AND(U916="Open",Y916&gt;30),"STALE","OK")</x:f>
        <x:v>OK</x:v>
      </x:c>
      <x:c r="AA916" t="str">
        <x:f>TEXT(B916,"yyyy-mm")</x:f>
        <x:v>2025-01</x:v>
      </x:c>
      <x:c r="AB916" t="str">
        <x:f>IF(K916="","",TEXT(K916,"yyyy-mm"))</x:f>
        <x:v>2025-01</x:v>
      </x:c>
      <x:c r="AC916" t="str">
        <x:f>"Q"&amp;ROUNDUP(MONTH(B916)/3,0)&amp;"-"&amp;YEAR(B916)</x:f>
        <x:v>Q1-2025</x:v>
      </x:c>
      <x:c r="AD916" s="26" t="n">
        <x:f>MIN(100,IF(H916="Enterprise",30,IF(H916="Mid-Market",22,14))+IF(T916="Enterprise",25,IF(T916="Mid-Market",18,10))+IF(Q916="Referral",25,IF(Q916="Organic Search",20,IF(Q916="Email",18,14)))+IF(G916="Technology",10,5))</x:f>
        <x:v>43</x:v>
      </x:c>
      <x:c r="AE916" t="str">
        <x:f>IF(U916&lt;&gt;"Open",U916,IF(N916&gt;=0.8,"Commit",IF(N916&gt;=0.5,"Best Case","Pipeline")))</x:f>
        <x:v>Lost</x:v>
      </x:c>
    </x:row>
    <x:row r="917">
      <x:c r="A917" t="str">
        <x:v>L00916</x:v>
      </x:c>
      <x:c r="B917" s="10" t="n">
        <x:v>45685</x:v>
      </x:c>
      <x:c r="C917" t="str">
        <x:v>Minh Do</x:v>
      </x:c>
      <x:c r="D917" t="str">
        <x:v>North</x:v>
      </x:c>
      <x:c r="E917" t="str">
        <x:v>Google Organic</x:v>
      </x:c>
      <x:c r="F917" t="str">
        <x:v>BI-PLUS</x:v>
      </x:c>
      <x:c r="G917" t="str">
        <x:v>Technology</x:v>
      </x:c>
      <x:c r="H917" t="str">
        <x:v>Mid-Market</x:v>
      </x:c>
      <x:c r="I917" t="str">
        <x:v>Closed Won</x:v>
      </x:c>
      <x:c r="J917" s="10" t="n">
        <x:v>45732</x:v>
      </x:c>
      <x:c r="K917" s="10" t="n">
        <x:v>45732</x:v>
      </x:c>
      <x:c r="L917" s="22" t="n">
        <x:v>27100</x:v>
      </x:c>
      <x:c r="M917" s="24" t="n">
        <x:v>0.05</x:v>
      </x:c>
      <x:c r="N917" s="24" t="n">
        <x:v>1</x:v>
      </x:c>
      <x:c r="O917" t="str"/>
      <x:c r="P917" t="n">
        <x:v>6</x:v>
      </x:c>
      <x:c r="Q917" t="str">
        <x:f>IFERROR(XLOOKUP(E917,Lookups!$A$5:$A$24,Lookups!$B$5:$B$24),"Other")</x:f>
        <x:v>Organic Search</x:v>
      </x:c>
      <x:c r="R917" t="str">
        <x:f>IFERROR(XLOOKUP(F917,Lookups!$D$5:$D$10,Lookups!$E$5:$E$10),"Unknown Product")</x:f>
        <x:v>Analytics Plus</x:v>
      </x:c>
      <x:c r="S917" t="str">
        <x:f>IFERROR(XLOOKUP(F917,Lookups!$D$5:$D$10,Lookups!$F$5:$F$10),"Unknown")</x:f>
        <x:v>Analytics</x:v>
      </x:c>
      <x:c r="T917" t="str">
        <x:f>IF(L917&gt;=50000,"Enterprise",IF(L917&gt;=20000,"Mid-Market","SMB"))</x:f>
        <x:v>Mid-Market</x:v>
      </x:c>
      <x:c r="U917" t="str">
        <x:f>IF(I917="Closed Won","Won",IF(I917="Closed Lost","Lost","Open"))</x:f>
        <x:v>Won</x:v>
      </x:c>
      <x:c r="V917" s="22" t="n">
        <x:f>IF(U917="Won",L917*(1-M917),0)</x:f>
        <x:v>25745</x:v>
      </x:c>
      <x:c r="W917" s="22" t="n">
        <x:f>IF(U917="Open",L917*N917,0)</x:f>
        <x:v>0</x:v>
      </x:c>
      <x:c r="X917" s="26" t="n">
        <x:f>IF(U917="Open","",IFERROR(K917-B917,""))</x:f>
        <x:v>47</x:v>
      </x:c>
      <x:c r="Y917" s="26" t="n">
        <x:f>IF(U917="Open",Lookups!$B$2-B917,X917)</x:f>
        <x:v>47</x:v>
      </x:c>
      <x:c r="Z917" t="str">
        <x:f>IF(AND(U917="Open",Y917&gt;30),"STALE","OK")</x:f>
        <x:v>OK</x:v>
      </x:c>
      <x:c r="AA917" t="str">
        <x:f>TEXT(B917,"yyyy-mm")</x:f>
        <x:v>2025-01</x:v>
      </x:c>
      <x:c r="AB917" t="str">
        <x:f>IF(K917="","",TEXT(K917,"yyyy-mm"))</x:f>
        <x:v>2025-03</x:v>
      </x:c>
      <x:c r="AC917" t="str">
        <x:f>"Q"&amp;ROUNDUP(MONTH(B917)/3,0)&amp;"-"&amp;YEAR(B917)</x:f>
        <x:v>Q1-2025</x:v>
      </x:c>
      <x:c r="AD917" s="26" t="n">
        <x:f>MIN(100,IF(H917="Enterprise",30,IF(H917="Mid-Market",22,14))+IF(T917="Enterprise",25,IF(T917="Mid-Market",18,10))+IF(Q917="Referral",25,IF(Q917="Organic Search",20,IF(Q917="Email",18,14)))+IF(G917="Technology",10,5))</x:f>
        <x:v>70</x:v>
      </x:c>
      <x:c r="AE917" t="str">
        <x:f>IF(U917&lt;&gt;"Open",U917,IF(N917&gt;=0.8,"Commit",IF(N917&gt;=0.5,"Best Case","Pipeline")))</x:f>
        <x:v>Won</x:v>
      </x:c>
    </x:row>
    <x:row r="918">
      <x:c r="A918" t="str">
        <x:v>L00917</x:v>
      </x:c>
      <x:c r="B918" s="10" t="n">
        <x:v>46122</x:v>
      </x:c>
      <x:c r="C918" t="str">
        <x:v>Tuan Bui</x:v>
      </x:c>
      <x:c r="D918" t="str">
        <x:v>Central</x:v>
      </x:c>
      <x:c r="E918" t="str">
        <x:v>LinkedIn Ads</x:v>
      </x:c>
      <x:c r="F918" t="str">
        <x:v>CRM-PRO</x:v>
      </x:c>
      <x:c r="G918" t="str">
        <x:v>Manufacturing</x:v>
      </x:c>
      <x:c r="H918" t="str">
        <x:v>Mid-Market</x:v>
      </x:c>
      <x:c r="I918" t="str">
        <x:v>Closed Lost</x:v>
      </x:c>
      <x:c r="J918" s="10" t="n">
        <x:v>46141</x:v>
      </x:c>
      <x:c r="K918" s="10" t="n">
        <x:v>46141</x:v>
      </x:c>
      <x:c r="L918" s="22" t="n">
        <x:v>20200</x:v>
      </x:c>
      <x:c r="M918" s="24" t="n">
        <x:v>0</x:v>
      </x:c>
      <x:c r="N918" s="24" t="n">
        <x:v>0</x:v>
      </x:c>
      <x:c r="O918" t="str">
        <x:v>Price</x:v>
      </x:c>
      <x:c r="P918" t="n">
        <x:v>2</x:v>
      </x:c>
      <x:c r="Q918" t="str">
        <x:f>IFERROR(XLOOKUP(E918,Lookups!$A$5:$A$24,Lookups!$B$5:$B$24),"Other")</x:f>
        <x:v>LinkedIn</x:v>
      </x:c>
      <x:c r="R918" t="str">
        <x:f>IFERROR(XLOOKUP(F918,Lookups!$D$5:$D$10,Lookups!$E$5:$E$10),"Unknown Product")</x:f>
        <x:v>NexaCRM Pro</x:v>
      </x:c>
      <x:c r="S918" t="str">
        <x:f>IFERROR(XLOOKUP(F918,Lookups!$D$5:$D$10,Lookups!$F$5:$F$10),"Unknown")</x:f>
        <x:v>CRM</x:v>
      </x:c>
      <x:c r="T918" t="str">
        <x:f>IF(L918&gt;=50000,"Enterprise",IF(L918&gt;=20000,"Mid-Market","SMB"))</x:f>
        <x:v>Mid-Market</x:v>
      </x:c>
      <x:c r="U918" t="str">
        <x:f>IF(I918="Closed Won","Won",IF(I918="Closed Lost","Lost","Open"))</x:f>
        <x:v>Lost</x:v>
      </x:c>
      <x:c r="V918" s="22" t="n">
        <x:f>IF(U918="Won",L918*(1-M918),0)</x:f>
        <x:v>0</x:v>
      </x:c>
      <x:c r="W918" s="22" t="n">
        <x:f>IF(U918="Open",L918*N918,0)</x:f>
        <x:v>0</x:v>
      </x:c>
      <x:c r="X918" s="26" t="n">
        <x:f>IF(U918="Open","",IFERROR(K918-B918,""))</x:f>
        <x:v>19</x:v>
      </x:c>
      <x:c r="Y918" s="26" t="n">
        <x:f>IF(U918="Open",Lookups!$B$2-B918,X918)</x:f>
        <x:v>19</x:v>
      </x:c>
      <x:c r="Z918" t="str">
        <x:f>IF(AND(U918="Open",Y918&gt;30),"STALE","OK")</x:f>
        <x:v>OK</x:v>
      </x:c>
      <x:c r="AA918" t="str">
        <x:f>TEXT(B918,"yyyy-mm")</x:f>
        <x:v>2026-04</x:v>
      </x:c>
      <x:c r="AB918" t="str">
        <x:f>IF(K918="","",TEXT(K918,"yyyy-mm"))</x:f>
        <x:v>2026-04</x:v>
      </x:c>
      <x:c r="AC918" t="str">
        <x:f>"Q"&amp;ROUNDUP(MONTH(B918)/3,0)&amp;"-"&amp;YEAR(B918)</x:f>
        <x:v>Q2-2026</x:v>
      </x:c>
      <x:c r="AD918" s="26" t="n">
        <x:f>MIN(100,IF(H918="Enterprise",30,IF(H918="Mid-Market",22,14))+IF(T918="Enterprise",25,IF(T918="Mid-Market",18,10))+IF(Q918="Referral",25,IF(Q918="Organic Search",20,IF(Q918="Email",18,14)))+IF(G918="Technology",10,5))</x:f>
        <x:v>59</x:v>
      </x:c>
      <x:c r="AE918" t="str">
        <x:f>IF(U918&lt;&gt;"Open",U918,IF(N918&gt;=0.8,"Commit",IF(N918&gt;=0.5,"Best Case","Pipeline")))</x:f>
        <x:v>Lost</x:v>
      </x:c>
    </x:row>
    <x:row r="919">
      <x:c r="A919" t="str">
        <x:v>L00918</x:v>
      </x:c>
      <x:c r="B919" s="10" t="n">
        <x:v>45731</x:v>
      </x:c>
      <x:c r="C919" t="str">
        <x:v>Quynh Vu</x:v>
      </x:c>
      <x:c r="D919" t="str">
        <x:v>North</x:v>
      </x:c>
      <x:c r="E919" t="str">
        <x:v>linkedin</x:v>
      </x:c>
      <x:c r="F919" t="str">
        <x:v>CRM-PRO</x:v>
      </x:c>
      <x:c r="G919" t="str">
        <x:v>Retail</x:v>
      </x:c>
      <x:c r="H919" t="str">
        <x:v>SMB</x:v>
      </x:c>
      <x:c r="I919" t="str">
        <x:v>Closed Won</x:v>
      </x:c>
      <x:c r="J919" s="10" t="n">
        <x:v>45780</x:v>
      </x:c>
      <x:c r="K919" s="10" t="n">
        <x:v>45780</x:v>
      </x:c>
      <x:c r="L919" s="22" t="n">
        <x:v>15200</x:v>
      </x:c>
      <x:c r="M919" s="24" t="n">
        <x:v>0.08</x:v>
      </x:c>
      <x:c r="N919" s="24" t="n">
        <x:v>1</x:v>
      </x:c>
      <x:c r="O919" t="str"/>
      <x:c r="P919" t="n">
        <x:v>6</x:v>
      </x:c>
      <x:c r="Q919" t="str">
        <x:f>IFERROR(XLOOKUP(E919,Lookups!$A$5:$A$24,Lookups!$B$5:$B$24),"Other")</x:f>
        <x:v>LinkedIn</x:v>
      </x:c>
      <x:c r="R919" t="str">
        <x:f>IFERROR(XLOOKUP(F919,Lookups!$D$5:$D$10,Lookups!$E$5:$E$10),"Unknown Product")</x:f>
        <x:v>NexaCRM Pro</x:v>
      </x:c>
      <x:c r="S919" t="str">
        <x:f>IFERROR(XLOOKUP(F919,Lookups!$D$5:$D$10,Lookups!$F$5:$F$10),"Unknown")</x:f>
        <x:v>CRM</x:v>
      </x:c>
      <x:c r="T919" t="str">
        <x:f>IF(L919&gt;=50000,"Enterprise",IF(L919&gt;=20000,"Mid-Market","SMB"))</x:f>
        <x:v>SMB</x:v>
      </x:c>
      <x:c r="U919" t="str">
        <x:f>IF(I919="Closed Won","Won",IF(I919="Closed Lost","Lost","Open"))</x:f>
        <x:v>Won</x:v>
      </x:c>
      <x:c r="V919" s="22" t="n">
        <x:f>IF(U919="Won",L919*(1-M919),0)</x:f>
        <x:v>13984</x:v>
      </x:c>
      <x:c r="W919" s="22" t="n">
        <x:f>IF(U919="Open",L919*N919,0)</x:f>
        <x:v>0</x:v>
      </x:c>
      <x:c r="X919" s="26" t="n">
        <x:f>IF(U919="Open","",IFERROR(K919-B919,""))</x:f>
        <x:v>49</x:v>
      </x:c>
      <x:c r="Y919" s="26" t="n">
        <x:f>IF(U919="Open",Lookups!$B$2-B919,X919)</x:f>
        <x:v>49</x:v>
      </x:c>
      <x:c r="Z919" t="str">
        <x:f>IF(AND(U919="Open",Y919&gt;30),"STALE","OK")</x:f>
        <x:v>OK</x:v>
      </x:c>
      <x:c r="AA919" t="str">
        <x:f>TEXT(B919,"yyyy-mm")</x:f>
        <x:v>2025-03</x:v>
      </x:c>
      <x:c r="AB919" t="str">
        <x:f>IF(K919="","",TEXT(K919,"yyyy-mm"))</x:f>
        <x:v>2025-05</x:v>
      </x:c>
      <x:c r="AC919" t="str">
        <x:f>"Q"&amp;ROUNDUP(MONTH(B919)/3,0)&amp;"-"&amp;YEAR(B919)</x:f>
        <x:v>Q1-2025</x:v>
      </x:c>
      <x:c r="AD919" s="26" t="n">
        <x:f>MIN(100,IF(H919="Enterprise",30,IF(H919="Mid-Market",22,14))+IF(T919="Enterprise",25,IF(T919="Mid-Market",18,10))+IF(Q919="Referral",25,IF(Q919="Organic Search",20,IF(Q919="Email",18,14)))+IF(G919="Technology",10,5))</x:f>
        <x:v>43</x:v>
      </x:c>
      <x:c r="AE919" t="str">
        <x:f>IF(U919&lt;&gt;"Open",U919,IF(N919&gt;=0.8,"Commit",IF(N919&gt;=0.5,"Best Case","Pipeline")))</x:f>
        <x:v>Won</x:v>
      </x:c>
    </x:row>
    <x:row r="920">
      <x:c r="A920" t="str">
        <x:v>L00919</x:v>
      </x:c>
      <x:c r="B920" s="10" t="n">
        <x:v>45890</x:v>
      </x:c>
      <x:c r="C920" t="str">
        <x:v>Ha Vo</x:v>
      </x:c>
      <x:c r="D920" t="str">
        <x:v>North</x:v>
      </x:c>
      <x:c r="E920" t="str">
        <x:v>SEO</x:v>
      </x:c>
      <x:c r="F920" t="str">
        <x:v>REV-OPS</x:v>
      </x:c>
      <x:c r="G920" t="str">
        <x:v>Professional Services</x:v>
      </x:c>
      <x:c r="H920" t="str">
        <x:v>Mid-Market</x:v>
      </x:c>
      <x:c r="I920" t="str">
        <x:v>Closed Lost</x:v>
      </x:c>
      <x:c r="J920" s="10" t="n">
        <x:v>45905</x:v>
      </x:c>
      <x:c r="K920" s="10" t="n">
        <x:v>45905</x:v>
      </x:c>
      <x:c r="L920" s="22" t="n">
        <x:v>40600</x:v>
      </x:c>
      <x:c r="M920" s="24" t="n">
        <x:v>0</x:v>
      </x:c>
      <x:c r="N920" s="24" t="n">
        <x:v>0</x:v>
      </x:c>
      <x:c r="O920" t="str">
        <x:v>No Decision</x:v>
      </x:c>
      <x:c r="P920" t="n">
        <x:v>3</x:v>
      </x:c>
      <x:c r="Q920" t="str">
        <x:f>IFERROR(XLOOKUP(E920,Lookups!$A$5:$A$24,Lookups!$B$5:$B$24),"Other")</x:f>
        <x:v>Organic Search</x:v>
      </x:c>
      <x:c r="R920" t="str">
        <x:f>IFERROR(XLOOKUP(F920,Lookups!$D$5:$D$10,Lookups!$E$5:$E$10),"Unknown Product")</x:f>
        <x:v>Revenue Operations Suite</x:v>
      </x:c>
      <x:c r="S920" t="str">
        <x:f>IFERROR(XLOOKUP(F920,Lookups!$D$5:$D$10,Lookups!$F$5:$F$10),"Unknown")</x:f>
        <x:v>Revenue Ops</x:v>
      </x:c>
      <x:c r="T920" t="str">
        <x:f>IF(L920&gt;=50000,"Enterprise",IF(L920&gt;=20000,"Mid-Market","SMB"))</x:f>
        <x:v>Mid-Market</x:v>
      </x:c>
      <x:c r="U920" t="str">
        <x:f>IF(I920="Closed Won","Won",IF(I920="Closed Lost","Lost","Open"))</x:f>
        <x:v>Lost</x:v>
      </x:c>
      <x:c r="V920" s="22" t="n">
        <x:f>IF(U920="Won",L920*(1-M920),0)</x:f>
        <x:v>0</x:v>
      </x:c>
      <x:c r="W920" s="22" t="n">
        <x:f>IF(U920="Open",L920*N920,0)</x:f>
        <x:v>0</x:v>
      </x:c>
      <x:c r="X920" s="26" t="n">
        <x:f>IF(U920="Open","",IFERROR(K920-B920,""))</x:f>
        <x:v>15</x:v>
      </x:c>
      <x:c r="Y920" s="26" t="n">
        <x:f>IF(U920="Open",Lookups!$B$2-B920,X920)</x:f>
        <x:v>15</x:v>
      </x:c>
      <x:c r="Z920" t="str">
        <x:f>IF(AND(U920="Open",Y920&gt;30),"STALE","OK")</x:f>
        <x:v>OK</x:v>
      </x:c>
      <x:c r="AA920" t="str">
        <x:f>TEXT(B920,"yyyy-mm")</x:f>
        <x:v>2025-08</x:v>
      </x:c>
      <x:c r="AB920" t="str">
        <x:f>IF(K920="","",TEXT(K920,"yyyy-mm"))</x:f>
        <x:v>2025-09</x:v>
      </x:c>
      <x:c r="AC920" t="str">
        <x:f>"Q"&amp;ROUNDUP(MONTH(B920)/3,0)&amp;"-"&amp;YEAR(B920)</x:f>
        <x:v>Q3-2025</x:v>
      </x:c>
      <x:c r="AD920" s="26" t="n">
        <x:f>MIN(100,IF(H920="Enterprise",30,IF(H920="Mid-Market",22,14))+IF(T920="Enterprise",25,IF(T920="Mid-Market",18,10))+IF(Q920="Referral",25,IF(Q920="Organic Search",20,IF(Q920="Email",18,14)))+IF(G920="Technology",10,5))</x:f>
        <x:v>65</x:v>
      </x:c>
      <x:c r="AE920" t="str">
        <x:f>IF(U920&lt;&gt;"Open",U920,IF(N920&gt;=0.8,"Commit",IF(N920&gt;=0.5,"Best Case","Pipeline")))</x:f>
        <x:v>Lost</x:v>
      </x:c>
    </x:row>
    <x:row r="921">
      <x:c r="A921" t="str">
        <x:v>L00920</x:v>
      </x:c>
      <x:c r="B921" s="10" t="n">
        <x:v>46025</x:v>
      </x:c>
      <x:c r="C921" t="str">
        <x:v>Minh Do</x:v>
      </x:c>
      <x:c r="D921" t="str">
        <x:v>North</x:v>
      </x:c>
      <x:c r="E921" t="str">
        <x:v>linkedin</x:v>
      </x:c>
      <x:c r="F921" t="str">
        <x:v>CRM-PRO</x:v>
      </x:c>
      <x:c r="G921" t="str">
        <x:v>Professional Services</x:v>
      </x:c>
      <x:c r="H921" t="str">
        <x:v>Mid-Market</x:v>
      </x:c>
      <x:c r="I921" t="str">
        <x:v>Closed Lost</x:v>
      </x:c>
      <x:c r="J921" s="10" t="n">
        <x:v>46088</x:v>
      </x:c>
      <x:c r="K921" s="10" t="n">
        <x:v>46088</x:v>
      </x:c>
      <x:c r="L921" s="22" t="n">
        <x:v>29200</x:v>
      </x:c>
      <x:c r="M921" s="24" t="n">
        <x:v>0</x:v>
      </x:c>
      <x:c r="N921" s="24" t="n">
        <x:v>0</x:v>
      </x:c>
      <x:c r="O921" t="str">
        <x:v>Budget</x:v>
      </x:c>
      <x:c r="P921" t="n">
        <x:v>4</x:v>
      </x:c>
      <x:c r="Q921" t="str">
        <x:f>IFERROR(XLOOKUP(E921,Lookups!$A$5:$A$24,Lookups!$B$5:$B$24),"Other")</x:f>
        <x:v>LinkedIn</x:v>
      </x:c>
      <x:c r="R921" t="str">
        <x:f>IFERROR(XLOOKUP(F921,Lookups!$D$5:$D$10,Lookups!$E$5:$E$10),"Unknown Product")</x:f>
        <x:v>NexaCRM Pro</x:v>
      </x:c>
      <x:c r="S921" t="str">
        <x:f>IFERROR(XLOOKUP(F921,Lookups!$D$5:$D$10,Lookups!$F$5:$F$10),"Unknown")</x:f>
        <x:v>CRM</x:v>
      </x:c>
      <x:c r="T921" t="str">
        <x:f>IF(L921&gt;=50000,"Enterprise",IF(L921&gt;=20000,"Mid-Market","SMB"))</x:f>
        <x:v>Mid-Market</x:v>
      </x:c>
      <x:c r="U921" t="str">
        <x:f>IF(I921="Closed Won","Won",IF(I921="Closed Lost","Lost","Open"))</x:f>
        <x:v>Lost</x:v>
      </x:c>
      <x:c r="V921" s="22" t="n">
        <x:f>IF(U921="Won",L921*(1-M921),0)</x:f>
        <x:v>0</x:v>
      </x:c>
      <x:c r="W921" s="22" t="n">
        <x:f>IF(U921="Open",L921*N921,0)</x:f>
        <x:v>0</x:v>
      </x:c>
      <x:c r="X921" s="26" t="n">
        <x:f>IF(U921="Open","",IFERROR(K921-B921,""))</x:f>
        <x:v>63</x:v>
      </x:c>
      <x:c r="Y921" s="26" t="n">
        <x:f>IF(U921="Open",Lookups!$B$2-B921,X921)</x:f>
        <x:v>63</x:v>
      </x:c>
      <x:c r="Z921" t="str">
        <x:f>IF(AND(U921="Open",Y921&gt;30),"STALE","OK")</x:f>
        <x:v>OK</x:v>
      </x:c>
      <x:c r="AA921" t="str">
        <x:f>TEXT(B921,"yyyy-mm")</x:f>
        <x:v>2026-01</x:v>
      </x:c>
      <x:c r="AB921" t="str">
        <x:f>IF(K921="","",TEXT(K921,"yyyy-mm"))</x:f>
        <x:v>2026-03</x:v>
      </x:c>
      <x:c r="AC921" t="str">
        <x:f>"Q"&amp;ROUNDUP(MONTH(B921)/3,0)&amp;"-"&amp;YEAR(B921)</x:f>
        <x:v>Q1-2026</x:v>
      </x:c>
      <x:c r="AD921" s="26" t="n">
        <x:f>MIN(100,IF(H921="Enterprise",30,IF(H921="Mid-Market",22,14))+IF(T921="Enterprise",25,IF(T921="Mid-Market",18,10))+IF(Q921="Referral",25,IF(Q921="Organic Search",20,IF(Q921="Email",18,14)))+IF(G921="Technology",10,5))</x:f>
        <x:v>59</x:v>
      </x:c>
      <x:c r="AE921" t="str">
        <x:f>IF(U921&lt;&gt;"Open",U921,IF(N921&gt;=0.8,"Commit",IF(N921&gt;=0.5,"Best Case","Pipeline")))</x:f>
        <x:v>Lost</x:v>
      </x:c>
    </x:row>
    <x:row r="922">
      <x:c r="A922" t="str">
        <x:v>L00921</x:v>
      </x:c>
      <x:c r="B922" s="10" t="n">
        <x:v>46104</x:v>
      </x:c>
      <x:c r="C922" t="str">
        <x:v>An Nguyen</x:v>
      </x:c>
      <x:c r="D922" t="str">
        <x:v>South</x:v>
      </x:c>
      <x:c r="E922" t="str">
        <x:v>Conference Scan</x:v>
      </x:c>
      <x:c r="F922" t="str">
        <x:v>CRM-CORE</x:v>
      </x:c>
      <x:c r="G922" t="str">
        <x:v>Manufacturing</x:v>
      </x:c>
      <x:c r="H922" t="str">
        <x:v>Enterprise</x:v>
      </x:c>
      <x:c r="I922" t="str">
        <x:v>Closed Lost</x:v>
      </x:c>
      <x:c r="J922" s="10" t="n">
        <x:v>46142</x:v>
      </x:c>
      <x:c r="K922" s="10" t="n">
        <x:v>46142</x:v>
      </x:c>
      <x:c r="L922" s="22" t="n">
        <x:v>28200</x:v>
      </x:c>
      <x:c r="M922" s="24" t="n">
        <x:v>0</x:v>
      </x:c>
      <x:c r="N922" s="24" t="n">
        <x:v>0</x:v>
      </x:c>
      <x:c r="O922" t="str">
        <x:v>No Decision</x:v>
      </x:c>
      <x:c r="P922" t="n">
        <x:v>2</x:v>
      </x:c>
      <x:c r="Q922" t="str">
        <x:f>IFERROR(XLOOKUP(E922,Lookups!$A$5:$A$24,Lookups!$B$5:$B$24),"Other")</x:f>
        <x:v>Other</x:v>
      </x:c>
      <x:c r="R922" t="str">
        <x:f>IFERROR(XLOOKUP(F922,Lookups!$D$5:$D$10,Lookups!$E$5:$E$10),"Unknown Product")</x:f>
        <x:v>NexaCRM Core</x:v>
      </x:c>
      <x:c r="S922" t="str">
        <x:f>IFERROR(XLOOKUP(F922,Lookups!$D$5:$D$10,Lookups!$F$5:$F$10),"Unknown")</x:f>
        <x:v>CRM</x:v>
      </x:c>
      <x:c r="T922" t="str">
        <x:f>IF(L922&gt;=50000,"Enterprise",IF(L922&gt;=20000,"Mid-Market","SMB"))</x:f>
        <x:v>Mid-Market</x:v>
      </x:c>
      <x:c r="U922" t="str">
        <x:f>IF(I922="Closed Won","Won",IF(I922="Closed Lost","Lost","Open"))</x:f>
        <x:v>Lost</x:v>
      </x:c>
      <x:c r="V922" s="22" t="n">
        <x:f>IF(U922="Won",L922*(1-M922),0)</x:f>
        <x:v>0</x:v>
      </x:c>
      <x:c r="W922" s="22" t="n">
        <x:f>IF(U922="Open",L922*N922,0)</x:f>
        <x:v>0</x:v>
      </x:c>
      <x:c r="X922" s="26" t="n">
        <x:f>IF(U922="Open","",IFERROR(K922-B922,""))</x:f>
        <x:v>38</x:v>
      </x:c>
      <x:c r="Y922" s="26" t="n">
        <x:f>IF(U922="Open",Lookups!$B$2-B922,X922)</x:f>
        <x:v>38</x:v>
      </x:c>
      <x:c r="Z922" t="str">
        <x:f>IF(AND(U922="Open",Y922&gt;30),"STALE","OK")</x:f>
        <x:v>OK</x:v>
      </x:c>
      <x:c r="AA922" t="str">
        <x:f>TEXT(B922,"yyyy-mm")</x:f>
        <x:v>2026-03</x:v>
      </x:c>
      <x:c r="AB922" t="str">
        <x:f>IF(K922="","",TEXT(K922,"yyyy-mm"))</x:f>
        <x:v>2026-04</x:v>
      </x:c>
      <x:c r="AC922" t="str">
        <x:f>"Q"&amp;ROUNDUP(MONTH(B922)/3,0)&amp;"-"&amp;YEAR(B922)</x:f>
        <x:v>Q1-2026</x:v>
      </x:c>
      <x:c r="AD922" s="26" t="n">
        <x:f>MIN(100,IF(H922="Enterprise",30,IF(H922="Mid-Market",22,14))+IF(T922="Enterprise",25,IF(T922="Mid-Market",18,10))+IF(Q922="Referral",25,IF(Q922="Organic Search",20,IF(Q922="Email",18,14)))+IF(G922="Technology",10,5))</x:f>
        <x:v>67</x:v>
      </x:c>
      <x:c r="AE922" t="str">
        <x:f>IF(U922&lt;&gt;"Open",U922,IF(N922&gt;=0.8,"Commit",IF(N922&gt;=0.5,"Best Case","Pipeline")))</x:f>
        <x:v>Lost</x:v>
      </x:c>
    </x:row>
    <x:row r="923">
      <x:c r="A923" t="str">
        <x:v>L00922</x:v>
      </x:c>
      <x:c r="B923" s="10" t="n">
        <x:v>45723</x:v>
      </x:c>
      <x:c r="C923" t="str">
        <x:v>An Nguyen</x:v>
      </x:c>
      <x:c r="D923" t="str">
        <x:v>South</x:v>
      </x:c>
      <x:c r="E923" t="str">
        <x:v>organic search</x:v>
      </x:c>
      <x:c r="F923" t="str">
        <x:v>CRM-PRO</x:v>
      </x:c>
      <x:c r="G923" t="str">
        <x:v>Technology</x:v>
      </x:c>
      <x:c r="H923" t="str">
        <x:v>Mid-Market</x:v>
      </x:c>
      <x:c r="I923" t="str">
        <x:v>Closed Lost</x:v>
      </x:c>
      <x:c r="J923" s="10" t="n">
        <x:v>45747</x:v>
      </x:c>
      <x:c r="K923" s="10" t="n">
        <x:v>45747</x:v>
      </x:c>
      <x:c r="L923" s="22" t="n">
        <x:v>28700</x:v>
      </x:c>
      <x:c r="M923" s="24" t="n">
        <x:v>0</x:v>
      </x:c>
      <x:c r="N923" s="24" t="n">
        <x:v>0</x:v>
      </x:c>
      <x:c r="O923" t="str">
        <x:v>Price</x:v>
      </x:c>
      <x:c r="P923" t="n">
        <x:v>5</x:v>
      </x:c>
      <x:c r="Q923" t="str">
        <x:f>IFERROR(XLOOKUP(E923,Lookups!$A$5:$A$24,Lookups!$B$5:$B$24),"Other")</x:f>
        <x:v>Organic Search</x:v>
      </x:c>
      <x:c r="R923" t="str">
        <x:f>IFERROR(XLOOKUP(F923,Lookups!$D$5:$D$10,Lookups!$E$5:$E$10),"Unknown Product")</x:f>
        <x:v>NexaCRM Pro</x:v>
      </x:c>
      <x:c r="S923" t="str">
        <x:f>IFERROR(XLOOKUP(F923,Lookups!$D$5:$D$10,Lookups!$F$5:$F$10),"Unknown")</x:f>
        <x:v>CRM</x:v>
      </x:c>
      <x:c r="T923" t="str">
        <x:f>IF(L923&gt;=50000,"Enterprise",IF(L923&gt;=20000,"Mid-Market","SMB"))</x:f>
        <x:v>Mid-Market</x:v>
      </x:c>
      <x:c r="U923" t="str">
        <x:f>IF(I923="Closed Won","Won",IF(I923="Closed Lost","Lost","Open"))</x:f>
        <x:v>Lost</x:v>
      </x:c>
      <x:c r="V923" s="22" t="n">
        <x:f>IF(U923="Won",L923*(1-M923),0)</x:f>
        <x:v>0</x:v>
      </x:c>
      <x:c r="W923" s="22" t="n">
        <x:f>IF(U923="Open",L923*N923,0)</x:f>
        <x:v>0</x:v>
      </x:c>
      <x:c r="X923" s="26" t="n">
        <x:f>IF(U923="Open","",IFERROR(K923-B923,""))</x:f>
        <x:v>24</x:v>
      </x:c>
      <x:c r="Y923" s="26" t="n">
        <x:f>IF(U923="Open",Lookups!$B$2-B923,X923)</x:f>
        <x:v>24</x:v>
      </x:c>
      <x:c r="Z923" t="str">
        <x:f>IF(AND(U923="Open",Y923&gt;30),"STALE","OK")</x:f>
        <x:v>OK</x:v>
      </x:c>
      <x:c r="AA923" t="str">
        <x:f>TEXT(B923,"yyyy-mm")</x:f>
        <x:v>2025-03</x:v>
      </x:c>
      <x:c r="AB923" t="str">
        <x:f>IF(K923="","",TEXT(K923,"yyyy-mm"))</x:f>
        <x:v>2025-03</x:v>
      </x:c>
      <x:c r="AC923" t="str">
        <x:f>"Q"&amp;ROUNDUP(MONTH(B923)/3,0)&amp;"-"&amp;YEAR(B923)</x:f>
        <x:v>Q1-2025</x:v>
      </x:c>
      <x:c r="AD923" s="26" t="n">
        <x:f>MIN(100,IF(H923="Enterprise",30,IF(H923="Mid-Market",22,14))+IF(T923="Enterprise",25,IF(T923="Mid-Market",18,10))+IF(Q923="Referral",25,IF(Q923="Organic Search",20,IF(Q923="Email",18,14)))+IF(G923="Technology",10,5))</x:f>
        <x:v>70</x:v>
      </x:c>
      <x:c r="AE923" t="str">
        <x:f>IF(U923&lt;&gt;"Open",U923,IF(N923&gt;=0.8,"Commit",IF(N923&gt;=0.5,"Best Case","Pipeline")))</x:f>
        <x:v>Lost</x:v>
      </x:c>
    </x:row>
    <x:row r="924">
      <x:c r="A924" t="str">
        <x:v>L00923</x:v>
      </x:c>
      <x:c r="B924" s="10" t="n">
        <x:v>45704</x:v>
      </x:c>
      <x:c r="C924" t="str">
        <x:v>Quynh Vu</x:v>
      </x:c>
      <x:c r="D924" t="str">
        <x:v>North</x:v>
      </x:c>
      <x:c r="E924" t="str">
        <x:v>virtual event</x:v>
      </x:c>
      <x:c r="F924" t="str">
        <x:v>MKT-AUTO</x:v>
      </x:c>
      <x:c r="G924" t="str">
        <x:v>Education</x:v>
      </x:c>
      <x:c r="H924" t="str">
        <x:v>Mid-Market</x:v>
      </x:c>
      <x:c r="I924" t="str">
        <x:v>Closed Lost</x:v>
      </x:c>
      <x:c r="J924" s="10" t="n">
        <x:v>45753</x:v>
      </x:c>
      <x:c r="K924" s="10" t="n">
        <x:v>45753</x:v>
      </x:c>
      <x:c r="L924" s="22" t="n">
        <x:v>27300</x:v>
      </x:c>
      <x:c r="M924" s="24" t="n">
        <x:v>0</x:v>
      </x:c>
      <x:c r="N924" s="24" t="n">
        <x:v>0</x:v>
      </x:c>
      <x:c r="O924" t="str">
        <x:v>Competitor</x:v>
      </x:c>
      <x:c r="P924" t="n">
        <x:v>5</x:v>
      </x:c>
      <x:c r="Q924" t="str">
        <x:f>IFERROR(XLOOKUP(E924,Lookups!$A$5:$A$24,Lookups!$B$5:$B$24),"Other")</x:f>
        <x:v>Webinar</x:v>
      </x:c>
      <x:c r="R924" t="str">
        <x:f>IFERROR(XLOOKUP(F924,Lookups!$D$5:$D$10,Lookups!$E$5:$E$10),"Unknown Product")</x:f>
        <x:v>Marketing Automation</x:v>
      </x:c>
      <x:c r="S924" t="str">
        <x:f>IFERROR(XLOOKUP(F924,Lookups!$D$5:$D$10,Lookups!$F$5:$F$10),"Unknown")</x:f>
        <x:v>Marketing</x:v>
      </x:c>
      <x:c r="T924" t="str">
        <x:f>IF(L924&gt;=50000,"Enterprise",IF(L924&gt;=20000,"Mid-Market","SMB"))</x:f>
        <x:v>Mid-Market</x:v>
      </x:c>
      <x:c r="U924" t="str">
        <x:f>IF(I924="Closed Won","Won",IF(I924="Closed Lost","Lost","Open"))</x:f>
        <x:v>Lost</x:v>
      </x:c>
      <x:c r="V924" s="22" t="n">
        <x:f>IF(U924="Won",L924*(1-M924),0)</x:f>
        <x:v>0</x:v>
      </x:c>
      <x:c r="W924" s="22" t="n">
        <x:f>IF(U924="Open",L924*N924,0)</x:f>
        <x:v>0</x:v>
      </x:c>
      <x:c r="X924" s="26" t="n">
        <x:f>IF(U924="Open","",IFERROR(K924-B924,""))</x:f>
        <x:v>49</x:v>
      </x:c>
      <x:c r="Y924" s="26" t="n">
        <x:f>IF(U924="Open",Lookups!$B$2-B924,X924)</x:f>
        <x:v>49</x:v>
      </x:c>
      <x:c r="Z924" t="str">
        <x:f>IF(AND(U924="Open",Y924&gt;30),"STALE","OK")</x:f>
        <x:v>OK</x:v>
      </x:c>
      <x:c r="AA924" t="str">
        <x:f>TEXT(B924,"yyyy-mm")</x:f>
        <x:v>2025-02</x:v>
      </x:c>
      <x:c r="AB924" t="str">
        <x:f>IF(K924="","",TEXT(K924,"yyyy-mm"))</x:f>
        <x:v>2025-04</x:v>
      </x:c>
      <x:c r="AC924" t="str">
        <x:f>"Q"&amp;ROUNDUP(MONTH(B924)/3,0)&amp;"-"&amp;YEAR(B924)</x:f>
        <x:v>Q1-2025</x:v>
      </x:c>
      <x:c r="AD924" s="26" t="n">
        <x:f>MIN(100,IF(H924="Enterprise",30,IF(H924="Mid-Market",22,14))+IF(T924="Enterprise",25,IF(T924="Mid-Market",18,10))+IF(Q924="Referral",25,IF(Q924="Organic Search",20,IF(Q924="Email",18,14)))+IF(G924="Technology",10,5))</x:f>
        <x:v>59</x:v>
      </x:c>
      <x:c r="AE924" t="str">
        <x:f>IF(U924&lt;&gt;"Open",U924,IF(N924&gt;=0.8,"Commit",IF(N924&gt;=0.5,"Best Case","Pipeline")))</x:f>
        <x:v>Lost</x:v>
      </x:c>
    </x:row>
    <x:row r="925">
      <x:c r="A925" t="str">
        <x:v>L00924</x:v>
      </x:c>
      <x:c r="B925" s="10" t="n">
        <x:v>46022</x:v>
      </x:c>
      <x:c r="C925" t="str">
        <x:v>Chi Le</x:v>
      </x:c>
      <x:c r="D925" t="str">
        <x:v>South</x:v>
      </x:c>
      <x:c r="E925" t="str">
        <x:v>google cpc</x:v>
      </x:c>
      <x:c r="F925" t="str">
        <x:v>CRM-CORE</x:v>
      </x:c>
      <x:c r="G925" t="str">
        <x:v>Technology</x:v>
      </x:c>
      <x:c r="H925" t="str">
        <x:v>Enterprise</x:v>
      </x:c>
      <x:c r="I925" t="str">
        <x:v>Closed Lost</x:v>
      </x:c>
      <x:c r="J925" s="10" t="n">
        <x:v>46085</x:v>
      </x:c>
      <x:c r="K925" s="10" t="n">
        <x:v>46085</x:v>
      </x:c>
      <x:c r="L925" s="22" t="n">
        <x:v>24800</x:v>
      </x:c>
      <x:c r="M925" s="24" t="n">
        <x:v>0</x:v>
      </x:c>
      <x:c r="N925" s="24" t="n">
        <x:v>0</x:v>
      </x:c>
      <x:c r="O925" t="str">
        <x:v>No Decision</x:v>
      </x:c>
      <x:c r="P925" t="n">
        <x:v>3</x:v>
      </x:c>
      <x:c r="Q925" t="str">
        <x:f>IFERROR(XLOOKUP(E925,Lookups!$A$5:$A$24,Lookups!$B$5:$B$24),"Other")</x:f>
        <x:v>Paid Search</x:v>
      </x:c>
      <x:c r="R925" t="str">
        <x:f>IFERROR(XLOOKUP(F925,Lookups!$D$5:$D$10,Lookups!$E$5:$E$10),"Unknown Product")</x:f>
        <x:v>NexaCRM Core</x:v>
      </x:c>
      <x:c r="S925" t="str">
        <x:f>IFERROR(XLOOKUP(F925,Lookups!$D$5:$D$10,Lookups!$F$5:$F$10),"Unknown")</x:f>
        <x:v>CRM</x:v>
      </x:c>
      <x:c r="T925" t="str">
        <x:f>IF(L925&gt;=50000,"Enterprise",IF(L925&gt;=20000,"Mid-Market","SMB"))</x:f>
        <x:v>Mid-Market</x:v>
      </x:c>
      <x:c r="U925" t="str">
        <x:f>IF(I925="Closed Won","Won",IF(I925="Closed Lost","Lost","Open"))</x:f>
        <x:v>Lost</x:v>
      </x:c>
      <x:c r="V925" s="22" t="n">
        <x:f>IF(U925="Won",L925*(1-M925),0)</x:f>
        <x:v>0</x:v>
      </x:c>
      <x:c r="W925" s="22" t="n">
        <x:f>IF(U925="Open",L925*N925,0)</x:f>
        <x:v>0</x:v>
      </x:c>
      <x:c r="X925" s="26" t="n">
        <x:f>IF(U925="Open","",IFERROR(K925-B925,""))</x:f>
        <x:v>63</x:v>
      </x:c>
      <x:c r="Y925" s="26" t="n">
        <x:f>IF(U925="Open",Lookups!$B$2-B925,X925)</x:f>
        <x:v>63</x:v>
      </x:c>
      <x:c r="Z925" t="str">
        <x:f>IF(AND(U925="Open",Y925&gt;30),"STALE","OK")</x:f>
        <x:v>OK</x:v>
      </x:c>
      <x:c r="AA925" t="str">
        <x:f>TEXT(B925,"yyyy-mm")</x:f>
        <x:v>2025-12</x:v>
      </x:c>
      <x:c r="AB925" t="str">
        <x:f>IF(K925="","",TEXT(K925,"yyyy-mm"))</x:f>
        <x:v>2026-03</x:v>
      </x:c>
      <x:c r="AC925" t="str">
        <x:f>"Q"&amp;ROUNDUP(MONTH(B925)/3,0)&amp;"-"&amp;YEAR(B925)</x:f>
        <x:v>Q4-2025</x:v>
      </x:c>
      <x:c r="AD925" s="26" t="n">
        <x:f>MIN(100,IF(H925="Enterprise",30,IF(H925="Mid-Market",22,14))+IF(T925="Enterprise",25,IF(T925="Mid-Market",18,10))+IF(Q925="Referral",25,IF(Q925="Organic Search",20,IF(Q925="Email",18,14)))+IF(G925="Technology",10,5))</x:f>
        <x:v>72</x:v>
      </x:c>
      <x:c r="AE925" t="str">
        <x:f>IF(U925&lt;&gt;"Open",U925,IF(N925&gt;=0.8,"Commit",IF(N925&gt;=0.5,"Best Case","Pipeline")))</x:f>
        <x:v>Lost</x:v>
      </x:c>
    </x:row>
    <x:row r="926">
      <x:c r="A926" t="str">
        <x:v>L00925</x:v>
      </x:c>
      <x:c r="B926" s="10" t="n">
        <x:v>45688</x:v>
      </x:c>
      <x:c r="C926" t="str">
        <x:v>Quynh Vu</x:v>
      </x:c>
      <x:c r="D926" t="str">
        <x:v>North</x:v>
      </x:c>
      <x:c r="E926" t="str">
        <x:v>LI Ads</x:v>
      </x:c>
      <x:c r="F926" t="str">
        <x:v>CRM-PRO</x:v>
      </x:c>
      <x:c r="G926" t="str">
        <x:v>Manufacturing</x:v>
      </x:c>
      <x:c r="H926" t="str">
        <x:v>SMB</x:v>
      </x:c>
      <x:c r="I926" t="str">
        <x:v>Closed Lost</x:v>
      </x:c>
      <x:c r="J926" s="10" t="n">
        <x:v>45712</x:v>
      </x:c>
      <x:c r="K926" s="10" t="n">
        <x:v>45712</x:v>
      </x:c>
      <x:c r="L926" s="22" t="n">
        <x:v>25500</x:v>
      </x:c>
      <x:c r="M926" s="24" t="n">
        <x:v>0</x:v>
      </x:c>
      <x:c r="N926" s="24" t="n">
        <x:v>0</x:v>
      </x:c>
      <x:c r="O926" t="str">
        <x:v>Feature Gap</x:v>
      </x:c>
      <x:c r="P926" t="n">
        <x:v>4</x:v>
      </x:c>
      <x:c r="Q926" t="str">
        <x:f>IFERROR(XLOOKUP(E926,Lookups!$A$5:$A$24,Lookups!$B$5:$B$24),"Other")</x:f>
        <x:v>LinkedIn</x:v>
      </x:c>
      <x:c r="R926" t="str">
        <x:f>IFERROR(XLOOKUP(F926,Lookups!$D$5:$D$10,Lookups!$E$5:$E$10),"Unknown Product")</x:f>
        <x:v>NexaCRM Pro</x:v>
      </x:c>
      <x:c r="S926" t="str">
        <x:f>IFERROR(XLOOKUP(F926,Lookups!$D$5:$D$10,Lookups!$F$5:$F$10),"Unknown")</x:f>
        <x:v>CRM</x:v>
      </x:c>
      <x:c r="T926" t="str">
        <x:f>IF(L926&gt;=50000,"Enterprise",IF(L926&gt;=20000,"Mid-Market","SMB"))</x:f>
        <x:v>Mid-Market</x:v>
      </x:c>
      <x:c r="U926" t="str">
        <x:f>IF(I926="Closed Won","Won",IF(I926="Closed Lost","Lost","Open"))</x:f>
        <x:v>Lost</x:v>
      </x:c>
      <x:c r="V926" s="22" t="n">
        <x:f>IF(U926="Won",L926*(1-M926),0)</x:f>
        <x:v>0</x:v>
      </x:c>
      <x:c r="W926" s="22" t="n">
        <x:f>IF(U926="Open",L926*N926,0)</x:f>
        <x:v>0</x:v>
      </x:c>
      <x:c r="X926" s="26" t="n">
        <x:f>IF(U926="Open","",IFERROR(K926-B926,""))</x:f>
        <x:v>24</x:v>
      </x:c>
      <x:c r="Y926" s="26" t="n">
        <x:f>IF(U926="Open",Lookups!$B$2-B926,X926)</x:f>
        <x:v>24</x:v>
      </x:c>
      <x:c r="Z926" t="str">
        <x:f>IF(AND(U926="Open",Y926&gt;30),"STALE","OK")</x:f>
        <x:v>OK</x:v>
      </x:c>
      <x:c r="AA926" t="str">
        <x:f>TEXT(B926,"yyyy-mm")</x:f>
        <x:v>2025-01</x:v>
      </x:c>
      <x:c r="AB926" t="str">
        <x:f>IF(K926="","",TEXT(K926,"yyyy-mm"))</x:f>
        <x:v>2025-02</x:v>
      </x:c>
      <x:c r="AC926" t="str">
        <x:f>"Q"&amp;ROUNDUP(MONTH(B926)/3,0)&amp;"-"&amp;YEAR(B926)</x:f>
        <x:v>Q1-2025</x:v>
      </x:c>
      <x:c r="AD926" s="26" t="n">
        <x:f>MIN(100,IF(H926="Enterprise",30,IF(H926="Mid-Market",22,14))+IF(T926="Enterprise",25,IF(T926="Mid-Market",18,10))+IF(Q926="Referral",25,IF(Q926="Organic Search",20,IF(Q926="Email",18,14)))+IF(G926="Technology",10,5))</x:f>
        <x:v>51</x:v>
      </x:c>
      <x:c r="AE926" t="str">
        <x:f>IF(U926&lt;&gt;"Open",U926,IF(N926&gt;=0.8,"Commit",IF(N926&gt;=0.5,"Best Case","Pipeline")))</x:f>
        <x:v>Lost</x:v>
      </x:c>
    </x:row>
    <x:row r="927">
      <x:c r="A927" t="str">
        <x:v>L00926</x:v>
      </x:c>
      <x:c r="B927" s="10" t="n">
        <x:v>46230</x:v>
      </x:c>
      <x:c r="C927" t="str">
        <x:v>Bao Tran</x:v>
      </x:c>
      <x:c r="D927" t="str">
        <x:v>South</x:v>
      </x:c>
      <x:c r="E927" t="str">
        <x:v>organic search</x:v>
      </x:c>
      <x:c r="F927" t="str">
        <x:v>BI-PLUS</x:v>
      </x:c>
      <x:c r="G927" t="str">
        <x:v>Professional Services</x:v>
      </x:c>
      <x:c r="H927" t="str">
        <x:v>SMB</x:v>
      </x:c>
      <x:c r="I927" t="str">
        <x:v>Closed Won</x:v>
      </x:c>
      <x:c r="J927" s="10" t="n">
        <x:v>46266</x:v>
      </x:c>
      <x:c r="K927" s="10" t="n">
        <x:v>46266</x:v>
      </x:c>
      <x:c r="L927" s="22" t="n">
        <x:v>26600</x:v>
      </x:c>
      <x:c r="M927" s="24" t="n">
        <x:v>0</x:v>
      </x:c>
      <x:c r="N927" s="24" t="n">
        <x:v>1</x:v>
      </x:c>
      <x:c r="O927" t="str"/>
      <x:c r="P927" t="n">
        <x:v>6</x:v>
      </x:c>
      <x:c r="Q927" t="str">
        <x:f>IFERROR(XLOOKUP(E927,Lookups!$A$5:$A$24,Lookups!$B$5:$B$24),"Other")</x:f>
        <x:v>Organic Search</x:v>
      </x:c>
      <x:c r="R927" t="str">
        <x:f>IFERROR(XLOOKUP(F927,Lookups!$D$5:$D$10,Lookups!$E$5:$E$10),"Unknown Product")</x:f>
        <x:v>Analytics Plus</x:v>
      </x:c>
      <x:c r="S927" t="str">
        <x:f>IFERROR(XLOOKUP(F927,Lookups!$D$5:$D$10,Lookups!$F$5:$F$10),"Unknown")</x:f>
        <x:v>Analytics</x:v>
      </x:c>
      <x:c r="T927" t="str">
        <x:f>IF(L927&gt;=50000,"Enterprise",IF(L927&gt;=20000,"Mid-Market","SMB"))</x:f>
        <x:v>Mid-Market</x:v>
      </x:c>
      <x:c r="U927" t="str">
        <x:f>IF(I927="Closed Won","Won",IF(I927="Closed Lost","Lost","Open"))</x:f>
        <x:v>Won</x:v>
      </x:c>
      <x:c r="V927" s="22" t="n">
        <x:f>IF(U927="Won",L927*(1-M927),0)</x:f>
        <x:v>26600</x:v>
      </x:c>
      <x:c r="W927" s="22" t="n">
        <x:f>IF(U927="Open",L927*N927,0)</x:f>
        <x:v>0</x:v>
      </x:c>
      <x:c r="X927" s="26" t="n">
        <x:f>IF(U927="Open","",IFERROR(K927-B927,""))</x:f>
        <x:v>36</x:v>
      </x:c>
      <x:c r="Y927" s="26" t="n">
        <x:f>IF(U927="Open",Lookups!$B$2-B927,X927)</x:f>
        <x:v>36</x:v>
      </x:c>
      <x:c r="Z927" t="str">
        <x:f>IF(AND(U927="Open",Y927&gt;30),"STALE","OK")</x:f>
        <x:v>OK</x:v>
      </x:c>
      <x:c r="AA927" t="str">
        <x:f>TEXT(B927,"yyyy-mm")</x:f>
        <x:v>2026-07</x:v>
      </x:c>
      <x:c r="AB927" t="str">
        <x:f>IF(K927="","",TEXT(K927,"yyyy-mm"))</x:f>
        <x:v>2026-09</x:v>
      </x:c>
      <x:c r="AC927" t="str">
        <x:f>"Q"&amp;ROUNDUP(MONTH(B927)/3,0)&amp;"-"&amp;YEAR(B927)</x:f>
        <x:v>Q3-2026</x:v>
      </x:c>
      <x:c r="AD927" s="26" t="n">
        <x:f>MIN(100,IF(H927="Enterprise",30,IF(H927="Mid-Market",22,14))+IF(T927="Enterprise",25,IF(T927="Mid-Market",18,10))+IF(Q927="Referral",25,IF(Q927="Organic Search",20,IF(Q927="Email",18,14)))+IF(G927="Technology",10,5))</x:f>
        <x:v>57</x:v>
      </x:c>
      <x:c r="AE927" t="str">
        <x:f>IF(U927&lt;&gt;"Open",U927,IF(N927&gt;=0.8,"Commit",IF(N927&gt;=0.5,"Best Case","Pipeline")))</x:f>
        <x:v>Won</x:v>
      </x:c>
    </x:row>
    <x:row r="928">
      <x:c r="A928" t="str">
        <x:v>L00927</x:v>
      </x:c>
      <x:c r="B928" s="10" t="n">
        <x:v>45725</x:v>
      </x:c>
      <x:c r="C928" t="str">
        <x:v>Bao Tran</x:v>
      </x:c>
      <x:c r="D928" t="str">
        <x:v>South</x:v>
      </x:c>
      <x:c r="E928" t="str">
        <x:v>Google Ads</x:v>
      </x:c>
      <x:c r="F928" t="str">
        <x:v>REV-OPS</x:v>
      </x:c>
      <x:c r="G928" t="str">
        <x:v>Financial Services</x:v>
      </x:c>
      <x:c r="H928" t="str">
        <x:v>Mid-Market</x:v>
      </x:c>
      <x:c r="I928" t="str">
        <x:v>Closed Lost</x:v>
      </x:c>
      <x:c r="J928" s="10" t="n">
        <x:v>45789</x:v>
      </x:c>
      <x:c r="K928" s="10" t="n">
        <x:v>45789</x:v>
      </x:c>
      <x:c r="L928" s="22" t="n">
        <x:v>66800</x:v>
      </x:c>
      <x:c r="M928" s="24" t="n">
        <x:v>0</x:v>
      </x:c>
      <x:c r="N928" s="24" t="n">
        <x:v>0</x:v>
      </x:c>
      <x:c r="O928" t="str">
        <x:v>Feature Gap</x:v>
      </x:c>
      <x:c r="P928" t="n">
        <x:v>3</x:v>
      </x:c>
      <x:c r="Q928" t="str">
        <x:f>IFERROR(XLOOKUP(E928,Lookups!$A$5:$A$24,Lookups!$B$5:$B$24),"Other")</x:f>
        <x:v>Paid Search</x:v>
      </x:c>
      <x:c r="R928" t="str">
        <x:f>IFERROR(XLOOKUP(F928,Lookups!$D$5:$D$10,Lookups!$E$5:$E$10),"Unknown Product")</x:f>
        <x:v>Revenue Operations Suite</x:v>
      </x:c>
      <x:c r="S928" t="str">
        <x:f>IFERROR(XLOOKUP(F928,Lookups!$D$5:$D$10,Lookups!$F$5:$F$10),"Unknown")</x:f>
        <x:v>Revenue Ops</x:v>
      </x:c>
      <x:c r="T928" t="str">
        <x:f>IF(L928&gt;=50000,"Enterprise",IF(L928&gt;=20000,"Mid-Market","SMB"))</x:f>
        <x:v>Enterprise</x:v>
      </x:c>
      <x:c r="U928" t="str">
        <x:f>IF(I928="Closed Won","Won",IF(I928="Closed Lost","Lost","Open"))</x:f>
        <x:v>Lost</x:v>
      </x:c>
      <x:c r="V928" s="22" t="n">
        <x:f>IF(U928="Won",L928*(1-M928),0)</x:f>
        <x:v>0</x:v>
      </x:c>
      <x:c r="W928" s="22" t="n">
        <x:f>IF(U928="Open",L928*N928,0)</x:f>
        <x:v>0</x:v>
      </x:c>
      <x:c r="X928" s="26" t="n">
        <x:f>IF(U928="Open","",IFERROR(K928-B928,""))</x:f>
        <x:v>64</x:v>
      </x:c>
      <x:c r="Y928" s="26" t="n">
        <x:f>IF(U928="Open",Lookups!$B$2-B928,X928)</x:f>
        <x:v>64</x:v>
      </x:c>
      <x:c r="Z928" t="str">
        <x:f>IF(AND(U928="Open",Y928&gt;30),"STALE","OK")</x:f>
        <x:v>OK</x:v>
      </x:c>
      <x:c r="AA928" t="str">
        <x:f>TEXT(B928,"yyyy-mm")</x:f>
        <x:v>2025-03</x:v>
      </x:c>
      <x:c r="AB928" t="str">
        <x:f>IF(K928="","",TEXT(K928,"yyyy-mm"))</x:f>
        <x:v>2025-05</x:v>
      </x:c>
      <x:c r="AC928" t="str">
        <x:f>"Q"&amp;ROUNDUP(MONTH(B928)/3,0)&amp;"-"&amp;YEAR(B928)</x:f>
        <x:v>Q1-2025</x:v>
      </x:c>
      <x:c r="AD928" s="26" t="n">
        <x:f>MIN(100,IF(H928="Enterprise",30,IF(H928="Mid-Market",22,14))+IF(T928="Enterprise",25,IF(T928="Mid-Market",18,10))+IF(Q928="Referral",25,IF(Q928="Organic Search",20,IF(Q928="Email",18,14)))+IF(G928="Technology",10,5))</x:f>
        <x:v>66</x:v>
      </x:c>
      <x:c r="AE928" t="str">
        <x:f>IF(U928&lt;&gt;"Open",U928,IF(N928&gt;=0.8,"Commit",IF(N928&gt;=0.5,"Best Case","Pipeline")))</x:f>
        <x:v>Lost</x:v>
      </x:c>
    </x:row>
    <x:row r="929">
      <x:c r="A929" t="str">
        <x:v>L00928</x:v>
      </x:c>
      <x:c r="B929" s="10" t="n">
        <x:v>45800</x:v>
      </x:c>
      <x:c r="C929" t="str">
        <x:v>Duy Pham</x:v>
      </x:c>
      <x:c r="D929" t="str">
        <x:v>South</x:v>
      </x:c>
      <x:c r="E929" t="str">
        <x:v>SEO</x:v>
      </x:c>
      <x:c r="F929" t="str">
        <x:v>MKT-AUTO</x:v>
      </x:c>
      <x:c r="G929" t="str">
        <x:v>Education</x:v>
      </x:c>
      <x:c r="H929" t="str">
        <x:v>Mid-Market</x:v>
      </x:c>
      <x:c r="I929" t="str">
        <x:v>Closed Lost</x:v>
      </x:c>
      <x:c r="J929" s="10" t="n">
        <x:v>45849</x:v>
      </x:c>
      <x:c r="K929" s="10" t="n">
        <x:v>45849</x:v>
      </x:c>
      <x:c r="L929" s="22" t="n">
        <x:v>17300</x:v>
      </x:c>
      <x:c r="M929" s="24" t="n">
        <x:v>0</x:v>
      </x:c>
      <x:c r="N929" s="24" t="n">
        <x:v>0</x:v>
      </x:c>
      <x:c r="O929" t="str">
        <x:v>No Decision</x:v>
      </x:c>
      <x:c r="P929" t="n">
        <x:v>2</x:v>
      </x:c>
      <x:c r="Q929" t="str">
        <x:f>IFERROR(XLOOKUP(E929,Lookups!$A$5:$A$24,Lookups!$B$5:$B$24),"Other")</x:f>
        <x:v>Organic Search</x:v>
      </x:c>
      <x:c r="R929" t="str">
        <x:f>IFERROR(XLOOKUP(F929,Lookups!$D$5:$D$10,Lookups!$E$5:$E$10),"Unknown Product")</x:f>
        <x:v>Marketing Automation</x:v>
      </x:c>
      <x:c r="S929" t="str">
        <x:f>IFERROR(XLOOKUP(F929,Lookups!$D$5:$D$10,Lookups!$F$5:$F$10),"Unknown")</x:f>
        <x:v>Marketing</x:v>
      </x:c>
      <x:c r="T929" t="str">
        <x:f>IF(L929&gt;=50000,"Enterprise",IF(L929&gt;=20000,"Mid-Market","SMB"))</x:f>
        <x:v>SMB</x:v>
      </x:c>
      <x:c r="U929" t="str">
        <x:f>IF(I929="Closed Won","Won",IF(I929="Closed Lost","Lost","Open"))</x:f>
        <x:v>Lost</x:v>
      </x:c>
      <x:c r="V929" s="22" t="n">
        <x:f>IF(U929="Won",L929*(1-M929),0)</x:f>
        <x:v>0</x:v>
      </x:c>
      <x:c r="W929" s="22" t="n">
        <x:f>IF(U929="Open",L929*N929,0)</x:f>
        <x:v>0</x:v>
      </x:c>
      <x:c r="X929" s="26" t="n">
        <x:f>IF(U929="Open","",IFERROR(K929-B929,""))</x:f>
        <x:v>49</x:v>
      </x:c>
      <x:c r="Y929" s="26" t="n">
        <x:f>IF(U929="Open",Lookups!$B$2-B929,X929)</x:f>
        <x:v>49</x:v>
      </x:c>
      <x:c r="Z929" t="str">
        <x:f>IF(AND(U929="Open",Y929&gt;30),"STALE","OK")</x:f>
        <x:v>OK</x:v>
      </x:c>
      <x:c r="AA929" t="str">
        <x:f>TEXT(B929,"yyyy-mm")</x:f>
        <x:v>2025-05</x:v>
      </x:c>
      <x:c r="AB929" t="str">
        <x:f>IF(K929="","",TEXT(K929,"yyyy-mm"))</x:f>
        <x:v>2025-07</x:v>
      </x:c>
      <x:c r="AC929" t="str">
        <x:f>"Q"&amp;ROUNDUP(MONTH(B929)/3,0)&amp;"-"&amp;YEAR(B929)</x:f>
        <x:v>Q2-2025</x:v>
      </x:c>
      <x:c r="AD929" s="26" t="n">
        <x:f>MIN(100,IF(H929="Enterprise",30,IF(H929="Mid-Market",22,14))+IF(T929="Enterprise",25,IF(T929="Mid-Market",18,10))+IF(Q929="Referral",25,IF(Q929="Organic Search",20,IF(Q929="Email",18,14)))+IF(G929="Technology",10,5))</x:f>
        <x:v>57</x:v>
      </x:c>
      <x:c r="AE929" t="str">
        <x:f>IF(U929&lt;&gt;"Open",U929,IF(N929&gt;=0.8,"Commit",IF(N929&gt;=0.5,"Best Case","Pipeline")))</x:f>
        <x:v>Lost</x:v>
      </x:c>
    </x:row>
    <x:row r="930">
      <x:c r="A930" t="str">
        <x:v>L00929</x:v>
      </x:c>
      <x:c r="B930" s="10" t="n">
        <x:v>45847</x:v>
      </x:c>
      <x:c r="C930" t="str">
        <x:v>Minh Do</x:v>
      </x:c>
      <x:c r="D930" t="str">
        <x:v>North</x:v>
      </x:c>
      <x:c r="E930" t="str">
        <x:v>Partner Referral</x:v>
      </x:c>
      <x:c r="F930" t="str">
        <x:v>MKT-AUTO</x:v>
      </x:c>
      <x:c r="G930" t="str">
        <x:v>Education</x:v>
      </x:c>
      <x:c r="H930" t="str">
        <x:v>Mid-Market</x:v>
      </x:c>
      <x:c r="I930" t="str">
        <x:v>Negotiation</x:v>
      </x:c>
      <x:c r="J930" s="10" t="n">
        <x:v>46007</x:v>
      </x:c>
      <x:c r="K930" s="10"/>
      <x:c r="L930" s="22" t="n">
        <x:v>23100</x:v>
      </x:c>
      <x:c r="M930" s="24" t="n">
        <x:v>0.03</x:v>
      </x:c>
      <x:c r="N930" s="24" t="n">
        <x:v>0.85</x:v>
      </x:c>
      <x:c r="O930" t="str"/>
      <x:c r="P930" t="n">
        <x:v>5</x:v>
      </x:c>
      <x:c r="Q930" t="str">
        <x:f>IFERROR(XLOOKUP(E930,Lookups!$A$5:$A$24,Lookups!$B$5:$B$24),"Other")</x:f>
        <x:v>Referral</x:v>
      </x:c>
      <x:c r="R930" t="str">
        <x:f>IFERROR(XLOOKUP(F930,Lookups!$D$5:$D$10,Lookups!$E$5:$E$10),"Unknown Product")</x:f>
        <x:v>Marketing Automation</x:v>
      </x:c>
      <x:c r="S930" t="str">
        <x:f>IFERROR(XLOOKUP(F930,Lookups!$D$5:$D$10,Lookups!$F$5:$F$10),"Unknown")</x:f>
        <x:v>Marketing</x:v>
      </x:c>
      <x:c r="T930" t="str">
        <x:f>IF(L930&gt;=50000,"Enterprise",IF(L930&gt;=20000,"Mid-Market","SMB"))</x:f>
        <x:v>Mid-Market</x:v>
      </x:c>
      <x:c r="U930" t="str">
        <x:f>IF(I930="Closed Won","Won",IF(I930="Closed Lost","Lost","Open"))</x:f>
        <x:v>Open</x:v>
      </x:c>
      <x:c r="V930" s="22" t="n">
        <x:f>IF(U930="Won",L930*(1-M930),0)</x:f>
        <x:v>0</x:v>
      </x:c>
      <x:c r="W930" s="22" t="n">
        <x:f>IF(U930="Open",L930*N930,0)</x:f>
        <x:v>19635</x:v>
      </x:c>
      <x:c r="X930" s="26" t="str">
        <x:f>IF(U930="Open","",IFERROR(K930-B930,""))</x:f>
      </x:c>
      <x:c r="Y930" s="26" t="n">
        <x:f>IF(U930="Open",Lookups!$B$2-B930,X930)</x:f>
        <x:v>419</x:v>
      </x:c>
      <x:c r="Z930" t="str">
        <x:f>IF(AND(U930="Open",Y930&gt;30),"STALE","OK")</x:f>
        <x:v>STALE</x:v>
      </x:c>
      <x:c r="AA930" t="str">
        <x:f>TEXT(B930,"yyyy-mm")</x:f>
        <x:v>2025-07</x:v>
      </x:c>
      <x:c r="AB930" t="str">
        <x:f>IF(K930="","",TEXT(K930,"yyyy-mm"))</x:f>
      </x:c>
      <x:c r="AC930" t="str">
        <x:f>"Q"&amp;ROUNDUP(MONTH(B930)/3,0)&amp;"-"&amp;YEAR(B930)</x:f>
        <x:v>Q3-2025</x:v>
      </x:c>
      <x:c r="AD930" s="26" t="n">
        <x:f>MIN(100,IF(H930="Enterprise",30,IF(H930="Mid-Market",22,14))+IF(T930="Enterprise",25,IF(T930="Mid-Market",18,10))+IF(Q930="Referral",25,IF(Q930="Organic Search",20,IF(Q930="Email",18,14)))+IF(G930="Technology",10,5))</x:f>
        <x:v>70</x:v>
      </x:c>
      <x:c r="AE930" t="str">
        <x:f>IF(U930&lt;&gt;"Open",U930,IF(N930&gt;=0.8,"Commit",IF(N930&gt;=0.5,"Best Case","Pipeline")))</x:f>
        <x:v>Commit</x:v>
      </x:c>
    </x:row>
    <x:row r="931">
      <x:c r="A931" t="str">
        <x:v>L00930</x:v>
      </x:c>
      <x:c r="B931" s="10" t="n">
        <x:v>45694</x:v>
      </x:c>
      <x:c r="C931" t="str">
        <x:v>Minh Do</x:v>
      </x:c>
      <x:c r="D931" t="str">
        <x:v>North</x:v>
      </x:c>
      <x:c r="E931" t="str">
        <x:v>Cold Email</x:v>
      </x:c>
      <x:c r="F931" t="str">
        <x:v>MKT-AUTO</x:v>
      </x:c>
      <x:c r="G931" t="str">
        <x:v>Manufacturing</x:v>
      </x:c>
      <x:c r="H931" t="str">
        <x:v>Enterprise</x:v>
      </x:c>
      <x:c r="I931" t="str">
        <x:v>Closed Lost</x:v>
      </x:c>
      <x:c r="J931" s="10" t="n">
        <x:v>45751</x:v>
      </x:c>
      <x:c r="K931" s="10" t="n">
        <x:v>45751</x:v>
      </x:c>
      <x:c r="L931" s="22" t="n">
        <x:v>60300</x:v>
      </x:c>
      <x:c r="M931" s="24" t="n">
        <x:v>0</x:v>
      </x:c>
      <x:c r="N931" s="24" t="n">
        <x:v>0</x:v>
      </x:c>
      <x:c r="O931" t="str">
        <x:v>Price</x:v>
      </x:c>
      <x:c r="P931" t="n">
        <x:v>4</x:v>
      </x:c>
      <x:c r="Q931" t="str">
        <x:f>IFERROR(XLOOKUP(E931,Lookups!$A$5:$A$24,Lookups!$B$5:$B$24),"Other")</x:f>
        <x:v>Outbound</x:v>
      </x:c>
      <x:c r="R931" t="str">
        <x:f>IFERROR(XLOOKUP(F931,Lookups!$D$5:$D$10,Lookups!$E$5:$E$10),"Unknown Product")</x:f>
        <x:v>Marketing Automation</x:v>
      </x:c>
      <x:c r="S931" t="str">
        <x:f>IFERROR(XLOOKUP(F931,Lookups!$D$5:$D$10,Lookups!$F$5:$F$10),"Unknown")</x:f>
        <x:v>Marketing</x:v>
      </x:c>
      <x:c r="T931" t="str">
        <x:f>IF(L931&gt;=50000,"Enterprise",IF(L931&gt;=20000,"Mid-Market","SMB"))</x:f>
        <x:v>Enterprise</x:v>
      </x:c>
      <x:c r="U931" t="str">
        <x:f>IF(I931="Closed Won","Won",IF(I931="Closed Lost","Lost","Open"))</x:f>
        <x:v>Lost</x:v>
      </x:c>
      <x:c r="V931" s="22" t="n">
        <x:f>IF(U931="Won",L931*(1-M931),0)</x:f>
        <x:v>0</x:v>
      </x:c>
      <x:c r="W931" s="22" t="n">
        <x:f>IF(U931="Open",L931*N931,0)</x:f>
        <x:v>0</x:v>
      </x:c>
      <x:c r="X931" s="26" t="n">
        <x:f>IF(U931="Open","",IFERROR(K931-B931,""))</x:f>
        <x:v>57</x:v>
      </x:c>
      <x:c r="Y931" s="26" t="n">
        <x:f>IF(U931="Open",Lookups!$B$2-B931,X931)</x:f>
        <x:v>57</x:v>
      </x:c>
      <x:c r="Z931" t="str">
        <x:f>IF(AND(U931="Open",Y931&gt;30),"STALE","OK")</x:f>
        <x:v>OK</x:v>
      </x:c>
      <x:c r="AA931" t="str">
        <x:f>TEXT(B931,"yyyy-mm")</x:f>
        <x:v>2025-02</x:v>
      </x:c>
      <x:c r="AB931" t="str">
        <x:f>IF(K931="","",TEXT(K931,"yyyy-mm"))</x:f>
        <x:v>2025-04</x:v>
      </x:c>
      <x:c r="AC931" t="str">
        <x:f>"Q"&amp;ROUNDUP(MONTH(B931)/3,0)&amp;"-"&amp;YEAR(B931)</x:f>
        <x:v>Q1-2025</x:v>
      </x:c>
      <x:c r="AD931" s="26" t="n">
        <x:f>MIN(100,IF(H931="Enterprise",30,IF(H931="Mid-Market",22,14))+IF(T931="Enterprise",25,IF(T931="Mid-Market",18,10))+IF(Q931="Referral",25,IF(Q931="Organic Search",20,IF(Q931="Email",18,14)))+IF(G931="Technology",10,5))</x:f>
        <x:v>74</x:v>
      </x:c>
      <x:c r="AE931" t="str">
        <x:f>IF(U931&lt;&gt;"Open",U931,IF(N931&gt;=0.8,"Commit",IF(N931&gt;=0.5,"Best Case","Pipeline")))</x:f>
        <x:v>Lost</x:v>
      </x:c>
    </x:row>
    <x:row r="932">
      <x:c r="A932" t="str">
        <x:v>L00931</x:v>
      </x:c>
      <x:c r="B932" s="10" t="n">
        <x:v>46210</x:v>
      </x:c>
      <x:c r="C932" t="str">
        <x:v>Ha Vo</x:v>
      </x:c>
      <x:c r="D932" t="str">
        <x:v>North</x:v>
      </x:c>
      <x:c r="E932" t="str">
        <x:v>customer referral</x:v>
      </x:c>
      <x:c r="F932" t="str">
        <x:v>BI-PLUS</x:v>
      </x:c>
      <x:c r="G932" t="str">
        <x:v>Education</x:v>
      </x:c>
      <x:c r="H932" t="str">
        <x:v>Mid-Market</x:v>
      </x:c>
      <x:c r="I932" t="str">
        <x:v>Demo / Meeting</x:v>
      </x:c>
      <x:c r="J932" s="10" t="n">
        <x:v>46246</x:v>
      </x:c>
      <x:c r="K932" s="10"/>
      <x:c r="L932" s="22" t="n">
        <x:v>25400</x:v>
      </x:c>
      <x:c r="M932" s="24" t="n">
        <x:v>0.05</x:v>
      </x:c>
      <x:c r="N932" s="24" t="n">
        <x:v>0.4</x:v>
      </x:c>
      <x:c r="O932" t="str"/>
      <x:c r="P932" t="n">
        <x:v>3</x:v>
      </x:c>
      <x:c r="Q932" t="str">
        <x:f>IFERROR(XLOOKUP(E932,Lookups!$A$5:$A$24,Lookups!$B$5:$B$24),"Other")</x:f>
        <x:v>Referral</x:v>
      </x:c>
      <x:c r="R932" t="str">
        <x:f>IFERROR(XLOOKUP(F932,Lookups!$D$5:$D$10,Lookups!$E$5:$E$10),"Unknown Product")</x:f>
        <x:v>Analytics Plus</x:v>
      </x:c>
      <x:c r="S932" t="str">
        <x:f>IFERROR(XLOOKUP(F932,Lookups!$D$5:$D$10,Lookups!$F$5:$F$10),"Unknown")</x:f>
        <x:v>Analytics</x:v>
      </x:c>
      <x:c r="T932" t="str">
        <x:f>IF(L932&gt;=50000,"Enterprise",IF(L932&gt;=20000,"Mid-Market","SMB"))</x:f>
        <x:v>Mid-Market</x:v>
      </x:c>
      <x:c r="U932" t="str">
        <x:f>IF(I932="Closed Won","Won",IF(I932="Closed Lost","Lost","Open"))</x:f>
        <x:v>Open</x:v>
      </x:c>
      <x:c r="V932" s="22" t="n">
        <x:f>IF(U932="Won",L932*(1-M932),0)</x:f>
        <x:v>0</x:v>
      </x:c>
      <x:c r="W932" s="22" t="n">
        <x:f>IF(U932="Open",L932*N932,0)</x:f>
        <x:v>10160</x:v>
      </x:c>
      <x:c r="X932" s="26" t="str">
        <x:f>IF(U932="Open","",IFERROR(K932-B932,""))</x:f>
      </x:c>
      <x:c r="Y932" s="26" t="n">
        <x:f>IF(U932="Open",Lookups!$B$2-B932,X932)</x:f>
        <x:v>56</x:v>
      </x:c>
      <x:c r="Z932" t="str">
        <x:f>IF(AND(U932="Open",Y932&gt;30),"STALE","OK")</x:f>
        <x:v>STALE</x:v>
      </x:c>
      <x:c r="AA932" t="str">
        <x:f>TEXT(B932,"yyyy-mm")</x:f>
        <x:v>2026-07</x:v>
      </x:c>
      <x:c r="AB932" t="str">
        <x:f>IF(K932="","",TEXT(K932,"yyyy-mm"))</x:f>
      </x:c>
      <x:c r="AC932" t="str">
        <x:f>"Q"&amp;ROUNDUP(MONTH(B932)/3,0)&amp;"-"&amp;YEAR(B932)</x:f>
        <x:v>Q3-2026</x:v>
      </x:c>
      <x:c r="AD932" s="26" t="n">
        <x:f>MIN(100,IF(H932="Enterprise",30,IF(H932="Mid-Market",22,14))+IF(T932="Enterprise",25,IF(T932="Mid-Market",18,10))+IF(Q932="Referral",25,IF(Q932="Organic Search",20,IF(Q932="Email",18,14)))+IF(G932="Technology",10,5))</x:f>
        <x:v>70</x:v>
      </x:c>
      <x:c r="AE932" t="str">
        <x:f>IF(U932&lt;&gt;"Open",U932,IF(N932&gt;=0.8,"Commit",IF(N932&gt;=0.5,"Best Case","Pipeline")))</x:f>
        <x:v>Pipeline</x:v>
      </x:c>
    </x:row>
    <x:row r="933">
      <x:c r="A933" t="str">
        <x:v>L00932</x:v>
      </x:c>
      <x:c r="B933" s="10" t="n">
        <x:v>45781</x:v>
      </x:c>
      <x:c r="C933" t="str">
        <x:v>Ha Vo</x:v>
      </x:c>
      <x:c r="D933" t="str">
        <x:v>North</x:v>
      </x:c>
      <x:c r="E933" t="str">
        <x:v>customer referral</x:v>
      </x:c>
      <x:c r="F933" t="str">
        <x:v>MKT-AUTO</x:v>
      </x:c>
      <x:c r="G933" t="str">
        <x:v>Retail</x:v>
      </x:c>
      <x:c r="H933" t="str">
        <x:v>Mid-Market</x:v>
      </x:c>
      <x:c r="I933" t="str">
        <x:v>Negotiation</x:v>
      </x:c>
      <x:c r="J933" s="10" t="n">
        <x:v>46182</x:v>
      </x:c>
      <x:c r="K933" s="10"/>
      <x:c r="L933" s="22" t="n">
        <x:v>34400</x:v>
      </x:c>
      <x:c r="M933" s="24" t="n">
        <x:v>0.05</x:v>
      </x:c>
      <x:c r="N933" s="24" t="n">
        <x:v>0.85</x:v>
      </x:c>
      <x:c r="O933" t="str"/>
      <x:c r="P933" t="n">
        <x:v>5</x:v>
      </x:c>
      <x:c r="Q933" t="str">
        <x:f>IFERROR(XLOOKUP(E933,Lookups!$A$5:$A$24,Lookups!$B$5:$B$24),"Other")</x:f>
        <x:v>Referral</x:v>
      </x:c>
      <x:c r="R933" t="str">
        <x:f>IFERROR(XLOOKUP(F933,Lookups!$D$5:$D$10,Lookups!$E$5:$E$10),"Unknown Product")</x:f>
        <x:v>Marketing Automation</x:v>
      </x:c>
      <x:c r="S933" t="str">
        <x:f>IFERROR(XLOOKUP(F933,Lookups!$D$5:$D$10,Lookups!$F$5:$F$10),"Unknown")</x:f>
        <x:v>Marketing</x:v>
      </x:c>
      <x:c r="T933" t="str">
        <x:f>IF(L933&gt;=50000,"Enterprise",IF(L933&gt;=20000,"Mid-Market","SMB"))</x:f>
        <x:v>Mid-Market</x:v>
      </x:c>
      <x:c r="U933" t="str">
        <x:f>IF(I933="Closed Won","Won",IF(I933="Closed Lost","Lost","Open"))</x:f>
        <x:v>Open</x:v>
      </x:c>
      <x:c r="V933" s="22" t="n">
        <x:f>IF(U933="Won",L933*(1-M933),0)</x:f>
        <x:v>0</x:v>
      </x:c>
      <x:c r="W933" s="22" t="n">
        <x:f>IF(U933="Open",L933*N933,0)</x:f>
        <x:v>29240</x:v>
      </x:c>
      <x:c r="X933" s="26" t="str">
        <x:f>IF(U933="Open","",IFERROR(K933-B933,""))</x:f>
      </x:c>
      <x:c r="Y933" s="26" t="n">
        <x:f>IF(U933="Open",Lookups!$B$2-B933,X933)</x:f>
        <x:v>485</x:v>
      </x:c>
      <x:c r="Z933" t="str">
        <x:f>IF(AND(U933="Open",Y933&gt;30),"STALE","OK")</x:f>
        <x:v>STALE</x:v>
      </x:c>
      <x:c r="AA933" t="str">
        <x:f>TEXT(B933,"yyyy-mm")</x:f>
        <x:v>2025-05</x:v>
      </x:c>
      <x:c r="AB933" t="str">
        <x:f>IF(K933="","",TEXT(K933,"yyyy-mm"))</x:f>
      </x:c>
      <x:c r="AC933" t="str">
        <x:f>"Q"&amp;ROUNDUP(MONTH(B933)/3,0)&amp;"-"&amp;YEAR(B933)</x:f>
        <x:v>Q2-2025</x:v>
      </x:c>
      <x:c r="AD933" s="26" t="n">
        <x:f>MIN(100,IF(H933="Enterprise",30,IF(H933="Mid-Market",22,14))+IF(T933="Enterprise",25,IF(T933="Mid-Market",18,10))+IF(Q933="Referral",25,IF(Q933="Organic Search",20,IF(Q933="Email",18,14)))+IF(G933="Technology",10,5))</x:f>
        <x:v>70</x:v>
      </x:c>
      <x:c r="AE933" t="str">
        <x:f>IF(U933&lt;&gt;"Open",U933,IF(N933&gt;=0.8,"Commit",IF(N933&gt;=0.5,"Best Case","Pipeline")))</x:f>
        <x:v>Commit</x:v>
      </x:c>
    </x:row>
    <x:row r="934">
      <x:c r="A934" t="str">
        <x:v>L00933</x:v>
      </x:c>
      <x:c r="B934" s="10" t="n">
        <x:v>45789</x:v>
      </x:c>
      <x:c r="C934" t="str">
        <x:v>Chi Le</x:v>
      </x:c>
      <x:c r="D934" t="str">
        <x:v>South</x:v>
      </x:c>
      <x:c r="E934" t="str">
        <x:v>virtual event</x:v>
      </x:c>
      <x:c r="F934" t="str">
        <x:v>BI-PLUS</x:v>
      </x:c>
      <x:c r="G934" t="str">
        <x:v>Manufacturing</x:v>
      </x:c>
      <x:c r="H934" t="str">
        <x:v>Enterprise</x:v>
      </x:c>
      <x:c r="I934" t="str">
        <x:v>Closed Lost</x:v>
      </x:c>
      <x:c r="J934" s="10" t="n">
        <x:v>45850</x:v>
      </x:c>
      <x:c r="K934" s="10" t="n">
        <x:v>45850</x:v>
      </x:c>
      <x:c r="L934" s="22" t="n">
        <x:v>71200</x:v>
      </x:c>
      <x:c r="M934" s="24" t="n">
        <x:v>0</x:v>
      </x:c>
      <x:c r="N934" s="24" t="n">
        <x:v>0</x:v>
      </x:c>
      <x:c r="O934" t="str">
        <x:v>Price</x:v>
      </x:c>
      <x:c r="P934" t="n">
        <x:v>5</x:v>
      </x:c>
      <x:c r="Q934" t="str">
        <x:f>IFERROR(XLOOKUP(E934,Lookups!$A$5:$A$24,Lookups!$B$5:$B$24),"Other")</x:f>
        <x:v>Webinar</x:v>
      </x:c>
      <x:c r="R934" t="str">
        <x:f>IFERROR(XLOOKUP(F934,Lookups!$D$5:$D$10,Lookups!$E$5:$E$10),"Unknown Product")</x:f>
        <x:v>Analytics Plus</x:v>
      </x:c>
      <x:c r="S934" t="str">
        <x:f>IFERROR(XLOOKUP(F934,Lookups!$D$5:$D$10,Lookups!$F$5:$F$10),"Unknown")</x:f>
        <x:v>Analytics</x:v>
      </x:c>
      <x:c r="T934" t="str">
        <x:f>IF(L934&gt;=50000,"Enterprise",IF(L934&gt;=20000,"Mid-Market","SMB"))</x:f>
        <x:v>Enterprise</x:v>
      </x:c>
      <x:c r="U934" t="str">
        <x:f>IF(I934="Closed Won","Won",IF(I934="Closed Lost","Lost","Open"))</x:f>
        <x:v>Lost</x:v>
      </x:c>
      <x:c r="V934" s="22" t="n">
        <x:f>IF(U934="Won",L934*(1-M934),0)</x:f>
        <x:v>0</x:v>
      </x:c>
      <x:c r="W934" s="22" t="n">
        <x:f>IF(U934="Open",L934*N934,0)</x:f>
        <x:v>0</x:v>
      </x:c>
      <x:c r="X934" s="26" t="n">
        <x:f>IF(U934="Open","",IFERROR(K934-B934,""))</x:f>
        <x:v>61</x:v>
      </x:c>
      <x:c r="Y934" s="26" t="n">
        <x:f>IF(U934="Open",Lookups!$B$2-B934,X934)</x:f>
        <x:v>61</x:v>
      </x:c>
      <x:c r="Z934" t="str">
        <x:f>IF(AND(U934="Open",Y934&gt;30),"STALE","OK")</x:f>
        <x:v>OK</x:v>
      </x:c>
      <x:c r="AA934" t="str">
        <x:f>TEXT(B934,"yyyy-mm")</x:f>
        <x:v>2025-05</x:v>
      </x:c>
      <x:c r="AB934" t="str">
        <x:f>IF(K934="","",TEXT(K934,"yyyy-mm"))</x:f>
        <x:v>2025-07</x:v>
      </x:c>
      <x:c r="AC934" t="str">
        <x:f>"Q"&amp;ROUNDUP(MONTH(B934)/3,0)&amp;"-"&amp;YEAR(B934)</x:f>
        <x:v>Q2-2025</x:v>
      </x:c>
      <x:c r="AD934" s="26" t="n">
        <x:f>MIN(100,IF(H934="Enterprise",30,IF(H934="Mid-Market",22,14))+IF(T934="Enterprise",25,IF(T934="Mid-Market",18,10))+IF(Q934="Referral",25,IF(Q934="Organic Search",20,IF(Q934="Email",18,14)))+IF(G934="Technology",10,5))</x:f>
        <x:v>74</x:v>
      </x:c>
      <x:c r="AE934" t="str">
        <x:f>IF(U934&lt;&gt;"Open",U934,IF(N934&gt;=0.8,"Commit",IF(N934&gt;=0.5,"Best Case","Pipeline")))</x:f>
        <x:v>Lost</x:v>
      </x:c>
    </x:row>
    <x:row r="935">
      <x:c r="A935" t="str">
        <x:v>L00934</x:v>
      </x:c>
      <x:c r="B935" s="10" t="n">
        <x:v>46064</x:v>
      </x:c>
      <x:c r="C935" t="str">
        <x:v>An Nguyen</x:v>
      </x:c>
      <x:c r="D935" t="str">
        <x:v>South</x:v>
      </x:c>
      <x:c r="E935" t="str">
        <x:v>Conference Scan</x:v>
      </x:c>
      <x:c r="F935" t="str">
        <x:v>CS-CLOUD</x:v>
      </x:c>
      <x:c r="G935" t="str">
        <x:v>Technology</x:v>
      </x:c>
      <x:c r="H935" t="str">
        <x:v>Enterprise</x:v>
      </x:c>
      <x:c r="I935" t="str">
        <x:v>Closed Lost</x:v>
      </x:c>
      <x:c r="J935" s="10" t="n">
        <x:v>46077</x:v>
      </x:c>
      <x:c r="K935" s="10" t="n">
        <x:v>46077</x:v>
      </x:c>
      <x:c r="L935" s="22" t="n">
        <x:v>43100</x:v>
      </x:c>
      <x:c r="M935" s="24" t="n">
        <x:v>0</x:v>
      </x:c>
      <x:c r="N935" s="24" t="n">
        <x:v>0</x:v>
      </x:c>
      <x:c r="O935" t="str">
        <x:v>Budget</x:v>
      </x:c>
      <x:c r="P935" t="n">
        <x:v>4</x:v>
      </x:c>
      <x:c r="Q935" t="str">
        <x:f>IFERROR(XLOOKUP(E935,Lookups!$A$5:$A$24,Lookups!$B$5:$B$24),"Other")</x:f>
        <x:v>Other</x:v>
      </x:c>
      <x:c r="R935" t="str">
        <x:f>IFERROR(XLOOKUP(F935,Lookups!$D$5:$D$10,Lookups!$E$5:$E$10),"Unknown Product")</x:f>
        <x:v>Service Cloud</x:v>
      </x:c>
      <x:c r="S935" t="str">
        <x:f>IFERROR(XLOOKUP(F935,Lookups!$D$5:$D$10,Lookups!$F$5:$F$10),"Unknown")</x:f>
        <x:v>Customer Service</x:v>
      </x:c>
      <x:c r="T935" t="str">
        <x:f>IF(L935&gt;=50000,"Enterprise",IF(L935&gt;=20000,"Mid-Market","SMB"))</x:f>
        <x:v>Mid-Market</x:v>
      </x:c>
      <x:c r="U935" t="str">
        <x:f>IF(I935="Closed Won","Won",IF(I935="Closed Lost","Lost","Open"))</x:f>
        <x:v>Lost</x:v>
      </x:c>
      <x:c r="V935" s="22" t="n">
        <x:f>IF(U935="Won",L935*(1-M935),0)</x:f>
        <x:v>0</x:v>
      </x:c>
      <x:c r="W935" s="22" t="n">
        <x:f>IF(U935="Open",L935*N935,0)</x:f>
        <x:v>0</x:v>
      </x:c>
      <x:c r="X935" s="26" t="n">
        <x:f>IF(U935="Open","",IFERROR(K935-B935,""))</x:f>
        <x:v>13</x:v>
      </x:c>
      <x:c r="Y935" s="26" t="n">
        <x:f>IF(U935="Open",Lookups!$B$2-B935,X935)</x:f>
        <x:v>13</x:v>
      </x:c>
      <x:c r="Z935" t="str">
        <x:f>IF(AND(U935="Open",Y935&gt;30),"STALE","OK")</x:f>
        <x:v>OK</x:v>
      </x:c>
      <x:c r="AA935" t="str">
        <x:f>TEXT(B935,"yyyy-mm")</x:f>
        <x:v>2026-02</x:v>
      </x:c>
      <x:c r="AB935" t="str">
        <x:f>IF(K935="","",TEXT(K935,"yyyy-mm"))</x:f>
        <x:v>2026-02</x:v>
      </x:c>
      <x:c r="AC935" t="str">
        <x:f>"Q"&amp;ROUNDUP(MONTH(B935)/3,0)&amp;"-"&amp;YEAR(B935)</x:f>
        <x:v>Q1-2026</x:v>
      </x:c>
      <x:c r="AD935" s="26" t="n">
        <x:f>MIN(100,IF(H935="Enterprise",30,IF(H935="Mid-Market",22,14))+IF(T935="Enterprise",25,IF(T935="Mid-Market",18,10))+IF(Q935="Referral",25,IF(Q935="Organic Search",20,IF(Q935="Email",18,14)))+IF(G935="Technology",10,5))</x:f>
        <x:v>72</x:v>
      </x:c>
      <x:c r="AE935" t="str">
        <x:f>IF(U935&lt;&gt;"Open",U935,IF(N935&gt;=0.8,"Commit",IF(N935&gt;=0.5,"Best Case","Pipeline")))</x:f>
        <x:v>Lost</x:v>
      </x:c>
    </x:row>
    <x:row r="936">
      <x:c r="A936" t="str">
        <x:v>L00935</x:v>
      </x:c>
      <x:c r="B936" s="10" t="n">
        <x:v>46185</x:v>
      </x:c>
      <x:c r="C936" t="str">
        <x:v>An Nguyen</x:v>
      </x:c>
      <x:c r="D936" t="str">
        <x:v>South</x:v>
      </x:c>
      <x:c r="E936" t="str">
        <x:v>Google Organic</x:v>
      </x:c>
      <x:c r="F936" t="str">
        <x:v>CRM-PRO</x:v>
      </x:c>
      <x:c r="G936" t="str">
        <x:v>Retail</x:v>
      </x:c>
      <x:c r="H936" t="str">
        <x:v>Mid-Market</x:v>
      </x:c>
      <x:c r="I936" t="str">
        <x:v>Closed Lost</x:v>
      </x:c>
      <x:c r="J936" s="10" t="n">
        <x:v>46231</x:v>
      </x:c>
      <x:c r="K936" s="10" t="n">
        <x:v>46231</x:v>
      </x:c>
      <x:c r="L936" s="22" t="n">
        <x:v>21800</x:v>
      </x:c>
      <x:c r="M936" s="24" t="n">
        <x:v>0</x:v>
      </x:c>
      <x:c r="N936" s="24" t="n">
        <x:v>0</x:v>
      </x:c>
      <x:c r="O936" t="str">
        <x:v>No Decision</x:v>
      </x:c>
      <x:c r="P936" t="n">
        <x:v>4</x:v>
      </x:c>
      <x:c r="Q936" t="str">
        <x:f>IFERROR(XLOOKUP(E936,Lookups!$A$5:$A$24,Lookups!$B$5:$B$24),"Other")</x:f>
        <x:v>Organic Search</x:v>
      </x:c>
      <x:c r="R936" t="str">
        <x:f>IFERROR(XLOOKUP(F936,Lookups!$D$5:$D$10,Lookups!$E$5:$E$10),"Unknown Product")</x:f>
        <x:v>NexaCRM Pro</x:v>
      </x:c>
      <x:c r="S936" t="str">
        <x:f>IFERROR(XLOOKUP(F936,Lookups!$D$5:$D$10,Lookups!$F$5:$F$10),"Unknown")</x:f>
        <x:v>CRM</x:v>
      </x:c>
      <x:c r="T936" t="str">
        <x:f>IF(L936&gt;=50000,"Enterprise",IF(L936&gt;=20000,"Mid-Market","SMB"))</x:f>
        <x:v>Mid-Market</x:v>
      </x:c>
      <x:c r="U936" t="str">
        <x:f>IF(I936="Closed Won","Won",IF(I936="Closed Lost","Lost","Open"))</x:f>
        <x:v>Lost</x:v>
      </x:c>
      <x:c r="V936" s="22" t="n">
        <x:f>IF(U936="Won",L936*(1-M936),0)</x:f>
        <x:v>0</x:v>
      </x:c>
      <x:c r="W936" s="22" t="n">
        <x:f>IF(U936="Open",L936*N936,0)</x:f>
        <x:v>0</x:v>
      </x:c>
      <x:c r="X936" s="26" t="n">
        <x:f>IF(U936="Open","",IFERROR(K936-B936,""))</x:f>
        <x:v>46</x:v>
      </x:c>
      <x:c r="Y936" s="26" t="n">
        <x:f>IF(U936="Open",Lookups!$B$2-B936,X936)</x:f>
        <x:v>46</x:v>
      </x:c>
      <x:c r="Z936" t="str">
        <x:f>IF(AND(U936="Open",Y936&gt;30),"STALE","OK")</x:f>
        <x:v>OK</x:v>
      </x:c>
      <x:c r="AA936" t="str">
        <x:f>TEXT(B936,"yyyy-mm")</x:f>
        <x:v>2026-06</x:v>
      </x:c>
      <x:c r="AB936" t="str">
        <x:f>IF(K936="","",TEXT(K936,"yyyy-mm"))</x:f>
        <x:v>2026-07</x:v>
      </x:c>
      <x:c r="AC936" t="str">
        <x:f>"Q"&amp;ROUNDUP(MONTH(B936)/3,0)&amp;"-"&amp;YEAR(B936)</x:f>
        <x:v>Q2-2026</x:v>
      </x:c>
      <x:c r="AD936" s="26" t="n">
        <x:f>MIN(100,IF(H936="Enterprise",30,IF(H936="Mid-Market",22,14))+IF(T936="Enterprise",25,IF(T936="Mid-Market",18,10))+IF(Q936="Referral",25,IF(Q936="Organic Search",20,IF(Q936="Email",18,14)))+IF(G936="Technology",10,5))</x:f>
        <x:v>65</x:v>
      </x:c>
      <x:c r="AE936" t="str">
        <x:f>IF(U936&lt;&gt;"Open",U936,IF(N936&gt;=0.8,"Commit",IF(N936&gt;=0.5,"Best Case","Pipeline")))</x:f>
        <x:v>Lost</x:v>
      </x:c>
    </x:row>
    <x:row r="937">
      <x:c r="A937" t="str">
        <x:v>L00936</x:v>
      </x:c>
      <x:c r="B937" s="10" t="n">
        <x:v>45667</x:v>
      </x:c>
      <x:c r="C937" t="str">
        <x:v>Quynh Vu</x:v>
      </x:c>
      <x:c r="D937" t="str">
        <x:v>North</x:v>
      </x:c>
      <x:c r="E937" t="str">
        <x:v>Google Ads</x:v>
      </x:c>
      <x:c r="F937" t="str">
        <x:v>CRM-CORE</x:v>
      </x:c>
      <x:c r="G937" t="str">
        <x:v>Retail</x:v>
      </x:c>
      <x:c r="H937" t="str">
        <x:v>Enterprise</x:v>
      </x:c>
      <x:c r="I937" t="str">
        <x:v>Negotiation</x:v>
      </x:c>
      <x:c r="J937" s="10" t="n">
        <x:v>45987</x:v>
      </x:c>
      <x:c r="K937" s="10"/>
      <x:c r="L937" s="22" t="n">
        <x:v>30900</x:v>
      </x:c>
      <x:c r="M937" s="24" t="n">
        <x:v>0</x:v>
      </x:c>
      <x:c r="N937" s="24" t="n">
        <x:v>0.85</x:v>
      </x:c>
      <x:c r="O937" t="str"/>
      <x:c r="P937" t="n">
        <x:v>5</x:v>
      </x:c>
      <x:c r="Q937" t="str">
        <x:f>IFERROR(XLOOKUP(E937,Lookups!$A$5:$A$24,Lookups!$B$5:$B$24),"Other")</x:f>
        <x:v>Paid Search</x:v>
      </x:c>
      <x:c r="R937" t="str">
        <x:f>IFERROR(XLOOKUP(F937,Lookups!$D$5:$D$10,Lookups!$E$5:$E$10),"Unknown Product")</x:f>
        <x:v>NexaCRM Core</x:v>
      </x:c>
      <x:c r="S937" t="str">
        <x:f>IFERROR(XLOOKUP(F937,Lookups!$D$5:$D$10,Lookups!$F$5:$F$10),"Unknown")</x:f>
        <x:v>CRM</x:v>
      </x:c>
      <x:c r="T937" t="str">
        <x:f>IF(L937&gt;=50000,"Enterprise",IF(L937&gt;=20000,"Mid-Market","SMB"))</x:f>
        <x:v>Mid-Market</x:v>
      </x:c>
      <x:c r="U937" t="str">
        <x:f>IF(I937="Closed Won","Won",IF(I937="Closed Lost","Lost","Open"))</x:f>
        <x:v>Open</x:v>
      </x:c>
      <x:c r="V937" s="22" t="n">
        <x:f>IF(U937="Won",L937*(1-M937),0)</x:f>
        <x:v>0</x:v>
      </x:c>
      <x:c r="W937" s="22" t="n">
        <x:f>IF(U937="Open",L937*N937,0)</x:f>
        <x:v>26265</x:v>
      </x:c>
      <x:c r="X937" s="26" t="str">
        <x:f>IF(U937="Open","",IFERROR(K937-B937,""))</x:f>
      </x:c>
      <x:c r="Y937" s="26" t="n">
        <x:f>IF(U937="Open",Lookups!$B$2-B937,X937)</x:f>
        <x:v>599</x:v>
      </x:c>
      <x:c r="Z937" t="str">
        <x:f>IF(AND(U937="Open",Y937&gt;30),"STALE","OK")</x:f>
        <x:v>STALE</x:v>
      </x:c>
      <x:c r="AA937" t="str">
        <x:f>TEXT(B937,"yyyy-mm")</x:f>
        <x:v>2025-01</x:v>
      </x:c>
      <x:c r="AB937" t="str">
        <x:f>IF(K937="","",TEXT(K937,"yyyy-mm"))</x:f>
      </x:c>
      <x:c r="AC937" t="str">
        <x:f>"Q"&amp;ROUNDUP(MONTH(B937)/3,0)&amp;"-"&amp;YEAR(B937)</x:f>
        <x:v>Q1-2025</x:v>
      </x:c>
      <x:c r="AD937" s="26" t="n">
        <x:f>MIN(100,IF(H937="Enterprise",30,IF(H937="Mid-Market",22,14))+IF(T937="Enterprise",25,IF(T937="Mid-Market",18,10))+IF(Q937="Referral",25,IF(Q937="Organic Search",20,IF(Q937="Email",18,14)))+IF(G937="Technology",10,5))</x:f>
        <x:v>67</x:v>
      </x:c>
      <x:c r="AE937" t="str">
        <x:f>IF(U937&lt;&gt;"Open",U937,IF(N937&gt;=0.8,"Commit",IF(N937&gt;=0.5,"Best Case","Pipeline")))</x:f>
        <x:v>Commit</x:v>
      </x:c>
    </x:row>
    <x:row r="938">
      <x:c r="A938" t="str">
        <x:v>L00937</x:v>
      </x:c>
      <x:c r="B938" s="10" t="n">
        <x:v>46240</x:v>
      </x:c>
      <x:c r="C938" t="str">
        <x:v>Minh Do</x:v>
      </x:c>
      <x:c r="D938" t="str">
        <x:v>North</x:v>
      </x:c>
      <x:c r="E938" t="str">
        <x:v>Partner Referral</x:v>
      </x:c>
      <x:c r="F938" t="str">
        <x:v>MKT-AUTO</x:v>
      </x:c>
      <x:c r="G938" t="str">
        <x:v>Retail</x:v>
      </x:c>
      <x:c r="H938" t="str">
        <x:v>Mid-Market</x:v>
      </x:c>
      <x:c r="I938" t="str">
        <x:v>Closed Lost</x:v>
      </x:c>
      <x:c r="J938" s="10" t="n">
        <x:v>46266</x:v>
      </x:c>
      <x:c r="K938" s="10" t="n">
        <x:v>46266</x:v>
      </x:c>
      <x:c r="L938" s="22" t="n">
        <x:v>19500</x:v>
      </x:c>
      <x:c r="M938" s="24" t="n">
        <x:v>0</x:v>
      </x:c>
      <x:c r="N938" s="24" t="n">
        <x:v>0</x:v>
      </x:c>
      <x:c r="O938" t="str">
        <x:v>No Decision</x:v>
      </x:c>
      <x:c r="P938" t="n">
        <x:v>5</x:v>
      </x:c>
      <x:c r="Q938" t="str">
        <x:f>IFERROR(XLOOKUP(E938,Lookups!$A$5:$A$24,Lookups!$B$5:$B$24),"Other")</x:f>
        <x:v>Referral</x:v>
      </x:c>
      <x:c r="R938" t="str">
        <x:f>IFERROR(XLOOKUP(F938,Lookups!$D$5:$D$10,Lookups!$E$5:$E$10),"Unknown Product")</x:f>
        <x:v>Marketing Automation</x:v>
      </x:c>
      <x:c r="S938" t="str">
        <x:f>IFERROR(XLOOKUP(F938,Lookups!$D$5:$D$10,Lookups!$F$5:$F$10),"Unknown")</x:f>
        <x:v>Marketing</x:v>
      </x:c>
      <x:c r="T938" t="str">
        <x:f>IF(L938&gt;=50000,"Enterprise",IF(L938&gt;=20000,"Mid-Market","SMB"))</x:f>
        <x:v>SMB</x:v>
      </x:c>
      <x:c r="U938" t="str">
        <x:f>IF(I938="Closed Won","Won",IF(I938="Closed Lost","Lost","Open"))</x:f>
        <x:v>Lost</x:v>
      </x:c>
      <x:c r="V938" s="22" t="n">
        <x:f>IF(U938="Won",L938*(1-M938),0)</x:f>
        <x:v>0</x:v>
      </x:c>
      <x:c r="W938" s="22" t="n">
        <x:f>IF(U938="Open",L938*N938,0)</x:f>
        <x:v>0</x:v>
      </x:c>
      <x:c r="X938" s="26" t="n">
        <x:f>IF(U938="Open","",IFERROR(K938-B938,""))</x:f>
        <x:v>26</x:v>
      </x:c>
      <x:c r="Y938" s="26" t="n">
        <x:f>IF(U938="Open",Lookups!$B$2-B938,X938)</x:f>
        <x:v>26</x:v>
      </x:c>
      <x:c r="Z938" t="str">
        <x:f>IF(AND(U938="Open",Y938&gt;30),"STALE","OK")</x:f>
        <x:v>OK</x:v>
      </x:c>
      <x:c r="AA938" t="str">
        <x:f>TEXT(B938,"yyyy-mm")</x:f>
        <x:v>2026-08</x:v>
      </x:c>
      <x:c r="AB938" t="str">
        <x:f>IF(K938="","",TEXT(K938,"yyyy-mm"))</x:f>
        <x:v>2026-09</x:v>
      </x:c>
      <x:c r="AC938" t="str">
        <x:f>"Q"&amp;ROUNDUP(MONTH(B938)/3,0)&amp;"-"&amp;YEAR(B938)</x:f>
        <x:v>Q3-2026</x:v>
      </x:c>
      <x:c r="AD938" s="26" t="n">
        <x:f>MIN(100,IF(H938="Enterprise",30,IF(H938="Mid-Market",22,14))+IF(T938="Enterprise",25,IF(T938="Mid-Market",18,10))+IF(Q938="Referral",25,IF(Q938="Organic Search",20,IF(Q938="Email",18,14)))+IF(G938="Technology",10,5))</x:f>
        <x:v>62</x:v>
      </x:c>
      <x:c r="AE938" t="str">
        <x:f>IF(U938&lt;&gt;"Open",U938,IF(N938&gt;=0.8,"Commit",IF(N938&gt;=0.5,"Best Case","Pipeline")))</x:f>
        <x:v>Lost</x:v>
      </x:c>
    </x:row>
    <x:row r="939">
      <x:c r="A939" t="str">
        <x:v>L00938</x:v>
      </x:c>
      <x:c r="B939" s="10" t="n">
        <x:v>45798</x:v>
      </x:c>
      <x:c r="C939" t="str">
        <x:v>Quynh Vu</x:v>
      </x:c>
      <x:c r="D939" t="str">
        <x:v>North</x:v>
      </x:c>
      <x:c r="E939" t="str">
        <x:v>Partner Referral</x:v>
      </x:c>
      <x:c r="F939" t="str">
        <x:v>CS-CLOUD</x:v>
      </x:c>
      <x:c r="G939" t="str">
        <x:v>Manufacturing</x:v>
      </x:c>
      <x:c r="H939" t="str">
        <x:v>Enterprise</x:v>
      </x:c>
      <x:c r="I939" t="str">
        <x:v>Negotiation</x:v>
      </x:c>
      <x:c r="J939" s="10" t="n">
        <x:v>46143</x:v>
      </x:c>
      <x:c r="K939" s="10"/>
      <x:c r="L939" s="22" t="n">
        <x:v>60300</x:v>
      </x:c>
      <x:c r="M939" s="24" t="n">
        <x:v>0</x:v>
      </x:c>
      <x:c r="N939" s="24" t="n">
        <x:v>0.85</x:v>
      </x:c>
      <x:c r="O939" t="str"/>
      <x:c r="P939" t="n">
        <x:v>5</x:v>
      </x:c>
      <x:c r="Q939" t="str">
        <x:f>IFERROR(XLOOKUP(E939,Lookups!$A$5:$A$24,Lookups!$B$5:$B$24),"Other")</x:f>
        <x:v>Referral</x:v>
      </x:c>
      <x:c r="R939" t="str">
        <x:f>IFERROR(XLOOKUP(F939,Lookups!$D$5:$D$10,Lookups!$E$5:$E$10),"Unknown Product")</x:f>
        <x:v>Service Cloud</x:v>
      </x:c>
      <x:c r="S939" t="str">
        <x:f>IFERROR(XLOOKUP(F939,Lookups!$D$5:$D$10,Lookups!$F$5:$F$10),"Unknown")</x:f>
        <x:v>Customer Service</x:v>
      </x:c>
      <x:c r="T939" t="str">
        <x:f>IF(L939&gt;=50000,"Enterprise",IF(L939&gt;=20000,"Mid-Market","SMB"))</x:f>
        <x:v>Enterprise</x:v>
      </x:c>
      <x:c r="U939" t="str">
        <x:f>IF(I939="Closed Won","Won",IF(I939="Closed Lost","Lost","Open"))</x:f>
        <x:v>Open</x:v>
      </x:c>
      <x:c r="V939" s="22" t="n">
        <x:f>IF(U939="Won",L939*(1-M939),0)</x:f>
        <x:v>0</x:v>
      </x:c>
      <x:c r="W939" s="22" t="n">
        <x:f>IF(U939="Open",L939*N939,0)</x:f>
        <x:v>51255</x:v>
      </x:c>
      <x:c r="X939" s="26" t="str">
        <x:f>IF(U939="Open","",IFERROR(K939-B939,""))</x:f>
      </x:c>
      <x:c r="Y939" s="26" t="n">
        <x:f>IF(U939="Open",Lookups!$B$2-B939,X939)</x:f>
        <x:v>468</x:v>
      </x:c>
      <x:c r="Z939" t="str">
        <x:f>IF(AND(U939="Open",Y939&gt;30),"STALE","OK")</x:f>
        <x:v>STALE</x:v>
      </x:c>
      <x:c r="AA939" t="str">
        <x:f>TEXT(B939,"yyyy-mm")</x:f>
        <x:v>2025-05</x:v>
      </x:c>
      <x:c r="AB939" t="str">
        <x:f>IF(K939="","",TEXT(K939,"yyyy-mm"))</x:f>
      </x:c>
      <x:c r="AC939" t="str">
        <x:f>"Q"&amp;ROUNDUP(MONTH(B939)/3,0)&amp;"-"&amp;YEAR(B939)</x:f>
        <x:v>Q2-2025</x:v>
      </x:c>
      <x:c r="AD939" s="26" t="n">
        <x:f>MIN(100,IF(H939="Enterprise",30,IF(H939="Mid-Market",22,14))+IF(T939="Enterprise",25,IF(T939="Mid-Market",18,10))+IF(Q939="Referral",25,IF(Q939="Organic Search",20,IF(Q939="Email",18,14)))+IF(G939="Technology",10,5))</x:f>
        <x:v>85</x:v>
      </x:c>
      <x:c r="AE939" t="str">
        <x:f>IF(U939&lt;&gt;"Open",U939,IF(N939&gt;=0.8,"Commit",IF(N939&gt;=0.5,"Best Case","Pipeline")))</x:f>
        <x:v>Commit</x:v>
      </x:c>
    </x:row>
    <x:row r="940">
      <x:c r="A940" t="str">
        <x:v>L00939</x:v>
      </x:c>
      <x:c r="B940" s="10" t="n">
        <x:v>46209</x:v>
      </x:c>
      <x:c r="C940" t="str">
        <x:v>Quynh Vu</x:v>
      </x:c>
      <x:c r="D940" t="str">
        <x:v>North</x:v>
      </x:c>
      <x:c r="E940" t="str">
        <x:v>SDR Outreach</x:v>
      </x:c>
      <x:c r="F940" t="str">
        <x:v>BI-PLUS</x:v>
      </x:c>
      <x:c r="G940" t="str">
        <x:v>Manufacturing</x:v>
      </x:c>
      <x:c r="H940" t="str">
        <x:v>Mid-Market</x:v>
      </x:c>
      <x:c r="I940" t="str">
        <x:v>Qualified</x:v>
      </x:c>
      <x:c r="J940" s="10" t="n">
        <x:v>46254</x:v>
      </x:c>
      <x:c r="K940" s="10"/>
      <x:c r="L940" s="22" t="n">
        <x:v>34700</x:v>
      </x:c>
      <x:c r="M940" s="24" t="n">
        <x:v>0</x:v>
      </x:c>
      <x:c r="N940" s="24" t="n">
        <x:v>0.2</x:v>
      </x:c>
      <x:c r="O940" t="str"/>
      <x:c r="P940" t="n">
        <x:v>2</x:v>
      </x:c>
      <x:c r="Q940" t="str">
        <x:f>IFERROR(XLOOKUP(E940,Lookups!$A$5:$A$24,Lookups!$B$5:$B$24),"Other")</x:f>
        <x:v>Outbound</x:v>
      </x:c>
      <x:c r="R940" t="str">
        <x:f>IFERROR(XLOOKUP(F940,Lookups!$D$5:$D$10,Lookups!$E$5:$E$10),"Unknown Product")</x:f>
        <x:v>Analytics Plus</x:v>
      </x:c>
      <x:c r="S940" t="str">
        <x:f>IFERROR(XLOOKUP(F940,Lookups!$D$5:$D$10,Lookups!$F$5:$F$10),"Unknown")</x:f>
        <x:v>Analytics</x:v>
      </x:c>
      <x:c r="T940" t="str">
        <x:f>IF(L940&gt;=50000,"Enterprise",IF(L940&gt;=20000,"Mid-Market","SMB"))</x:f>
        <x:v>Mid-Market</x:v>
      </x:c>
      <x:c r="U940" t="str">
        <x:f>IF(I940="Closed Won","Won",IF(I940="Closed Lost","Lost","Open"))</x:f>
        <x:v>Open</x:v>
      </x:c>
      <x:c r="V940" s="22" t="n">
        <x:f>IF(U940="Won",L940*(1-M940),0)</x:f>
        <x:v>0</x:v>
      </x:c>
      <x:c r="W940" s="22" t="n">
        <x:f>IF(U940="Open",L940*N940,0)</x:f>
        <x:v>6940</x:v>
      </x:c>
      <x:c r="X940" s="26" t="str">
        <x:f>IF(U940="Open","",IFERROR(K940-B940,""))</x:f>
      </x:c>
      <x:c r="Y940" s="26" t="n">
        <x:f>IF(U940="Open",Lookups!$B$2-B940,X940)</x:f>
        <x:v>57</x:v>
      </x:c>
      <x:c r="Z940" t="str">
        <x:f>IF(AND(U940="Open",Y940&gt;30),"STALE","OK")</x:f>
        <x:v>STALE</x:v>
      </x:c>
      <x:c r="AA940" t="str">
        <x:f>TEXT(B940,"yyyy-mm")</x:f>
        <x:v>2026-07</x:v>
      </x:c>
      <x:c r="AB940" t="str">
        <x:f>IF(K940="","",TEXT(K940,"yyyy-mm"))</x:f>
      </x:c>
      <x:c r="AC940" t="str">
        <x:f>"Q"&amp;ROUNDUP(MONTH(B940)/3,0)&amp;"-"&amp;YEAR(B940)</x:f>
        <x:v>Q3-2026</x:v>
      </x:c>
      <x:c r="AD940" s="26" t="n">
        <x:f>MIN(100,IF(H940="Enterprise",30,IF(H940="Mid-Market",22,14))+IF(T940="Enterprise",25,IF(T940="Mid-Market",18,10))+IF(Q940="Referral",25,IF(Q940="Organic Search",20,IF(Q940="Email",18,14)))+IF(G940="Technology",10,5))</x:f>
        <x:v>59</x:v>
      </x:c>
      <x:c r="AE940" t="str">
        <x:f>IF(U940&lt;&gt;"Open",U940,IF(N940&gt;=0.8,"Commit",IF(N940&gt;=0.5,"Best Case","Pipeline")))</x:f>
        <x:v>Pipeline</x:v>
      </x:c>
    </x:row>
    <x:row r="941">
      <x:c r="A941" t="str">
        <x:v>L00940</x:v>
      </x:c>
      <x:c r="B941" s="10" t="n">
        <x:v>46137</x:v>
      </x:c>
      <x:c r="C941" t="str">
        <x:v>Bao Tran</x:v>
      </x:c>
      <x:c r="D941" t="str">
        <x:v>South</x:v>
      </x:c>
      <x:c r="E941" t="str">
        <x:v>newsletter</x:v>
      </x:c>
      <x:c r="F941" t="str">
        <x:v>CRM-CORE</x:v>
      </x:c>
      <x:c r="G941" t="str">
        <x:v>Education</x:v>
      </x:c>
      <x:c r="H941" t="str">
        <x:v>SMB</x:v>
      </x:c>
      <x:c r="I941" t="str">
        <x:v>Closed Lost</x:v>
      </x:c>
      <x:c r="J941" s="10" t="n">
        <x:v>46175</x:v>
      </x:c>
      <x:c r="K941" s="10" t="n">
        <x:v>46175</x:v>
      </x:c>
      <x:c r="L941" s="22" t="n">
        <x:v>4800</x:v>
      </x:c>
      <x:c r="M941" s="24" t="n">
        <x:v>0</x:v>
      </x:c>
      <x:c r="N941" s="24" t="n">
        <x:v>0</x:v>
      </x:c>
      <x:c r="O941" t="str">
        <x:v>Budget</x:v>
      </x:c>
      <x:c r="P941" t="n">
        <x:v>5</x:v>
      </x:c>
      <x:c r="Q941" t="str">
        <x:f>IFERROR(XLOOKUP(E941,Lookups!$A$5:$A$24,Lookups!$B$5:$B$24),"Other")</x:f>
        <x:v>Email</x:v>
      </x:c>
      <x:c r="R941" t="str">
        <x:f>IFERROR(XLOOKUP(F941,Lookups!$D$5:$D$10,Lookups!$E$5:$E$10),"Unknown Product")</x:f>
        <x:v>NexaCRM Core</x:v>
      </x:c>
      <x:c r="S941" t="str">
        <x:f>IFERROR(XLOOKUP(F941,Lookups!$D$5:$D$10,Lookups!$F$5:$F$10),"Unknown")</x:f>
        <x:v>CRM</x:v>
      </x:c>
      <x:c r="T941" t="str">
        <x:f>IF(L941&gt;=50000,"Enterprise",IF(L941&gt;=20000,"Mid-Market","SMB"))</x:f>
        <x:v>SMB</x:v>
      </x:c>
      <x:c r="U941" t="str">
        <x:f>IF(I941="Closed Won","Won",IF(I941="Closed Lost","Lost","Open"))</x:f>
        <x:v>Lost</x:v>
      </x:c>
      <x:c r="V941" s="22" t="n">
        <x:f>IF(U941="Won",L941*(1-M941),0)</x:f>
        <x:v>0</x:v>
      </x:c>
      <x:c r="W941" s="22" t="n">
        <x:f>IF(U941="Open",L941*N941,0)</x:f>
        <x:v>0</x:v>
      </x:c>
      <x:c r="X941" s="26" t="n">
        <x:f>IF(U941="Open","",IFERROR(K941-B941,""))</x:f>
        <x:v>38</x:v>
      </x:c>
      <x:c r="Y941" s="26" t="n">
        <x:f>IF(U941="Open",Lookups!$B$2-B941,X941)</x:f>
        <x:v>38</x:v>
      </x:c>
      <x:c r="Z941" t="str">
        <x:f>IF(AND(U941="Open",Y941&gt;30),"STALE","OK")</x:f>
        <x:v>OK</x:v>
      </x:c>
      <x:c r="AA941" t="str">
        <x:f>TEXT(B941,"yyyy-mm")</x:f>
        <x:v>2026-04</x:v>
      </x:c>
      <x:c r="AB941" t="str">
        <x:f>IF(K941="","",TEXT(K941,"yyyy-mm"))</x:f>
        <x:v>2026-06</x:v>
      </x:c>
      <x:c r="AC941" t="str">
        <x:f>"Q"&amp;ROUNDUP(MONTH(B941)/3,0)&amp;"-"&amp;YEAR(B941)</x:f>
        <x:v>Q2-2026</x:v>
      </x:c>
      <x:c r="AD941" s="26" t="n">
        <x:f>MIN(100,IF(H941="Enterprise",30,IF(H941="Mid-Market",22,14))+IF(T941="Enterprise",25,IF(T941="Mid-Market",18,10))+IF(Q941="Referral",25,IF(Q941="Organic Search",20,IF(Q941="Email",18,14)))+IF(G941="Technology",10,5))</x:f>
        <x:v>47</x:v>
      </x:c>
      <x:c r="AE941" t="str">
        <x:f>IF(U941&lt;&gt;"Open",U941,IF(N941&gt;=0.8,"Commit",IF(N941&gt;=0.5,"Best Case","Pipeline")))</x:f>
        <x:v>Lost</x:v>
      </x:c>
    </x:row>
    <x:row r="942">
      <x:c r="A942" t="str">
        <x:v>L00941</x:v>
      </x:c>
      <x:c r="B942" s="10" t="n">
        <x:v>45802</x:v>
      </x:c>
      <x:c r="C942" t="str">
        <x:v>An Nguyen</x:v>
      </x:c>
      <x:c r="D942" t="str">
        <x:v>South</x:v>
      </x:c>
      <x:c r="E942" t="str">
        <x:v>Email Campaign</x:v>
      </x:c>
      <x:c r="F942" t="str">
        <x:v>CS-CLOUD</x:v>
      </x:c>
      <x:c r="G942" t="str">
        <x:v>Healthcare</x:v>
      </x:c>
      <x:c r="H942" t="str">
        <x:v>SMB</x:v>
      </x:c>
      <x:c r="I942" t="str">
        <x:v>Negotiation</x:v>
      </x:c>
      <x:c r="J942" s="10" t="n">
        <x:v>46088</x:v>
      </x:c>
      <x:c r="K942" s="10"/>
      <x:c r="L942" s="22" t="n">
        <x:v>18400</x:v>
      </x:c>
      <x:c r="M942" s="24" t="n">
        <x:v>0.03</x:v>
      </x:c>
      <x:c r="N942" s="24" t="n">
        <x:v>0.85</x:v>
      </x:c>
      <x:c r="O942" t="str"/>
      <x:c r="P942" t="n">
        <x:v>5</x:v>
      </x:c>
      <x:c r="Q942" t="str">
        <x:f>IFERROR(XLOOKUP(E942,Lookups!$A$5:$A$24,Lookups!$B$5:$B$24),"Other")</x:f>
        <x:v>Email</x:v>
      </x:c>
      <x:c r="R942" t="str">
        <x:f>IFERROR(XLOOKUP(F942,Lookups!$D$5:$D$10,Lookups!$E$5:$E$10),"Unknown Product")</x:f>
        <x:v>Service Cloud</x:v>
      </x:c>
      <x:c r="S942" t="str">
        <x:f>IFERROR(XLOOKUP(F942,Lookups!$D$5:$D$10,Lookups!$F$5:$F$10),"Unknown")</x:f>
        <x:v>Customer Service</x:v>
      </x:c>
      <x:c r="T942" t="str">
        <x:f>IF(L942&gt;=50000,"Enterprise",IF(L942&gt;=20000,"Mid-Market","SMB"))</x:f>
        <x:v>SMB</x:v>
      </x:c>
      <x:c r="U942" t="str">
        <x:f>IF(I942="Closed Won","Won",IF(I942="Closed Lost","Lost","Open"))</x:f>
        <x:v>Open</x:v>
      </x:c>
      <x:c r="V942" s="22" t="n">
        <x:f>IF(U942="Won",L942*(1-M942),0)</x:f>
        <x:v>0</x:v>
      </x:c>
      <x:c r="W942" s="22" t="n">
        <x:f>IF(U942="Open",L942*N942,0)</x:f>
        <x:v>15640</x:v>
      </x:c>
      <x:c r="X942" s="26" t="str">
        <x:f>IF(U942="Open","",IFERROR(K942-B942,""))</x:f>
      </x:c>
      <x:c r="Y942" s="26" t="n">
        <x:f>IF(U942="Open",Lookups!$B$2-B942,X942)</x:f>
        <x:v>464</x:v>
      </x:c>
      <x:c r="Z942" t="str">
        <x:f>IF(AND(U942="Open",Y942&gt;30),"STALE","OK")</x:f>
        <x:v>STALE</x:v>
      </x:c>
      <x:c r="AA942" t="str">
        <x:f>TEXT(B942,"yyyy-mm")</x:f>
        <x:v>2025-05</x:v>
      </x:c>
      <x:c r="AB942" t="str">
        <x:f>IF(K942="","",TEXT(K942,"yyyy-mm"))</x:f>
      </x:c>
      <x:c r="AC942" t="str">
        <x:f>"Q"&amp;ROUNDUP(MONTH(B942)/3,0)&amp;"-"&amp;YEAR(B942)</x:f>
        <x:v>Q2-2025</x:v>
      </x:c>
      <x:c r="AD942" s="26" t="n">
        <x:f>MIN(100,IF(H942="Enterprise",30,IF(H942="Mid-Market",22,14))+IF(T942="Enterprise",25,IF(T942="Mid-Market",18,10))+IF(Q942="Referral",25,IF(Q942="Organic Search",20,IF(Q942="Email",18,14)))+IF(G942="Technology",10,5))</x:f>
        <x:v>47</x:v>
      </x:c>
      <x:c r="AE942" t="str">
        <x:f>IF(U942&lt;&gt;"Open",U942,IF(N942&gt;=0.8,"Commit",IF(N942&gt;=0.5,"Best Case","Pipeline")))</x:f>
        <x:v>Commit</x:v>
      </x:c>
    </x:row>
    <x:row r="943">
      <x:c r="A943" t="str">
        <x:v>L00942</x:v>
      </x:c>
      <x:c r="B943" s="10" t="n">
        <x:v>45965</x:v>
      </x:c>
      <x:c r="C943" t="str">
        <x:v>Duy Pham</x:v>
      </x:c>
      <x:c r="D943" t="str">
        <x:v>South</x:v>
      </x:c>
      <x:c r="E943" t="str">
        <x:v>SEM - Google</x:v>
      </x:c>
      <x:c r="F943" t="str">
        <x:v>CRM-PRO</x:v>
      </x:c>
      <x:c r="G943" t="str">
        <x:v>Technology</x:v>
      </x:c>
      <x:c r="H943" t="str">
        <x:v>Mid-Market</x:v>
      </x:c>
      <x:c r="I943" t="str">
        <x:v>Closed Won</x:v>
      </x:c>
      <x:c r="J943" s="10" t="n">
        <x:v>46050</x:v>
      </x:c>
      <x:c r="K943" s="10" t="n">
        <x:v>46050</x:v>
      </x:c>
      <x:c r="L943" s="22" t="n">
        <x:v>22600</x:v>
      </x:c>
      <x:c r="M943" s="24" t="n">
        <x:v>0.03</x:v>
      </x:c>
      <x:c r="N943" s="24" t="n">
        <x:v>1</x:v>
      </x:c>
      <x:c r="O943" t="str"/>
      <x:c r="P943" t="n">
        <x:v>6</x:v>
      </x:c>
      <x:c r="Q943" t="str">
        <x:f>IFERROR(XLOOKUP(E943,Lookups!$A$5:$A$24,Lookups!$B$5:$B$24),"Other")</x:f>
        <x:v>Paid Search</x:v>
      </x:c>
      <x:c r="R943" t="str">
        <x:f>IFERROR(XLOOKUP(F943,Lookups!$D$5:$D$10,Lookups!$E$5:$E$10),"Unknown Product")</x:f>
        <x:v>NexaCRM Pro</x:v>
      </x:c>
      <x:c r="S943" t="str">
        <x:f>IFERROR(XLOOKUP(F943,Lookups!$D$5:$D$10,Lookups!$F$5:$F$10),"Unknown")</x:f>
        <x:v>CRM</x:v>
      </x:c>
      <x:c r="T943" t="str">
        <x:f>IF(L943&gt;=50000,"Enterprise",IF(L943&gt;=20000,"Mid-Market","SMB"))</x:f>
        <x:v>Mid-Market</x:v>
      </x:c>
      <x:c r="U943" t="str">
        <x:f>IF(I943="Closed Won","Won",IF(I943="Closed Lost","Lost","Open"))</x:f>
        <x:v>Won</x:v>
      </x:c>
      <x:c r="V943" s="22" t="n">
        <x:f>IF(U943="Won",L943*(1-M943),0)</x:f>
        <x:v>21922</x:v>
      </x:c>
      <x:c r="W943" s="22" t="n">
        <x:f>IF(U943="Open",L943*N943,0)</x:f>
        <x:v>0</x:v>
      </x:c>
      <x:c r="X943" s="26" t="n">
        <x:f>IF(U943="Open","",IFERROR(K943-B943,""))</x:f>
        <x:v>85</x:v>
      </x:c>
      <x:c r="Y943" s="26" t="n">
        <x:f>IF(U943="Open",Lookups!$B$2-B943,X943)</x:f>
        <x:v>85</x:v>
      </x:c>
      <x:c r="Z943" t="str">
        <x:f>IF(AND(U943="Open",Y943&gt;30),"STALE","OK")</x:f>
        <x:v>OK</x:v>
      </x:c>
      <x:c r="AA943" t="str">
        <x:f>TEXT(B943,"yyyy-mm")</x:f>
        <x:v>2025-11</x:v>
      </x:c>
      <x:c r="AB943" t="str">
        <x:f>IF(K943="","",TEXT(K943,"yyyy-mm"))</x:f>
        <x:v>2026-01</x:v>
      </x:c>
      <x:c r="AC943" t="str">
        <x:f>"Q"&amp;ROUNDUP(MONTH(B943)/3,0)&amp;"-"&amp;YEAR(B943)</x:f>
        <x:v>Q4-2025</x:v>
      </x:c>
      <x:c r="AD943" s="26" t="n">
        <x:f>MIN(100,IF(H943="Enterprise",30,IF(H943="Mid-Market",22,14))+IF(T943="Enterprise",25,IF(T943="Mid-Market",18,10))+IF(Q943="Referral",25,IF(Q943="Organic Search",20,IF(Q943="Email",18,14)))+IF(G943="Technology",10,5))</x:f>
        <x:v>64</x:v>
      </x:c>
      <x:c r="AE943" t="str">
        <x:f>IF(U943&lt;&gt;"Open",U943,IF(N943&gt;=0.8,"Commit",IF(N943&gt;=0.5,"Best Case","Pipeline")))</x:f>
        <x:v>Won</x:v>
      </x:c>
    </x:row>
    <x:row r="944">
      <x:c r="A944" t="str">
        <x:v>L00943</x:v>
      </x:c>
      <x:c r="B944" s="10" t="n">
        <x:v>45663</x:v>
      </x:c>
      <x:c r="C944" t="str">
        <x:v>Quynh Vu</x:v>
      </x:c>
      <x:c r="D944" t="str">
        <x:v>North</x:v>
      </x:c>
      <x:c r="E944" t="str">
        <x:v>organic search</x:v>
      </x:c>
      <x:c r="F944" t="str">
        <x:v>MKT-AUTO</x:v>
      </x:c>
      <x:c r="G944" t="str">
        <x:v>Retail</x:v>
      </x:c>
      <x:c r="H944" t="str">
        <x:v>SMB</x:v>
      </x:c>
      <x:c r="I944" t="str">
        <x:v>Closed Lost</x:v>
      </x:c>
      <x:c r="J944" s="10" t="n">
        <x:v>45689</x:v>
      </x:c>
      <x:c r="K944" s="10" t="n">
        <x:v>45689</x:v>
      </x:c>
      <x:c r="L944" s="22" t="n">
        <x:v>11400</x:v>
      </x:c>
      <x:c r="M944" s="24" t="n">
        <x:v>0</x:v>
      </x:c>
      <x:c r="N944" s="24" t="n">
        <x:v>0</x:v>
      </x:c>
      <x:c r="O944" t="str">
        <x:v>Budget</x:v>
      </x:c>
      <x:c r="P944" t="n">
        <x:v>2</x:v>
      </x:c>
      <x:c r="Q944" t="str">
        <x:f>IFERROR(XLOOKUP(E944,Lookups!$A$5:$A$24,Lookups!$B$5:$B$24),"Other")</x:f>
        <x:v>Organic Search</x:v>
      </x:c>
      <x:c r="R944" t="str">
        <x:f>IFERROR(XLOOKUP(F944,Lookups!$D$5:$D$10,Lookups!$E$5:$E$10),"Unknown Product")</x:f>
        <x:v>Marketing Automation</x:v>
      </x:c>
      <x:c r="S944" t="str">
        <x:f>IFERROR(XLOOKUP(F944,Lookups!$D$5:$D$10,Lookups!$F$5:$F$10),"Unknown")</x:f>
        <x:v>Marketing</x:v>
      </x:c>
      <x:c r="T944" t="str">
        <x:f>IF(L944&gt;=50000,"Enterprise",IF(L944&gt;=20000,"Mid-Market","SMB"))</x:f>
        <x:v>SMB</x:v>
      </x:c>
      <x:c r="U944" t="str">
        <x:f>IF(I944="Closed Won","Won",IF(I944="Closed Lost","Lost","Open"))</x:f>
        <x:v>Lost</x:v>
      </x:c>
      <x:c r="V944" s="22" t="n">
        <x:f>IF(U944="Won",L944*(1-M944),0)</x:f>
        <x:v>0</x:v>
      </x:c>
      <x:c r="W944" s="22" t="n">
        <x:f>IF(U944="Open",L944*N944,0)</x:f>
        <x:v>0</x:v>
      </x:c>
      <x:c r="X944" s="26" t="n">
        <x:f>IF(U944="Open","",IFERROR(K944-B944,""))</x:f>
        <x:v>26</x:v>
      </x:c>
      <x:c r="Y944" s="26" t="n">
        <x:f>IF(U944="Open",Lookups!$B$2-B944,X944)</x:f>
        <x:v>26</x:v>
      </x:c>
      <x:c r="Z944" t="str">
        <x:f>IF(AND(U944="Open",Y944&gt;30),"STALE","OK")</x:f>
        <x:v>OK</x:v>
      </x:c>
      <x:c r="AA944" t="str">
        <x:f>TEXT(B944,"yyyy-mm")</x:f>
        <x:v>2025-01</x:v>
      </x:c>
      <x:c r="AB944" t="str">
        <x:f>IF(K944="","",TEXT(K944,"yyyy-mm"))</x:f>
        <x:v>2025-02</x:v>
      </x:c>
      <x:c r="AC944" t="str">
        <x:f>"Q"&amp;ROUNDUP(MONTH(B944)/3,0)&amp;"-"&amp;YEAR(B944)</x:f>
        <x:v>Q1-2025</x:v>
      </x:c>
      <x:c r="AD944" s="26" t="n">
        <x:f>MIN(100,IF(H944="Enterprise",30,IF(H944="Mid-Market",22,14))+IF(T944="Enterprise",25,IF(T944="Mid-Market",18,10))+IF(Q944="Referral",25,IF(Q944="Organic Search",20,IF(Q944="Email",18,14)))+IF(G944="Technology",10,5))</x:f>
        <x:v>49</x:v>
      </x:c>
      <x:c r="AE944" t="str">
        <x:f>IF(U944&lt;&gt;"Open",U944,IF(N944&gt;=0.8,"Commit",IF(N944&gt;=0.5,"Best Case","Pipeline")))</x:f>
        <x:v>Lost</x:v>
      </x:c>
    </x:row>
    <x:row r="945">
      <x:c r="A945" t="str">
        <x:v>L00944</x:v>
      </x:c>
      <x:c r="B945" s="10" t="n">
        <x:v>46061</x:v>
      </x:c>
      <x:c r="C945" t="str">
        <x:v>Duy Pham</x:v>
      </x:c>
      <x:c r="D945" t="str">
        <x:v>South</x:v>
      </x:c>
      <x:c r="E945" t="str">
        <x:v>SDR Outreach</x:v>
      </x:c>
      <x:c r="F945" t="str">
        <x:v>CRM-CORE</x:v>
      </x:c>
      <x:c r="G945" t="str">
        <x:v>Financial Services</x:v>
      </x:c>
      <x:c r="H945" t="str">
        <x:v>Mid-Market</x:v>
      </x:c>
      <x:c r="I945" t="str">
        <x:v>Closed Lost</x:v>
      </x:c>
      <x:c r="J945" s="10" t="n">
        <x:v>46144</x:v>
      </x:c>
      <x:c r="K945" s="10" t="n">
        <x:v>46144</x:v>
      </x:c>
      <x:c r="L945" s="22" t="n">
        <x:v>12100</x:v>
      </x:c>
      <x:c r="M945" s="24" t="n">
        <x:v>0</x:v>
      </x:c>
      <x:c r="N945" s="24" t="n">
        <x:v>0</x:v>
      </x:c>
      <x:c r="O945" t="str">
        <x:v>Budget</x:v>
      </x:c>
      <x:c r="P945" t="n">
        <x:v>3</x:v>
      </x:c>
      <x:c r="Q945" t="str">
        <x:f>IFERROR(XLOOKUP(E945,Lookups!$A$5:$A$24,Lookups!$B$5:$B$24),"Other")</x:f>
        <x:v>Outbound</x:v>
      </x:c>
      <x:c r="R945" t="str">
        <x:f>IFERROR(XLOOKUP(F945,Lookups!$D$5:$D$10,Lookups!$E$5:$E$10),"Unknown Product")</x:f>
        <x:v>NexaCRM Core</x:v>
      </x:c>
      <x:c r="S945" t="str">
        <x:f>IFERROR(XLOOKUP(F945,Lookups!$D$5:$D$10,Lookups!$F$5:$F$10),"Unknown")</x:f>
        <x:v>CRM</x:v>
      </x:c>
      <x:c r="T945" t="str">
        <x:f>IF(L945&gt;=50000,"Enterprise",IF(L945&gt;=20000,"Mid-Market","SMB"))</x:f>
        <x:v>SMB</x:v>
      </x:c>
      <x:c r="U945" t="str">
        <x:f>IF(I945="Closed Won","Won",IF(I945="Closed Lost","Lost","Open"))</x:f>
        <x:v>Lost</x:v>
      </x:c>
      <x:c r="V945" s="22" t="n">
        <x:f>IF(U945="Won",L945*(1-M945),0)</x:f>
        <x:v>0</x:v>
      </x:c>
      <x:c r="W945" s="22" t="n">
        <x:f>IF(U945="Open",L945*N945,0)</x:f>
        <x:v>0</x:v>
      </x:c>
      <x:c r="X945" s="26" t="n">
        <x:f>IF(U945="Open","",IFERROR(K945-B945,""))</x:f>
        <x:v>83</x:v>
      </x:c>
      <x:c r="Y945" s="26" t="n">
        <x:f>IF(U945="Open",Lookups!$B$2-B945,X945)</x:f>
        <x:v>83</x:v>
      </x:c>
      <x:c r="Z945" t="str">
        <x:f>IF(AND(U945="Open",Y945&gt;30),"STALE","OK")</x:f>
        <x:v>OK</x:v>
      </x:c>
      <x:c r="AA945" t="str">
        <x:f>TEXT(B945,"yyyy-mm")</x:f>
        <x:v>2026-02</x:v>
      </x:c>
      <x:c r="AB945" t="str">
        <x:f>IF(K945="","",TEXT(K945,"yyyy-mm"))</x:f>
        <x:v>2026-05</x:v>
      </x:c>
      <x:c r="AC945" t="str">
        <x:f>"Q"&amp;ROUNDUP(MONTH(B945)/3,0)&amp;"-"&amp;YEAR(B945)</x:f>
        <x:v>Q1-2026</x:v>
      </x:c>
      <x:c r="AD945" s="26" t="n">
        <x:f>MIN(100,IF(H945="Enterprise",30,IF(H945="Mid-Market",22,14))+IF(T945="Enterprise",25,IF(T945="Mid-Market",18,10))+IF(Q945="Referral",25,IF(Q945="Organic Search",20,IF(Q945="Email",18,14)))+IF(G945="Technology",10,5))</x:f>
        <x:v>51</x:v>
      </x:c>
      <x:c r="AE945" t="str">
        <x:f>IF(U945&lt;&gt;"Open",U945,IF(N945&gt;=0.8,"Commit",IF(N945&gt;=0.5,"Best Case","Pipeline")))</x:f>
        <x:v>Lost</x:v>
      </x:c>
    </x:row>
    <x:row r="946">
      <x:c r="A946" t="str">
        <x:v>L00945</x:v>
      </x:c>
      <x:c r="B946" s="10" t="n">
        <x:v>46122</x:v>
      </x:c>
      <x:c r="C946" t="str">
        <x:v>Ha Vo</x:v>
      </x:c>
      <x:c r="D946" t="str">
        <x:v>North</x:v>
      </x:c>
      <x:c r="E946" t="str">
        <x:v>Google Organic</x:v>
      </x:c>
      <x:c r="F946" t="str">
        <x:v>REV-OPS</x:v>
      </x:c>
      <x:c r="G946" t="str">
        <x:v>Technology</x:v>
      </x:c>
      <x:c r="H946" t="str">
        <x:v>Mid-Market</x:v>
      </x:c>
      <x:c r="I946" t="str">
        <x:v>Closed Lost</x:v>
      </x:c>
      <x:c r="J946" s="10" t="n">
        <x:v>46176</x:v>
      </x:c>
      <x:c r="K946" s="10" t="n">
        <x:v>46176</x:v>
      </x:c>
      <x:c r="L946" s="22" t="n">
        <x:v>62700</x:v>
      </x:c>
      <x:c r="M946" s="24" t="n">
        <x:v>0</x:v>
      </x:c>
      <x:c r="N946" s="24" t="n">
        <x:v>0</x:v>
      </x:c>
      <x:c r="O946" t="str">
        <x:v>Timing</x:v>
      </x:c>
      <x:c r="P946" t="n">
        <x:v>4</x:v>
      </x:c>
      <x:c r="Q946" t="str">
        <x:f>IFERROR(XLOOKUP(E946,Lookups!$A$5:$A$24,Lookups!$B$5:$B$24),"Other")</x:f>
        <x:v>Organic Search</x:v>
      </x:c>
      <x:c r="R946" t="str">
        <x:f>IFERROR(XLOOKUP(F946,Lookups!$D$5:$D$10,Lookups!$E$5:$E$10),"Unknown Product")</x:f>
        <x:v>Revenue Operations Suite</x:v>
      </x:c>
      <x:c r="S946" t="str">
        <x:f>IFERROR(XLOOKUP(F946,Lookups!$D$5:$D$10,Lookups!$F$5:$F$10),"Unknown")</x:f>
        <x:v>Revenue Ops</x:v>
      </x:c>
      <x:c r="T946" t="str">
        <x:f>IF(L946&gt;=50000,"Enterprise",IF(L946&gt;=20000,"Mid-Market","SMB"))</x:f>
        <x:v>Enterprise</x:v>
      </x:c>
      <x:c r="U946" t="str">
        <x:f>IF(I946="Closed Won","Won",IF(I946="Closed Lost","Lost","Open"))</x:f>
        <x:v>Lost</x:v>
      </x:c>
      <x:c r="V946" s="22" t="n">
        <x:f>IF(U946="Won",L946*(1-M946),0)</x:f>
        <x:v>0</x:v>
      </x:c>
      <x:c r="W946" s="22" t="n">
        <x:f>IF(U946="Open",L946*N946,0)</x:f>
        <x:v>0</x:v>
      </x:c>
      <x:c r="X946" s="26" t="n">
        <x:f>IF(U946="Open","",IFERROR(K946-B946,""))</x:f>
        <x:v>54</x:v>
      </x:c>
      <x:c r="Y946" s="26" t="n">
        <x:f>IF(U946="Open",Lookups!$B$2-B946,X946)</x:f>
        <x:v>54</x:v>
      </x:c>
      <x:c r="Z946" t="str">
        <x:f>IF(AND(U946="Open",Y946&gt;30),"STALE","OK")</x:f>
        <x:v>OK</x:v>
      </x:c>
      <x:c r="AA946" t="str">
        <x:f>TEXT(B946,"yyyy-mm")</x:f>
        <x:v>2026-04</x:v>
      </x:c>
      <x:c r="AB946" t="str">
        <x:f>IF(K946="","",TEXT(K946,"yyyy-mm"))</x:f>
        <x:v>2026-06</x:v>
      </x:c>
      <x:c r="AC946" t="str">
        <x:f>"Q"&amp;ROUNDUP(MONTH(B946)/3,0)&amp;"-"&amp;YEAR(B946)</x:f>
        <x:v>Q2-2026</x:v>
      </x:c>
      <x:c r="AD946" s="26" t="n">
        <x:f>MIN(100,IF(H946="Enterprise",30,IF(H946="Mid-Market",22,14))+IF(T946="Enterprise",25,IF(T946="Mid-Market",18,10))+IF(Q946="Referral",25,IF(Q946="Organic Search",20,IF(Q946="Email",18,14)))+IF(G946="Technology",10,5))</x:f>
        <x:v>77</x:v>
      </x:c>
      <x:c r="AE946" t="str">
        <x:f>IF(U946&lt;&gt;"Open",U946,IF(N946&gt;=0.8,"Commit",IF(N946&gt;=0.5,"Best Case","Pipeline")))</x:f>
        <x:v>Lost</x:v>
      </x:c>
    </x:row>
    <x:row r="947">
      <x:c r="A947" t="str">
        <x:v>L00946</x:v>
      </x:c>
      <x:c r="B947" s="10" t="n">
        <x:v>45745</x:v>
      </x:c>
      <x:c r="C947" t="str">
        <x:v>An Nguyen</x:v>
      </x:c>
      <x:c r="D947" t="str">
        <x:v>South</x:v>
      </x:c>
      <x:c r="E947" t="str">
        <x:v>Google Ads</x:v>
      </x:c>
      <x:c r="F947" t="str">
        <x:v>MKT-AUTO</x:v>
      </x:c>
      <x:c r="G947" t="str">
        <x:v>Education</x:v>
      </x:c>
      <x:c r="H947" t="str">
        <x:v>Mid-Market</x:v>
      </x:c>
      <x:c r="I947" t="str">
        <x:v>Closed Lost</x:v>
      </x:c>
      <x:c r="J947" s="10" t="n">
        <x:v>45785</x:v>
      </x:c>
      <x:c r="K947" s="10" t="n">
        <x:v>45785</x:v>
      </x:c>
      <x:c r="L947" s="22" t="n">
        <x:v>17600</x:v>
      </x:c>
      <x:c r="M947" s="24" t="n">
        <x:v>0</x:v>
      </x:c>
      <x:c r="N947" s="24" t="n">
        <x:v>0</x:v>
      </x:c>
      <x:c r="O947" t="str">
        <x:v>Feature Gap</x:v>
      </x:c>
      <x:c r="P947" t="n">
        <x:v>4</x:v>
      </x:c>
      <x:c r="Q947" t="str">
        <x:f>IFERROR(XLOOKUP(E947,Lookups!$A$5:$A$24,Lookups!$B$5:$B$24),"Other")</x:f>
        <x:v>Paid Search</x:v>
      </x:c>
      <x:c r="R947" t="str">
        <x:f>IFERROR(XLOOKUP(F947,Lookups!$D$5:$D$10,Lookups!$E$5:$E$10),"Unknown Product")</x:f>
        <x:v>Marketing Automation</x:v>
      </x:c>
      <x:c r="S947" t="str">
        <x:f>IFERROR(XLOOKUP(F947,Lookups!$D$5:$D$10,Lookups!$F$5:$F$10),"Unknown")</x:f>
        <x:v>Marketing</x:v>
      </x:c>
      <x:c r="T947" t="str">
        <x:f>IF(L947&gt;=50000,"Enterprise",IF(L947&gt;=20000,"Mid-Market","SMB"))</x:f>
        <x:v>SMB</x:v>
      </x:c>
      <x:c r="U947" t="str">
        <x:f>IF(I947="Closed Won","Won",IF(I947="Closed Lost","Lost","Open"))</x:f>
        <x:v>Lost</x:v>
      </x:c>
      <x:c r="V947" s="22" t="n">
        <x:f>IF(U947="Won",L947*(1-M947),0)</x:f>
        <x:v>0</x:v>
      </x:c>
      <x:c r="W947" s="22" t="n">
        <x:f>IF(U947="Open",L947*N947,0)</x:f>
        <x:v>0</x:v>
      </x:c>
      <x:c r="X947" s="26" t="n">
        <x:f>IF(U947="Open","",IFERROR(K947-B947,""))</x:f>
        <x:v>40</x:v>
      </x:c>
      <x:c r="Y947" s="26" t="n">
        <x:f>IF(U947="Open",Lookups!$B$2-B947,X947)</x:f>
        <x:v>40</x:v>
      </x:c>
      <x:c r="Z947" t="str">
        <x:f>IF(AND(U947="Open",Y947&gt;30),"STALE","OK")</x:f>
        <x:v>OK</x:v>
      </x:c>
      <x:c r="AA947" t="str">
        <x:f>TEXT(B947,"yyyy-mm")</x:f>
        <x:v>2025-03</x:v>
      </x:c>
      <x:c r="AB947" t="str">
        <x:f>IF(K947="","",TEXT(K947,"yyyy-mm"))</x:f>
        <x:v>2025-05</x:v>
      </x:c>
      <x:c r="AC947" t="str">
        <x:f>"Q"&amp;ROUNDUP(MONTH(B947)/3,0)&amp;"-"&amp;YEAR(B947)</x:f>
        <x:v>Q1-2025</x:v>
      </x:c>
      <x:c r="AD947" s="26" t="n">
        <x:f>MIN(100,IF(H947="Enterprise",30,IF(H947="Mid-Market",22,14))+IF(T947="Enterprise",25,IF(T947="Mid-Market",18,10))+IF(Q947="Referral",25,IF(Q947="Organic Search",20,IF(Q947="Email",18,14)))+IF(G947="Technology",10,5))</x:f>
        <x:v>51</x:v>
      </x:c>
      <x:c r="AE947" t="str">
        <x:f>IF(U947&lt;&gt;"Open",U947,IF(N947&gt;=0.8,"Commit",IF(N947&gt;=0.5,"Best Case","Pipeline")))</x:f>
        <x:v>Lost</x:v>
      </x:c>
    </x:row>
    <x:row r="948">
      <x:c r="A948" t="str">
        <x:v>L00947</x:v>
      </x:c>
      <x:c r="B948" s="10" t="n">
        <x:v>46070</x:v>
      </x:c>
      <x:c r="C948" t="str">
        <x:v>Duy Pham</x:v>
      </x:c>
      <x:c r="D948" t="str">
        <x:v>South</x:v>
      </x:c>
      <x:c r="E948" t="str">
        <x:v>newsletter</x:v>
      </x:c>
      <x:c r="F948" t="str">
        <x:v>CS-CLOUD</x:v>
      </x:c>
      <x:c r="G948" t="str">
        <x:v>Professional Services</x:v>
      </x:c>
      <x:c r="H948" t="str">
        <x:v>SMB</x:v>
      </x:c>
      <x:c r="I948" t="str">
        <x:v>Closed Lost</x:v>
      </x:c>
      <x:c r="J948" s="10" t="n">
        <x:v>46140</x:v>
      </x:c>
      <x:c r="K948" s="10" t="n">
        <x:v>46140</x:v>
      </x:c>
      <x:c r="L948" s="22" t="n">
        <x:v>20800</x:v>
      </x:c>
      <x:c r="M948" s="24" t="n">
        <x:v>0</x:v>
      </x:c>
      <x:c r="N948" s="24" t="n">
        <x:v>0</x:v>
      </x:c>
      <x:c r="O948" t="str">
        <x:v>Price</x:v>
      </x:c>
      <x:c r="P948" t="n">
        <x:v>3</x:v>
      </x:c>
      <x:c r="Q948" t="str">
        <x:f>IFERROR(XLOOKUP(E948,Lookups!$A$5:$A$24,Lookups!$B$5:$B$24),"Other")</x:f>
        <x:v>Email</x:v>
      </x:c>
      <x:c r="R948" t="str">
        <x:f>IFERROR(XLOOKUP(F948,Lookups!$D$5:$D$10,Lookups!$E$5:$E$10),"Unknown Product")</x:f>
        <x:v>Service Cloud</x:v>
      </x:c>
      <x:c r="S948" t="str">
        <x:f>IFERROR(XLOOKUP(F948,Lookups!$D$5:$D$10,Lookups!$F$5:$F$10),"Unknown")</x:f>
        <x:v>Customer Service</x:v>
      </x:c>
      <x:c r="T948" t="str">
        <x:f>IF(L948&gt;=50000,"Enterprise",IF(L948&gt;=20000,"Mid-Market","SMB"))</x:f>
        <x:v>Mid-Market</x:v>
      </x:c>
      <x:c r="U948" t="str">
        <x:f>IF(I948="Closed Won","Won",IF(I948="Closed Lost","Lost","Open"))</x:f>
        <x:v>Lost</x:v>
      </x:c>
      <x:c r="V948" s="22" t="n">
        <x:f>IF(U948="Won",L948*(1-M948),0)</x:f>
        <x:v>0</x:v>
      </x:c>
      <x:c r="W948" s="22" t="n">
        <x:f>IF(U948="Open",L948*N948,0)</x:f>
        <x:v>0</x:v>
      </x:c>
      <x:c r="X948" s="26" t="n">
        <x:f>IF(U948="Open","",IFERROR(K948-B948,""))</x:f>
        <x:v>70</x:v>
      </x:c>
      <x:c r="Y948" s="26" t="n">
        <x:f>IF(U948="Open",Lookups!$B$2-B948,X948)</x:f>
        <x:v>70</x:v>
      </x:c>
      <x:c r="Z948" t="str">
        <x:f>IF(AND(U948="Open",Y948&gt;30),"STALE","OK")</x:f>
        <x:v>OK</x:v>
      </x:c>
      <x:c r="AA948" t="str">
        <x:f>TEXT(B948,"yyyy-mm")</x:f>
        <x:v>2026-02</x:v>
      </x:c>
      <x:c r="AB948" t="str">
        <x:f>IF(K948="","",TEXT(K948,"yyyy-mm"))</x:f>
        <x:v>2026-04</x:v>
      </x:c>
      <x:c r="AC948" t="str">
        <x:f>"Q"&amp;ROUNDUP(MONTH(B948)/3,0)&amp;"-"&amp;YEAR(B948)</x:f>
        <x:v>Q1-2026</x:v>
      </x:c>
      <x:c r="AD948" s="26" t="n">
        <x:f>MIN(100,IF(H948="Enterprise",30,IF(H948="Mid-Market",22,14))+IF(T948="Enterprise",25,IF(T948="Mid-Market",18,10))+IF(Q948="Referral",25,IF(Q948="Organic Search",20,IF(Q948="Email",18,14)))+IF(G948="Technology",10,5))</x:f>
        <x:v>55</x:v>
      </x:c>
      <x:c r="AE948" t="str">
        <x:f>IF(U948&lt;&gt;"Open",U948,IF(N948&gt;=0.8,"Commit",IF(N948&gt;=0.5,"Best Case","Pipeline")))</x:f>
        <x:v>Lost</x:v>
      </x:c>
    </x:row>
    <x:row r="949">
      <x:c r="A949" t="str">
        <x:v>L00948</x:v>
      </x:c>
      <x:c r="B949" s="10" t="n">
        <x:v>46040</x:v>
      </x:c>
      <x:c r="C949" t="str">
        <x:v>Ha Vo</x:v>
      </x:c>
      <x:c r="D949" t="str">
        <x:v>North</x:v>
      </x:c>
      <x:c r="E949" t="str">
        <x:v>customer referral</x:v>
      </x:c>
      <x:c r="F949" t="str">
        <x:v>CS-CLOUD</x:v>
      </x:c>
      <x:c r="G949" t="str">
        <x:v>Healthcare</x:v>
      </x:c>
      <x:c r="H949" t="str">
        <x:v>Mid-Market</x:v>
      </x:c>
      <x:c r="I949" t="str">
        <x:v>Closed Lost</x:v>
      </x:c>
      <x:c r="J949" s="10" t="n">
        <x:v>46068</x:v>
      </x:c>
      <x:c r="K949" s="10" t="n">
        <x:v>46068</x:v>
      </x:c>
      <x:c r="L949" s="22" t="n">
        <x:v>46000</x:v>
      </x:c>
      <x:c r="M949" s="24" t="n">
        <x:v>0</x:v>
      </x:c>
      <x:c r="N949" s="24" t="n">
        <x:v>0</x:v>
      </x:c>
      <x:c r="O949" t="str">
        <x:v>Price</x:v>
      </x:c>
      <x:c r="P949" t="n">
        <x:v>5</x:v>
      </x:c>
      <x:c r="Q949" t="str">
        <x:f>IFERROR(XLOOKUP(E949,Lookups!$A$5:$A$24,Lookups!$B$5:$B$24),"Other")</x:f>
        <x:v>Referral</x:v>
      </x:c>
      <x:c r="R949" t="str">
        <x:f>IFERROR(XLOOKUP(F949,Lookups!$D$5:$D$10,Lookups!$E$5:$E$10),"Unknown Product")</x:f>
        <x:v>Service Cloud</x:v>
      </x:c>
      <x:c r="S949" t="str">
        <x:f>IFERROR(XLOOKUP(F949,Lookups!$D$5:$D$10,Lookups!$F$5:$F$10),"Unknown")</x:f>
        <x:v>Customer Service</x:v>
      </x:c>
      <x:c r="T949" t="str">
        <x:f>IF(L949&gt;=50000,"Enterprise",IF(L949&gt;=20000,"Mid-Market","SMB"))</x:f>
        <x:v>Mid-Market</x:v>
      </x:c>
      <x:c r="U949" t="str">
        <x:f>IF(I949="Closed Won","Won",IF(I949="Closed Lost","Lost","Open"))</x:f>
        <x:v>Lost</x:v>
      </x:c>
      <x:c r="V949" s="22" t="n">
        <x:f>IF(U949="Won",L949*(1-M949),0)</x:f>
        <x:v>0</x:v>
      </x:c>
      <x:c r="W949" s="22" t="n">
        <x:f>IF(U949="Open",L949*N949,0)</x:f>
        <x:v>0</x:v>
      </x:c>
      <x:c r="X949" s="26" t="n">
        <x:f>IF(U949="Open","",IFERROR(K949-B949,""))</x:f>
        <x:v>28</x:v>
      </x:c>
      <x:c r="Y949" s="26" t="n">
        <x:f>IF(U949="Open",Lookups!$B$2-B949,X949)</x:f>
        <x:v>28</x:v>
      </x:c>
      <x:c r="Z949" t="str">
        <x:f>IF(AND(U949="Open",Y949&gt;30),"STALE","OK")</x:f>
        <x:v>OK</x:v>
      </x:c>
      <x:c r="AA949" t="str">
        <x:f>TEXT(B949,"yyyy-mm")</x:f>
        <x:v>2026-01</x:v>
      </x:c>
      <x:c r="AB949" t="str">
        <x:f>IF(K949="","",TEXT(K949,"yyyy-mm"))</x:f>
        <x:v>2026-02</x:v>
      </x:c>
      <x:c r="AC949" t="str">
        <x:f>"Q"&amp;ROUNDUP(MONTH(B949)/3,0)&amp;"-"&amp;YEAR(B949)</x:f>
        <x:v>Q1-2026</x:v>
      </x:c>
      <x:c r="AD949" s="26" t="n">
        <x:f>MIN(100,IF(H949="Enterprise",30,IF(H949="Mid-Market",22,14))+IF(T949="Enterprise",25,IF(T949="Mid-Market",18,10))+IF(Q949="Referral",25,IF(Q949="Organic Search",20,IF(Q949="Email",18,14)))+IF(G949="Technology",10,5))</x:f>
        <x:v>70</x:v>
      </x:c>
      <x:c r="AE949" t="str">
        <x:f>IF(U949&lt;&gt;"Open",U949,IF(N949&gt;=0.8,"Commit",IF(N949&gt;=0.5,"Best Case","Pipeline")))</x:f>
        <x:v>Lost</x:v>
      </x:c>
    </x:row>
    <x:row r="950">
      <x:c r="A950" t="str">
        <x:v>L00949</x:v>
      </x:c>
      <x:c r="B950" s="10" t="n">
        <x:v>45668</x:v>
      </x:c>
      <x:c r="C950" t="str">
        <x:v>Duy Pham</x:v>
      </x:c>
      <x:c r="D950" t="str">
        <x:v>South</x:v>
      </x:c>
      <x:c r="E950" t="str">
        <x:v>Cold Email</x:v>
      </x:c>
      <x:c r="F950" t="str">
        <x:v>CRM-CORE</x:v>
      </x:c>
      <x:c r="G950" t="str">
        <x:v>Technology</x:v>
      </x:c>
      <x:c r="H950" t="str">
        <x:v>Enterprise</x:v>
      </x:c>
      <x:c r="I950" t="str">
        <x:v>Closed Lost</x:v>
      </x:c>
      <x:c r="J950" s="10" t="n">
        <x:v>45688</x:v>
      </x:c>
      <x:c r="K950" s="10" t="n">
        <x:v>45688</x:v>
      </x:c>
      <x:c r="L950" s="22" t="n">
        <x:v>17300</x:v>
      </x:c>
      <x:c r="M950" s="24" t="n">
        <x:v>0</x:v>
      </x:c>
      <x:c r="N950" s="24" t="n">
        <x:v>0</x:v>
      </x:c>
      <x:c r="O950" t="str">
        <x:v>Competitor</x:v>
      </x:c>
      <x:c r="P950" t="n">
        <x:v>4</x:v>
      </x:c>
      <x:c r="Q950" t="str">
        <x:f>IFERROR(XLOOKUP(E950,Lookups!$A$5:$A$24,Lookups!$B$5:$B$24),"Other")</x:f>
        <x:v>Outbound</x:v>
      </x:c>
      <x:c r="R950" t="str">
        <x:f>IFERROR(XLOOKUP(F950,Lookups!$D$5:$D$10,Lookups!$E$5:$E$10),"Unknown Product")</x:f>
        <x:v>NexaCRM Core</x:v>
      </x:c>
      <x:c r="S950" t="str">
        <x:f>IFERROR(XLOOKUP(F950,Lookups!$D$5:$D$10,Lookups!$F$5:$F$10),"Unknown")</x:f>
        <x:v>CRM</x:v>
      </x:c>
      <x:c r="T950" t="str">
        <x:f>IF(L950&gt;=50000,"Enterprise",IF(L950&gt;=20000,"Mid-Market","SMB"))</x:f>
        <x:v>SMB</x:v>
      </x:c>
      <x:c r="U950" t="str">
        <x:f>IF(I950="Closed Won","Won",IF(I950="Closed Lost","Lost","Open"))</x:f>
        <x:v>Lost</x:v>
      </x:c>
      <x:c r="V950" s="22" t="n">
        <x:f>IF(U950="Won",L950*(1-M950),0)</x:f>
        <x:v>0</x:v>
      </x:c>
      <x:c r="W950" s="22" t="n">
        <x:f>IF(U950="Open",L950*N950,0)</x:f>
        <x:v>0</x:v>
      </x:c>
      <x:c r="X950" s="26" t="n">
        <x:f>IF(U950="Open","",IFERROR(K950-B950,""))</x:f>
        <x:v>20</x:v>
      </x:c>
      <x:c r="Y950" s="26" t="n">
        <x:f>IF(U950="Open",Lookups!$B$2-B950,X950)</x:f>
        <x:v>20</x:v>
      </x:c>
      <x:c r="Z950" t="str">
        <x:f>IF(AND(U950="Open",Y950&gt;30),"STALE","OK")</x:f>
        <x:v>OK</x:v>
      </x:c>
      <x:c r="AA950" t="str">
        <x:f>TEXT(B950,"yyyy-mm")</x:f>
        <x:v>2025-01</x:v>
      </x:c>
      <x:c r="AB950" t="str">
        <x:f>IF(K950="","",TEXT(K950,"yyyy-mm"))</x:f>
        <x:v>2025-01</x:v>
      </x:c>
      <x:c r="AC950" t="str">
        <x:f>"Q"&amp;ROUNDUP(MONTH(B950)/3,0)&amp;"-"&amp;YEAR(B950)</x:f>
        <x:v>Q1-2025</x:v>
      </x:c>
      <x:c r="AD950" s="26" t="n">
        <x:f>MIN(100,IF(H950="Enterprise",30,IF(H950="Mid-Market",22,14))+IF(T950="Enterprise",25,IF(T950="Mid-Market",18,10))+IF(Q950="Referral",25,IF(Q950="Organic Search",20,IF(Q950="Email",18,14)))+IF(G950="Technology",10,5))</x:f>
        <x:v>64</x:v>
      </x:c>
      <x:c r="AE950" t="str">
        <x:f>IF(U950&lt;&gt;"Open",U950,IF(N950&gt;=0.8,"Commit",IF(N950&gt;=0.5,"Best Case","Pipeline")))</x:f>
        <x:v>Lost</x:v>
      </x:c>
    </x:row>
    <x:row r="951">
      <x:c r="A951" t="str">
        <x:v>L00950</x:v>
      </x:c>
      <x:c r="B951" s="10" t="n">
        <x:v>45740</x:v>
      </x:c>
      <x:c r="C951" t="str">
        <x:v>Duy Pham</x:v>
      </x:c>
      <x:c r="D951" t="str">
        <x:v>South</x:v>
      </x:c>
      <x:c r="E951" t="str">
        <x:v>Webinar</x:v>
      </x:c>
      <x:c r="F951" t="str">
        <x:v>BI-PLUS</x:v>
      </x:c>
      <x:c r="G951" t="str">
        <x:v>Manufacturing</x:v>
      </x:c>
      <x:c r="H951" t="str">
        <x:v>SMB</x:v>
      </x:c>
      <x:c r="I951" t="str">
        <x:v>Closed Won</x:v>
      </x:c>
      <x:c r="J951" s="10" t="n">
        <x:v>45792</x:v>
      </x:c>
      <x:c r="K951" s="10" t="n">
        <x:v>45792</x:v>
      </x:c>
      <x:c r="L951" s="22" t="n">
        <x:v>20500</x:v>
      </x:c>
      <x:c r="M951" s="24" t="n">
        <x:v>0.1</x:v>
      </x:c>
      <x:c r="N951" s="24" t="n">
        <x:v>1</x:v>
      </x:c>
      <x:c r="O951" t="str"/>
      <x:c r="P951" t="n">
        <x:v>6</x:v>
      </x:c>
      <x:c r="Q951" t="str">
        <x:f>IFERROR(XLOOKUP(E951,Lookups!$A$5:$A$24,Lookups!$B$5:$B$24),"Other")</x:f>
        <x:v>Webinar</x:v>
      </x:c>
      <x:c r="R951" t="str">
        <x:f>IFERROR(XLOOKUP(F951,Lookups!$D$5:$D$10,Lookups!$E$5:$E$10),"Unknown Product")</x:f>
        <x:v>Analytics Plus</x:v>
      </x:c>
      <x:c r="S951" t="str">
        <x:f>IFERROR(XLOOKUP(F951,Lookups!$D$5:$D$10,Lookups!$F$5:$F$10),"Unknown")</x:f>
        <x:v>Analytics</x:v>
      </x:c>
      <x:c r="T951" t="str">
        <x:f>IF(L951&gt;=50000,"Enterprise",IF(L951&gt;=20000,"Mid-Market","SMB"))</x:f>
        <x:v>Mid-Market</x:v>
      </x:c>
      <x:c r="U951" t="str">
        <x:f>IF(I951="Closed Won","Won",IF(I951="Closed Lost","Lost","Open"))</x:f>
        <x:v>Won</x:v>
      </x:c>
      <x:c r="V951" s="22" t="n">
        <x:f>IF(U951="Won",L951*(1-M951),0)</x:f>
        <x:v>18450</x:v>
      </x:c>
      <x:c r="W951" s="22" t="n">
        <x:f>IF(U951="Open",L951*N951,0)</x:f>
        <x:v>0</x:v>
      </x:c>
      <x:c r="X951" s="26" t="n">
        <x:f>IF(U951="Open","",IFERROR(K951-B951,""))</x:f>
        <x:v>52</x:v>
      </x:c>
      <x:c r="Y951" s="26" t="n">
        <x:f>IF(U951="Open",Lookups!$B$2-B951,X951)</x:f>
        <x:v>52</x:v>
      </x:c>
      <x:c r="Z951" t="str">
        <x:f>IF(AND(U951="Open",Y951&gt;30),"STALE","OK")</x:f>
        <x:v>OK</x:v>
      </x:c>
      <x:c r="AA951" t="str">
        <x:f>TEXT(B951,"yyyy-mm")</x:f>
        <x:v>2025-03</x:v>
      </x:c>
      <x:c r="AB951" t="str">
        <x:f>IF(K951="","",TEXT(K951,"yyyy-mm"))</x:f>
        <x:v>2025-05</x:v>
      </x:c>
      <x:c r="AC951" t="str">
        <x:f>"Q"&amp;ROUNDUP(MONTH(B951)/3,0)&amp;"-"&amp;YEAR(B951)</x:f>
        <x:v>Q1-2025</x:v>
      </x:c>
      <x:c r="AD951" s="26" t="n">
        <x:f>MIN(100,IF(H951="Enterprise",30,IF(H951="Mid-Market",22,14))+IF(T951="Enterprise",25,IF(T951="Mid-Market",18,10))+IF(Q951="Referral",25,IF(Q951="Organic Search",20,IF(Q951="Email",18,14)))+IF(G951="Technology",10,5))</x:f>
        <x:v>51</x:v>
      </x:c>
      <x:c r="AE951" t="str">
        <x:f>IF(U951&lt;&gt;"Open",U951,IF(N951&gt;=0.8,"Commit",IF(N951&gt;=0.5,"Best Case","Pipeline")))</x:f>
        <x:v>Won</x:v>
      </x:c>
    </x:row>
    <x:row r="952">
      <x:c r="A952" t="str">
        <x:v>L00951</x:v>
      </x:c>
      <x:c r="B952" s="10" t="n">
        <x:v>45848</x:v>
      </x:c>
      <x:c r="C952" t="str">
        <x:v>Chi Le</x:v>
      </x:c>
      <x:c r="D952" t="str">
        <x:v>South</x:v>
      </x:c>
      <x:c r="E952" t="str">
        <x:v>Outbound</x:v>
      </x:c>
      <x:c r="F952" t="str">
        <x:v>CRM-PRO</x:v>
      </x:c>
      <x:c r="G952" t="str">
        <x:v>Healthcare</x:v>
      </x:c>
      <x:c r="H952" t="str">
        <x:v>SMB</x:v>
      </x:c>
      <x:c r="I952" t="str">
        <x:v>Negotiation</x:v>
      </x:c>
      <x:c r="J952" s="10" t="n">
        <x:v>46115</x:v>
      </x:c>
      <x:c r="K952" s="10"/>
      <x:c r="L952" s="22" t="n">
        <x:v>25000</x:v>
      </x:c>
      <x:c r="M952" s="24" t="n">
        <x:v>0</x:v>
      </x:c>
      <x:c r="N952" s="24" t="n">
        <x:v>0.85</x:v>
      </x:c>
      <x:c r="O952" t="str"/>
      <x:c r="P952" t="n">
        <x:v>5</x:v>
      </x:c>
      <x:c r="Q952" t="str">
        <x:f>IFERROR(XLOOKUP(E952,Lookups!$A$5:$A$24,Lookups!$B$5:$B$24),"Other")</x:f>
        <x:v>Outbound</x:v>
      </x:c>
      <x:c r="R952" t="str">
        <x:f>IFERROR(XLOOKUP(F952,Lookups!$D$5:$D$10,Lookups!$E$5:$E$10),"Unknown Product")</x:f>
        <x:v>NexaCRM Pro</x:v>
      </x:c>
      <x:c r="S952" t="str">
        <x:f>IFERROR(XLOOKUP(F952,Lookups!$D$5:$D$10,Lookups!$F$5:$F$10),"Unknown")</x:f>
        <x:v>CRM</x:v>
      </x:c>
      <x:c r="T952" t="str">
        <x:f>IF(L952&gt;=50000,"Enterprise",IF(L952&gt;=20000,"Mid-Market","SMB"))</x:f>
        <x:v>Mid-Market</x:v>
      </x:c>
      <x:c r="U952" t="str">
        <x:f>IF(I952="Closed Won","Won",IF(I952="Closed Lost","Lost","Open"))</x:f>
        <x:v>Open</x:v>
      </x:c>
      <x:c r="V952" s="22" t="n">
        <x:f>IF(U952="Won",L952*(1-M952),0)</x:f>
        <x:v>0</x:v>
      </x:c>
      <x:c r="W952" s="22" t="n">
        <x:f>IF(U952="Open",L952*N952,0)</x:f>
        <x:v>21250</x:v>
      </x:c>
      <x:c r="X952" s="26" t="str">
        <x:f>IF(U952="Open","",IFERROR(K952-B952,""))</x:f>
      </x:c>
      <x:c r="Y952" s="26" t="n">
        <x:f>IF(U952="Open",Lookups!$B$2-B952,X952)</x:f>
        <x:v>418</x:v>
      </x:c>
      <x:c r="Z952" t="str">
        <x:f>IF(AND(U952="Open",Y952&gt;30),"STALE","OK")</x:f>
        <x:v>STALE</x:v>
      </x:c>
      <x:c r="AA952" t="str">
        <x:f>TEXT(B952,"yyyy-mm")</x:f>
        <x:v>2025-07</x:v>
      </x:c>
      <x:c r="AB952" t="str">
        <x:f>IF(K952="","",TEXT(K952,"yyyy-mm"))</x:f>
      </x:c>
      <x:c r="AC952" t="str">
        <x:f>"Q"&amp;ROUNDUP(MONTH(B952)/3,0)&amp;"-"&amp;YEAR(B952)</x:f>
        <x:v>Q3-2025</x:v>
      </x:c>
      <x:c r="AD952" s="26" t="n">
        <x:f>MIN(100,IF(H952="Enterprise",30,IF(H952="Mid-Market",22,14))+IF(T952="Enterprise",25,IF(T952="Mid-Market",18,10))+IF(Q952="Referral",25,IF(Q952="Organic Search",20,IF(Q952="Email",18,14)))+IF(G952="Technology",10,5))</x:f>
        <x:v>51</x:v>
      </x:c>
      <x:c r="AE952" t="str">
        <x:f>IF(U952&lt;&gt;"Open",U952,IF(N952&gt;=0.8,"Commit",IF(N952&gt;=0.5,"Best Case","Pipeline")))</x:f>
        <x:v>Commit</x:v>
      </x:c>
    </x:row>
    <x:row r="953">
      <x:c r="A953" t="str">
        <x:v>L00952</x:v>
      </x:c>
      <x:c r="B953" s="10" t="n">
        <x:v>45862</x:v>
      </x:c>
      <x:c r="C953" t="str">
        <x:v>Chi Le</x:v>
      </x:c>
      <x:c r="D953" t="str">
        <x:v>South</x:v>
      </x:c>
      <x:c r="E953" t="str">
        <x:v>linkedin</x:v>
      </x:c>
      <x:c r="F953" t="str">
        <x:v>CRM-PRO</x:v>
      </x:c>
      <x:c r="G953" t="str">
        <x:v>Financial Services</x:v>
      </x:c>
      <x:c r="H953" t="str">
        <x:v>Mid-Market</x:v>
      </x:c>
      <x:c r="I953" t="str">
        <x:v>Closed Won</x:v>
      </x:c>
      <x:c r="J953" s="10" t="n">
        <x:v>45904</x:v>
      </x:c>
      <x:c r="K953" s="10" t="n">
        <x:v>45904</x:v>
      </x:c>
      <x:c r="L953" s="22" t="n">
        <x:v>21500</x:v>
      </x:c>
      <x:c r="M953" s="24" t="n">
        <x:v>0</x:v>
      </x:c>
      <x:c r="N953" s="24" t="n">
        <x:v>1</x:v>
      </x:c>
      <x:c r="O953" t="str"/>
      <x:c r="P953" t="n">
        <x:v>6</x:v>
      </x:c>
      <x:c r="Q953" t="str">
        <x:f>IFERROR(XLOOKUP(E953,Lookups!$A$5:$A$24,Lookups!$B$5:$B$24),"Other")</x:f>
        <x:v>LinkedIn</x:v>
      </x:c>
      <x:c r="R953" t="str">
        <x:f>IFERROR(XLOOKUP(F953,Lookups!$D$5:$D$10,Lookups!$E$5:$E$10),"Unknown Product")</x:f>
        <x:v>NexaCRM Pro</x:v>
      </x:c>
      <x:c r="S953" t="str">
        <x:f>IFERROR(XLOOKUP(F953,Lookups!$D$5:$D$10,Lookups!$F$5:$F$10),"Unknown")</x:f>
        <x:v>CRM</x:v>
      </x:c>
      <x:c r="T953" t="str">
        <x:f>IF(L953&gt;=50000,"Enterprise",IF(L953&gt;=20000,"Mid-Market","SMB"))</x:f>
        <x:v>Mid-Market</x:v>
      </x:c>
      <x:c r="U953" t="str">
        <x:f>IF(I953="Closed Won","Won",IF(I953="Closed Lost","Lost","Open"))</x:f>
        <x:v>Won</x:v>
      </x:c>
      <x:c r="V953" s="22" t="n">
        <x:f>IF(U953="Won",L953*(1-M953),0)</x:f>
        <x:v>21500</x:v>
      </x:c>
      <x:c r="W953" s="22" t="n">
        <x:f>IF(U953="Open",L953*N953,0)</x:f>
        <x:v>0</x:v>
      </x:c>
      <x:c r="X953" s="26" t="n">
        <x:f>IF(U953="Open","",IFERROR(K953-B953,""))</x:f>
        <x:v>42</x:v>
      </x:c>
      <x:c r="Y953" s="26" t="n">
        <x:f>IF(U953="Open",Lookups!$B$2-B953,X953)</x:f>
        <x:v>42</x:v>
      </x:c>
      <x:c r="Z953" t="str">
        <x:f>IF(AND(U953="Open",Y953&gt;30),"STALE","OK")</x:f>
        <x:v>OK</x:v>
      </x:c>
      <x:c r="AA953" t="str">
        <x:f>TEXT(B953,"yyyy-mm")</x:f>
        <x:v>2025-07</x:v>
      </x:c>
      <x:c r="AB953" t="str">
        <x:f>IF(K953="","",TEXT(K953,"yyyy-mm"))</x:f>
        <x:v>2025-09</x:v>
      </x:c>
      <x:c r="AC953" t="str">
        <x:f>"Q"&amp;ROUNDUP(MONTH(B953)/3,0)&amp;"-"&amp;YEAR(B953)</x:f>
        <x:v>Q3-2025</x:v>
      </x:c>
      <x:c r="AD953" s="26" t="n">
        <x:f>MIN(100,IF(H953="Enterprise",30,IF(H953="Mid-Market",22,14))+IF(T953="Enterprise",25,IF(T953="Mid-Market",18,10))+IF(Q953="Referral",25,IF(Q953="Organic Search",20,IF(Q953="Email",18,14)))+IF(G953="Technology",10,5))</x:f>
        <x:v>59</x:v>
      </x:c>
      <x:c r="AE953" t="str">
        <x:f>IF(U953&lt;&gt;"Open",U953,IF(N953&gt;=0.8,"Commit",IF(N953&gt;=0.5,"Best Case","Pipeline")))</x:f>
        <x:v>Won</x:v>
      </x:c>
    </x:row>
    <x:row r="954">
      <x:c r="A954" t="str">
        <x:v>L00953</x:v>
      </x:c>
      <x:c r="B954" s="10" t="n">
        <x:v>45685</x:v>
      </x:c>
      <x:c r="C954" t="str">
        <x:v>Ha Vo</x:v>
      </x:c>
      <x:c r="D954" t="str">
        <x:v>North</x:v>
      </x:c>
      <x:c r="E954" t="str">
        <x:v>Partner Referral</x:v>
      </x:c>
      <x:c r="F954" t="str">
        <x:v>CRM-PRO</x:v>
      </x:c>
      <x:c r="G954" t="str">
        <x:v>Technology</x:v>
      </x:c>
      <x:c r="H954" t="str">
        <x:v>SMB</x:v>
      </x:c>
      <x:c r="I954" t="str">
        <x:v>Closed Won</x:v>
      </x:c>
      <x:c r="J954" s="10" t="n">
        <x:v>45775</x:v>
      </x:c>
      <x:c r="K954" s="10" t="n">
        <x:v>45775</x:v>
      </x:c>
      <x:c r="L954" s="22" t="n">
        <x:v>12000</x:v>
      </x:c>
      <x:c r="M954" s="24" t="n">
        <x:v>0.08</x:v>
      </x:c>
      <x:c r="N954" s="24" t="n">
        <x:v>1</x:v>
      </x:c>
      <x:c r="O954" t="str"/>
      <x:c r="P954" t="n">
        <x:v>6</x:v>
      </x:c>
      <x:c r="Q954" t="str">
        <x:f>IFERROR(XLOOKUP(E954,Lookups!$A$5:$A$24,Lookups!$B$5:$B$24),"Other")</x:f>
        <x:v>Referral</x:v>
      </x:c>
      <x:c r="R954" t="str">
        <x:f>IFERROR(XLOOKUP(F954,Lookups!$D$5:$D$10,Lookups!$E$5:$E$10),"Unknown Product")</x:f>
        <x:v>NexaCRM Pro</x:v>
      </x:c>
      <x:c r="S954" t="str">
        <x:f>IFERROR(XLOOKUP(F954,Lookups!$D$5:$D$10,Lookups!$F$5:$F$10),"Unknown")</x:f>
        <x:v>CRM</x:v>
      </x:c>
      <x:c r="T954" t="str">
        <x:f>IF(L954&gt;=50000,"Enterprise",IF(L954&gt;=20000,"Mid-Market","SMB"))</x:f>
        <x:v>SMB</x:v>
      </x:c>
      <x:c r="U954" t="str">
        <x:f>IF(I954="Closed Won","Won",IF(I954="Closed Lost","Lost","Open"))</x:f>
        <x:v>Won</x:v>
      </x:c>
      <x:c r="V954" s="22" t="n">
        <x:f>IF(U954="Won",L954*(1-M954),0)</x:f>
        <x:v>11040</x:v>
      </x:c>
      <x:c r="W954" s="22" t="n">
        <x:f>IF(U954="Open",L954*N954,0)</x:f>
        <x:v>0</x:v>
      </x:c>
      <x:c r="X954" s="26" t="n">
        <x:f>IF(U954="Open","",IFERROR(K954-B954,""))</x:f>
        <x:v>90</x:v>
      </x:c>
      <x:c r="Y954" s="26" t="n">
        <x:f>IF(U954="Open",Lookups!$B$2-B954,X954)</x:f>
        <x:v>90</x:v>
      </x:c>
      <x:c r="Z954" t="str">
        <x:f>IF(AND(U954="Open",Y954&gt;30),"STALE","OK")</x:f>
        <x:v>OK</x:v>
      </x:c>
      <x:c r="AA954" t="str">
        <x:f>TEXT(B954,"yyyy-mm")</x:f>
        <x:v>2025-01</x:v>
      </x:c>
      <x:c r="AB954" t="str">
        <x:f>IF(K954="","",TEXT(K954,"yyyy-mm"))</x:f>
        <x:v>2025-04</x:v>
      </x:c>
      <x:c r="AC954" t="str">
        <x:f>"Q"&amp;ROUNDUP(MONTH(B954)/3,0)&amp;"-"&amp;YEAR(B954)</x:f>
        <x:v>Q1-2025</x:v>
      </x:c>
      <x:c r="AD954" s="26" t="n">
        <x:f>MIN(100,IF(H954="Enterprise",30,IF(H954="Mid-Market",22,14))+IF(T954="Enterprise",25,IF(T954="Mid-Market",18,10))+IF(Q954="Referral",25,IF(Q954="Organic Search",20,IF(Q954="Email",18,14)))+IF(G954="Technology",10,5))</x:f>
        <x:v>59</x:v>
      </x:c>
      <x:c r="AE954" t="str">
        <x:f>IF(U954&lt;&gt;"Open",U954,IF(N954&gt;=0.8,"Commit",IF(N954&gt;=0.5,"Best Case","Pipeline")))</x:f>
        <x:v>Won</x:v>
      </x:c>
    </x:row>
    <x:row r="955">
      <x:c r="A955" t="str">
        <x:v>L00954</x:v>
      </x:c>
      <x:c r="B955" s="10" t="n">
        <x:v>45677</x:v>
      </x:c>
      <x:c r="C955" t="str">
        <x:v>Chi Le</x:v>
      </x:c>
      <x:c r="D955" t="str">
        <x:v>South</x:v>
      </x:c>
      <x:c r="E955" t="str">
        <x:v>Email Campaign</x:v>
      </x:c>
      <x:c r="F955" t="str">
        <x:v>CRM-CORE</x:v>
      </x:c>
      <x:c r="G955" t="str">
        <x:v>Education</x:v>
      </x:c>
      <x:c r="H955" t="str">
        <x:v>Mid-Market</x:v>
      </x:c>
      <x:c r="I955" t="str">
        <x:v>Closed Lost</x:v>
      </x:c>
      <x:c r="J955" s="10" t="n">
        <x:v>45712</x:v>
      </x:c>
      <x:c r="K955" s="10" t="n">
        <x:v>45712</x:v>
      </x:c>
      <x:c r="L955" s="22" t="n">
        <x:v>12600</x:v>
      </x:c>
      <x:c r="M955" s="24" t="n">
        <x:v>0</x:v>
      </x:c>
      <x:c r="N955" s="24" t="n">
        <x:v>0</x:v>
      </x:c>
      <x:c r="O955" t="str">
        <x:v>Competitor</x:v>
      </x:c>
      <x:c r="P955" t="n">
        <x:v>4</x:v>
      </x:c>
      <x:c r="Q955" t="str">
        <x:f>IFERROR(XLOOKUP(E955,Lookups!$A$5:$A$24,Lookups!$B$5:$B$24),"Other")</x:f>
        <x:v>Email</x:v>
      </x:c>
      <x:c r="R955" t="str">
        <x:f>IFERROR(XLOOKUP(F955,Lookups!$D$5:$D$10,Lookups!$E$5:$E$10),"Unknown Product")</x:f>
        <x:v>NexaCRM Core</x:v>
      </x:c>
      <x:c r="S955" t="str">
        <x:f>IFERROR(XLOOKUP(F955,Lookups!$D$5:$D$10,Lookups!$F$5:$F$10),"Unknown")</x:f>
        <x:v>CRM</x:v>
      </x:c>
      <x:c r="T955" t="str">
        <x:f>IF(L955&gt;=50000,"Enterprise",IF(L955&gt;=20000,"Mid-Market","SMB"))</x:f>
        <x:v>SMB</x:v>
      </x:c>
      <x:c r="U955" t="str">
        <x:f>IF(I955="Closed Won","Won",IF(I955="Closed Lost","Lost","Open"))</x:f>
        <x:v>Lost</x:v>
      </x:c>
      <x:c r="V955" s="22" t="n">
        <x:f>IF(U955="Won",L955*(1-M955),0)</x:f>
        <x:v>0</x:v>
      </x:c>
      <x:c r="W955" s="22" t="n">
        <x:f>IF(U955="Open",L955*N955,0)</x:f>
        <x:v>0</x:v>
      </x:c>
      <x:c r="X955" s="26" t="n">
        <x:f>IF(U955="Open","",IFERROR(K955-B955,""))</x:f>
        <x:v>35</x:v>
      </x:c>
      <x:c r="Y955" s="26" t="n">
        <x:f>IF(U955="Open",Lookups!$B$2-B955,X955)</x:f>
        <x:v>35</x:v>
      </x:c>
      <x:c r="Z955" t="str">
        <x:f>IF(AND(U955="Open",Y955&gt;30),"STALE","OK")</x:f>
        <x:v>OK</x:v>
      </x:c>
      <x:c r="AA955" t="str">
        <x:f>TEXT(B955,"yyyy-mm")</x:f>
        <x:v>2025-01</x:v>
      </x:c>
      <x:c r="AB955" t="str">
        <x:f>IF(K955="","",TEXT(K955,"yyyy-mm"))</x:f>
        <x:v>2025-02</x:v>
      </x:c>
      <x:c r="AC955" t="str">
        <x:f>"Q"&amp;ROUNDUP(MONTH(B955)/3,0)&amp;"-"&amp;YEAR(B955)</x:f>
        <x:v>Q1-2025</x:v>
      </x:c>
      <x:c r="AD955" s="26" t="n">
        <x:f>MIN(100,IF(H955="Enterprise",30,IF(H955="Mid-Market",22,14))+IF(T955="Enterprise",25,IF(T955="Mid-Market",18,10))+IF(Q955="Referral",25,IF(Q955="Organic Search",20,IF(Q955="Email",18,14)))+IF(G955="Technology",10,5))</x:f>
        <x:v>55</x:v>
      </x:c>
      <x:c r="AE955" t="str">
        <x:f>IF(U955&lt;&gt;"Open",U955,IF(N955&gt;=0.8,"Commit",IF(N955&gt;=0.5,"Best Case","Pipeline")))</x:f>
        <x:v>Lost</x:v>
      </x:c>
    </x:row>
    <x:row r="956">
      <x:c r="A956" t="str">
        <x:v>L00955</x:v>
      </x:c>
      <x:c r="B956" s="10" t="n">
        <x:v>46175</x:v>
      </x:c>
      <x:c r="C956" t="str">
        <x:v>Quynh Vu</x:v>
      </x:c>
      <x:c r="D956" t="str">
        <x:v>North</x:v>
      </x:c>
      <x:c r="E956" t="str">
        <x:v>Google Organic</x:v>
      </x:c>
      <x:c r="F956" t="str">
        <x:v>BI-PLUS</x:v>
      </x:c>
      <x:c r="G956" t="str">
        <x:v>Technology</x:v>
      </x:c>
      <x:c r="H956" t="str">
        <x:v>SMB</x:v>
      </x:c>
      <x:c r="I956" t="str">
        <x:v>Demo / Meeting</x:v>
      </x:c>
      <x:c r="J956" s="10" t="n">
        <x:v>46253</x:v>
      </x:c>
      <x:c r="K956" s="10"/>
      <x:c r="L956" s="22" t="n">
        <x:v>16100</x:v>
      </x:c>
      <x:c r="M956" s="24" t="n">
        <x:v>0</x:v>
      </x:c>
      <x:c r="N956" s="24" t="n">
        <x:v>0.4</x:v>
      </x:c>
      <x:c r="O956" t="str"/>
      <x:c r="P956" t="n">
        <x:v>3</x:v>
      </x:c>
      <x:c r="Q956" t="str">
        <x:f>IFERROR(XLOOKUP(E956,Lookups!$A$5:$A$24,Lookups!$B$5:$B$24),"Other")</x:f>
        <x:v>Organic Search</x:v>
      </x:c>
      <x:c r="R956" t="str">
        <x:f>IFERROR(XLOOKUP(F956,Lookups!$D$5:$D$10,Lookups!$E$5:$E$10),"Unknown Product")</x:f>
        <x:v>Analytics Plus</x:v>
      </x:c>
      <x:c r="S956" t="str">
        <x:f>IFERROR(XLOOKUP(F956,Lookups!$D$5:$D$10,Lookups!$F$5:$F$10),"Unknown")</x:f>
        <x:v>Analytics</x:v>
      </x:c>
      <x:c r="T956" t="str">
        <x:f>IF(L956&gt;=50000,"Enterprise",IF(L956&gt;=20000,"Mid-Market","SMB"))</x:f>
        <x:v>SMB</x:v>
      </x:c>
      <x:c r="U956" t="str">
        <x:f>IF(I956="Closed Won","Won",IF(I956="Closed Lost","Lost","Open"))</x:f>
        <x:v>Open</x:v>
      </x:c>
      <x:c r="V956" s="22" t="n">
        <x:f>IF(U956="Won",L956*(1-M956),0)</x:f>
        <x:v>0</x:v>
      </x:c>
      <x:c r="W956" s="22" t="n">
        <x:f>IF(U956="Open",L956*N956,0)</x:f>
        <x:v>6440</x:v>
      </x:c>
      <x:c r="X956" s="26" t="str">
        <x:f>IF(U956="Open","",IFERROR(K956-B956,""))</x:f>
      </x:c>
      <x:c r="Y956" s="26" t="n">
        <x:f>IF(U956="Open",Lookups!$B$2-B956,X956)</x:f>
        <x:v>91</x:v>
      </x:c>
      <x:c r="Z956" t="str">
        <x:f>IF(AND(U956="Open",Y956&gt;30),"STALE","OK")</x:f>
        <x:v>STALE</x:v>
      </x:c>
      <x:c r="AA956" t="str">
        <x:f>TEXT(B956,"yyyy-mm")</x:f>
        <x:v>2026-06</x:v>
      </x:c>
      <x:c r="AB956" t="str">
        <x:f>IF(K956="","",TEXT(K956,"yyyy-mm"))</x:f>
      </x:c>
      <x:c r="AC956" t="str">
        <x:f>"Q"&amp;ROUNDUP(MONTH(B956)/3,0)&amp;"-"&amp;YEAR(B956)</x:f>
        <x:v>Q2-2026</x:v>
      </x:c>
      <x:c r="AD956" s="26" t="n">
        <x:f>MIN(100,IF(H956="Enterprise",30,IF(H956="Mid-Market",22,14))+IF(T956="Enterprise",25,IF(T956="Mid-Market",18,10))+IF(Q956="Referral",25,IF(Q956="Organic Search",20,IF(Q956="Email",18,14)))+IF(G956="Technology",10,5))</x:f>
        <x:v>54</x:v>
      </x:c>
      <x:c r="AE956" t="str">
        <x:f>IF(U956&lt;&gt;"Open",U956,IF(N956&gt;=0.8,"Commit",IF(N956&gt;=0.5,"Best Case","Pipeline")))</x:f>
        <x:v>Pipeline</x:v>
      </x:c>
    </x:row>
    <x:row r="957">
      <x:c r="A957" t="str">
        <x:v>L00956</x:v>
      </x:c>
      <x:c r="B957" s="10" t="n">
        <x:v>45725</x:v>
      </x:c>
      <x:c r="C957" t="str">
        <x:v>Bao Tran</x:v>
      </x:c>
      <x:c r="D957" t="str">
        <x:v>South</x:v>
      </x:c>
      <x:c r="E957" t="str">
        <x:v>Google Organic</x:v>
      </x:c>
      <x:c r="F957" t="str">
        <x:v>CRM-CORE</x:v>
      </x:c>
      <x:c r="G957" t="str">
        <x:v>Education</x:v>
      </x:c>
      <x:c r="H957" t="str">
        <x:v>Enterprise</x:v>
      </x:c>
      <x:c r="I957" t="str">
        <x:v>Closed Won</x:v>
      </x:c>
      <x:c r="J957" s="10" t="n">
        <x:v>45784</x:v>
      </x:c>
      <x:c r="K957" s="10" t="n">
        <x:v>45784</x:v>
      </x:c>
      <x:c r="L957" s="22" t="n">
        <x:v>30600</x:v>
      </x:c>
      <x:c r="M957" s="24" t="n">
        <x:v>0</x:v>
      </x:c>
      <x:c r="N957" s="24" t="n">
        <x:v>1</x:v>
      </x:c>
      <x:c r="O957" t="str"/>
      <x:c r="P957" t="n">
        <x:v>6</x:v>
      </x:c>
      <x:c r="Q957" t="str">
        <x:f>IFERROR(XLOOKUP(E957,Lookups!$A$5:$A$24,Lookups!$B$5:$B$24),"Other")</x:f>
        <x:v>Organic Search</x:v>
      </x:c>
      <x:c r="R957" t="str">
        <x:f>IFERROR(XLOOKUP(F957,Lookups!$D$5:$D$10,Lookups!$E$5:$E$10),"Unknown Product")</x:f>
        <x:v>NexaCRM Core</x:v>
      </x:c>
      <x:c r="S957" t="str">
        <x:f>IFERROR(XLOOKUP(F957,Lookups!$D$5:$D$10,Lookups!$F$5:$F$10),"Unknown")</x:f>
        <x:v>CRM</x:v>
      </x:c>
      <x:c r="T957" t="str">
        <x:f>IF(L957&gt;=50000,"Enterprise",IF(L957&gt;=20000,"Mid-Market","SMB"))</x:f>
        <x:v>Mid-Market</x:v>
      </x:c>
      <x:c r="U957" t="str">
        <x:f>IF(I957="Closed Won","Won",IF(I957="Closed Lost","Lost","Open"))</x:f>
        <x:v>Won</x:v>
      </x:c>
      <x:c r="V957" s="22" t="n">
        <x:f>IF(U957="Won",L957*(1-M957),0)</x:f>
        <x:v>30600</x:v>
      </x:c>
      <x:c r="W957" s="22" t="n">
        <x:f>IF(U957="Open",L957*N957,0)</x:f>
        <x:v>0</x:v>
      </x:c>
      <x:c r="X957" s="26" t="n">
        <x:f>IF(U957="Open","",IFERROR(K957-B957,""))</x:f>
        <x:v>59</x:v>
      </x:c>
      <x:c r="Y957" s="26" t="n">
        <x:f>IF(U957="Open",Lookups!$B$2-B957,X957)</x:f>
        <x:v>59</x:v>
      </x:c>
      <x:c r="Z957" t="str">
        <x:f>IF(AND(U957="Open",Y957&gt;30),"STALE","OK")</x:f>
        <x:v>OK</x:v>
      </x:c>
      <x:c r="AA957" t="str">
        <x:f>TEXT(B957,"yyyy-mm")</x:f>
        <x:v>2025-03</x:v>
      </x:c>
      <x:c r="AB957" t="str">
        <x:f>IF(K957="","",TEXT(K957,"yyyy-mm"))</x:f>
        <x:v>2025-05</x:v>
      </x:c>
      <x:c r="AC957" t="str">
        <x:f>"Q"&amp;ROUNDUP(MONTH(B957)/3,0)&amp;"-"&amp;YEAR(B957)</x:f>
        <x:v>Q1-2025</x:v>
      </x:c>
      <x:c r="AD957" s="26" t="n">
        <x:f>MIN(100,IF(H957="Enterprise",30,IF(H957="Mid-Market",22,14))+IF(T957="Enterprise",25,IF(T957="Mid-Market",18,10))+IF(Q957="Referral",25,IF(Q957="Organic Search",20,IF(Q957="Email",18,14)))+IF(G957="Technology",10,5))</x:f>
        <x:v>73</x:v>
      </x:c>
      <x:c r="AE957" t="str">
        <x:f>IF(U957&lt;&gt;"Open",U957,IF(N957&gt;=0.8,"Commit",IF(N957&gt;=0.5,"Best Case","Pipeline")))</x:f>
        <x:v>Won</x:v>
      </x:c>
    </x:row>
    <x:row r="958">
      <x:c r="A958" t="str">
        <x:v>L00957</x:v>
      </x:c>
      <x:c r="B958" s="10" t="n">
        <x:v>46061</x:v>
      </x:c>
      <x:c r="C958" t="str">
        <x:v>Duy Pham</x:v>
      </x:c>
      <x:c r="D958" t="str">
        <x:v>South</x:v>
      </x:c>
      <x:c r="E958" t="str">
        <x:v>organic search</x:v>
      </x:c>
      <x:c r="F958" t="str">
        <x:v>CRM-PRO</x:v>
      </x:c>
      <x:c r="G958" t="str">
        <x:v>Manufacturing</x:v>
      </x:c>
      <x:c r="H958" t="str">
        <x:v>SMB</x:v>
      </x:c>
      <x:c r="I958" t="str">
        <x:v>Closed Lost</x:v>
      </x:c>
      <x:c r="J958" s="10" t="n">
        <x:v>46110</x:v>
      </x:c>
      <x:c r="K958" s="10" t="n">
        <x:v>46110</x:v>
      </x:c>
      <x:c r="L958" s="22" t="n">
        <x:v>21600</x:v>
      </x:c>
      <x:c r="M958" s="24" t="n">
        <x:v>0</x:v>
      </x:c>
      <x:c r="N958" s="24" t="n">
        <x:v>0</x:v>
      </x:c>
      <x:c r="O958" t="str">
        <x:v>No Decision</x:v>
      </x:c>
      <x:c r="P958" t="n">
        <x:v>5</x:v>
      </x:c>
      <x:c r="Q958" t="str">
        <x:f>IFERROR(XLOOKUP(E958,Lookups!$A$5:$A$24,Lookups!$B$5:$B$24),"Other")</x:f>
        <x:v>Organic Search</x:v>
      </x:c>
      <x:c r="R958" t="str">
        <x:f>IFERROR(XLOOKUP(F958,Lookups!$D$5:$D$10,Lookups!$E$5:$E$10),"Unknown Product")</x:f>
        <x:v>NexaCRM Pro</x:v>
      </x:c>
      <x:c r="S958" t="str">
        <x:f>IFERROR(XLOOKUP(F958,Lookups!$D$5:$D$10,Lookups!$F$5:$F$10),"Unknown")</x:f>
        <x:v>CRM</x:v>
      </x:c>
      <x:c r="T958" t="str">
        <x:f>IF(L958&gt;=50000,"Enterprise",IF(L958&gt;=20000,"Mid-Market","SMB"))</x:f>
        <x:v>Mid-Market</x:v>
      </x:c>
      <x:c r="U958" t="str">
        <x:f>IF(I958="Closed Won","Won",IF(I958="Closed Lost","Lost","Open"))</x:f>
        <x:v>Lost</x:v>
      </x:c>
      <x:c r="V958" s="22" t="n">
        <x:f>IF(U958="Won",L958*(1-M958),0)</x:f>
        <x:v>0</x:v>
      </x:c>
      <x:c r="W958" s="22" t="n">
        <x:f>IF(U958="Open",L958*N958,0)</x:f>
        <x:v>0</x:v>
      </x:c>
      <x:c r="X958" s="26" t="n">
        <x:f>IF(U958="Open","",IFERROR(K958-B958,""))</x:f>
        <x:v>49</x:v>
      </x:c>
      <x:c r="Y958" s="26" t="n">
        <x:f>IF(U958="Open",Lookups!$B$2-B958,X958)</x:f>
        <x:v>49</x:v>
      </x:c>
      <x:c r="Z958" t="str">
        <x:f>IF(AND(U958="Open",Y958&gt;30),"STALE","OK")</x:f>
        <x:v>OK</x:v>
      </x:c>
      <x:c r="AA958" t="str">
        <x:f>TEXT(B958,"yyyy-mm")</x:f>
        <x:v>2026-02</x:v>
      </x:c>
      <x:c r="AB958" t="str">
        <x:f>IF(K958="","",TEXT(K958,"yyyy-mm"))</x:f>
        <x:v>2026-03</x:v>
      </x:c>
      <x:c r="AC958" t="str">
        <x:f>"Q"&amp;ROUNDUP(MONTH(B958)/3,0)&amp;"-"&amp;YEAR(B958)</x:f>
        <x:v>Q1-2026</x:v>
      </x:c>
      <x:c r="AD958" s="26" t="n">
        <x:f>MIN(100,IF(H958="Enterprise",30,IF(H958="Mid-Market",22,14))+IF(T958="Enterprise",25,IF(T958="Mid-Market",18,10))+IF(Q958="Referral",25,IF(Q958="Organic Search",20,IF(Q958="Email",18,14)))+IF(G958="Technology",10,5))</x:f>
        <x:v>57</x:v>
      </x:c>
      <x:c r="AE958" t="str">
        <x:f>IF(U958&lt;&gt;"Open",U958,IF(N958&gt;=0.8,"Commit",IF(N958&gt;=0.5,"Best Case","Pipeline")))</x:f>
        <x:v>Lost</x:v>
      </x:c>
    </x:row>
    <x:row r="959">
      <x:c r="A959" t="str">
        <x:v>L00958</x:v>
      </x:c>
      <x:c r="B959" s="10" t="n">
        <x:v>45799</x:v>
      </x:c>
      <x:c r="C959" t="str">
        <x:v>Duy Pham</x:v>
      </x:c>
      <x:c r="D959" t="str">
        <x:v>South</x:v>
      </x:c>
      <x:c r="E959" t="str">
        <x:v>Google Organic</x:v>
      </x:c>
      <x:c r="F959" t="str">
        <x:v>CRM-CORE</x:v>
      </x:c>
      <x:c r="G959" t="str">
        <x:v>Professional Services</x:v>
      </x:c>
      <x:c r="H959" t="str">
        <x:v>SMB</x:v>
      </x:c>
      <x:c r="I959" t="str">
        <x:v>Closed Lost</x:v>
      </x:c>
      <x:c r="J959" s="10" t="n">
        <x:v>45825</x:v>
      </x:c>
      <x:c r="K959" s="10" t="n">
        <x:v>45825</x:v>
      </x:c>
      <x:c r="L959" s="22" t="n">
        <x:v>7200</x:v>
      </x:c>
      <x:c r="M959" s="24" t="n">
        <x:v>0</x:v>
      </x:c>
      <x:c r="N959" s="24" t="n">
        <x:v>0</x:v>
      </x:c>
      <x:c r="O959" t="str">
        <x:v>Budget</x:v>
      </x:c>
      <x:c r="P959" t="n">
        <x:v>4</x:v>
      </x:c>
      <x:c r="Q959" t="str">
        <x:f>IFERROR(XLOOKUP(E959,Lookups!$A$5:$A$24,Lookups!$B$5:$B$24),"Other")</x:f>
        <x:v>Organic Search</x:v>
      </x:c>
      <x:c r="R959" t="str">
        <x:f>IFERROR(XLOOKUP(F959,Lookups!$D$5:$D$10,Lookups!$E$5:$E$10),"Unknown Product")</x:f>
        <x:v>NexaCRM Core</x:v>
      </x:c>
      <x:c r="S959" t="str">
        <x:f>IFERROR(XLOOKUP(F959,Lookups!$D$5:$D$10,Lookups!$F$5:$F$10),"Unknown")</x:f>
        <x:v>CRM</x:v>
      </x:c>
      <x:c r="T959" t="str">
        <x:f>IF(L959&gt;=50000,"Enterprise",IF(L959&gt;=20000,"Mid-Market","SMB"))</x:f>
        <x:v>SMB</x:v>
      </x:c>
      <x:c r="U959" t="str">
        <x:f>IF(I959="Closed Won","Won",IF(I959="Closed Lost","Lost","Open"))</x:f>
        <x:v>Lost</x:v>
      </x:c>
      <x:c r="V959" s="22" t="n">
        <x:f>IF(U959="Won",L959*(1-M959),0)</x:f>
        <x:v>0</x:v>
      </x:c>
      <x:c r="W959" s="22" t="n">
        <x:f>IF(U959="Open",L959*N959,0)</x:f>
        <x:v>0</x:v>
      </x:c>
      <x:c r="X959" s="26" t="n">
        <x:f>IF(U959="Open","",IFERROR(K959-B959,""))</x:f>
        <x:v>26</x:v>
      </x:c>
      <x:c r="Y959" s="26" t="n">
        <x:f>IF(U959="Open",Lookups!$B$2-B959,X959)</x:f>
        <x:v>26</x:v>
      </x:c>
      <x:c r="Z959" t="str">
        <x:f>IF(AND(U959="Open",Y959&gt;30),"STALE","OK")</x:f>
        <x:v>OK</x:v>
      </x:c>
      <x:c r="AA959" t="str">
        <x:f>TEXT(B959,"yyyy-mm")</x:f>
        <x:v>2025-05</x:v>
      </x:c>
      <x:c r="AB959" t="str">
        <x:f>IF(K959="","",TEXT(K959,"yyyy-mm"))</x:f>
        <x:v>2025-06</x:v>
      </x:c>
      <x:c r="AC959" t="str">
        <x:f>"Q"&amp;ROUNDUP(MONTH(B959)/3,0)&amp;"-"&amp;YEAR(B959)</x:f>
        <x:v>Q2-2025</x:v>
      </x:c>
      <x:c r="AD959" s="26" t="n">
        <x:f>MIN(100,IF(H959="Enterprise",30,IF(H959="Mid-Market",22,14))+IF(T959="Enterprise",25,IF(T959="Mid-Market",18,10))+IF(Q959="Referral",25,IF(Q959="Organic Search",20,IF(Q959="Email",18,14)))+IF(G959="Technology",10,5))</x:f>
        <x:v>49</x:v>
      </x:c>
      <x:c r="AE959" t="str">
        <x:f>IF(U959&lt;&gt;"Open",U959,IF(N959&gt;=0.8,"Commit",IF(N959&gt;=0.5,"Best Case","Pipeline")))</x:f>
        <x:v>Lost</x:v>
      </x:c>
    </x:row>
    <x:row r="960">
      <x:c r="A960" t="str">
        <x:v>L00959</x:v>
      </x:c>
      <x:c r="B960" s="10" t="n">
        <x:v>45661</x:v>
      </x:c>
      <x:c r="C960" t="str">
        <x:v>Minh Do</x:v>
      </x:c>
      <x:c r="D960" t="str">
        <x:v>North</x:v>
      </x:c>
      <x:c r="E960" t="str">
        <x:v>Webinar</x:v>
      </x:c>
      <x:c r="F960" t="str">
        <x:v>CRM-PRO</x:v>
      </x:c>
      <x:c r="G960" t="str">
        <x:v>Healthcare</x:v>
      </x:c>
      <x:c r="H960" t="str">
        <x:v>Mid-Market</x:v>
      </x:c>
      <x:c r="I960" t="str">
        <x:v>Closed Lost</x:v>
      </x:c>
      <x:c r="J960" s="10" t="n">
        <x:v>45721</x:v>
      </x:c>
      <x:c r="K960" s="10" t="n">
        <x:v>45721</x:v>
      </x:c>
      <x:c r="L960" s="22" t="n">
        <x:v>29400</x:v>
      </x:c>
      <x:c r="M960" s="24" t="n">
        <x:v>0</x:v>
      </x:c>
      <x:c r="N960" s="24" t="n">
        <x:v>0</x:v>
      </x:c>
      <x:c r="O960" t="str">
        <x:v>Competitor</x:v>
      </x:c>
      <x:c r="P960" t="n">
        <x:v>5</x:v>
      </x:c>
      <x:c r="Q960" t="str">
        <x:f>IFERROR(XLOOKUP(E960,Lookups!$A$5:$A$24,Lookups!$B$5:$B$24),"Other")</x:f>
        <x:v>Webinar</x:v>
      </x:c>
      <x:c r="R960" t="str">
        <x:f>IFERROR(XLOOKUP(F960,Lookups!$D$5:$D$10,Lookups!$E$5:$E$10),"Unknown Product")</x:f>
        <x:v>NexaCRM Pro</x:v>
      </x:c>
      <x:c r="S960" t="str">
        <x:f>IFERROR(XLOOKUP(F960,Lookups!$D$5:$D$10,Lookups!$F$5:$F$10),"Unknown")</x:f>
        <x:v>CRM</x:v>
      </x:c>
      <x:c r="T960" t="str">
        <x:f>IF(L960&gt;=50000,"Enterprise",IF(L960&gt;=20000,"Mid-Market","SMB"))</x:f>
        <x:v>Mid-Market</x:v>
      </x:c>
      <x:c r="U960" t="str">
        <x:f>IF(I960="Closed Won","Won",IF(I960="Closed Lost","Lost","Open"))</x:f>
        <x:v>Lost</x:v>
      </x:c>
      <x:c r="V960" s="22" t="n">
        <x:f>IF(U960="Won",L960*(1-M960),0)</x:f>
        <x:v>0</x:v>
      </x:c>
      <x:c r="W960" s="22" t="n">
        <x:f>IF(U960="Open",L960*N960,0)</x:f>
        <x:v>0</x:v>
      </x:c>
      <x:c r="X960" s="26" t="n">
        <x:f>IF(U960="Open","",IFERROR(K960-B960,""))</x:f>
        <x:v>60</x:v>
      </x:c>
      <x:c r="Y960" s="26" t="n">
        <x:f>IF(U960="Open",Lookups!$B$2-B960,X960)</x:f>
        <x:v>60</x:v>
      </x:c>
      <x:c r="Z960" t="str">
        <x:f>IF(AND(U960="Open",Y960&gt;30),"STALE","OK")</x:f>
        <x:v>OK</x:v>
      </x:c>
      <x:c r="AA960" t="str">
        <x:f>TEXT(B960,"yyyy-mm")</x:f>
        <x:v>2025-01</x:v>
      </x:c>
      <x:c r="AB960" t="str">
        <x:f>IF(K960="","",TEXT(K960,"yyyy-mm"))</x:f>
        <x:v>2025-03</x:v>
      </x:c>
      <x:c r="AC960" t="str">
        <x:f>"Q"&amp;ROUNDUP(MONTH(B960)/3,0)&amp;"-"&amp;YEAR(B960)</x:f>
        <x:v>Q1-2025</x:v>
      </x:c>
      <x:c r="AD960" s="26" t="n">
        <x:f>MIN(100,IF(H960="Enterprise",30,IF(H960="Mid-Market",22,14))+IF(T960="Enterprise",25,IF(T960="Mid-Market",18,10))+IF(Q960="Referral",25,IF(Q960="Organic Search",20,IF(Q960="Email",18,14)))+IF(G960="Technology",10,5))</x:f>
        <x:v>59</x:v>
      </x:c>
      <x:c r="AE960" t="str">
        <x:f>IF(U960&lt;&gt;"Open",U960,IF(N960&gt;=0.8,"Commit",IF(N960&gt;=0.5,"Best Case","Pipeline")))</x:f>
        <x:v>Lost</x:v>
      </x:c>
    </x:row>
    <x:row r="961">
      <x:c r="A961" t="str">
        <x:v>L00960</x:v>
      </x:c>
      <x:c r="B961" s="10" t="n">
        <x:v>45911</x:v>
      </x:c>
      <x:c r="C961" t="str">
        <x:v>Minh Do</x:v>
      </x:c>
      <x:c r="D961" t="str">
        <x:v>North</x:v>
      </x:c>
      <x:c r="E961" t="str">
        <x:v>LinkedIn Ads</x:v>
      </x:c>
      <x:c r="F961" t="str">
        <x:v>CRM-PRO</x:v>
      </x:c>
      <x:c r="G961" t="str">
        <x:v>Manufacturing</x:v>
      </x:c>
      <x:c r="H961" t="str">
        <x:v>SMB</x:v>
      </x:c>
      <x:c r="I961" t="str">
        <x:v>Closed Won</x:v>
      </x:c>
      <x:c r="J961" s="10" t="n">
        <x:v>45943</x:v>
      </x:c>
      <x:c r="K961" s="10" t="n">
        <x:v>45943</x:v>
      </x:c>
      <x:c r="L961" s="22" t="n">
        <x:v>13600</x:v>
      </x:c>
      <x:c r="M961" s="24" t="n">
        <x:v>0.08</x:v>
      </x:c>
      <x:c r="N961" s="24" t="n">
        <x:v>1</x:v>
      </x:c>
      <x:c r="O961" t="str"/>
      <x:c r="P961" t="n">
        <x:v>6</x:v>
      </x:c>
      <x:c r="Q961" t="str">
        <x:f>IFERROR(XLOOKUP(E961,Lookups!$A$5:$A$24,Lookups!$B$5:$B$24),"Other")</x:f>
        <x:v>LinkedIn</x:v>
      </x:c>
      <x:c r="R961" t="str">
        <x:f>IFERROR(XLOOKUP(F961,Lookups!$D$5:$D$10,Lookups!$E$5:$E$10),"Unknown Product")</x:f>
        <x:v>NexaCRM Pro</x:v>
      </x:c>
      <x:c r="S961" t="str">
        <x:f>IFERROR(XLOOKUP(F961,Lookups!$D$5:$D$10,Lookups!$F$5:$F$10),"Unknown")</x:f>
        <x:v>CRM</x:v>
      </x:c>
      <x:c r="T961" t="str">
        <x:f>IF(L961&gt;=50000,"Enterprise",IF(L961&gt;=20000,"Mid-Market","SMB"))</x:f>
        <x:v>SMB</x:v>
      </x:c>
      <x:c r="U961" t="str">
        <x:f>IF(I961="Closed Won","Won",IF(I961="Closed Lost","Lost","Open"))</x:f>
        <x:v>Won</x:v>
      </x:c>
      <x:c r="V961" s="22" t="n">
        <x:f>IF(U961="Won",L961*(1-M961),0)</x:f>
        <x:v>12512</x:v>
      </x:c>
      <x:c r="W961" s="22" t="n">
        <x:f>IF(U961="Open",L961*N961,0)</x:f>
        <x:v>0</x:v>
      </x:c>
      <x:c r="X961" s="26" t="n">
        <x:f>IF(U961="Open","",IFERROR(K961-B961,""))</x:f>
        <x:v>32</x:v>
      </x:c>
      <x:c r="Y961" s="26" t="n">
        <x:f>IF(U961="Open",Lookups!$B$2-B961,X961)</x:f>
        <x:v>32</x:v>
      </x:c>
      <x:c r="Z961" t="str">
        <x:f>IF(AND(U961="Open",Y961&gt;30),"STALE","OK")</x:f>
        <x:v>OK</x:v>
      </x:c>
      <x:c r="AA961" t="str">
        <x:f>TEXT(B961,"yyyy-mm")</x:f>
        <x:v>2025-09</x:v>
      </x:c>
      <x:c r="AB961" t="str">
        <x:f>IF(K961="","",TEXT(K961,"yyyy-mm"))</x:f>
        <x:v>2025-10</x:v>
      </x:c>
      <x:c r="AC961" t="str">
        <x:f>"Q"&amp;ROUNDUP(MONTH(B961)/3,0)&amp;"-"&amp;YEAR(B961)</x:f>
        <x:v>Q3-2025</x:v>
      </x:c>
      <x:c r="AD961" s="26" t="n">
        <x:f>MIN(100,IF(H961="Enterprise",30,IF(H961="Mid-Market",22,14))+IF(T961="Enterprise",25,IF(T961="Mid-Market",18,10))+IF(Q961="Referral",25,IF(Q961="Organic Search",20,IF(Q961="Email",18,14)))+IF(G961="Technology",10,5))</x:f>
        <x:v>43</x:v>
      </x:c>
      <x:c r="AE961" t="str">
        <x:f>IF(U961&lt;&gt;"Open",U961,IF(N961&gt;=0.8,"Commit",IF(N961&gt;=0.5,"Best Case","Pipeline")))</x:f>
        <x:v>Won</x:v>
      </x:c>
    </x:row>
    <x:row r="962">
      <x:c r="A962" t="str">
        <x:v>L00961</x:v>
      </x:c>
      <x:c r="B962" s="10" t="n">
        <x:v>46181</x:v>
      </x:c>
      <x:c r="C962" t="str">
        <x:v>Ha Vo</x:v>
      </x:c>
      <x:c r="D962" t="str">
        <x:v>North</x:v>
      </x:c>
      <x:c r="E962" t="str">
        <x:v>google cpc</x:v>
      </x:c>
      <x:c r="F962" t="str">
        <x:v>MKT-AUTO</x:v>
      </x:c>
      <x:c r="G962" t="str">
        <x:v>Healthcare</x:v>
      </x:c>
      <x:c r="H962" t="str">
        <x:v>SMB</x:v>
      </x:c>
      <x:c r="I962" t="str">
        <x:v>Demo / Meeting</x:v>
      </x:c>
      <x:c r="J962" s="10" t="n">
        <x:v>46250</x:v>
      </x:c>
      <x:c r="K962" s="10"/>
      <x:c r="L962" s="22" t="n">
        <x:v>11300</x:v>
      </x:c>
      <x:c r="M962" s="24" t="n">
        <x:v>0</x:v>
      </x:c>
      <x:c r="N962" s="24" t="n">
        <x:v>0.4</x:v>
      </x:c>
      <x:c r="O962" t="str"/>
      <x:c r="P962" t="n">
        <x:v>3</x:v>
      </x:c>
      <x:c r="Q962" t="str">
        <x:f>IFERROR(XLOOKUP(E962,Lookups!$A$5:$A$24,Lookups!$B$5:$B$24),"Other")</x:f>
        <x:v>Paid Search</x:v>
      </x:c>
      <x:c r="R962" t="str">
        <x:f>IFERROR(XLOOKUP(F962,Lookups!$D$5:$D$10,Lookups!$E$5:$E$10),"Unknown Product")</x:f>
        <x:v>Marketing Automation</x:v>
      </x:c>
      <x:c r="S962" t="str">
        <x:f>IFERROR(XLOOKUP(F962,Lookups!$D$5:$D$10,Lookups!$F$5:$F$10),"Unknown")</x:f>
        <x:v>Marketing</x:v>
      </x:c>
      <x:c r="T962" t="str">
        <x:f>IF(L962&gt;=50000,"Enterprise",IF(L962&gt;=20000,"Mid-Market","SMB"))</x:f>
        <x:v>SMB</x:v>
      </x:c>
      <x:c r="U962" t="str">
        <x:f>IF(I962="Closed Won","Won",IF(I962="Closed Lost","Lost","Open"))</x:f>
        <x:v>Open</x:v>
      </x:c>
      <x:c r="V962" s="22" t="n">
        <x:f>IF(U962="Won",L962*(1-M962),0)</x:f>
        <x:v>0</x:v>
      </x:c>
      <x:c r="W962" s="22" t="n">
        <x:f>IF(U962="Open",L962*N962,0)</x:f>
        <x:v>4520</x:v>
      </x:c>
      <x:c r="X962" s="26" t="str">
        <x:f>IF(U962="Open","",IFERROR(K962-B962,""))</x:f>
      </x:c>
      <x:c r="Y962" s="26" t="n">
        <x:f>IF(U962="Open",Lookups!$B$2-B962,X962)</x:f>
        <x:v>85</x:v>
      </x:c>
      <x:c r="Z962" t="str">
        <x:f>IF(AND(U962="Open",Y962&gt;30),"STALE","OK")</x:f>
        <x:v>STALE</x:v>
      </x:c>
      <x:c r="AA962" t="str">
        <x:f>TEXT(B962,"yyyy-mm")</x:f>
        <x:v>2026-06</x:v>
      </x:c>
      <x:c r="AB962" t="str">
        <x:f>IF(K962="","",TEXT(K962,"yyyy-mm"))</x:f>
      </x:c>
      <x:c r="AC962" t="str">
        <x:f>"Q"&amp;ROUNDUP(MONTH(B962)/3,0)&amp;"-"&amp;YEAR(B962)</x:f>
        <x:v>Q2-2026</x:v>
      </x:c>
      <x:c r="AD962" s="26" t="n">
        <x:f>MIN(100,IF(H962="Enterprise",30,IF(H962="Mid-Market",22,14))+IF(T962="Enterprise",25,IF(T962="Mid-Market",18,10))+IF(Q962="Referral",25,IF(Q962="Organic Search",20,IF(Q962="Email",18,14)))+IF(G962="Technology",10,5))</x:f>
        <x:v>43</x:v>
      </x:c>
      <x:c r="AE962" t="str">
        <x:f>IF(U962&lt;&gt;"Open",U962,IF(N962&gt;=0.8,"Commit",IF(N962&gt;=0.5,"Best Case","Pipeline")))</x:f>
        <x:v>Pipeline</x:v>
      </x:c>
    </x:row>
    <x:row r="963">
      <x:c r="A963" t="str">
        <x:v>L00962</x:v>
      </x:c>
      <x:c r="B963" s="10" t="n">
        <x:v>45797</x:v>
      </x:c>
      <x:c r="C963" t="str">
        <x:v>Minh Do</x:v>
      </x:c>
      <x:c r="D963" t="str">
        <x:v>North</x:v>
      </x:c>
      <x:c r="E963" t="str">
        <x:v>Partner Referral</x:v>
      </x:c>
      <x:c r="F963" t="str">
        <x:v>CRM-CORE</x:v>
      </x:c>
      <x:c r="G963" t="str">
        <x:v>Retail</x:v>
      </x:c>
      <x:c r="H963" t="str">
        <x:v>SMB</x:v>
      </x:c>
      <x:c r="I963" t="str">
        <x:v>Closed Lost</x:v>
      </x:c>
      <x:c r="J963" s="10" t="n">
        <x:v>45832</x:v>
      </x:c>
      <x:c r="K963" s="10" t="n">
        <x:v>45832</x:v>
      </x:c>
      <x:c r="L963" s="22" t="n">
        <x:v>5400</x:v>
      </x:c>
      <x:c r="M963" s="24" t="n">
        <x:v>0</x:v>
      </x:c>
      <x:c r="N963" s="24" t="n">
        <x:v>0</x:v>
      </x:c>
      <x:c r="O963" t="str">
        <x:v>Price</x:v>
      </x:c>
      <x:c r="P963" t="n">
        <x:v>4</x:v>
      </x:c>
      <x:c r="Q963" t="str">
        <x:f>IFERROR(XLOOKUP(E963,Lookups!$A$5:$A$24,Lookups!$B$5:$B$24),"Other")</x:f>
        <x:v>Referral</x:v>
      </x:c>
      <x:c r="R963" t="str">
        <x:f>IFERROR(XLOOKUP(F963,Lookups!$D$5:$D$10,Lookups!$E$5:$E$10),"Unknown Product")</x:f>
        <x:v>NexaCRM Core</x:v>
      </x:c>
      <x:c r="S963" t="str">
        <x:f>IFERROR(XLOOKUP(F963,Lookups!$D$5:$D$10,Lookups!$F$5:$F$10),"Unknown")</x:f>
        <x:v>CRM</x:v>
      </x:c>
      <x:c r="T963" t="str">
        <x:f>IF(L963&gt;=50000,"Enterprise",IF(L963&gt;=20000,"Mid-Market","SMB"))</x:f>
        <x:v>SMB</x:v>
      </x:c>
      <x:c r="U963" t="str">
        <x:f>IF(I963="Closed Won","Won",IF(I963="Closed Lost","Lost","Open"))</x:f>
        <x:v>Lost</x:v>
      </x:c>
      <x:c r="V963" s="22" t="n">
        <x:f>IF(U963="Won",L963*(1-M963),0)</x:f>
        <x:v>0</x:v>
      </x:c>
      <x:c r="W963" s="22" t="n">
        <x:f>IF(U963="Open",L963*N963,0)</x:f>
        <x:v>0</x:v>
      </x:c>
      <x:c r="X963" s="26" t="n">
        <x:f>IF(U963="Open","",IFERROR(K963-B963,""))</x:f>
        <x:v>35</x:v>
      </x:c>
      <x:c r="Y963" s="26" t="n">
        <x:f>IF(U963="Open",Lookups!$B$2-B963,X963)</x:f>
        <x:v>35</x:v>
      </x:c>
      <x:c r="Z963" t="str">
        <x:f>IF(AND(U963="Open",Y963&gt;30),"STALE","OK")</x:f>
        <x:v>OK</x:v>
      </x:c>
      <x:c r="AA963" t="str">
        <x:f>TEXT(B963,"yyyy-mm")</x:f>
        <x:v>2025-05</x:v>
      </x:c>
      <x:c r="AB963" t="str">
        <x:f>IF(K963="","",TEXT(K963,"yyyy-mm"))</x:f>
        <x:v>2025-06</x:v>
      </x:c>
      <x:c r="AC963" t="str">
        <x:f>"Q"&amp;ROUNDUP(MONTH(B963)/3,0)&amp;"-"&amp;YEAR(B963)</x:f>
        <x:v>Q2-2025</x:v>
      </x:c>
      <x:c r="AD963" s="26" t="n">
        <x:f>MIN(100,IF(H963="Enterprise",30,IF(H963="Mid-Market",22,14))+IF(T963="Enterprise",25,IF(T963="Mid-Market",18,10))+IF(Q963="Referral",25,IF(Q963="Organic Search",20,IF(Q963="Email",18,14)))+IF(G963="Technology",10,5))</x:f>
        <x:v>54</x:v>
      </x:c>
      <x:c r="AE963" t="str">
        <x:f>IF(U963&lt;&gt;"Open",U963,IF(N963&gt;=0.8,"Commit",IF(N963&gt;=0.5,"Best Case","Pipeline")))</x:f>
        <x:v>Lost</x:v>
      </x:c>
    </x:row>
    <x:row r="964">
      <x:c r="A964" t="str">
        <x:v>L00963</x:v>
      </x:c>
      <x:c r="B964" s="10" t="n">
        <x:v>46097</x:v>
      </x:c>
      <x:c r="C964" t="str">
        <x:v>An Nguyen</x:v>
      </x:c>
      <x:c r="D964" t="str">
        <x:v>South</x:v>
      </x:c>
      <x:c r="E964" t="str">
        <x:v>Email Campaign</x:v>
      </x:c>
      <x:c r="F964" t="str">
        <x:v>MKT-AUTO</x:v>
      </x:c>
      <x:c r="G964" t="str">
        <x:v>Healthcare</x:v>
      </x:c>
      <x:c r="H964" t="str">
        <x:v>Mid-Market</x:v>
      </x:c>
      <x:c r="I964" t="str">
        <x:v>Negotiation</x:v>
      </x:c>
      <x:c r="J964" s="10" t="n">
        <x:v>46206</x:v>
      </x:c>
      <x:c r="K964" s="10"/>
      <x:c r="L964" s="22" t="n">
        <x:v>28600</x:v>
      </x:c>
      <x:c r="M964" s="24" t="n">
        <x:v>0</x:v>
      </x:c>
      <x:c r="N964" s="24" t="n">
        <x:v>0.85</x:v>
      </x:c>
      <x:c r="O964" t="str"/>
      <x:c r="P964" t="n">
        <x:v>5</x:v>
      </x:c>
      <x:c r="Q964" t="str">
        <x:f>IFERROR(XLOOKUP(E964,Lookups!$A$5:$A$24,Lookups!$B$5:$B$24),"Other")</x:f>
        <x:v>Email</x:v>
      </x:c>
      <x:c r="R964" t="str">
        <x:f>IFERROR(XLOOKUP(F964,Lookups!$D$5:$D$10,Lookups!$E$5:$E$10),"Unknown Product")</x:f>
        <x:v>Marketing Automation</x:v>
      </x:c>
      <x:c r="S964" t="str">
        <x:f>IFERROR(XLOOKUP(F964,Lookups!$D$5:$D$10,Lookups!$F$5:$F$10),"Unknown")</x:f>
        <x:v>Marketing</x:v>
      </x:c>
      <x:c r="T964" t="str">
        <x:f>IF(L964&gt;=50000,"Enterprise",IF(L964&gt;=20000,"Mid-Market","SMB"))</x:f>
        <x:v>Mid-Market</x:v>
      </x:c>
      <x:c r="U964" t="str">
        <x:f>IF(I964="Closed Won","Won",IF(I964="Closed Lost","Lost","Open"))</x:f>
        <x:v>Open</x:v>
      </x:c>
      <x:c r="V964" s="22" t="n">
        <x:f>IF(U964="Won",L964*(1-M964),0)</x:f>
        <x:v>0</x:v>
      </x:c>
      <x:c r="W964" s="22" t="n">
        <x:f>IF(U964="Open",L964*N964,0)</x:f>
        <x:v>24310</x:v>
      </x:c>
      <x:c r="X964" s="26" t="str">
        <x:f>IF(U964="Open","",IFERROR(K964-B964,""))</x:f>
      </x:c>
      <x:c r="Y964" s="26" t="n">
        <x:f>IF(U964="Open",Lookups!$B$2-B964,X964)</x:f>
        <x:v>169</x:v>
      </x:c>
      <x:c r="Z964" t="str">
        <x:f>IF(AND(U964="Open",Y964&gt;30),"STALE","OK")</x:f>
        <x:v>STALE</x:v>
      </x:c>
      <x:c r="AA964" t="str">
        <x:f>TEXT(B964,"yyyy-mm")</x:f>
        <x:v>2026-03</x:v>
      </x:c>
      <x:c r="AB964" t="str">
        <x:f>IF(K964="","",TEXT(K964,"yyyy-mm"))</x:f>
      </x:c>
      <x:c r="AC964" t="str">
        <x:f>"Q"&amp;ROUNDUP(MONTH(B964)/3,0)&amp;"-"&amp;YEAR(B964)</x:f>
        <x:v>Q1-2026</x:v>
      </x:c>
      <x:c r="AD964" s="26" t="n">
        <x:f>MIN(100,IF(H964="Enterprise",30,IF(H964="Mid-Market",22,14))+IF(T964="Enterprise",25,IF(T964="Mid-Market",18,10))+IF(Q964="Referral",25,IF(Q964="Organic Search",20,IF(Q964="Email",18,14)))+IF(G964="Technology",10,5))</x:f>
        <x:v>63</x:v>
      </x:c>
      <x:c r="AE964" t="str">
        <x:f>IF(U964&lt;&gt;"Open",U964,IF(N964&gt;=0.8,"Commit",IF(N964&gt;=0.5,"Best Case","Pipeline")))</x:f>
        <x:v>Commit</x:v>
      </x:c>
    </x:row>
    <x:row r="965">
      <x:c r="A965" t="str">
        <x:v>L00964</x:v>
      </x:c>
      <x:c r="B965" s="10" t="n">
        <x:v>45873</x:v>
      </x:c>
      <x:c r="C965" t="str">
        <x:v>Duy Pham</x:v>
      </x:c>
      <x:c r="D965" t="str">
        <x:v>South</x:v>
      </x:c>
      <x:c r="E965" t="str">
        <x:v>linkedin</x:v>
      </x:c>
      <x:c r="F965" t="str">
        <x:v>CRM-PRO</x:v>
      </x:c>
      <x:c r="G965" t="str">
        <x:v>Professional Services</x:v>
      </x:c>
      <x:c r="H965" t="str">
        <x:v>SMB</x:v>
      </x:c>
      <x:c r="I965" t="str">
        <x:v>Closed Lost</x:v>
      </x:c>
      <x:c r="J965" s="10" t="n">
        <x:v>45896</x:v>
      </x:c>
      <x:c r="K965" s="10" t="n">
        <x:v>45896</x:v>
      </x:c>
      <x:c r="L965" s="22" t="n">
        <x:v>14600</x:v>
      </x:c>
      <x:c r="M965" s="24" t="n">
        <x:v>0</x:v>
      </x:c>
      <x:c r="N965" s="24" t="n">
        <x:v>0</x:v>
      </x:c>
      <x:c r="O965" t="str">
        <x:v>Budget</x:v>
      </x:c>
      <x:c r="P965" t="n">
        <x:v>4</x:v>
      </x:c>
      <x:c r="Q965" t="str">
        <x:f>IFERROR(XLOOKUP(E965,Lookups!$A$5:$A$24,Lookups!$B$5:$B$24),"Other")</x:f>
        <x:v>LinkedIn</x:v>
      </x:c>
      <x:c r="R965" t="str">
        <x:f>IFERROR(XLOOKUP(F965,Lookups!$D$5:$D$10,Lookups!$E$5:$E$10),"Unknown Product")</x:f>
        <x:v>NexaCRM Pro</x:v>
      </x:c>
      <x:c r="S965" t="str">
        <x:f>IFERROR(XLOOKUP(F965,Lookups!$D$5:$D$10,Lookups!$F$5:$F$10),"Unknown")</x:f>
        <x:v>CRM</x:v>
      </x:c>
      <x:c r="T965" t="str">
        <x:f>IF(L965&gt;=50000,"Enterprise",IF(L965&gt;=20000,"Mid-Market","SMB"))</x:f>
        <x:v>SMB</x:v>
      </x:c>
      <x:c r="U965" t="str">
        <x:f>IF(I965="Closed Won","Won",IF(I965="Closed Lost","Lost","Open"))</x:f>
        <x:v>Lost</x:v>
      </x:c>
      <x:c r="V965" s="22" t="n">
        <x:f>IF(U965="Won",L965*(1-M965),0)</x:f>
        <x:v>0</x:v>
      </x:c>
      <x:c r="W965" s="22" t="n">
        <x:f>IF(U965="Open",L965*N965,0)</x:f>
        <x:v>0</x:v>
      </x:c>
      <x:c r="X965" s="26" t="n">
        <x:f>IF(U965="Open","",IFERROR(K965-B965,""))</x:f>
        <x:v>23</x:v>
      </x:c>
      <x:c r="Y965" s="26" t="n">
        <x:f>IF(U965="Open",Lookups!$B$2-B965,X965)</x:f>
        <x:v>23</x:v>
      </x:c>
      <x:c r="Z965" t="str">
        <x:f>IF(AND(U965="Open",Y965&gt;30),"STALE","OK")</x:f>
        <x:v>OK</x:v>
      </x:c>
      <x:c r="AA965" t="str">
        <x:f>TEXT(B965,"yyyy-mm")</x:f>
        <x:v>2025-08</x:v>
      </x:c>
      <x:c r="AB965" t="str">
        <x:f>IF(K965="","",TEXT(K965,"yyyy-mm"))</x:f>
        <x:v>2025-08</x:v>
      </x:c>
      <x:c r="AC965" t="str">
        <x:f>"Q"&amp;ROUNDUP(MONTH(B965)/3,0)&amp;"-"&amp;YEAR(B965)</x:f>
        <x:v>Q3-2025</x:v>
      </x:c>
      <x:c r="AD965" s="26" t="n">
        <x:f>MIN(100,IF(H965="Enterprise",30,IF(H965="Mid-Market",22,14))+IF(T965="Enterprise",25,IF(T965="Mid-Market",18,10))+IF(Q965="Referral",25,IF(Q965="Organic Search",20,IF(Q965="Email",18,14)))+IF(G965="Technology",10,5))</x:f>
        <x:v>43</x:v>
      </x:c>
      <x:c r="AE965" t="str">
        <x:f>IF(U965&lt;&gt;"Open",U965,IF(N965&gt;=0.8,"Commit",IF(N965&gt;=0.5,"Best Case","Pipeline")))</x:f>
        <x:v>Lost</x:v>
      </x:c>
    </x:row>
    <x:row r="966">
      <x:c r="A966" t="str">
        <x:v>L00965</x:v>
      </x:c>
      <x:c r="B966" s="10" t="n">
        <x:v>46192</x:v>
      </x:c>
      <x:c r="C966" t="str">
        <x:v>Quynh Vu</x:v>
      </x:c>
      <x:c r="D966" t="str">
        <x:v>North</x:v>
      </x:c>
      <x:c r="E966" t="str">
        <x:v>LinkedIn Ads</x:v>
      </x:c>
      <x:c r="F966" t="str">
        <x:v>CRM-CORE</x:v>
      </x:c>
      <x:c r="G966" t="str">
        <x:v>Financial Services</x:v>
      </x:c>
      <x:c r="H966" t="str">
        <x:v>SMB</x:v>
      </x:c>
      <x:c r="I966" t="str">
        <x:v>Demo / Meeting</x:v>
      </x:c>
      <x:c r="J966" s="10" t="n">
        <x:v>46237</x:v>
      </x:c>
      <x:c r="K966" s="10"/>
      <x:c r="L966" s="22" t="n">
        <x:v>9300</x:v>
      </x:c>
      <x:c r="M966" s="24" t="n">
        <x:v>0</x:v>
      </x:c>
      <x:c r="N966" s="24" t="n">
        <x:v>0.4</x:v>
      </x:c>
      <x:c r="O966" t="str"/>
      <x:c r="P966" t="n">
        <x:v>3</x:v>
      </x:c>
      <x:c r="Q966" t="str">
        <x:f>IFERROR(XLOOKUP(E966,Lookups!$A$5:$A$24,Lookups!$B$5:$B$24),"Other")</x:f>
        <x:v>LinkedIn</x:v>
      </x:c>
      <x:c r="R966" t="str">
        <x:f>IFERROR(XLOOKUP(F966,Lookups!$D$5:$D$10,Lookups!$E$5:$E$10),"Unknown Product")</x:f>
        <x:v>NexaCRM Core</x:v>
      </x:c>
      <x:c r="S966" t="str">
        <x:f>IFERROR(XLOOKUP(F966,Lookups!$D$5:$D$10,Lookups!$F$5:$F$10),"Unknown")</x:f>
        <x:v>CRM</x:v>
      </x:c>
      <x:c r="T966" t="str">
        <x:f>IF(L966&gt;=50000,"Enterprise",IF(L966&gt;=20000,"Mid-Market","SMB"))</x:f>
        <x:v>SMB</x:v>
      </x:c>
      <x:c r="U966" t="str">
        <x:f>IF(I966="Closed Won","Won",IF(I966="Closed Lost","Lost","Open"))</x:f>
        <x:v>Open</x:v>
      </x:c>
      <x:c r="V966" s="22" t="n">
        <x:f>IF(U966="Won",L966*(1-M966),0)</x:f>
        <x:v>0</x:v>
      </x:c>
      <x:c r="W966" s="22" t="n">
        <x:f>IF(U966="Open",L966*N966,0)</x:f>
        <x:v>3720</x:v>
      </x:c>
      <x:c r="X966" s="26" t="str">
        <x:f>IF(U966="Open","",IFERROR(K966-B966,""))</x:f>
      </x:c>
      <x:c r="Y966" s="26" t="n">
        <x:f>IF(U966="Open",Lookups!$B$2-B966,X966)</x:f>
        <x:v>74</x:v>
      </x:c>
      <x:c r="Z966" t="str">
        <x:f>IF(AND(U966="Open",Y966&gt;30),"STALE","OK")</x:f>
        <x:v>STALE</x:v>
      </x:c>
      <x:c r="AA966" t="str">
        <x:f>TEXT(B966,"yyyy-mm")</x:f>
        <x:v>2026-06</x:v>
      </x:c>
      <x:c r="AB966" t="str">
        <x:f>IF(K966="","",TEXT(K966,"yyyy-mm"))</x:f>
      </x:c>
      <x:c r="AC966" t="str">
        <x:f>"Q"&amp;ROUNDUP(MONTH(B966)/3,0)&amp;"-"&amp;YEAR(B966)</x:f>
        <x:v>Q2-2026</x:v>
      </x:c>
      <x:c r="AD966" s="26" t="n">
        <x:f>MIN(100,IF(H966="Enterprise",30,IF(H966="Mid-Market",22,14))+IF(T966="Enterprise",25,IF(T966="Mid-Market",18,10))+IF(Q966="Referral",25,IF(Q966="Organic Search",20,IF(Q966="Email",18,14)))+IF(G966="Technology",10,5))</x:f>
        <x:v>43</x:v>
      </x:c>
      <x:c r="AE966" t="str">
        <x:f>IF(U966&lt;&gt;"Open",U966,IF(N966&gt;=0.8,"Commit",IF(N966&gt;=0.5,"Best Case","Pipeline")))</x:f>
        <x:v>Pipeline</x:v>
      </x:c>
    </x:row>
    <x:row r="967">
      <x:c r="A967" t="str">
        <x:v>L00966</x:v>
      </x:c>
      <x:c r="B967" s="10" t="n">
        <x:v>46110</x:v>
      </x:c>
      <x:c r="C967" t="str">
        <x:v>Tuan Bui</x:v>
      </x:c>
      <x:c r="D967" t="str">
        <x:v>Central</x:v>
      </x:c>
      <x:c r="E967" t="str">
        <x:v>google cpc</x:v>
      </x:c>
      <x:c r="F967" t="str">
        <x:v>CRM-CORE</x:v>
      </x:c>
      <x:c r="G967" t="str">
        <x:v>Professional Services</x:v>
      </x:c>
      <x:c r="H967" t="str">
        <x:v>Mid-Market</x:v>
      </x:c>
      <x:c r="I967" t="str">
        <x:v>Closed Lost</x:v>
      </x:c>
      <x:c r="J967" s="10" t="n">
        <x:v>46141</x:v>
      </x:c>
      <x:c r="K967" s="10" t="n">
        <x:v>46141</x:v>
      </x:c>
      <x:c r="L967" s="22" t="n">
        <x:v>14600</x:v>
      </x:c>
      <x:c r="M967" s="24" t="n">
        <x:v>0</x:v>
      </x:c>
      <x:c r="N967" s="24" t="n">
        <x:v>0</x:v>
      </x:c>
      <x:c r="O967" t="str">
        <x:v>Competitor</x:v>
      </x:c>
      <x:c r="P967" t="n">
        <x:v>4</x:v>
      </x:c>
      <x:c r="Q967" t="str">
        <x:f>IFERROR(XLOOKUP(E967,Lookups!$A$5:$A$24,Lookups!$B$5:$B$24),"Other")</x:f>
        <x:v>Paid Search</x:v>
      </x:c>
      <x:c r="R967" t="str">
        <x:f>IFERROR(XLOOKUP(F967,Lookups!$D$5:$D$10,Lookups!$E$5:$E$10),"Unknown Product")</x:f>
        <x:v>NexaCRM Core</x:v>
      </x:c>
      <x:c r="S967" t="str">
        <x:f>IFERROR(XLOOKUP(F967,Lookups!$D$5:$D$10,Lookups!$F$5:$F$10),"Unknown")</x:f>
        <x:v>CRM</x:v>
      </x:c>
      <x:c r="T967" t="str">
        <x:f>IF(L967&gt;=50000,"Enterprise",IF(L967&gt;=20000,"Mid-Market","SMB"))</x:f>
        <x:v>SMB</x:v>
      </x:c>
      <x:c r="U967" t="str">
        <x:f>IF(I967="Closed Won","Won",IF(I967="Closed Lost","Lost","Open"))</x:f>
        <x:v>Lost</x:v>
      </x:c>
      <x:c r="V967" s="22" t="n">
        <x:f>IF(U967="Won",L967*(1-M967),0)</x:f>
        <x:v>0</x:v>
      </x:c>
      <x:c r="W967" s="22" t="n">
        <x:f>IF(U967="Open",L967*N967,0)</x:f>
        <x:v>0</x:v>
      </x:c>
      <x:c r="X967" s="26" t="n">
        <x:f>IF(U967="Open","",IFERROR(K967-B967,""))</x:f>
        <x:v>31</x:v>
      </x:c>
      <x:c r="Y967" s="26" t="n">
        <x:f>IF(U967="Open",Lookups!$B$2-B967,X967)</x:f>
        <x:v>31</x:v>
      </x:c>
      <x:c r="Z967" t="str">
        <x:f>IF(AND(U967="Open",Y967&gt;30),"STALE","OK")</x:f>
        <x:v>OK</x:v>
      </x:c>
      <x:c r="AA967" t="str">
        <x:f>TEXT(B967,"yyyy-mm")</x:f>
        <x:v>2026-03</x:v>
      </x:c>
      <x:c r="AB967" t="str">
        <x:f>IF(K967="","",TEXT(K967,"yyyy-mm"))</x:f>
        <x:v>2026-04</x:v>
      </x:c>
      <x:c r="AC967" t="str">
        <x:f>"Q"&amp;ROUNDUP(MONTH(B967)/3,0)&amp;"-"&amp;YEAR(B967)</x:f>
        <x:v>Q1-2026</x:v>
      </x:c>
      <x:c r="AD967" s="26" t="n">
        <x:f>MIN(100,IF(H967="Enterprise",30,IF(H967="Mid-Market",22,14))+IF(T967="Enterprise",25,IF(T967="Mid-Market",18,10))+IF(Q967="Referral",25,IF(Q967="Organic Search",20,IF(Q967="Email",18,14)))+IF(G967="Technology",10,5))</x:f>
        <x:v>51</x:v>
      </x:c>
      <x:c r="AE967" t="str">
        <x:f>IF(U967&lt;&gt;"Open",U967,IF(N967&gt;=0.8,"Commit",IF(N967&gt;=0.5,"Best Case","Pipeline")))</x:f>
        <x:v>Lost</x:v>
      </x:c>
    </x:row>
    <x:row r="968">
      <x:c r="A968" t="str">
        <x:v>L00967</x:v>
      </x:c>
      <x:c r="B968" s="10" t="n">
        <x:v>45682</x:v>
      </x:c>
      <x:c r="C968" t="str">
        <x:v>Ha Vo</x:v>
      </x:c>
      <x:c r="D968" t="str">
        <x:v>North</x:v>
      </x:c>
      <x:c r="E968" t="str">
        <x:v>SDR Outreach</x:v>
      </x:c>
      <x:c r="F968" t="str">
        <x:v>CRM-CORE</x:v>
      </x:c>
      <x:c r="G968" t="str">
        <x:v>Education</x:v>
      </x:c>
      <x:c r="H968" t="str">
        <x:v>SMB</x:v>
      </x:c>
      <x:c r="I968" t="str">
        <x:v>Closed Lost</x:v>
      </x:c>
      <x:c r="J968" s="10" t="n">
        <x:v>45706</x:v>
      </x:c>
      <x:c r="K968" s="10" t="n">
        <x:v>45706</x:v>
      </x:c>
      <x:c r="L968" s="22" t="n">
        <x:v>9600</x:v>
      </x:c>
      <x:c r="M968" s="24" t="n">
        <x:v>0</x:v>
      </x:c>
      <x:c r="N968" s="24" t="n">
        <x:v>0</x:v>
      </x:c>
      <x:c r="O968" t="str">
        <x:v>Budget</x:v>
      </x:c>
      <x:c r="P968" t="n">
        <x:v>2</x:v>
      </x:c>
      <x:c r="Q968" t="str">
        <x:f>IFERROR(XLOOKUP(E968,Lookups!$A$5:$A$24,Lookups!$B$5:$B$24),"Other")</x:f>
        <x:v>Outbound</x:v>
      </x:c>
      <x:c r="R968" t="str">
        <x:f>IFERROR(XLOOKUP(F968,Lookups!$D$5:$D$10,Lookups!$E$5:$E$10),"Unknown Product")</x:f>
        <x:v>NexaCRM Core</x:v>
      </x:c>
      <x:c r="S968" t="str">
        <x:f>IFERROR(XLOOKUP(F968,Lookups!$D$5:$D$10,Lookups!$F$5:$F$10),"Unknown")</x:f>
        <x:v>CRM</x:v>
      </x:c>
      <x:c r="T968" t="str">
        <x:f>IF(L968&gt;=50000,"Enterprise",IF(L968&gt;=20000,"Mid-Market","SMB"))</x:f>
        <x:v>SMB</x:v>
      </x:c>
      <x:c r="U968" t="str">
        <x:f>IF(I968="Closed Won","Won",IF(I968="Closed Lost","Lost","Open"))</x:f>
        <x:v>Lost</x:v>
      </x:c>
      <x:c r="V968" s="22" t="n">
        <x:f>IF(U968="Won",L968*(1-M968),0)</x:f>
        <x:v>0</x:v>
      </x:c>
      <x:c r="W968" s="22" t="n">
        <x:f>IF(U968="Open",L968*N968,0)</x:f>
        <x:v>0</x:v>
      </x:c>
      <x:c r="X968" s="26" t="n">
        <x:f>IF(U968="Open","",IFERROR(K968-B968,""))</x:f>
        <x:v>24</x:v>
      </x:c>
      <x:c r="Y968" s="26" t="n">
        <x:f>IF(U968="Open",Lookups!$B$2-B968,X968)</x:f>
        <x:v>24</x:v>
      </x:c>
      <x:c r="Z968" t="str">
        <x:f>IF(AND(U968="Open",Y968&gt;30),"STALE","OK")</x:f>
        <x:v>OK</x:v>
      </x:c>
      <x:c r="AA968" t="str">
        <x:f>TEXT(B968,"yyyy-mm")</x:f>
        <x:v>2025-01</x:v>
      </x:c>
      <x:c r="AB968" t="str">
        <x:f>IF(K968="","",TEXT(K968,"yyyy-mm"))</x:f>
        <x:v>2025-02</x:v>
      </x:c>
      <x:c r="AC968" t="str">
        <x:f>"Q"&amp;ROUNDUP(MONTH(B968)/3,0)&amp;"-"&amp;YEAR(B968)</x:f>
        <x:v>Q1-2025</x:v>
      </x:c>
      <x:c r="AD968" s="26" t="n">
        <x:f>MIN(100,IF(H968="Enterprise",30,IF(H968="Mid-Market",22,14))+IF(T968="Enterprise",25,IF(T968="Mid-Market",18,10))+IF(Q968="Referral",25,IF(Q968="Organic Search",20,IF(Q968="Email",18,14)))+IF(G968="Technology",10,5))</x:f>
        <x:v>43</x:v>
      </x:c>
      <x:c r="AE968" t="str">
        <x:f>IF(U968&lt;&gt;"Open",U968,IF(N968&gt;=0.8,"Commit",IF(N968&gt;=0.5,"Best Case","Pipeline")))</x:f>
        <x:v>Lost</x:v>
      </x:c>
    </x:row>
    <x:row r="969">
      <x:c r="A969" t="str">
        <x:v>L00968</x:v>
      </x:c>
      <x:c r="B969" s="10" t="n">
        <x:v>45986</x:v>
      </x:c>
      <x:c r="C969" t="str">
        <x:v>Chi Le</x:v>
      </x:c>
      <x:c r="D969" t="str">
        <x:v>South</x:v>
      </x:c>
      <x:c r="E969" t="str">
        <x:v>Outbound</x:v>
      </x:c>
      <x:c r="F969" t="str">
        <x:v>CRM-PRO</x:v>
      </x:c>
      <x:c r="G969" t="str">
        <x:v>Technology</x:v>
      </x:c>
      <x:c r="H969" t="str">
        <x:v>Mid-Market</x:v>
      </x:c>
      <x:c r="I969" t="str">
        <x:v>Closed Lost</x:v>
      </x:c>
      <x:c r="J969" s="10" t="n">
        <x:v>46024</x:v>
      </x:c>
      <x:c r="K969" s="10" t="n">
        <x:v>46024</x:v>
      </x:c>
      <x:c r="L969" s="22" t="n">
        <x:v>31300</x:v>
      </x:c>
      <x:c r="M969" s="24" t="n">
        <x:v>0</x:v>
      </x:c>
      <x:c r="N969" s="24" t="n">
        <x:v>0</x:v>
      </x:c>
      <x:c r="O969" t="str">
        <x:v>Budget</x:v>
      </x:c>
      <x:c r="P969" t="n">
        <x:v>5</x:v>
      </x:c>
      <x:c r="Q969" t="str">
        <x:f>IFERROR(XLOOKUP(E969,Lookups!$A$5:$A$24,Lookups!$B$5:$B$24),"Other")</x:f>
        <x:v>Outbound</x:v>
      </x:c>
      <x:c r="R969" t="str">
        <x:f>IFERROR(XLOOKUP(F969,Lookups!$D$5:$D$10,Lookups!$E$5:$E$10),"Unknown Product")</x:f>
        <x:v>NexaCRM Pro</x:v>
      </x:c>
      <x:c r="S969" t="str">
        <x:f>IFERROR(XLOOKUP(F969,Lookups!$D$5:$D$10,Lookups!$F$5:$F$10),"Unknown")</x:f>
        <x:v>CRM</x:v>
      </x:c>
      <x:c r="T969" t="str">
        <x:f>IF(L969&gt;=50000,"Enterprise",IF(L969&gt;=20000,"Mid-Market","SMB"))</x:f>
        <x:v>Mid-Market</x:v>
      </x:c>
      <x:c r="U969" t="str">
        <x:f>IF(I969="Closed Won","Won",IF(I969="Closed Lost","Lost","Open"))</x:f>
        <x:v>Lost</x:v>
      </x:c>
      <x:c r="V969" s="22" t="n">
        <x:f>IF(U969="Won",L969*(1-M969),0)</x:f>
        <x:v>0</x:v>
      </x:c>
      <x:c r="W969" s="22" t="n">
        <x:f>IF(U969="Open",L969*N969,0)</x:f>
        <x:v>0</x:v>
      </x:c>
      <x:c r="X969" s="26" t="n">
        <x:f>IF(U969="Open","",IFERROR(K969-B969,""))</x:f>
        <x:v>38</x:v>
      </x:c>
      <x:c r="Y969" s="26" t="n">
        <x:f>IF(U969="Open",Lookups!$B$2-B969,X969)</x:f>
        <x:v>38</x:v>
      </x:c>
      <x:c r="Z969" t="str">
        <x:f>IF(AND(U969="Open",Y969&gt;30),"STALE","OK")</x:f>
        <x:v>OK</x:v>
      </x:c>
      <x:c r="AA969" t="str">
        <x:f>TEXT(B969,"yyyy-mm")</x:f>
        <x:v>2025-11</x:v>
      </x:c>
      <x:c r="AB969" t="str">
        <x:f>IF(K969="","",TEXT(K969,"yyyy-mm"))</x:f>
        <x:v>2026-01</x:v>
      </x:c>
      <x:c r="AC969" t="str">
        <x:f>"Q"&amp;ROUNDUP(MONTH(B969)/3,0)&amp;"-"&amp;YEAR(B969)</x:f>
        <x:v>Q4-2025</x:v>
      </x:c>
      <x:c r="AD969" s="26" t="n">
        <x:f>MIN(100,IF(H969="Enterprise",30,IF(H969="Mid-Market",22,14))+IF(T969="Enterprise",25,IF(T969="Mid-Market",18,10))+IF(Q969="Referral",25,IF(Q969="Organic Search",20,IF(Q969="Email",18,14)))+IF(G969="Technology",10,5))</x:f>
        <x:v>64</x:v>
      </x:c>
      <x:c r="AE969" t="str">
        <x:f>IF(U969&lt;&gt;"Open",U969,IF(N969&gt;=0.8,"Commit",IF(N969&gt;=0.5,"Best Case","Pipeline")))</x:f>
        <x:v>Lost</x:v>
      </x:c>
    </x:row>
    <x:row r="970">
      <x:c r="A970" t="str">
        <x:v>L00969</x:v>
      </x:c>
      <x:c r="B970" s="10" t="n">
        <x:v>45992</x:v>
      </x:c>
      <x:c r="C970" t="str">
        <x:v>Bao Tran</x:v>
      </x:c>
      <x:c r="D970" t="str">
        <x:v>South</x:v>
      </x:c>
      <x:c r="E970" t="str">
        <x:v>SEM - Google</x:v>
      </x:c>
      <x:c r="F970" t="str">
        <x:v>CRM-CORE</x:v>
      </x:c>
      <x:c r="G970" t="str">
        <x:v>Manufacturing</x:v>
      </x:c>
      <x:c r="H970" t="str">
        <x:v>SMB</x:v>
      </x:c>
      <x:c r="I970" t="str">
        <x:v>Closed Lost</x:v>
      </x:c>
      <x:c r="J970" s="10" t="n">
        <x:v>46005</x:v>
      </x:c>
      <x:c r="K970" s="10" t="n">
        <x:v>46005</x:v>
      </x:c>
      <x:c r="L970" s="22" t="n">
        <x:v>8000</x:v>
      </x:c>
      <x:c r="M970" s="24" t="n">
        <x:v>0</x:v>
      </x:c>
      <x:c r="N970" s="24" t="n">
        <x:v>0</x:v>
      </x:c>
      <x:c r="O970" t="str">
        <x:v>No Decision</x:v>
      </x:c>
      <x:c r="P970" t="n">
        <x:v>5</x:v>
      </x:c>
      <x:c r="Q970" t="str">
        <x:f>IFERROR(XLOOKUP(E970,Lookups!$A$5:$A$24,Lookups!$B$5:$B$24),"Other")</x:f>
        <x:v>Paid Search</x:v>
      </x:c>
      <x:c r="R970" t="str">
        <x:f>IFERROR(XLOOKUP(F970,Lookups!$D$5:$D$10,Lookups!$E$5:$E$10),"Unknown Product")</x:f>
        <x:v>NexaCRM Core</x:v>
      </x:c>
      <x:c r="S970" t="str">
        <x:f>IFERROR(XLOOKUP(F970,Lookups!$D$5:$D$10,Lookups!$F$5:$F$10),"Unknown")</x:f>
        <x:v>CRM</x:v>
      </x:c>
      <x:c r="T970" t="str">
        <x:f>IF(L970&gt;=50000,"Enterprise",IF(L970&gt;=20000,"Mid-Market","SMB"))</x:f>
        <x:v>SMB</x:v>
      </x:c>
      <x:c r="U970" t="str">
        <x:f>IF(I970="Closed Won","Won",IF(I970="Closed Lost","Lost","Open"))</x:f>
        <x:v>Lost</x:v>
      </x:c>
      <x:c r="V970" s="22" t="n">
        <x:f>IF(U970="Won",L970*(1-M970),0)</x:f>
        <x:v>0</x:v>
      </x:c>
      <x:c r="W970" s="22" t="n">
        <x:f>IF(U970="Open",L970*N970,0)</x:f>
        <x:v>0</x:v>
      </x:c>
      <x:c r="X970" s="26" t="n">
        <x:f>IF(U970="Open","",IFERROR(K970-B970,""))</x:f>
        <x:v>13</x:v>
      </x:c>
      <x:c r="Y970" s="26" t="n">
        <x:f>IF(U970="Open",Lookups!$B$2-B970,X970)</x:f>
        <x:v>13</x:v>
      </x:c>
      <x:c r="Z970" t="str">
        <x:f>IF(AND(U970="Open",Y970&gt;30),"STALE","OK")</x:f>
        <x:v>OK</x:v>
      </x:c>
      <x:c r="AA970" t="str">
        <x:f>TEXT(B970,"yyyy-mm")</x:f>
        <x:v>2025-12</x:v>
      </x:c>
      <x:c r="AB970" t="str">
        <x:f>IF(K970="","",TEXT(K970,"yyyy-mm"))</x:f>
        <x:v>2025-12</x:v>
      </x:c>
      <x:c r="AC970" t="str">
        <x:f>"Q"&amp;ROUNDUP(MONTH(B970)/3,0)&amp;"-"&amp;YEAR(B970)</x:f>
        <x:v>Q4-2025</x:v>
      </x:c>
      <x:c r="AD970" s="26" t="n">
        <x:f>MIN(100,IF(H970="Enterprise",30,IF(H970="Mid-Market",22,14))+IF(T970="Enterprise",25,IF(T970="Mid-Market",18,10))+IF(Q970="Referral",25,IF(Q970="Organic Search",20,IF(Q970="Email",18,14)))+IF(G970="Technology",10,5))</x:f>
        <x:v>43</x:v>
      </x:c>
      <x:c r="AE970" t="str">
        <x:f>IF(U970&lt;&gt;"Open",U970,IF(N970&gt;=0.8,"Commit",IF(N970&gt;=0.5,"Best Case","Pipeline")))</x:f>
        <x:v>Lost</x:v>
      </x:c>
    </x:row>
    <x:row r="971">
      <x:c r="A971" t="str">
        <x:v>L00970</x:v>
      </x:c>
      <x:c r="B971" s="10" t="n">
        <x:v>45761</x:v>
      </x:c>
      <x:c r="C971" t="str">
        <x:v>Bao Tran</x:v>
      </x:c>
      <x:c r="D971" t="str">
        <x:v>South</x:v>
      </x:c>
      <x:c r="E971" t="str">
        <x:v>linkedin</x:v>
      </x:c>
      <x:c r="F971" t="str">
        <x:v>CS-CLOUD</x:v>
      </x:c>
      <x:c r="G971" t="str">
        <x:v>Professional Services</x:v>
      </x:c>
      <x:c r="H971" t="str">
        <x:v>Mid-Market</x:v>
      </x:c>
      <x:c r="I971" t="str">
        <x:v>Closed Won</x:v>
      </x:c>
      <x:c r="J971" s="10" t="n">
        <x:v>45789</x:v>
      </x:c>
      <x:c r="K971" s="10" t="n">
        <x:v>45789</x:v>
      </x:c>
      <x:c r="L971" s="22" t="n">
        <x:v>44100</x:v>
      </x:c>
      <x:c r="M971" s="24" t="n">
        <x:v>0.03</x:v>
      </x:c>
      <x:c r="N971" s="24" t="n">
        <x:v>1</x:v>
      </x:c>
      <x:c r="O971" t="str"/>
      <x:c r="P971" t="n">
        <x:v>6</x:v>
      </x:c>
      <x:c r="Q971" t="str">
        <x:f>IFERROR(XLOOKUP(E971,Lookups!$A$5:$A$24,Lookups!$B$5:$B$24),"Other")</x:f>
        <x:v>LinkedIn</x:v>
      </x:c>
      <x:c r="R971" t="str">
        <x:f>IFERROR(XLOOKUP(F971,Lookups!$D$5:$D$10,Lookups!$E$5:$E$10),"Unknown Product")</x:f>
        <x:v>Service Cloud</x:v>
      </x:c>
      <x:c r="S971" t="str">
        <x:f>IFERROR(XLOOKUP(F971,Lookups!$D$5:$D$10,Lookups!$F$5:$F$10),"Unknown")</x:f>
        <x:v>Customer Service</x:v>
      </x:c>
      <x:c r="T971" t="str">
        <x:f>IF(L971&gt;=50000,"Enterprise",IF(L971&gt;=20000,"Mid-Market","SMB"))</x:f>
        <x:v>Mid-Market</x:v>
      </x:c>
      <x:c r="U971" t="str">
        <x:f>IF(I971="Closed Won","Won",IF(I971="Closed Lost","Lost","Open"))</x:f>
        <x:v>Won</x:v>
      </x:c>
      <x:c r="V971" s="22" t="n">
        <x:f>IF(U971="Won",L971*(1-M971),0)</x:f>
        <x:v>42777</x:v>
      </x:c>
      <x:c r="W971" s="22" t="n">
        <x:f>IF(U971="Open",L971*N971,0)</x:f>
        <x:v>0</x:v>
      </x:c>
      <x:c r="X971" s="26" t="n">
        <x:f>IF(U971="Open","",IFERROR(K971-B971,""))</x:f>
        <x:v>28</x:v>
      </x:c>
      <x:c r="Y971" s="26" t="n">
        <x:f>IF(U971="Open",Lookups!$B$2-B971,X971)</x:f>
        <x:v>28</x:v>
      </x:c>
      <x:c r="Z971" t="str">
        <x:f>IF(AND(U971="Open",Y971&gt;30),"STALE","OK")</x:f>
        <x:v>OK</x:v>
      </x:c>
      <x:c r="AA971" t="str">
        <x:f>TEXT(B971,"yyyy-mm")</x:f>
        <x:v>2025-04</x:v>
      </x:c>
      <x:c r="AB971" t="str">
        <x:f>IF(K971="","",TEXT(K971,"yyyy-mm"))</x:f>
        <x:v>2025-05</x:v>
      </x:c>
      <x:c r="AC971" t="str">
        <x:f>"Q"&amp;ROUNDUP(MONTH(B971)/3,0)&amp;"-"&amp;YEAR(B971)</x:f>
        <x:v>Q2-2025</x:v>
      </x:c>
      <x:c r="AD971" s="26" t="n">
        <x:f>MIN(100,IF(H971="Enterprise",30,IF(H971="Mid-Market",22,14))+IF(T971="Enterprise",25,IF(T971="Mid-Market",18,10))+IF(Q971="Referral",25,IF(Q971="Organic Search",20,IF(Q971="Email",18,14)))+IF(G971="Technology",10,5))</x:f>
        <x:v>59</x:v>
      </x:c>
      <x:c r="AE971" t="str">
        <x:f>IF(U971&lt;&gt;"Open",U971,IF(N971&gt;=0.8,"Commit",IF(N971&gt;=0.5,"Best Case","Pipeline")))</x:f>
        <x:v>Won</x:v>
      </x:c>
    </x:row>
    <x:row r="972">
      <x:c r="A972" t="str">
        <x:v>L00971</x:v>
      </x:c>
      <x:c r="B972" s="10" t="n">
        <x:v>45738</x:v>
      </x:c>
      <x:c r="C972" t="str">
        <x:v>An Nguyen</x:v>
      </x:c>
      <x:c r="D972" t="str">
        <x:v>South</x:v>
      </x:c>
      <x:c r="E972" t="str">
        <x:v>Cold Email</x:v>
      </x:c>
      <x:c r="F972" t="str">
        <x:v>CS-CLOUD</x:v>
      </x:c>
      <x:c r="G972" t="str">
        <x:v>Education</x:v>
      </x:c>
      <x:c r="H972" t="str">
        <x:v>SMB</x:v>
      </x:c>
      <x:c r="I972" t="str">
        <x:v>Closed Won</x:v>
      </x:c>
      <x:c r="J972" s="10" t="n">
        <x:v>45776</x:v>
      </x:c>
      <x:c r="K972" s="10" t="n">
        <x:v>45776</x:v>
      </x:c>
      <x:c r="L972" s="22" t="n">
        <x:v>14500</x:v>
      </x:c>
      <x:c r="M972" s="24" t="n">
        <x:v>0.12</x:v>
      </x:c>
      <x:c r="N972" s="24" t="n">
        <x:v>1</x:v>
      </x:c>
      <x:c r="O972" t="str"/>
      <x:c r="P972" t="n">
        <x:v>6</x:v>
      </x:c>
      <x:c r="Q972" t="str">
        <x:f>IFERROR(XLOOKUP(E972,Lookups!$A$5:$A$24,Lookups!$B$5:$B$24),"Other")</x:f>
        <x:v>Outbound</x:v>
      </x:c>
      <x:c r="R972" t="str">
        <x:f>IFERROR(XLOOKUP(F972,Lookups!$D$5:$D$10,Lookups!$E$5:$E$10),"Unknown Product")</x:f>
        <x:v>Service Cloud</x:v>
      </x:c>
      <x:c r="S972" t="str">
        <x:f>IFERROR(XLOOKUP(F972,Lookups!$D$5:$D$10,Lookups!$F$5:$F$10),"Unknown")</x:f>
        <x:v>Customer Service</x:v>
      </x:c>
      <x:c r="T972" t="str">
        <x:f>IF(L972&gt;=50000,"Enterprise",IF(L972&gt;=20000,"Mid-Market","SMB"))</x:f>
        <x:v>SMB</x:v>
      </x:c>
      <x:c r="U972" t="str">
        <x:f>IF(I972="Closed Won","Won",IF(I972="Closed Lost","Lost","Open"))</x:f>
        <x:v>Won</x:v>
      </x:c>
      <x:c r="V972" s="22" t="n">
        <x:f>IF(U972="Won",L972*(1-M972),0)</x:f>
        <x:v>12760</x:v>
      </x:c>
      <x:c r="W972" s="22" t="n">
        <x:f>IF(U972="Open",L972*N972,0)</x:f>
        <x:v>0</x:v>
      </x:c>
      <x:c r="X972" s="26" t="n">
        <x:f>IF(U972="Open","",IFERROR(K972-B972,""))</x:f>
        <x:v>38</x:v>
      </x:c>
      <x:c r="Y972" s="26" t="n">
        <x:f>IF(U972="Open",Lookups!$B$2-B972,X972)</x:f>
        <x:v>38</x:v>
      </x:c>
      <x:c r="Z972" t="str">
        <x:f>IF(AND(U972="Open",Y972&gt;30),"STALE","OK")</x:f>
        <x:v>OK</x:v>
      </x:c>
      <x:c r="AA972" t="str">
        <x:f>TEXT(B972,"yyyy-mm")</x:f>
        <x:v>2025-03</x:v>
      </x:c>
      <x:c r="AB972" t="str">
        <x:f>IF(K972="","",TEXT(K972,"yyyy-mm"))</x:f>
        <x:v>2025-04</x:v>
      </x:c>
      <x:c r="AC972" t="str">
        <x:f>"Q"&amp;ROUNDUP(MONTH(B972)/3,0)&amp;"-"&amp;YEAR(B972)</x:f>
        <x:v>Q1-2025</x:v>
      </x:c>
      <x:c r="AD972" s="26" t="n">
        <x:f>MIN(100,IF(H972="Enterprise",30,IF(H972="Mid-Market",22,14))+IF(T972="Enterprise",25,IF(T972="Mid-Market",18,10))+IF(Q972="Referral",25,IF(Q972="Organic Search",20,IF(Q972="Email",18,14)))+IF(G972="Technology",10,5))</x:f>
        <x:v>43</x:v>
      </x:c>
      <x:c r="AE972" t="str">
        <x:f>IF(U972&lt;&gt;"Open",U972,IF(N972&gt;=0.8,"Commit",IF(N972&gt;=0.5,"Best Case","Pipeline")))</x:f>
        <x:v>Won</x:v>
      </x:c>
    </x:row>
    <x:row r="973">
      <x:c r="A973" t="str">
        <x:v>L00972</x:v>
      </x:c>
      <x:c r="B973" s="10" t="n">
        <x:v>45667</x:v>
      </x:c>
      <x:c r="C973" t="str">
        <x:v>Duy Pham</x:v>
      </x:c>
      <x:c r="D973" t="str">
        <x:v>South</x:v>
      </x:c>
      <x:c r="E973" t="str">
        <x:v>virtual event</x:v>
      </x:c>
      <x:c r="F973" t="str">
        <x:v>CRM-PRO</x:v>
      </x:c>
      <x:c r="G973" t="str">
        <x:v>Retail</x:v>
      </x:c>
      <x:c r="H973" t="str">
        <x:v>SMB</x:v>
      </x:c>
      <x:c r="I973" t="str">
        <x:v>Closed Won</x:v>
      </x:c>
      <x:c r="J973" s="10" t="n">
        <x:v>45725</x:v>
      </x:c>
      <x:c r="K973" s="10" t="n">
        <x:v>45725</x:v>
      </x:c>
      <x:c r="L973" s="22" t="n">
        <x:v>17000</x:v>
      </x:c>
      <x:c r="M973" s="24" t="n">
        <x:v>0.12</x:v>
      </x:c>
      <x:c r="N973" s="24" t="n">
        <x:v>1</x:v>
      </x:c>
      <x:c r="O973" t="str"/>
      <x:c r="P973" t="n">
        <x:v>6</x:v>
      </x:c>
      <x:c r="Q973" t="str">
        <x:f>IFERROR(XLOOKUP(E973,Lookups!$A$5:$A$24,Lookups!$B$5:$B$24),"Other")</x:f>
        <x:v>Webinar</x:v>
      </x:c>
      <x:c r="R973" t="str">
        <x:f>IFERROR(XLOOKUP(F973,Lookups!$D$5:$D$10,Lookups!$E$5:$E$10),"Unknown Product")</x:f>
        <x:v>NexaCRM Pro</x:v>
      </x:c>
      <x:c r="S973" t="str">
        <x:f>IFERROR(XLOOKUP(F973,Lookups!$D$5:$D$10,Lookups!$F$5:$F$10),"Unknown")</x:f>
        <x:v>CRM</x:v>
      </x:c>
      <x:c r="T973" t="str">
        <x:f>IF(L973&gt;=50000,"Enterprise",IF(L973&gt;=20000,"Mid-Market","SMB"))</x:f>
        <x:v>SMB</x:v>
      </x:c>
      <x:c r="U973" t="str">
        <x:f>IF(I973="Closed Won","Won",IF(I973="Closed Lost","Lost","Open"))</x:f>
        <x:v>Won</x:v>
      </x:c>
      <x:c r="V973" s="22" t="n">
        <x:f>IF(U973="Won",L973*(1-M973),0)</x:f>
        <x:v>14960</x:v>
      </x:c>
      <x:c r="W973" s="22" t="n">
        <x:f>IF(U973="Open",L973*N973,0)</x:f>
        <x:v>0</x:v>
      </x:c>
      <x:c r="X973" s="26" t="n">
        <x:f>IF(U973="Open","",IFERROR(K973-B973,""))</x:f>
        <x:v>58</x:v>
      </x:c>
      <x:c r="Y973" s="26" t="n">
        <x:f>IF(U973="Open",Lookups!$B$2-B973,X973)</x:f>
        <x:v>58</x:v>
      </x:c>
      <x:c r="Z973" t="str">
        <x:f>IF(AND(U973="Open",Y973&gt;30),"STALE","OK")</x:f>
        <x:v>OK</x:v>
      </x:c>
      <x:c r="AA973" t="str">
        <x:f>TEXT(B973,"yyyy-mm")</x:f>
        <x:v>2025-01</x:v>
      </x:c>
      <x:c r="AB973" t="str">
        <x:f>IF(K973="","",TEXT(K973,"yyyy-mm"))</x:f>
        <x:v>2025-03</x:v>
      </x:c>
      <x:c r="AC973" t="str">
        <x:f>"Q"&amp;ROUNDUP(MONTH(B973)/3,0)&amp;"-"&amp;YEAR(B973)</x:f>
        <x:v>Q1-2025</x:v>
      </x:c>
      <x:c r="AD973" s="26" t="n">
        <x:f>MIN(100,IF(H973="Enterprise",30,IF(H973="Mid-Market",22,14))+IF(T973="Enterprise",25,IF(T973="Mid-Market",18,10))+IF(Q973="Referral",25,IF(Q973="Organic Search",20,IF(Q973="Email",18,14)))+IF(G973="Technology",10,5))</x:f>
        <x:v>43</x:v>
      </x:c>
      <x:c r="AE973" t="str">
        <x:f>IF(U973&lt;&gt;"Open",U973,IF(N973&gt;=0.8,"Commit",IF(N973&gt;=0.5,"Best Case","Pipeline")))</x:f>
        <x:v>Won</x:v>
      </x:c>
    </x:row>
    <x:row r="974">
      <x:c r="A974" t="str">
        <x:v>L00973</x:v>
      </x:c>
      <x:c r="B974" s="10" t="n">
        <x:v>45703</x:v>
      </x:c>
      <x:c r="C974" t="str">
        <x:v>Duy Pham</x:v>
      </x:c>
      <x:c r="D974" t="str">
        <x:v>South</x:v>
      </x:c>
      <x:c r="E974" t="str">
        <x:v>Webinar</x:v>
      </x:c>
      <x:c r="F974" t="str">
        <x:v>CRM-CORE</x:v>
      </x:c>
      <x:c r="G974" t="str">
        <x:v>Financial Services</x:v>
      </x:c>
      <x:c r="H974" t="str">
        <x:v>SMB</x:v>
      </x:c>
      <x:c r="I974" t="str">
        <x:v>Negotiation</x:v>
      </x:c>
      <x:c r="J974" s="10" t="n">
        <x:v>46035</x:v>
      </x:c>
      <x:c r="K974" s="10"/>
      <x:c r="L974" s="22" t="n">
        <x:v>5800</x:v>
      </x:c>
      <x:c r="M974" s="24" t="n">
        <x:v>0</x:v>
      </x:c>
      <x:c r="N974" s="24" t="n">
        <x:v>0.85</x:v>
      </x:c>
      <x:c r="O974" t="str"/>
      <x:c r="P974" t="n">
        <x:v>5</x:v>
      </x:c>
      <x:c r="Q974" t="str">
        <x:f>IFERROR(XLOOKUP(E974,Lookups!$A$5:$A$24,Lookups!$B$5:$B$24),"Other")</x:f>
        <x:v>Webinar</x:v>
      </x:c>
      <x:c r="R974" t="str">
        <x:f>IFERROR(XLOOKUP(F974,Lookups!$D$5:$D$10,Lookups!$E$5:$E$10),"Unknown Product")</x:f>
        <x:v>NexaCRM Core</x:v>
      </x:c>
      <x:c r="S974" t="str">
        <x:f>IFERROR(XLOOKUP(F974,Lookups!$D$5:$D$10,Lookups!$F$5:$F$10),"Unknown")</x:f>
        <x:v>CRM</x:v>
      </x:c>
      <x:c r="T974" t="str">
        <x:f>IF(L974&gt;=50000,"Enterprise",IF(L974&gt;=20000,"Mid-Market","SMB"))</x:f>
        <x:v>SMB</x:v>
      </x:c>
      <x:c r="U974" t="str">
        <x:f>IF(I974="Closed Won","Won",IF(I974="Closed Lost","Lost","Open"))</x:f>
        <x:v>Open</x:v>
      </x:c>
      <x:c r="V974" s="22" t="n">
        <x:f>IF(U974="Won",L974*(1-M974),0)</x:f>
        <x:v>0</x:v>
      </x:c>
      <x:c r="W974" s="22" t="n">
        <x:f>IF(U974="Open",L974*N974,0)</x:f>
        <x:v>4930</x:v>
      </x:c>
      <x:c r="X974" s="26" t="str">
        <x:f>IF(U974="Open","",IFERROR(K974-B974,""))</x:f>
      </x:c>
      <x:c r="Y974" s="26" t="n">
        <x:f>IF(U974="Open",Lookups!$B$2-B974,X974)</x:f>
        <x:v>563</x:v>
      </x:c>
      <x:c r="Z974" t="str">
        <x:f>IF(AND(U974="Open",Y974&gt;30),"STALE","OK")</x:f>
        <x:v>STALE</x:v>
      </x:c>
      <x:c r="AA974" t="str">
        <x:f>TEXT(B974,"yyyy-mm")</x:f>
        <x:v>2025-02</x:v>
      </x:c>
      <x:c r="AB974" t="str">
        <x:f>IF(K974="","",TEXT(K974,"yyyy-mm"))</x:f>
      </x:c>
      <x:c r="AC974" t="str">
        <x:f>"Q"&amp;ROUNDUP(MONTH(B974)/3,0)&amp;"-"&amp;YEAR(B974)</x:f>
        <x:v>Q1-2025</x:v>
      </x:c>
      <x:c r="AD974" s="26" t="n">
        <x:f>MIN(100,IF(H974="Enterprise",30,IF(H974="Mid-Market",22,14))+IF(T974="Enterprise",25,IF(T974="Mid-Market",18,10))+IF(Q974="Referral",25,IF(Q974="Organic Search",20,IF(Q974="Email",18,14)))+IF(G974="Technology",10,5))</x:f>
        <x:v>43</x:v>
      </x:c>
      <x:c r="AE974" t="str">
        <x:f>IF(U974&lt;&gt;"Open",U974,IF(N974&gt;=0.8,"Commit",IF(N974&gt;=0.5,"Best Case","Pipeline")))</x:f>
        <x:v>Commit</x:v>
      </x:c>
    </x:row>
    <x:row r="975">
      <x:c r="A975" t="str">
        <x:v>L00974</x:v>
      </x:c>
      <x:c r="B975" s="10" t="n">
        <x:v>46039</x:v>
      </x:c>
      <x:c r="C975" t="str">
        <x:v>Quynh Vu</x:v>
      </x:c>
      <x:c r="D975" t="str">
        <x:v>North</x:v>
      </x:c>
      <x:c r="E975" t="str">
        <x:v>Google Organic</x:v>
      </x:c>
      <x:c r="F975" t="str">
        <x:v>REV-OPS</x:v>
      </x:c>
      <x:c r="G975" t="str">
        <x:v>Education</x:v>
      </x:c>
      <x:c r="H975" t="str">
        <x:v>SMB</x:v>
      </x:c>
      <x:c r="I975" t="str">
        <x:v>Closed Lost</x:v>
      </x:c>
      <x:c r="J975" s="10" t="n">
        <x:v>46104</x:v>
      </x:c>
      <x:c r="K975" s="10" t="n">
        <x:v>46104</x:v>
      </x:c>
      <x:c r="L975" s="22" t="n">
        <x:v>20600</x:v>
      </x:c>
      <x:c r="M975" s="24" t="n">
        <x:v>0</x:v>
      </x:c>
      <x:c r="N975" s="24" t="n">
        <x:v>0</x:v>
      </x:c>
      <x:c r="O975" t="str">
        <x:v>Competitor</x:v>
      </x:c>
      <x:c r="P975" t="n">
        <x:v>2</x:v>
      </x:c>
      <x:c r="Q975" t="str">
        <x:f>IFERROR(XLOOKUP(E975,Lookups!$A$5:$A$24,Lookups!$B$5:$B$24),"Other")</x:f>
        <x:v>Organic Search</x:v>
      </x:c>
      <x:c r="R975" t="str">
        <x:f>IFERROR(XLOOKUP(F975,Lookups!$D$5:$D$10,Lookups!$E$5:$E$10),"Unknown Product")</x:f>
        <x:v>Revenue Operations Suite</x:v>
      </x:c>
      <x:c r="S975" t="str">
        <x:f>IFERROR(XLOOKUP(F975,Lookups!$D$5:$D$10,Lookups!$F$5:$F$10),"Unknown")</x:f>
        <x:v>Revenue Ops</x:v>
      </x:c>
      <x:c r="T975" t="str">
        <x:f>IF(L975&gt;=50000,"Enterprise",IF(L975&gt;=20000,"Mid-Market","SMB"))</x:f>
        <x:v>Mid-Market</x:v>
      </x:c>
      <x:c r="U975" t="str">
        <x:f>IF(I975="Closed Won","Won",IF(I975="Closed Lost","Lost","Open"))</x:f>
        <x:v>Lost</x:v>
      </x:c>
      <x:c r="V975" s="22" t="n">
        <x:f>IF(U975="Won",L975*(1-M975),0)</x:f>
        <x:v>0</x:v>
      </x:c>
      <x:c r="W975" s="22" t="n">
        <x:f>IF(U975="Open",L975*N975,0)</x:f>
        <x:v>0</x:v>
      </x:c>
      <x:c r="X975" s="26" t="n">
        <x:f>IF(U975="Open","",IFERROR(K975-B975,""))</x:f>
        <x:v>65</x:v>
      </x:c>
      <x:c r="Y975" s="26" t="n">
        <x:f>IF(U975="Open",Lookups!$B$2-B975,X975)</x:f>
        <x:v>65</x:v>
      </x:c>
      <x:c r="Z975" t="str">
        <x:f>IF(AND(U975="Open",Y975&gt;30),"STALE","OK")</x:f>
        <x:v>OK</x:v>
      </x:c>
      <x:c r="AA975" t="str">
        <x:f>TEXT(B975,"yyyy-mm")</x:f>
        <x:v>2026-01</x:v>
      </x:c>
      <x:c r="AB975" t="str">
        <x:f>IF(K975="","",TEXT(K975,"yyyy-mm"))</x:f>
        <x:v>2026-03</x:v>
      </x:c>
      <x:c r="AC975" t="str">
        <x:f>"Q"&amp;ROUNDUP(MONTH(B975)/3,0)&amp;"-"&amp;YEAR(B975)</x:f>
        <x:v>Q1-2026</x:v>
      </x:c>
      <x:c r="AD975" s="26" t="n">
        <x:f>MIN(100,IF(H975="Enterprise",30,IF(H975="Mid-Market",22,14))+IF(T975="Enterprise",25,IF(T975="Mid-Market",18,10))+IF(Q975="Referral",25,IF(Q975="Organic Search",20,IF(Q975="Email",18,14)))+IF(G975="Technology",10,5))</x:f>
        <x:v>57</x:v>
      </x:c>
      <x:c r="AE975" t="str">
        <x:f>IF(U975&lt;&gt;"Open",U975,IF(N975&gt;=0.8,"Commit",IF(N975&gt;=0.5,"Best Case","Pipeline")))</x:f>
        <x:v>Lost</x:v>
      </x:c>
    </x:row>
    <x:row r="976">
      <x:c r="A976" t="str">
        <x:v>L00975</x:v>
      </x:c>
      <x:c r="B976" s="10" t="n">
        <x:v>45711</x:v>
      </x:c>
      <x:c r="C976" t="str">
        <x:v>Bao Tran</x:v>
      </x:c>
      <x:c r="D976" t="str">
        <x:v>South</x:v>
      </x:c>
      <x:c r="E976" t="str">
        <x:v>google cpc</x:v>
      </x:c>
      <x:c r="F976" t="str">
        <x:v>CS-CLOUD</x:v>
      </x:c>
      <x:c r="G976" t="str">
        <x:v>Financial Services</x:v>
      </x:c>
      <x:c r="H976" t="str">
        <x:v>SMB</x:v>
      </x:c>
      <x:c r="I976" t="str">
        <x:v>Closed Won</x:v>
      </x:c>
      <x:c r="J976" s="10" t="n">
        <x:v>45756</x:v>
      </x:c>
      <x:c r="K976" s="10" t="n">
        <x:v>45756</x:v>
      </x:c>
      <x:c r="L976" s="22" t="n">
        <x:v>21100</x:v>
      </x:c>
      <x:c r="M976" s="24" t="n">
        <x:v>0.08</x:v>
      </x:c>
      <x:c r="N976" s="24" t="n">
        <x:v>1</x:v>
      </x:c>
      <x:c r="O976" t="str"/>
      <x:c r="P976" t="n">
        <x:v>6</x:v>
      </x:c>
      <x:c r="Q976" t="str">
        <x:f>IFERROR(XLOOKUP(E976,Lookups!$A$5:$A$24,Lookups!$B$5:$B$24),"Other")</x:f>
        <x:v>Paid Search</x:v>
      </x:c>
      <x:c r="R976" t="str">
        <x:f>IFERROR(XLOOKUP(F976,Lookups!$D$5:$D$10,Lookups!$E$5:$E$10),"Unknown Product")</x:f>
        <x:v>Service Cloud</x:v>
      </x:c>
      <x:c r="S976" t="str">
        <x:f>IFERROR(XLOOKUP(F976,Lookups!$D$5:$D$10,Lookups!$F$5:$F$10),"Unknown")</x:f>
        <x:v>Customer Service</x:v>
      </x:c>
      <x:c r="T976" t="str">
        <x:f>IF(L976&gt;=50000,"Enterprise",IF(L976&gt;=20000,"Mid-Market","SMB"))</x:f>
        <x:v>Mid-Market</x:v>
      </x:c>
      <x:c r="U976" t="str">
        <x:f>IF(I976="Closed Won","Won",IF(I976="Closed Lost","Lost","Open"))</x:f>
        <x:v>Won</x:v>
      </x:c>
      <x:c r="V976" s="22" t="n">
        <x:f>IF(U976="Won",L976*(1-M976),0)</x:f>
        <x:v>19412</x:v>
      </x:c>
      <x:c r="W976" s="22" t="n">
        <x:f>IF(U976="Open",L976*N976,0)</x:f>
        <x:v>0</x:v>
      </x:c>
      <x:c r="X976" s="26" t="n">
        <x:f>IF(U976="Open","",IFERROR(K976-B976,""))</x:f>
        <x:v>45</x:v>
      </x:c>
      <x:c r="Y976" s="26" t="n">
        <x:f>IF(U976="Open",Lookups!$B$2-B976,X976)</x:f>
        <x:v>45</x:v>
      </x:c>
      <x:c r="Z976" t="str">
        <x:f>IF(AND(U976="Open",Y976&gt;30),"STALE","OK")</x:f>
        <x:v>OK</x:v>
      </x:c>
      <x:c r="AA976" t="str">
        <x:f>TEXT(B976,"yyyy-mm")</x:f>
        <x:v>2025-02</x:v>
      </x:c>
      <x:c r="AB976" t="str">
        <x:f>IF(K976="","",TEXT(K976,"yyyy-mm"))</x:f>
        <x:v>2025-04</x:v>
      </x:c>
      <x:c r="AC976" t="str">
        <x:f>"Q"&amp;ROUNDUP(MONTH(B976)/3,0)&amp;"-"&amp;YEAR(B976)</x:f>
        <x:v>Q1-2025</x:v>
      </x:c>
      <x:c r="AD976" s="26" t="n">
        <x:f>MIN(100,IF(H976="Enterprise",30,IF(H976="Mid-Market",22,14))+IF(T976="Enterprise",25,IF(T976="Mid-Market",18,10))+IF(Q976="Referral",25,IF(Q976="Organic Search",20,IF(Q976="Email",18,14)))+IF(G976="Technology",10,5))</x:f>
        <x:v>51</x:v>
      </x:c>
      <x:c r="AE976" t="str">
        <x:f>IF(U976&lt;&gt;"Open",U976,IF(N976&gt;=0.8,"Commit",IF(N976&gt;=0.5,"Best Case","Pipeline")))</x:f>
        <x:v>Won</x:v>
      </x:c>
    </x:row>
    <x:row r="977">
      <x:c r="A977" t="str">
        <x:v>L00976</x:v>
      </x:c>
      <x:c r="B977" s="10" t="n">
        <x:v>46033</x:v>
      </x:c>
      <x:c r="C977" t="str">
        <x:v>Bao Tran</x:v>
      </x:c>
      <x:c r="D977" t="str">
        <x:v>South</x:v>
      </x:c>
      <x:c r="E977" t="str">
        <x:v>LI Ads</x:v>
      </x:c>
      <x:c r="F977" t="str">
        <x:v>CRM-CORE</x:v>
      </x:c>
      <x:c r="G977" t="str">
        <x:v>Retail</x:v>
      </x:c>
      <x:c r="H977" t="str">
        <x:v>SMB</x:v>
      </x:c>
      <x:c r="I977" t="str">
        <x:v>Negotiation</x:v>
      </x:c>
      <x:c r="J977" s="10" t="n">
        <x:v>46150</x:v>
      </x:c>
      <x:c r="K977" s="10"/>
      <x:c r="L977" s="22" t="n">
        <x:v>5300</x:v>
      </x:c>
      <x:c r="M977" s="24" t="n">
        <x:v>0</x:v>
      </x:c>
      <x:c r="N977" s="24" t="n">
        <x:v>0.85</x:v>
      </x:c>
      <x:c r="O977" t="str"/>
      <x:c r="P977" t="n">
        <x:v>5</x:v>
      </x:c>
      <x:c r="Q977" t="str">
        <x:f>IFERROR(XLOOKUP(E977,Lookups!$A$5:$A$24,Lookups!$B$5:$B$24),"Other")</x:f>
        <x:v>LinkedIn</x:v>
      </x:c>
      <x:c r="R977" t="str">
        <x:f>IFERROR(XLOOKUP(F977,Lookups!$D$5:$D$10,Lookups!$E$5:$E$10),"Unknown Product")</x:f>
        <x:v>NexaCRM Core</x:v>
      </x:c>
      <x:c r="S977" t="str">
        <x:f>IFERROR(XLOOKUP(F977,Lookups!$D$5:$D$10,Lookups!$F$5:$F$10),"Unknown")</x:f>
        <x:v>CRM</x:v>
      </x:c>
      <x:c r="T977" t="str">
        <x:f>IF(L977&gt;=50000,"Enterprise",IF(L977&gt;=20000,"Mid-Market","SMB"))</x:f>
        <x:v>SMB</x:v>
      </x:c>
      <x:c r="U977" t="str">
        <x:f>IF(I977="Closed Won","Won",IF(I977="Closed Lost","Lost","Open"))</x:f>
        <x:v>Open</x:v>
      </x:c>
      <x:c r="V977" s="22" t="n">
        <x:f>IF(U977="Won",L977*(1-M977),0)</x:f>
        <x:v>0</x:v>
      </x:c>
      <x:c r="W977" s="22" t="n">
        <x:f>IF(U977="Open",L977*N977,0)</x:f>
        <x:v>4505</x:v>
      </x:c>
      <x:c r="X977" s="26" t="str">
        <x:f>IF(U977="Open","",IFERROR(K977-B977,""))</x:f>
      </x:c>
      <x:c r="Y977" s="26" t="n">
        <x:f>IF(U977="Open",Lookups!$B$2-B977,X977)</x:f>
        <x:v>233</x:v>
      </x:c>
      <x:c r="Z977" t="str">
        <x:f>IF(AND(U977="Open",Y977&gt;30),"STALE","OK")</x:f>
        <x:v>STALE</x:v>
      </x:c>
      <x:c r="AA977" t="str">
        <x:f>TEXT(B977,"yyyy-mm")</x:f>
        <x:v>2026-01</x:v>
      </x:c>
      <x:c r="AB977" t="str">
        <x:f>IF(K977="","",TEXT(K977,"yyyy-mm"))</x:f>
      </x:c>
      <x:c r="AC977" t="str">
        <x:f>"Q"&amp;ROUNDUP(MONTH(B977)/3,0)&amp;"-"&amp;YEAR(B977)</x:f>
        <x:v>Q1-2026</x:v>
      </x:c>
      <x:c r="AD977" s="26" t="n">
        <x:f>MIN(100,IF(H977="Enterprise",30,IF(H977="Mid-Market",22,14))+IF(T977="Enterprise",25,IF(T977="Mid-Market",18,10))+IF(Q977="Referral",25,IF(Q977="Organic Search",20,IF(Q977="Email",18,14)))+IF(G977="Technology",10,5))</x:f>
        <x:v>43</x:v>
      </x:c>
      <x:c r="AE977" t="str">
        <x:f>IF(U977&lt;&gt;"Open",U977,IF(N977&gt;=0.8,"Commit",IF(N977&gt;=0.5,"Best Case","Pipeline")))</x:f>
        <x:v>Commit</x:v>
      </x:c>
    </x:row>
    <x:row r="978">
      <x:c r="A978" t="str">
        <x:v>L00977</x:v>
      </x:c>
      <x:c r="B978" s="10" t="n">
        <x:v>45788</x:v>
      </x:c>
      <x:c r="C978" t="str">
        <x:v>An Nguyen</x:v>
      </x:c>
      <x:c r="D978" t="str">
        <x:v>South</x:v>
      </x:c>
      <x:c r="E978" t="str">
        <x:v>organic search</x:v>
      </x:c>
      <x:c r="F978" t="str">
        <x:v>CRM-PRO</x:v>
      </x:c>
      <x:c r="G978" t="str">
        <x:v>Manufacturing</x:v>
      </x:c>
      <x:c r="H978" t="str">
        <x:v>SMB</x:v>
      </x:c>
      <x:c r="I978" t="str">
        <x:v>Closed Won</x:v>
      </x:c>
      <x:c r="J978" s="10" t="n">
        <x:v>45853</x:v>
      </x:c>
      <x:c r="K978" s="10" t="n">
        <x:v>45853</x:v>
      </x:c>
      <x:c r="L978" s="22" t="n">
        <x:v>17900</x:v>
      </x:c>
      <x:c r="M978" s="24" t="n">
        <x:v>0</x:v>
      </x:c>
      <x:c r="N978" s="24" t="n">
        <x:v>1</x:v>
      </x:c>
      <x:c r="O978" t="str"/>
      <x:c r="P978" t="n">
        <x:v>6</x:v>
      </x:c>
      <x:c r="Q978" t="str">
        <x:f>IFERROR(XLOOKUP(E978,Lookups!$A$5:$A$24,Lookups!$B$5:$B$24),"Other")</x:f>
        <x:v>Organic Search</x:v>
      </x:c>
      <x:c r="R978" t="str">
        <x:f>IFERROR(XLOOKUP(F978,Lookups!$D$5:$D$10,Lookups!$E$5:$E$10),"Unknown Product")</x:f>
        <x:v>NexaCRM Pro</x:v>
      </x:c>
      <x:c r="S978" t="str">
        <x:f>IFERROR(XLOOKUP(F978,Lookups!$D$5:$D$10,Lookups!$F$5:$F$10),"Unknown")</x:f>
        <x:v>CRM</x:v>
      </x:c>
      <x:c r="T978" t="str">
        <x:f>IF(L978&gt;=50000,"Enterprise",IF(L978&gt;=20000,"Mid-Market","SMB"))</x:f>
        <x:v>SMB</x:v>
      </x:c>
      <x:c r="U978" t="str">
        <x:f>IF(I978="Closed Won","Won",IF(I978="Closed Lost","Lost","Open"))</x:f>
        <x:v>Won</x:v>
      </x:c>
      <x:c r="V978" s="22" t="n">
        <x:f>IF(U978="Won",L978*(1-M978),0)</x:f>
        <x:v>17900</x:v>
      </x:c>
      <x:c r="W978" s="22" t="n">
        <x:f>IF(U978="Open",L978*N978,0)</x:f>
        <x:v>0</x:v>
      </x:c>
      <x:c r="X978" s="26" t="n">
        <x:f>IF(U978="Open","",IFERROR(K978-B978,""))</x:f>
        <x:v>65</x:v>
      </x:c>
      <x:c r="Y978" s="26" t="n">
        <x:f>IF(U978="Open",Lookups!$B$2-B978,X978)</x:f>
        <x:v>65</x:v>
      </x:c>
      <x:c r="Z978" t="str">
        <x:f>IF(AND(U978="Open",Y978&gt;30),"STALE","OK")</x:f>
        <x:v>OK</x:v>
      </x:c>
      <x:c r="AA978" t="str">
        <x:f>TEXT(B978,"yyyy-mm")</x:f>
        <x:v>2025-05</x:v>
      </x:c>
      <x:c r="AB978" t="str">
        <x:f>IF(K978="","",TEXT(K978,"yyyy-mm"))</x:f>
        <x:v>2025-07</x:v>
      </x:c>
      <x:c r="AC978" t="str">
        <x:f>"Q"&amp;ROUNDUP(MONTH(B978)/3,0)&amp;"-"&amp;YEAR(B978)</x:f>
        <x:v>Q2-2025</x:v>
      </x:c>
      <x:c r="AD978" s="26" t="n">
        <x:f>MIN(100,IF(H978="Enterprise",30,IF(H978="Mid-Market",22,14))+IF(T978="Enterprise",25,IF(T978="Mid-Market",18,10))+IF(Q978="Referral",25,IF(Q978="Organic Search",20,IF(Q978="Email",18,14)))+IF(G978="Technology",10,5))</x:f>
        <x:v>49</x:v>
      </x:c>
      <x:c r="AE978" t="str">
        <x:f>IF(U978&lt;&gt;"Open",U978,IF(N978&gt;=0.8,"Commit",IF(N978&gt;=0.5,"Best Case","Pipeline")))</x:f>
        <x:v>Won</x:v>
      </x:c>
    </x:row>
    <x:row r="979">
      <x:c r="A979" t="str">
        <x:v>L00978</x:v>
      </x:c>
      <x:c r="B979" s="10" t="n">
        <x:v>46032</x:v>
      </x:c>
      <x:c r="C979" t="str">
        <x:v>Chi Le</x:v>
      </x:c>
      <x:c r="D979" t="str">
        <x:v>South</x:v>
      </x:c>
      <x:c r="E979" t="str">
        <x:v>LinkedIn Ads</x:v>
      </x:c>
      <x:c r="F979" t="str">
        <x:v>CS-CLOUD</x:v>
      </x:c>
      <x:c r="G979" t="str">
        <x:v>Healthcare</x:v>
      </x:c>
      <x:c r="H979" t="str">
        <x:v>Mid-Market</x:v>
      </x:c>
      <x:c r="I979" t="str">
        <x:v>Closed Won</x:v>
      </x:c>
      <x:c r="J979" s="10" t="n">
        <x:v>46105</x:v>
      </x:c>
      <x:c r="K979" s="10" t="n">
        <x:v>46105</x:v>
      </x:c>
      <x:c r="L979" s="22" t="n">
        <x:v>41800</x:v>
      </x:c>
      <x:c r="M979" s="24" t="n">
        <x:v>0.12</x:v>
      </x:c>
      <x:c r="N979" s="24" t="n">
        <x:v>1</x:v>
      </x:c>
      <x:c r="O979" t="str"/>
      <x:c r="P979" t="n">
        <x:v>6</x:v>
      </x:c>
      <x:c r="Q979" t="str">
        <x:f>IFERROR(XLOOKUP(E979,Lookups!$A$5:$A$24,Lookups!$B$5:$B$24),"Other")</x:f>
        <x:v>LinkedIn</x:v>
      </x:c>
      <x:c r="R979" t="str">
        <x:f>IFERROR(XLOOKUP(F979,Lookups!$D$5:$D$10,Lookups!$E$5:$E$10),"Unknown Product")</x:f>
        <x:v>Service Cloud</x:v>
      </x:c>
      <x:c r="S979" t="str">
        <x:f>IFERROR(XLOOKUP(F979,Lookups!$D$5:$D$10,Lookups!$F$5:$F$10),"Unknown")</x:f>
        <x:v>Customer Service</x:v>
      </x:c>
      <x:c r="T979" t="str">
        <x:f>IF(L979&gt;=50000,"Enterprise",IF(L979&gt;=20000,"Mid-Market","SMB"))</x:f>
        <x:v>Mid-Market</x:v>
      </x:c>
      <x:c r="U979" t="str">
        <x:f>IF(I979="Closed Won","Won",IF(I979="Closed Lost","Lost","Open"))</x:f>
        <x:v>Won</x:v>
      </x:c>
      <x:c r="V979" s="22" t="n">
        <x:f>IF(U979="Won",L979*(1-M979),0)</x:f>
        <x:v>36784</x:v>
      </x:c>
      <x:c r="W979" s="22" t="n">
        <x:f>IF(U979="Open",L979*N979,0)</x:f>
        <x:v>0</x:v>
      </x:c>
      <x:c r="X979" s="26" t="n">
        <x:f>IF(U979="Open","",IFERROR(K979-B979,""))</x:f>
        <x:v>73</x:v>
      </x:c>
      <x:c r="Y979" s="26" t="n">
        <x:f>IF(U979="Open",Lookups!$B$2-B979,X979)</x:f>
        <x:v>73</x:v>
      </x:c>
      <x:c r="Z979" t="str">
        <x:f>IF(AND(U979="Open",Y979&gt;30),"STALE","OK")</x:f>
        <x:v>OK</x:v>
      </x:c>
      <x:c r="AA979" t="str">
        <x:f>TEXT(B979,"yyyy-mm")</x:f>
        <x:v>2026-01</x:v>
      </x:c>
      <x:c r="AB979" t="str">
        <x:f>IF(K979="","",TEXT(K979,"yyyy-mm"))</x:f>
        <x:v>2026-03</x:v>
      </x:c>
      <x:c r="AC979" t="str">
        <x:f>"Q"&amp;ROUNDUP(MONTH(B979)/3,0)&amp;"-"&amp;YEAR(B979)</x:f>
        <x:v>Q1-2026</x:v>
      </x:c>
      <x:c r="AD979" s="26" t="n">
        <x:f>MIN(100,IF(H979="Enterprise",30,IF(H979="Mid-Market",22,14))+IF(T979="Enterprise",25,IF(T979="Mid-Market",18,10))+IF(Q979="Referral",25,IF(Q979="Organic Search",20,IF(Q979="Email",18,14)))+IF(G979="Technology",10,5))</x:f>
        <x:v>59</x:v>
      </x:c>
      <x:c r="AE979" t="str">
        <x:f>IF(U979&lt;&gt;"Open",U979,IF(N979&gt;=0.8,"Commit",IF(N979&gt;=0.5,"Best Case","Pipeline")))</x:f>
        <x:v>Won</x:v>
      </x:c>
    </x:row>
    <x:row r="980">
      <x:c r="A980" t="str">
        <x:v>L00979</x:v>
      </x:c>
      <x:c r="B980" s="10" t="n">
        <x:v>46034</x:v>
      </x:c>
      <x:c r="C980" t="str">
        <x:v>Chi Le</x:v>
      </x:c>
      <x:c r="D980" t="str">
        <x:v>South</x:v>
      </x:c>
      <x:c r="E980" t="str">
        <x:v>Cold Email</x:v>
      </x:c>
      <x:c r="F980" t="str">
        <x:v>REV-OPS</x:v>
      </x:c>
      <x:c r="G980" t="str">
        <x:v>Financial Services</x:v>
      </x:c>
      <x:c r="H980" t="str">
        <x:v>SMB</x:v>
      </x:c>
      <x:c r="I980" t="str">
        <x:v>Negotiation</x:v>
      </x:c>
      <x:c r="J980" s="10" t="n">
        <x:v>46165</x:v>
      </x:c>
      <x:c r="K980" s="10"/>
      <x:c r="L980" s="22" t="n">
        <x:v>37300</x:v>
      </x:c>
      <x:c r="M980" s="24" t="n">
        <x:v>0.05</x:v>
      </x:c>
      <x:c r="N980" s="24" t="n">
        <x:v>0.85</x:v>
      </x:c>
      <x:c r="O980" t="str"/>
      <x:c r="P980" t="n">
        <x:v>5</x:v>
      </x:c>
      <x:c r="Q980" t="str">
        <x:f>IFERROR(XLOOKUP(E980,Lookups!$A$5:$A$24,Lookups!$B$5:$B$24),"Other")</x:f>
        <x:v>Outbound</x:v>
      </x:c>
      <x:c r="R980" t="str">
        <x:f>IFERROR(XLOOKUP(F980,Lookups!$D$5:$D$10,Lookups!$E$5:$E$10),"Unknown Product")</x:f>
        <x:v>Revenue Operations Suite</x:v>
      </x:c>
      <x:c r="S980" t="str">
        <x:f>IFERROR(XLOOKUP(F980,Lookups!$D$5:$D$10,Lookups!$F$5:$F$10),"Unknown")</x:f>
        <x:v>Revenue Ops</x:v>
      </x:c>
      <x:c r="T980" t="str">
        <x:f>IF(L980&gt;=50000,"Enterprise",IF(L980&gt;=20000,"Mid-Market","SMB"))</x:f>
        <x:v>Mid-Market</x:v>
      </x:c>
      <x:c r="U980" t="str">
        <x:f>IF(I980="Closed Won","Won",IF(I980="Closed Lost","Lost","Open"))</x:f>
        <x:v>Open</x:v>
      </x:c>
      <x:c r="V980" s="22" t="n">
        <x:f>IF(U980="Won",L980*(1-M980),0)</x:f>
        <x:v>0</x:v>
      </x:c>
      <x:c r="W980" s="22" t="n">
        <x:f>IF(U980="Open",L980*N980,0)</x:f>
        <x:v>31705</x:v>
      </x:c>
      <x:c r="X980" s="26" t="str">
        <x:f>IF(U980="Open","",IFERROR(K980-B980,""))</x:f>
      </x:c>
      <x:c r="Y980" s="26" t="n">
        <x:f>IF(U980="Open",Lookups!$B$2-B980,X980)</x:f>
        <x:v>232</x:v>
      </x:c>
      <x:c r="Z980" t="str">
        <x:f>IF(AND(U980="Open",Y980&gt;30),"STALE","OK")</x:f>
        <x:v>STALE</x:v>
      </x:c>
      <x:c r="AA980" t="str">
        <x:f>TEXT(B980,"yyyy-mm")</x:f>
        <x:v>2026-01</x:v>
      </x:c>
      <x:c r="AB980" t="str">
        <x:f>IF(K980="","",TEXT(K980,"yyyy-mm"))</x:f>
      </x:c>
      <x:c r="AC980" t="str">
        <x:f>"Q"&amp;ROUNDUP(MONTH(B980)/3,0)&amp;"-"&amp;YEAR(B980)</x:f>
        <x:v>Q1-2026</x:v>
      </x:c>
      <x:c r="AD980" s="26" t="n">
        <x:f>MIN(100,IF(H980="Enterprise",30,IF(H980="Mid-Market",22,14))+IF(T980="Enterprise",25,IF(T980="Mid-Market",18,10))+IF(Q980="Referral",25,IF(Q980="Organic Search",20,IF(Q980="Email",18,14)))+IF(G980="Technology",10,5))</x:f>
        <x:v>51</x:v>
      </x:c>
      <x:c r="AE980" t="str">
        <x:f>IF(U980&lt;&gt;"Open",U980,IF(N980&gt;=0.8,"Commit",IF(N980&gt;=0.5,"Best Case","Pipeline")))</x:f>
        <x:v>Commit</x:v>
      </x:c>
    </x:row>
    <x:row r="981">
      <x:c r="A981" t="str">
        <x:v>L00980</x:v>
      </x:c>
      <x:c r="B981" s="10" t="n">
        <x:v>46074</x:v>
      </x:c>
      <x:c r="C981" t="str">
        <x:v>Ha Vo</x:v>
      </x:c>
      <x:c r="D981" t="str">
        <x:v>North</x:v>
      </x:c>
      <x:c r="E981" t="str">
        <x:v>Google Organic</x:v>
      </x:c>
      <x:c r="F981" t="str">
        <x:v>CS-CLOUD</x:v>
      </x:c>
      <x:c r="G981" t="str">
        <x:v>Technology</x:v>
      </x:c>
      <x:c r="H981" t="str">
        <x:v>Enterprise</x:v>
      </x:c>
      <x:c r="I981" t="str">
        <x:v>Closed Lost</x:v>
      </x:c>
      <x:c r="J981" s="10" t="n">
        <x:v>46134</x:v>
      </x:c>
      <x:c r="K981" s="10" t="n">
        <x:v>46134</x:v>
      </x:c>
      <x:c r="L981" s="22" t="n">
        <x:v>50800</x:v>
      </x:c>
      <x:c r="M981" s="24" t="n">
        <x:v>0</x:v>
      </x:c>
      <x:c r="N981" s="24" t="n">
        <x:v>0</x:v>
      </x:c>
      <x:c r="O981" t="str">
        <x:v>Price</x:v>
      </x:c>
      <x:c r="P981" t="n">
        <x:v>3</x:v>
      </x:c>
      <x:c r="Q981" t="str">
        <x:f>IFERROR(XLOOKUP(E981,Lookups!$A$5:$A$24,Lookups!$B$5:$B$24),"Other")</x:f>
        <x:v>Organic Search</x:v>
      </x:c>
      <x:c r="R981" t="str">
        <x:f>IFERROR(XLOOKUP(F981,Lookups!$D$5:$D$10,Lookups!$E$5:$E$10),"Unknown Product")</x:f>
        <x:v>Service Cloud</x:v>
      </x:c>
      <x:c r="S981" t="str">
        <x:f>IFERROR(XLOOKUP(F981,Lookups!$D$5:$D$10,Lookups!$F$5:$F$10),"Unknown")</x:f>
        <x:v>Customer Service</x:v>
      </x:c>
      <x:c r="T981" t="str">
        <x:f>IF(L981&gt;=50000,"Enterprise",IF(L981&gt;=20000,"Mid-Market","SMB"))</x:f>
        <x:v>Enterprise</x:v>
      </x:c>
      <x:c r="U981" t="str">
        <x:f>IF(I981="Closed Won","Won",IF(I981="Closed Lost","Lost","Open"))</x:f>
        <x:v>Lost</x:v>
      </x:c>
      <x:c r="V981" s="22" t="n">
        <x:f>IF(U981="Won",L981*(1-M981),0)</x:f>
        <x:v>0</x:v>
      </x:c>
      <x:c r="W981" s="22" t="n">
        <x:f>IF(U981="Open",L981*N981,0)</x:f>
        <x:v>0</x:v>
      </x:c>
      <x:c r="X981" s="26" t="n">
        <x:f>IF(U981="Open","",IFERROR(K981-B981,""))</x:f>
        <x:v>60</x:v>
      </x:c>
      <x:c r="Y981" s="26" t="n">
        <x:f>IF(U981="Open",Lookups!$B$2-B981,X981)</x:f>
        <x:v>60</x:v>
      </x:c>
      <x:c r="Z981" t="str">
        <x:f>IF(AND(U981="Open",Y981&gt;30),"STALE","OK")</x:f>
        <x:v>OK</x:v>
      </x:c>
      <x:c r="AA981" t="str">
        <x:f>TEXT(B981,"yyyy-mm")</x:f>
        <x:v>2026-02</x:v>
      </x:c>
      <x:c r="AB981" t="str">
        <x:f>IF(K981="","",TEXT(K981,"yyyy-mm"))</x:f>
        <x:v>2026-04</x:v>
      </x:c>
      <x:c r="AC981" t="str">
        <x:f>"Q"&amp;ROUNDUP(MONTH(B981)/3,0)&amp;"-"&amp;YEAR(B981)</x:f>
        <x:v>Q1-2026</x:v>
      </x:c>
      <x:c r="AD981" s="26" t="n">
        <x:f>MIN(100,IF(H981="Enterprise",30,IF(H981="Mid-Market",22,14))+IF(T981="Enterprise",25,IF(T981="Mid-Market",18,10))+IF(Q981="Referral",25,IF(Q981="Organic Search",20,IF(Q981="Email",18,14)))+IF(G981="Technology",10,5))</x:f>
        <x:v>85</x:v>
      </x:c>
      <x:c r="AE981" t="str">
        <x:f>IF(U981&lt;&gt;"Open",U981,IF(N981&gt;=0.8,"Commit",IF(N981&gt;=0.5,"Best Case","Pipeline")))</x:f>
        <x:v>Lost</x:v>
      </x:c>
    </x:row>
    <x:row r="982">
      <x:c r="A982" t="str">
        <x:v>L00981</x:v>
      </x:c>
      <x:c r="B982" s="10" t="n">
        <x:v>45908</x:v>
      </x:c>
      <x:c r="C982" t="str">
        <x:v>Duy Pham</x:v>
      </x:c>
      <x:c r="D982" t="str">
        <x:v>South</x:v>
      </x:c>
      <x:c r="E982" t="str">
        <x:v>newsletter</x:v>
      </x:c>
      <x:c r="F982" t="str">
        <x:v>REV-OPS</x:v>
      </x:c>
      <x:c r="G982" t="str">
        <x:v>Financial Services</x:v>
      </x:c>
      <x:c r="H982" t="str">
        <x:v>SMB</x:v>
      </x:c>
      <x:c r="I982" t="str">
        <x:v>Closed Lost</x:v>
      </x:c>
      <x:c r="J982" s="10" t="n">
        <x:v>45975</x:v>
      </x:c>
      <x:c r="K982" s="10" t="n">
        <x:v>45975</x:v>
      </x:c>
      <x:c r="L982" s="22" t="n">
        <x:v>26200</x:v>
      </x:c>
      <x:c r="M982" s="24" t="n">
        <x:v>0</x:v>
      </x:c>
      <x:c r="N982" s="24" t="n">
        <x:v>0</x:v>
      </x:c>
      <x:c r="O982" t="str">
        <x:v>No Decision</x:v>
      </x:c>
      <x:c r="P982" t="n">
        <x:v>3</x:v>
      </x:c>
      <x:c r="Q982" t="str">
        <x:f>IFERROR(XLOOKUP(E982,Lookups!$A$5:$A$24,Lookups!$B$5:$B$24),"Other")</x:f>
        <x:v>Email</x:v>
      </x:c>
      <x:c r="R982" t="str">
        <x:f>IFERROR(XLOOKUP(F982,Lookups!$D$5:$D$10,Lookups!$E$5:$E$10),"Unknown Product")</x:f>
        <x:v>Revenue Operations Suite</x:v>
      </x:c>
      <x:c r="S982" t="str">
        <x:f>IFERROR(XLOOKUP(F982,Lookups!$D$5:$D$10,Lookups!$F$5:$F$10),"Unknown")</x:f>
        <x:v>Revenue Ops</x:v>
      </x:c>
      <x:c r="T982" t="str">
        <x:f>IF(L982&gt;=50000,"Enterprise",IF(L982&gt;=20000,"Mid-Market","SMB"))</x:f>
        <x:v>Mid-Market</x:v>
      </x:c>
      <x:c r="U982" t="str">
        <x:f>IF(I982="Closed Won","Won",IF(I982="Closed Lost","Lost","Open"))</x:f>
        <x:v>Lost</x:v>
      </x:c>
      <x:c r="V982" s="22" t="n">
        <x:f>IF(U982="Won",L982*(1-M982),0)</x:f>
        <x:v>0</x:v>
      </x:c>
      <x:c r="W982" s="22" t="n">
        <x:f>IF(U982="Open",L982*N982,0)</x:f>
        <x:v>0</x:v>
      </x:c>
      <x:c r="X982" s="26" t="n">
        <x:f>IF(U982="Open","",IFERROR(K982-B982,""))</x:f>
        <x:v>67</x:v>
      </x:c>
      <x:c r="Y982" s="26" t="n">
        <x:f>IF(U982="Open",Lookups!$B$2-B982,X982)</x:f>
        <x:v>67</x:v>
      </x:c>
      <x:c r="Z982" t="str">
        <x:f>IF(AND(U982="Open",Y982&gt;30),"STALE","OK")</x:f>
        <x:v>OK</x:v>
      </x:c>
      <x:c r="AA982" t="str">
        <x:f>TEXT(B982,"yyyy-mm")</x:f>
        <x:v>2025-09</x:v>
      </x:c>
      <x:c r="AB982" t="str">
        <x:f>IF(K982="","",TEXT(K982,"yyyy-mm"))</x:f>
        <x:v>2025-11</x:v>
      </x:c>
      <x:c r="AC982" t="str">
        <x:f>"Q"&amp;ROUNDUP(MONTH(B982)/3,0)&amp;"-"&amp;YEAR(B982)</x:f>
        <x:v>Q3-2025</x:v>
      </x:c>
      <x:c r="AD982" s="26" t="n">
        <x:f>MIN(100,IF(H982="Enterprise",30,IF(H982="Mid-Market",22,14))+IF(T982="Enterprise",25,IF(T982="Mid-Market",18,10))+IF(Q982="Referral",25,IF(Q982="Organic Search",20,IF(Q982="Email",18,14)))+IF(G982="Technology",10,5))</x:f>
        <x:v>55</x:v>
      </x:c>
      <x:c r="AE982" t="str">
        <x:f>IF(U982&lt;&gt;"Open",U982,IF(N982&gt;=0.8,"Commit",IF(N982&gt;=0.5,"Best Case","Pipeline")))</x:f>
        <x:v>Lost</x:v>
      </x:c>
    </x:row>
    <x:row r="983">
      <x:c r="A983" t="str">
        <x:v>L00982</x:v>
      </x:c>
      <x:c r="B983" s="10" t="n">
        <x:v>45863</x:v>
      </x:c>
      <x:c r="C983" t="str">
        <x:v>Bao Tran</x:v>
      </x:c>
      <x:c r="D983" t="str">
        <x:v>South</x:v>
      </x:c>
      <x:c r="E983" t="str">
        <x:v>LinkedIn Ads</x:v>
      </x:c>
      <x:c r="F983" t="str">
        <x:v>MKT-AUTO</x:v>
      </x:c>
      <x:c r="G983" t="str">
        <x:v>Education</x:v>
      </x:c>
      <x:c r="H983" t="str">
        <x:v>SMB</x:v>
      </x:c>
      <x:c r="I983" t="str">
        <x:v>Closed Won</x:v>
      </x:c>
      <x:c r="J983" s="10" t="n">
        <x:v>45914</x:v>
      </x:c>
      <x:c r="K983" s="10" t="n">
        <x:v>45914</x:v>
      </x:c>
      <x:c r="L983" s="22" t="n">
        <x:v>17400</x:v>
      </x:c>
      <x:c r="M983" s="24" t="n">
        <x:v>0.08</x:v>
      </x:c>
      <x:c r="N983" s="24" t="n">
        <x:v>1</x:v>
      </x:c>
      <x:c r="O983" t="str"/>
      <x:c r="P983" t="n">
        <x:v>6</x:v>
      </x:c>
      <x:c r="Q983" t="str">
        <x:f>IFERROR(XLOOKUP(E983,Lookups!$A$5:$A$24,Lookups!$B$5:$B$24),"Other")</x:f>
        <x:v>LinkedIn</x:v>
      </x:c>
      <x:c r="R983" t="str">
        <x:f>IFERROR(XLOOKUP(F983,Lookups!$D$5:$D$10,Lookups!$E$5:$E$10),"Unknown Product")</x:f>
        <x:v>Marketing Automation</x:v>
      </x:c>
      <x:c r="S983" t="str">
        <x:f>IFERROR(XLOOKUP(F983,Lookups!$D$5:$D$10,Lookups!$F$5:$F$10),"Unknown")</x:f>
        <x:v>Marketing</x:v>
      </x:c>
      <x:c r="T983" t="str">
        <x:f>IF(L983&gt;=50000,"Enterprise",IF(L983&gt;=20000,"Mid-Market","SMB"))</x:f>
        <x:v>SMB</x:v>
      </x:c>
      <x:c r="U983" t="str">
        <x:f>IF(I983="Closed Won","Won",IF(I983="Closed Lost","Lost","Open"))</x:f>
        <x:v>Won</x:v>
      </x:c>
      <x:c r="V983" s="22" t="n">
        <x:f>IF(U983="Won",L983*(1-M983),0)</x:f>
        <x:v>16008</x:v>
      </x:c>
      <x:c r="W983" s="22" t="n">
        <x:f>IF(U983="Open",L983*N983,0)</x:f>
        <x:v>0</x:v>
      </x:c>
      <x:c r="X983" s="26" t="n">
        <x:f>IF(U983="Open","",IFERROR(K983-B983,""))</x:f>
        <x:v>51</x:v>
      </x:c>
      <x:c r="Y983" s="26" t="n">
        <x:f>IF(U983="Open",Lookups!$B$2-B983,X983)</x:f>
        <x:v>51</x:v>
      </x:c>
      <x:c r="Z983" t="str">
        <x:f>IF(AND(U983="Open",Y983&gt;30),"STALE","OK")</x:f>
        <x:v>OK</x:v>
      </x:c>
      <x:c r="AA983" t="str">
        <x:f>TEXT(B983,"yyyy-mm")</x:f>
        <x:v>2025-07</x:v>
      </x:c>
      <x:c r="AB983" t="str">
        <x:f>IF(K983="","",TEXT(K983,"yyyy-mm"))</x:f>
        <x:v>2025-09</x:v>
      </x:c>
      <x:c r="AC983" t="str">
        <x:f>"Q"&amp;ROUNDUP(MONTH(B983)/3,0)&amp;"-"&amp;YEAR(B983)</x:f>
        <x:v>Q3-2025</x:v>
      </x:c>
      <x:c r="AD983" s="26" t="n">
        <x:f>MIN(100,IF(H983="Enterprise",30,IF(H983="Mid-Market",22,14))+IF(T983="Enterprise",25,IF(T983="Mid-Market",18,10))+IF(Q983="Referral",25,IF(Q983="Organic Search",20,IF(Q983="Email",18,14)))+IF(G983="Technology",10,5))</x:f>
        <x:v>43</x:v>
      </x:c>
      <x:c r="AE983" t="str">
        <x:f>IF(U983&lt;&gt;"Open",U983,IF(N983&gt;=0.8,"Commit",IF(N983&gt;=0.5,"Best Case","Pipeline")))</x:f>
        <x:v>Won</x:v>
      </x:c>
    </x:row>
    <x:row r="984">
      <x:c r="A984" t="str">
        <x:v>L00983</x:v>
      </x:c>
      <x:c r="B984" s="10" t="n">
        <x:v>45922</x:v>
      </x:c>
      <x:c r="C984" t="str">
        <x:v>Duy Pham</x:v>
      </x:c>
      <x:c r="D984" t="str">
        <x:v>South</x:v>
      </x:c>
      <x:c r="E984" t="str">
        <x:v>SDR Outreach</x:v>
      </x:c>
      <x:c r="F984" t="str">
        <x:v>CRM-PRO</x:v>
      </x:c>
      <x:c r="G984" t="str">
        <x:v>Retail</x:v>
      </x:c>
      <x:c r="H984" t="str">
        <x:v>SMB</x:v>
      </x:c>
      <x:c r="I984" t="str">
        <x:v>Closed Lost</x:v>
      </x:c>
      <x:c r="J984" s="10" t="n">
        <x:v>45976</x:v>
      </x:c>
      <x:c r="K984" s="10" t="n">
        <x:v>45976</x:v>
      </x:c>
      <x:c r="L984" s="22" t="n">
        <x:v>21400</x:v>
      </x:c>
      <x:c r="M984" s="24" t="n">
        <x:v>0</x:v>
      </x:c>
      <x:c r="N984" s="24" t="n">
        <x:v>0</x:v>
      </x:c>
      <x:c r="O984" t="str">
        <x:v>No Decision</x:v>
      </x:c>
      <x:c r="P984" t="n">
        <x:v>3</x:v>
      </x:c>
      <x:c r="Q984" t="str">
        <x:f>IFERROR(XLOOKUP(E984,Lookups!$A$5:$A$24,Lookups!$B$5:$B$24),"Other")</x:f>
        <x:v>Outbound</x:v>
      </x:c>
      <x:c r="R984" t="str">
        <x:f>IFERROR(XLOOKUP(F984,Lookups!$D$5:$D$10,Lookups!$E$5:$E$10),"Unknown Product")</x:f>
        <x:v>NexaCRM Pro</x:v>
      </x:c>
      <x:c r="S984" t="str">
        <x:f>IFERROR(XLOOKUP(F984,Lookups!$D$5:$D$10,Lookups!$F$5:$F$10),"Unknown")</x:f>
        <x:v>CRM</x:v>
      </x:c>
      <x:c r="T984" t="str">
        <x:f>IF(L984&gt;=50000,"Enterprise",IF(L984&gt;=20000,"Mid-Market","SMB"))</x:f>
        <x:v>Mid-Market</x:v>
      </x:c>
      <x:c r="U984" t="str">
        <x:f>IF(I984="Closed Won","Won",IF(I984="Closed Lost","Lost","Open"))</x:f>
        <x:v>Lost</x:v>
      </x:c>
      <x:c r="V984" s="22" t="n">
        <x:f>IF(U984="Won",L984*(1-M984),0)</x:f>
        <x:v>0</x:v>
      </x:c>
      <x:c r="W984" s="22" t="n">
        <x:f>IF(U984="Open",L984*N984,0)</x:f>
        <x:v>0</x:v>
      </x:c>
      <x:c r="X984" s="26" t="n">
        <x:f>IF(U984="Open","",IFERROR(K984-B984,""))</x:f>
        <x:v>54</x:v>
      </x:c>
      <x:c r="Y984" s="26" t="n">
        <x:f>IF(U984="Open",Lookups!$B$2-B984,X984)</x:f>
        <x:v>54</x:v>
      </x:c>
      <x:c r="Z984" t="str">
        <x:f>IF(AND(U984="Open",Y984&gt;30),"STALE","OK")</x:f>
        <x:v>OK</x:v>
      </x:c>
      <x:c r="AA984" t="str">
        <x:f>TEXT(B984,"yyyy-mm")</x:f>
        <x:v>2025-09</x:v>
      </x:c>
      <x:c r="AB984" t="str">
        <x:f>IF(K984="","",TEXT(K984,"yyyy-mm"))</x:f>
        <x:v>2025-11</x:v>
      </x:c>
      <x:c r="AC984" t="str">
        <x:f>"Q"&amp;ROUNDUP(MONTH(B984)/3,0)&amp;"-"&amp;YEAR(B984)</x:f>
        <x:v>Q3-2025</x:v>
      </x:c>
      <x:c r="AD984" s="26" t="n">
        <x:f>MIN(100,IF(H984="Enterprise",30,IF(H984="Mid-Market",22,14))+IF(T984="Enterprise",25,IF(T984="Mid-Market",18,10))+IF(Q984="Referral",25,IF(Q984="Organic Search",20,IF(Q984="Email",18,14)))+IF(G984="Technology",10,5))</x:f>
        <x:v>51</x:v>
      </x:c>
      <x:c r="AE984" t="str">
        <x:f>IF(U984&lt;&gt;"Open",U984,IF(N984&gt;=0.8,"Commit",IF(N984&gt;=0.5,"Best Case","Pipeline")))</x:f>
        <x:v>Lost</x:v>
      </x:c>
    </x:row>
    <x:row r="985">
      <x:c r="A985" t="str">
        <x:v>L00984</x:v>
      </x:c>
      <x:c r="B985" s="10" t="n">
        <x:v>46006</x:v>
      </x:c>
      <x:c r="C985" t="str">
        <x:v>Ha Vo</x:v>
      </x:c>
      <x:c r="D985" t="str">
        <x:v>North</x:v>
      </x:c>
      <x:c r="E985" t="str">
        <x:v>email nurture</x:v>
      </x:c>
      <x:c r="F985" t="str">
        <x:v>CRM-CORE</x:v>
      </x:c>
      <x:c r="G985" t="str">
        <x:v>Professional Services</x:v>
      </x:c>
      <x:c r="H985" t="str">
        <x:v>Enterprise</x:v>
      </x:c>
      <x:c r="I985" t="str">
        <x:v>Closed Won</x:v>
      </x:c>
      <x:c r="J985" s="10" t="n">
        <x:v>46120</x:v>
      </x:c>
      <x:c r="K985" s="10" t="n">
        <x:v>46120</x:v>
      </x:c>
      <x:c r="L985" s="22" t="n">
        <x:v>25900</x:v>
      </x:c>
      <x:c r="M985" s="24" t="n">
        <x:v>0.1</x:v>
      </x:c>
      <x:c r="N985" s="24" t="n">
        <x:v>1</x:v>
      </x:c>
      <x:c r="O985" t="str"/>
      <x:c r="P985" t="n">
        <x:v>6</x:v>
      </x:c>
      <x:c r="Q985" t="str">
        <x:f>IFERROR(XLOOKUP(E985,Lookups!$A$5:$A$24,Lookups!$B$5:$B$24),"Other")</x:f>
        <x:v>Email</x:v>
      </x:c>
      <x:c r="R985" t="str">
        <x:f>IFERROR(XLOOKUP(F985,Lookups!$D$5:$D$10,Lookups!$E$5:$E$10),"Unknown Product")</x:f>
        <x:v>NexaCRM Core</x:v>
      </x:c>
      <x:c r="S985" t="str">
        <x:f>IFERROR(XLOOKUP(F985,Lookups!$D$5:$D$10,Lookups!$F$5:$F$10),"Unknown")</x:f>
        <x:v>CRM</x:v>
      </x:c>
      <x:c r="T985" t="str">
        <x:f>IF(L985&gt;=50000,"Enterprise",IF(L985&gt;=20000,"Mid-Market","SMB"))</x:f>
        <x:v>Mid-Market</x:v>
      </x:c>
      <x:c r="U985" t="str">
        <x:f>IF(I985="Closed Won","Won",IF(I985="Closed Lost","Lost","Open"))</x:f>
        <x:v>Won</x:v>
      </x:c>
      <x:c r="V985" s="22" t="n">
        <x:f>IF(U985="Won",L985*(1-M985),0)</x:f>
        <x:v>23310</x:v>
      </x:c>
      <x:c r="W985" s="22" t="n">
        <x:f>IF(U985="Open",L985*N985,0)</x:f>
        <x:v>0</x:v>
      </x:c>
      <x:c r="X985" s="26" t="n">
        <x:f>IF(U985="Open","",IFERROR(K985-B985,""))</x:f>
        <x:v>114</x:v>
      </x:c>
      <x:c r="Y985" s="26" t="n">
        <x:f>IF(U985="Open",Lookups!$B$2-B985,X985)</x:f>
        <x:v>114</x:v>
      </x:c>
      <x:c r="Z985" t="str">
        <x:f>IF(AND(U985="Open",Y985&gt;30),"STALE","OK")</x:f>
        <x:v>OK</x:v>
      </x:c>
      <x:c r="AA985" t="str">
        <x:f>TEXT(B985,"yyyy-mm")</x:f>
        <x:v>2025-12</x:v>
      </x:c>
      <x:c r="AB985" t="str">
        <x:f>IF(K985="","",TEXT(K985,"yyyy-mm"))</x:f>
        <x:v>2026-04</x:v>
      </x:c>
      <x:c r="AC985" t="str">
        <x:f>"Q"&amp;ROUNDUP(MONTH(B985)/3,0)&amp;"-"&amp;YEAR(B985)</x:f>
        <x:v>Q4-2025</x:v>
      </x:c>
      <x:c r="AD985" s="26" t="n">
        <x:f>MIN(100,IF(H985="Enterprise",30,IF(H985="Mid-Market",22,14))+IF(T985="Enterprise",25,IF(T985="Mid-Market",18,10))+IF(Q985="Referral",25,IF(Q985="Organic Search",20,IF(Q985="Email",18,14)))+IF(G985="Technology",10,5))</x:f>
        <x:v>71</x:v>
      </x:c>
      <x:c r="AE985" t="str">
        <x:f>IF(U985&lt;&gt;"Open",U985,IF(N985&gt;=0.8,"Commit",IF(N985&gt;=0.5,"Best Case","Pipeline")))</x:f>
        <x:v>Won</x:v>
      </x:c>
    </x:row>
    <x:row r="986">
      <x:c r="A986" t="str">
        <x:v>L00985</x:v>
      </x:c>
      <x:c r="B986" s="10" t="n">
        <x:v>45764</x:v>
      </x:c>
      <x:c r="C986" t="str">
        <x:v>Quynh Vu</x:v>
      </x:c>
      <x:c r="D986" t="str">
        <x:v>North</x:v>
      </x:c>
      <x:c r="E986" t="str">
        <x:v>Cold Email</x:v>
      </x:c>
      <x:c r="F986" t="str">
        <x:v>MKT-AUTO</x:v>
      </x:c>
      <x:c r="G986" t="str">
        <x:v>Retail</x:v>
      </x:c>
      <x:c r="H986" t="str">
        <x:v>SMB</x:v>
      </x:c>
      <x:c r="I986" t="str">
        <x:v>Closed Lost</x:v>
      </x:c>
      <x:c r="J986" s="10" t="n">
        <x:v>45776</x:v>
      </x:c>
      <x:c r="K986" s="10" t="n">
        <x:v>45776</x:v>
      </x:c>
      <x:c r="L986" s="22" t="n">
        <x:v>15400</x:v>
      </x:c>
      <x:c r="M986" s="24" t="n">
        <x:v>0</x:v>
      </x:c>
      <x:c r="N986" s="24" t="n">
        <x:v>0</x:v>
      </x:c>
      <x:c r="O986" t="str">
        <x:v>Feature Gap</x:v>
      </x:c>
      <x:c r="P986" t="n">
        <x:v>4</x:v>
      </x:c>
      <x:c r="Q986" t="str">
        <x:f>IFERROR(XLOOKUP(E986,Lookups!$A$5:$A$24,Lookups!$B$5:$B$24),"Other")</x:f>
        <x:v>Outbound</x:v>
      </x:c>
      <x:c r="R986" t="str">
        <x:f>IFERROR(XLOOKUP(F986,Lookups!$D$5:$D$10,Lookups!$E$5:$E$10),"Unknown Product")</x:f>
        <x:v>Marketing Automation</x:v>
      </x:c>
      <x:c r="S986" t="str">
        <x:f>IFERROR(XLOOKUP(F986,Lookups!$D$5:$D$10,Lookups!$F$5:$F$10),"Unknown")</x:f>
        <x:v>Marketing</x:v>
      </x:c>
      <x:c r="T986" t="str">
        <x:f>IF(L986&gt;=50000,"Enterprise",IF(L986&gt;=20000,"Mid-Market","SMB"))</x:f>
        <x:v>SMB</x:v>
      </x:c>
      <x:c r="U986" t="str">
        <x:f>IF(I986="Closed Won","Won",IF(I986="Closed Lost","Lost","Open"))</x:f>
        <x:v>Lost</x:v>
      </x:c>
      <x:c r="V986" s="22" t="n">
        <x:f>IF(U986="Won",L986*(1-M986),0)</x:f>
        <x:v>0</x:v>
      </x:c>
      <x:c r="W986" s="22" t="n">
        <x:f>IF(U986="Open",L986*N986,0)</x:f>
        <x:v>0</x:v>
      </x:c>
      <x:c r="X986" s="26" t="n">
        <x:f>IF(U986="Open","",IFERROR(K986-B986,""))</x:f>
        <x:v>12</x:v>
      </x:c>
      <x:c r="Y986" s="26" t="n">
        <x:f>IF(U986="Open",Lookups!$B$2-B986,X986)</x:f>
        <x:v>12</x:v>
      </x:c>
      <x:c r="Z986" t="str">
        <x:f>IF(AND(U986="Open",Y986&gt;30),"STALE","OK")</x:f>
        <x:v>OK</x:v>
      </x:c>
      <x:c r="AA986" t="str">
        <x:f>TEXT(B986,"yyyy-mm")</x:f>
        <x:v>2025-04</x:v>
      </x:c>
      <x:c r="AB986" t="str">
        <x:f>IF(K986="","",TEXT(K986,"yyyy-mm"))</x:f>
        <x:v>2025-04</x:v>
      </x:c>
      <x:c r="AC986" t="str">
        <x:f>"Q"&amp;ROUNDUP(MONTH(B986)/3,0)&amp;"-"&amp;YEAR(B986)</x:f>
        <x:v>Q2-2025</x:v>
      </x:c>
      <x:c r="AD986" s="26" t="n">
        <x:f>MIN(100,IF(H986="Enterprise",30,IF(H986="Mid-Market",22,14))+IF(T986="Enterprise",25,IF(T986="Mid-Market",18,10))+IF(Q986="Referral",25,IF(Q986="Organic Search",20,IF(Q986="Email",18,14)))+IF(G986="Technology",10,5))</x:f>
        <x:v>43</x:v>
      </x:c>
      <x:c r="AE986" t="str">
        <x:f>IF(U986&lt;&gt;"Open",U986,IF(N986&gt;=0.8,"Commit",IF(N986&gt;=0.5,"Best Case","Pipeline")))</x:f>
        <x:v>Lost</x:v>
      </x:c>
    </x:row>
    <x:row r="987">
      <x:c r="A987" t="str">
        <x:v>L00986</x:v>
      </x:c>
      <x:c r="B987" s="10" t="n">
        <x:v>45961</x:v>
      </x:c>
      <x:c r="C987" t="str">
        <x:v>Duy Pham</x:v>
      </x:c>
      <x:c r="D987" t="str">
        <x:v>South</x:v>
      </x:c>
      <x:c r="E987" t="str">
        <x:v>SEM - Google</x:v>
      </x:c>
      <x:c r="F987" t="str">
        <x:v>CS-CLOUD</x:v>
      </x:c>
      <x:c r="G987" t="str">
        <x:v>Financial Services</x:v>
      </x:c>
      <x:c r="H987" t="str">
        <x:v>Mid-Market</x:v>
      </x:c>
      <x:c r="I987" t="str">
        <x:v>Closed Lost</x:v>
      </x:c>
      <x:c r="J987" s="10" t="n">
        <x:v>46016</x:v>
      </x:c>
      <x:c r="K987" s="10" t="n">
        <x:v>46016</x:v>
      </x:c>
      <x:c r="L987" s="22" t="n">
        <x:v>23300</x:v>
      </x:c>
      <x:c r="M987" s="24" t="n">
        <x:v>0</x:v>
      </x:c>
      <x:c r="N987" s="24" t="n">
        <x:v>0</x:v>
      </x:c>
      <x:c r="O987" t="str">
        <x:v>Timing</x:v>
      </x:c>
      <x:c r="P987" t="n">
        <x:v>3</x:v>
      </x:c>
      <x:c r="Q987" t="str">
        <x:f>IFERROR(XLOOKUP(E987,Lookups!$A$5:$A$24,Lookups!$B$5:$B$24),"Other")</x:f>
        <x:v>Paid Search</x:v>
      </x:c>
      <x:c r="R987" t="str">
        <x:f>IFERROR(XLOOKUP(F987,Lookups!$D$5:$D$10,Lookups!$E$5:$E$10),"Unknown Product")</x:f>
        <x:v>Service Cloud</x:v>
      </x:c>
      <x:c r="S987" t="str">
        <x:f>IFERROR(XLOOKUP(F987,Lookups!$D$5:$D$10,Lookups!$F$5:$F$10),"Unknown")</x:f>
        <x:v>Customer Service</x:v>
      </x:c>
      <x:c r="T987" t="str">
        <x:f>IF(L987&gt;=50000,"Enterprise",IF(L987&gt;=20000,"Mid-Market","SMB"))</x:f>
        <x:v>Mid-Market</x:v>
      </x:c>
      <x:c r="U987" t="str">
        <x:f>IF(I987="Closed Won","Won",IF(I987="Closed Lost","Lost","Open"))</x:f>
        <x:v>Lost</x:v>
      </x:c>
      <x:c r="V987" s="22" t="n">
        <x:f>IF(U987="Won",L987*(1-M987),0)</x:f>
        <x:v>0</x:v>
      </x:c>
      <x:c r="W987" s="22" t="n">
        <x:f>IF(U987="Open",L987*N987,0)</x:f>
        <x:v>0</x:v>
      </x:c>
      <x:c r="X987" s="26" t="n">
        <x:f>IF(U987="Open","",IFERROR(K987-B987,""))</x:f>
        <x:v>55</x:v>
      </x:c>
      <x:c r="Y987" s="26" t="n">
        <x:f>IF(U987="Open",Lookups!$B$2-B987,X987)</x:f>
        <x:v>55</x:v>
      </x:c>
      <x:c r="Z987" t="str">
        <x:f>IF(AND(U987="Open",Y987&gt;30),"STALE","OK")</x:f>
        <x:v>OK</x:v>
      </x:c>
      <x:c r="AA987" t="str">
        <x:f>TEXT(B987,"yyyy-mm")</x:f>
        <x:v>2025-10</x:v>
      </x:c>
      <x:c r="AB987" t="str">
        <x:f>IF(K987="","",TEXT(K987,"yyyy-mm"))</x:f>
        <x:v>2025-12</x:v>
      </x:c>
      <x:c r="AC987" t="str">
        <x:f>"Q"&amp;ROUNDUP(MONTH(B987)/3,0)&amp;"-"&amp;YEAR(B987)</x:f>
        <x:v>Q4-2025</x:v>
      </x:c>
      <x:c r="AD987" s="26" t="n">
        <x:f>MIN(100,IF(H987="Enterprise",30,IF(H987="Mid-Market",22,14))+IF(T987="Enterprise",25,IF(T987="Mid-Market",18,10))+IF(Q987="Referral",25,IF(Q987="Organic Search",20,IF(Q987="Email",18,14)))+IF(G987="Technology",10,5))</x:f>
        <x:v>59</x:v>
      </x:c>
      <x:c r="AE987" t="str">
        <x:f>IF(U987&lt;&gt;"Open",U987,IF(N987&gt;=0.8,"Commit",IF(N987&gt;=0.5,"Best Case","Pipeline")))</x:f>
        <x:v>Lost</x:v>
      </x:c>
    </x:row>
    <x:row r="988">
      <x:c r="A988" t="str">
        <x:v>L00987</x:v>
      </x:c>
      <x:c r="B988" s="10" t="n">
        <x:v>45674</x:v>
      </x:c>
      <x:c r="C988" t="str">
        <x:v>An Nguyen</x:v>
      </x:c>
      <x:c r="D988" t="str">
        <x:v>South</x:v>
      </x:c>
      <x:c r="E988" t="str">
        <x:v>Email Campaign</x:v>
      </x:c>
      <x:c r="F988" t="str">
        <x:v>BI-PLUS</x:v>
      </x:c>
      <x:c r="G988" t="str">
        <x:v>Technology</x:v>
      </x:c>
      <x:c r="H988" t="str">
        <x:v>SMB</x:v>
      </x:c>
      <x:c r="I988" t="str">
        <x:v>Closed Lost</x:v>
      </x:c>
      <x:c r="J988" s="10" t="n">
        <x:v>45735</x:v>
      </x:c>
      <x:c r="K988" s="10" t="n">
        <x:v>45735</x:v>
      </x:c>
      <x:c r="L988" s="22" t="n">
        <x:v>20600</x:v>
      </x:c>
      <x:c r="M988" s="24" t="n">
        <x:v>0</x:v>
      </x:c>
      <x:c r="N988" s="24" t="n">
        <x:v>0</x:v>
      </x:c>
      <x:c r="O988" t="str">
        <x:v>Competitor</x:v>
      </x:c>
      <x:c r="P988" t="n">
        <x:v>4</x:v>
      </x:c>
      <x:c r="Q988" t="str">
        <x:f>IFERROR(XLOOKUP(E988,Lookups!$A$5:$A$24,Lookups!$B$5:$B$24),"Other")</x:f>
        <x:v>Email</x:v>
      </x:c>
      <x:c r="R988" t="str">
        <x:f>IFERROR(XLOOKUP(F988,Lookups!$D$5:$D$10,Lookups!$E$5:$E$10),"Unknown Product")</x:f>
        <x:v>Analytics Plus</x:v>
      </x:c>
      <x:c r="S988" t="str">
        <x:f>IFERROR(XLOOKUP(F988,Lookups!$D$5:$D$10,Lookups!$F$5:$F$10),"Unknown")</x:f>
        <x:v>Analytics</x:v>
      </x:c>
      <x:c r="T988" t="str">
        <x:f>IF(L988&gt;=50000,"Enterprise",IF(L988&gt;=20000,"Mid-Market","SMB"))</x:f>
        <x:v>Mid-Market</x:v>
      </x:c>
      <x:c r="U988" t="str">
        <x:f>IF(I988="Closed Won","Won",IF(I988="Closed Lost","Lost","Open"))</x:f>
        <x:v>Lost</x:v>
      </x:c>
      <x:c r="V988" s="22" t="n">
        <x:f>IF(U988="Won",L988*(1-M988),0)</x:f>
        <x:v>0</x:v>
      </x:c>
      <x:c r="W988" s="22" t="n">
        <x:f>IF(U988="Open",L988*N988,0)</x:f>
        <x:v>0</x:v>
      </x:c>
      <x:c r="X988" s="26" t="n">
        <x:f>IF(U988="Open","",IFERROR(K988-B988,""))</x:f>
        <x:v>61</x:v>
      </x:c>
      <x:c r="Y988" s="26" t="n">
        <x:f>IF(U988="Open",Lookups!$B$2-B988,X988)</x:f>
        <x:v>61</x:v>
      </x:c>
      <x:c r="Z988" t="str">
        <x:f>IF(AND(U988="Open",Y988&gt;30),"STALE","OK")</x:f>
        <x:v>OK</x:v>
      </x:c>
      <x:c r="AA988" t="str">
        <x:f>TEXT(B988,"yyyy-mm")</x:f>
        <x:v>2025-01</x:v>
      </x:c>
      <x:c r="AB988" t="str">
        <x:f>IF(K988="","",TEXT(K988,"yyyy-mm"))</x:f>
        <x:v>2025-03</x:v>
      </x:c>
      <x:c r="AC988" t="str">
        <x:f>"Q"&amp;ROUNDUP(MONTH(B988)/3,0)&amp;"-"&amp;YEAR(B988)</x:f>
        <x:v>Q1-2025</x:v>
      </x:c>
      <x:c r="AD988" s="26" t="n">
        <x:f>MIN(100,IF(H988="Enterprise",30,IF(H988="Mid-Market",22,14))+IF(T988="Enterprise",25,IF(T988="Mid-Market",18,10))+IF(Q988="Referral",25,IF(Q988="Organic Search",20,IF(Q988="Email",18,14)))+IF(G988="Technology",10,5))</x:f>
        <x:v>60</x:v>
      </x:c>
      <x:c r="AE988" t="str">
        <x:f>IF(U988&lt;&gt;"Open",U988,IF(N988&gt;=0.8,"Commit",IF(N988&gt;=0.5,"Best Case","Pipeline")))</x:f>
        <x:v>Lost</x:v>
      </x:c>
    </x:row>
    <x:row r="989">
      <x:c r="A989" t="str">
        <x:v>L00988</x:v>
      </x:c>
      <x:c r="B989" s="10" t="n">
        <x:v>45934</x:v>
      </x:c>
      <x:c r="C989" t="str">
        <x:v>Tuan Bui</x:v>
      </x:c>
      <x:c r="D989" t="str">
        <x:v>Central</x:v>
      </x:c>
      <x:c r="E989" t="str">
        <x:v>Email Campaign</x:v>
      </x:c>
      <x:c r="F989" t="str">
        <x:v>BI-PLUS</x:v>
      </x:c>
      <x:c r="G989" t="str">
        <x:v>Professional Services</x:v>
      </x:c>
      <x:c r="H989" t="str">
        <x:v>SMB</x:v>
      </x:c>
      <x:c r="I989" t="str">
        <x:v>Closed Lost</x:v>
      </x:c>
      <x:c r="J989" s="10" t="n">
        <x:v>45975</x:v>
      </x:c>
      <x:c r="K989" s="10" t="n">
        <x:v>45975</x:v>
      </x:c>
      <x:c r="L989" s="22" t="n">
        <x:v>23700</x:v>
      </x:c>
      <x:c r="M989" s="24" t="n">
        <x:v>0</x:v>
      </x:c>
      <x:c r="N989" s="24" t="n">
        <x:v>0</x:v>
      </x:c>
      <x:c r="O989" t="str">
        <x:v>Price</x:v>
      </x:c>
      <x:c r="P989" t="n">
        <x:v>4</x:v>
      </x:c>
      <x:c r="Q989" t="str">
        <x:f>IFERROR(XLOOKUP(E989,Lookups!$A$5:$A$24,Lookups!$B$5:$B$24),"Other")</x:f>
        <x:v>Email</x:v>
      </x:c>
      <x:c r="R989" t="str">
        <x:f>IFERROR(XLOOKUP(F989,Lookups!$D$5:$D$10,Lookups!$E$5:$E$10),"Unknown Product")</x:f>
        <x:v>Analytics Plus</x:v>
      </x:c>
      <x:c r="S989" t="str">
        <x:f>IFERROR(XLOOKUP(F989,Lookups!$D$5:$D$10,Lookups!$F$5:$F$10),"Unknown")</x:f>
        <x:v>Analytics</x:v>
      </x:c>
      <x:c r="T989" t="str">
        <x:f>IF(L989&gt;=50000,"Enterprise",IF(L989&gt;=20000,"Mid-Market","SMB"))</x:f>
        <x:v>Mid-Market</x:v>
      </x:c>
      <x:c r="U989" t="str">
        <x:f>IF(I989="Closed Won","Won",IF(I989="Closed Lost","Lost","Open"))</x:f>
        <x:v>Lost</x:v>
      </x:c>
      <x:c r="V989" s="22" t="n">
        <x:f>IF(U989="Won",L989*(1-M989),0)</x:f>
        <x:v>0</x:v>
      </x:c>
      <x:c r="W989" s="22" t="n">
        <x:f>IF(U989="Open",L989*N989,0)</x:f>
        <x:v>0</x:v>
      </x:c>
      <x:c r="X989" s="26" t="n">
        <x:f>IF(U989="Open","",IFERROR(K989-B989,""))</x:f>
        <x:v>41</x:v>
      </x:c>
      <x:c r="Y989" s="26" t="n">
        <x:f>IF(U989="Open",Lookups!$B$2-B989,X989)</x:f>
        <x:v>41</x:v>
      </x:c>
      <x:c r="Z989" t="str">
        <x:f>IF(AND(U989="Open",Y989&gt;30),"STALE","OK")</x:f>
        <x:v>OK</x:v>
      </x:c>
      <x:c r="AA989" t="str">
        <x:f>TEXT(B989,"yyyy-mm")</x:f>
        <x:v>2025-10</x:v>
      </x:c>
      <x:c r="AB989" t="str">
        <x:f>IF(K989="","",TEXT(K989,"yyyy-mm"))</x:f>
        <x:v>2025-11</x:v>
      </x:c>
      <x:c r="AC989" t="str">
        <x:f>"Q"&amp;ROUNDUP(MONTH(B989)/3,0)&amp;"-"&amp;YEAR(B989)</x:f>
        <x:v>Q4-2025</x:v>
      </x:c>
      <x:c r="AD989" s="26" t="n">
        <x:f>MIN(100,IF(H989="Enterprise",30,IF(H989="Mid-Market",22,14))+IF(T989="Enterprise",25,IF(T989="Mid-Market",18,10))+IF(Q989="Referral",25,IF(Q989="Organic Search",20,IF(Q989="Email",18,14)))+IF(G989="Technology",10,5))</x:f>
        <x:v>55</x:v>
      </x:c>
      <x:c r="AE989" t="str">
        <x:f>IF(U989&lt;&gt;"Open",U989,IF(N989&gt;=0.8,"Commit",IF(N989&gt;=0.5,"Best Case","Pipeline")))</x:f>
        <x:v>Lost</x:v>
      </x:c>
    </x:row>
    <x:row r="990">
      <x:c r="A990" t="str">
        <x:v>L00989</x:v>
      </x:c>
      <x:c r="B990" s="10" t="n">
        <x:v>45681</x:v>
      </x:c>
      <x:c r="C990" t="str">
        <x:v>Minh Do</x:v>
      </x:c>
      <x:c r="D990" t="str">
        <x:v>North</x:v>
      </x:c>
      <x:c r="E990" t="str">
        <x:v>google cpc</x:v>
      </x:c>
      <x:c r="F990" t="str">
        <x:v>MKT-AUTO</x:v>
      </x:c>
      <x:c r="G990" t="str">
        <x:v>Retail</x:v>
      </x:c>
      <x:c r="H990" t="str">
        <x:v>SMB</x:v>
      </x:c>
      <x:c r="I990" t="str">
        <x:v>Closed Lost</x:v>
      </x:c>
      <x:c r="J990" s="10" t="n">
        <x:v>45722</x:v>
      </x:c>
      <x:c r="K990" s="10" t="n">
        <x:v>45722</x:v>
      </x:c>
      <x:c r="L990" s="22" t="n">
        <x:v>20000</x:v>
      </x:c>
      <x:c r="M990" s="24" t="n">
        <x:v>0</x:v>
      </x:c>
      <x:c r="N990" s="24" t="n">
        <x:v>0</x:v>
      </x:c>
      <x:c r="O990" t="str">
        <x:v>Feature Gap</x:v>
      </x:c>
      <x:c r="P990" t="n">
        <x:v>5</x:v>
      </x:c>
      <x:c r="Q990" t="str">
        <x:f>IFERROR(XLOOKUP(E990,Lookups!$A$5:$A$24,Lookups!$B$5:$B$24),"Other")</x:f>
        <x:v>Paid Search</x:v>
      </x:c>
      <x:c r="R990" t="str">
        <x:f>IFERROR(XLOOKUP(F990,Lookups!$D$5:$D$10,Lookups!$E$5:$E$10),"Unknown Product")</x:f>
        <x:v>Marketing Automation</x:v>
      </x:c>
      <x:c r="S990" t="str">
        <x:f>IFERROR(XLOOKUP(F990,Lookups!$D$5:$D$10,Lookups!$F$5:$F$10),"Unknown")</x:f>
        <x:v>Marketing</x:v>
      </x:c>
      <x:c r="T990" t="str">
        <x:f>IF(L990&gt;=50000,"Enterprise",IF(L990&gt;=20000,"Mid-Market","SMB"))</x:f>
        <x:v>Mid-Market</x:v>
      </x:c>
      <x:c r="U990" t="str">
        <x:f>IF(I990="Closed Won","Won",IF(I990="Closed Lost","Lost","Open"))</x:f>
        <x:v>Lost</x:v>
      </x:c>
      <x:c r="V990" s="22" t="n">
        <x:f>IF(U990="Won",L990*(1-M990),0)</x:f>
        <x:v>0</x:v>
      </x:c>
      <x:c r="W990" s="22" t="n">
        <x:f>IF(U990="Open",L990*N990,0)</x:f>
        <x:v>0</x:v>
      </x:c>
      <x:c r="X990" s="26" t="n">
        <x:f>IF(U990="Open","",IFERROR(K990-B990,""))</x:f>
        <x:v>41</x:v>
      </x:c>
      <x:c r="Y990" s="26" t="n">
        <x:f>IF(U990="Open",Lookups!$B$2-B990,X990)</x:f>
        <x:v>41</x:v>
      </x:c>
      <x:c r="Z990" t="str">
        <x:f>IF(AND(U990="Open",Y990&gt;30),"STALE","OK")</x:f>
        <x:v>OK</x:v>
      </x:c>
      <x:c r="AA990" t="str">
        <x:f>TEXT(B990,"yyyy-mm")</x:f>
        <x:v>2025-01</x:v>
      </x:c>
      <x:c r="AB990" t="str">
        <x:f>IF(K990="","",TEXT(K990,"yyyy-mm"))</x:f>
        <x:v>2025-03</x:v>
      </x:c>
      <x:c r="AC990" t="str">
        <x:f>"Q"&amp;ROUNDUP(MONTH(B990)/3,0)&amp;"-"&amp;YEAR(B990)</x:f>
        <x:v>Q1-2025</x:v>
      </x:c>
      <x:c r="AD990" s="26" t="n">
        <x:f>MIN(100,IF(H990="Enterprise",30,IF(H990="Mid-Market",22,14))+IF(T990="Enterprise",25,IF(T990="Mid-Market",18,10))+IF(Q990="Referral",25,IF(Q990="Organic Search",20,IF(Q990="Email",18,14)))+IF(G990="Technology",10,5))</x:f>
        <x:v>51</x:v>
      </x:c>
      <x:c r="AE990" t="str">
        <x:f>IF(U990&lt;&gt;"Open",U990,IF(N990&gt;=0.8,"Commit",IF(N990&gt;=0.5,"Best Case","Pipeline")))</x:f>
        <x:v>Lost</x:v>
      </x:c>
    </x:row>
    <x:row r="991">
      <x:c r="A991" t="str">
        <x:v>L00990</x:v>
      </x:c>
      <x:c r="B991" s="10" t="n">
        <x:v>45878</x:v>
      </x:c>
      <x:c r="C991" t="str">
        <x:v>Quynh Vu</x:v>
      </x:c>
      <x:c r="D991" t="str">
        <x:v>North</x:v>
      </x:c>
      <x:c r="E991" t="str">
        <x:v>Partner Referral</x:v>
      </x:c>
      <x:c r="F991" t="str">
        <x:v>MKT-AUTO</x:v>
      </x:c>
      <x:c r="G991" t="str">
        <x:v>Technology</x:v>
      </x:c>
      <x:c r="H991" t="str">
        <x:v>Mid-Market</x:v>
      </x:c>
      <x:c r="I991" t="str">
        <x:v>Closed Lost</x:v>
      </x:c>
      <x:c r="J991" s="10" t="n">
        <x:v>45928</x:v>
      </x:c>
      <x:c r="K991" s="10" t="n">
        <x:v>45928</x:v>
      </x:c>
      <x:c r="L991" s="22" t="n">
        <x:v>26200</x:v>
      </x:c>
      <x:c r="M991" s="24" t="n">
        <x:v>0</x:v>
      </x:c>
      <x:c r="N991" s="24" t="n">
        <x:v>0</x:v>
      </x:c>
      <x:c r="O991" t="str">
        <x:v>Feature Gap</x:v>
      </x:c>
      <x:c r="P991" t="n">
        <x:v>4</x:v>
      </x:c>
      <x:c r="Q991" t="str">
        <x:f>IFERROR(XLOOKUP(E991,Lookups!$A$5:$A$24,Lookups!$B$5:$B$24),"Other")</x:f>
        <x:v>Referral</x:v>
      </x:c>
      <x:c r="R991" t="str">
        <x:f>IFERROR(XLOOKUP(F991,Lookups!$D$5:$D$10,Lookups!$E$5:$E$10),"Unknown Product")</x:f>
        <x:v>Marketing Automation</x:v>
      </x:c>
      <x:c r="S991" t="str">
        <x:f>IFERROR(XLOOKUP(F991,Lookups!$D$5:$D$10,Lookups!$F$5:$F$10),"Unknown")</x:f>
        <x:v>Marketing</x:v>
      </x:c>
      <x:c r="T991" t="str">
        <x:f>IF(L991&gt;=50000,"Enterprise",IF(L991&gt;=20000,"Mid-Market","SMB"))</x:f>
        <x:v>Mid-Market</x:v>
      </x:c>
      <x:c r="U991" t="str">
        <x:f>IF(I991="Closed Won","Won",IF(I991="Closed Lost","Lost","Open"))</x:f>
        <x:v>Lost</x:v>
      </x:c>
      <x:c r="V991" s="22" t="n">
        <x:f>IF(U991="Won",L991*(1-M991),0)</x:f>
        <x:v>0</x:v>
      </x:c>
      <x:c r="W991" s="22" t="n">
        <x:f>IF(U991="Open",L991*N991,0)</x:f>
        <x:v>0</x:v>
      </x:c>
      <x:c r="X991" s="26" t="n">
        <x:f>IF(U991="Open","",IFERROR(K991-B991,""))</x:f>
        <x:v>50</x:v>
      </x:c>
      <x:c r="Y991" s="26" t="n">
        <x:f>IF(U991="Open",Lookups!$B$2-B991,X991)</x:f>
        <x:v>50</x:v>
      </x:c>
      <x:c r="Z991" t="str">
        <x:f>IF(AND(U991="Open",Y991&gt;30),"STALE","OK")</x:f>
        <x:v>OK</x:v>
      </x:c>
      <x:c r="AA991" t="str">
        <x:f>TEXT(B991,"yyyy-mm")</x:f>
        <x:v>2025-08</x:v>
      </x:c>
      <x:c r="AB991" t="str">
        <x:f>IF(K991="","",TEXT(K991,"yyyy-mm"))</x:f>
        <x:v>2025-09</x:v>
      </x:c>
      <x:c r="AC991" t="str">
        <x:f>"Q"&amp;ROUNDUP(MONTH(B991)/3,0)&amp;"-"&amp;YEAR(B991)</x:f>
        <x:v>Q3-2025</x:v>
      </x:c>
      <x:c r="AD991" s="26" t="n">
        <x:f>MIN(100,IF(H991="Enterprise",30,IF(H991="Mid-Market",22,14))+IF(T991="Enterprise",25,IF(T991="Mid-Market",18,10))+IF(Q991="Referral",25,IF(Q991="Organic Search",20,IF(Q991="Email",18,14)))+IF(G991="Technology",10,5))</x:f>
        <x:v>75</x:v>
      </x:c>
      <x:c r="AE991" t="str">
        <x:f>IF(U991&lt;&gt;"Open",U991,IF(N991&gt;=0.8,"Commit",IF(N991&gt;=0.5,"Best Case","Pipeline")))</x:f>
        <x:v>Lost</x:v>
      </x:c>
    </x:row>
    <x:row r="992">
      <x:c r="A992" t="str">
        <x:v>L00991</x:v>
      </x:c>
      <x:c r="B992" s="10" t="n">
        <x:v>46186</x:v>
      </x:c>
      <x:c r="C992" t="str">
        <x:v>Ha Vo</x:v>
      </x:c>
      <x:c r="D992" t="str">
        <x:v>North</x:v>
      </x:c>
      <x:c r="E992" t="str">
        <x:v>Referral</x:v>
      </x:c>
      <x:c r="F992" t="str">
        <x:v>BI-PLUS</x:v>
      </x:c>
      <x:c r="G992" t="str">
        <x:v>Technology</x:v>
      </x:c>
      <x:c r="H992" t="str">
        <x:v>SMB</x:v>
      </x:c>
      <x:c r="I992" t="str">
        <x:v>Closed Lost</x:v>
      </x:c>
      <x:c r="J992" s="10" t="n">
        <x:v>46219</x:v>
      </x:c>
      <x:c r="K992" s="10" t="n">
        <x:v>46219</x:v>
      </x:c>
      <x:c r="L992" s="22" t="n">
        <x:v>29500</x:v>
      </x:c>
      <x:c r="M992" s="24" t="n">
        <x:v>0</x:v>
      </x:c>
      <x:c r="N992" s="24" t="n">
        <x:v>0</x:v>
      </x:c>
      <x:c r="O992" t="str">
        <x:v>Competitor</x:v>
      </x:c>
      <x:c r="P992" t="n">
        <x:v>5</x:v>
      </x:c>
      <x:c r="Q992" t="str">
        <x:f>IFERROR(XLOOKUP(E992,Lookups!$A$5:$A$24,Lookups!$B$5:$B$24),"Other")</x:f>
        <x:v>Referral</x:v>
      </x:c>
      <x:c r="R992" t="str">
        <x:f>IFERROR(XLOOKUP(F992,Lookups!$D$5:$D$10,Lookups!$E$5:$E$10),"Unknown Product")</x:f>
        <x:v>Analytics Plus</x:v>
      </x:c>
      <x:c r="S992" t="str">
        <x:f>IFERROR(XLOOKUP(F992,Lookups!$D$5:$D$10,Lookups!$F$5:$F$10),"Unknown")</x:f>
        <x:v>Analytics</x:v>
      </x:c>
      <x:c r="T992" t="str">
        <x:f>IF(L992&gt;=50000,"Enterprise",IF(L992&gt;=20000,"Mid-Market","SMB"))</x:f>
        <x:v>Mid-Market</x:v>
      </x:c>
      <x:c r="U992" t="str">
        <x:f>IF(I992="Closed Won","Won",IF(I992="Closed Lost","Lost","Open"))</x:f>
        <x:v>Lost</x:v>
      </x:c>
      <x:c r="V992" s="22" t="n">
        <x:f>IF(U992="Won",L992*(1-M992),0)</x:f>
        <x:v>0</x:v>
      </x:c>
      <x:c r="W992" s="22" t="n">
        <x:f>IF(U992="Open",L992*N992,0)</x:f>
        <x:v>0</x:v>
      </x:c>
      <x:c r="X992" s="26" t="n">
        <x:f>IF(U992="Open","",IFERROR(K992-B992,""))</x:f>
        <x:v>33</x:v>
      </x:c>
      <x:c r="Y992" s="26" t="n">
        <x:f>IF(U992="Open",Lookups!$B$2-B992,X992)</x:f>
        <x:v>33</x:v>
      </x:c>
      <x:c r="Z992" t="str">
        <x:f>IF(AND(U992="Open",Y992&gt;30),"STALE","OK")</x:f>
        <x:v>OK</x:v>
      </x:c>
      <x:c r="AA992" t="str">
        <x:f>TEXT(B992,"yyyy-mm")</x:f>
        <x:v>2026-06</x:v>
      </x:c>
      <x:c r="AB992" t="str">
        <x:f>IF(K992="","",TEXT(K992,"yyyy-mm"))</x:f>
        <x:v>2026-07</x:v>
      </x:c>
      <x:c r="AC992" t="str">
        <x:f>"Q"&amp;ROUNDUP(MONTH(B992)/3,0)&amp;"-"&amp;YEAR(B992)</x:f>
        <x:v>Q2-2026</x:v>
      </x:c>
      <x:c r="AD992" s="26" t="n">
        <x:f>MIN(100,IF(H992="Enterprise",30,IF(H992="Mid-Market",22,14))+IF(T992="Enterprise",25,IF(T992="Mid-Market",18,10))+IF(Q992="Referral",25,IF(Q992="Organic Search",20,IF(Q992="Email",18,14)))+IF(G992="Technology",10,5))</x:f>
        <x:v>67</x:v>
      </x:c>
      <x:c r="AE992" t="str">
        <x:f>IF(U992&lt;&gt;"Open",U992,IF(N992&gt;=0.8,"Commit",IF(N992&gt;=0.5,"Best Case","Pipeline")))</x:f>
        <x:v>Lost</x:v>
      </x:c>
    </x:row>
    <x:row r="993">
      <x:c r="A993" t="str">
        <x:v>L00992</x:v>
      </x:c>
      <x:c r="B993" s="10" t="n">
        <x:v>45684</x:v>
      </x:c>
      <x:c r="C993" t="str">
        <x:v>Tuan Bui</x:v>
      </x:c>
      <x:c r="D993" t="str">
        <x:v>Central</x:v>
      </x:c>
      <x:c r="E993" t="str">
        <x:v>linkedin</x:v>
      </x:c>
      <x:c r="F993" t="str">
        <x:v>CS-CLOUD</x:v>
      </x:c>
      <x:c r="G993" t="str">
        <x:v>Financial Services</x:v>
      </x:c>
      <x:c r="H993" t="str">
        <x:v>SMB</x:v>
      </x:c>
      <x:c r="I993" t="str">
        <x:v>Closed Won</x:v>
      </x:c>
      <x:c r="J993" s="10" t="n">
        <x:v>45733</x:v>
      </x:c>
      <x:c r="K993" s="10" t="n">
        <x:v>45733</x:v>
      </x:c>
      <x:c r="L993" s="22" t="n">
        <x:v>24900</x:v>
      </x:c>
      <x:c r="M993" s="24" t="n">
        <x:v>0.08</x:v>
      </x:c>
      <x:c r="N993" s="24" t="n">
        <x:v>1</x:v>
      </x:c>
      <x:c r="O993" t="str"/>
      <x:c r="P993" t="n">
        <x:v>6</x:v>
      </x:c>
      <x:c r="Q993" t="str">
        <x:f>IFERROR(XLOOKUP(E993,Lookups!$A$5:$A$24,Lookups!$B$5:$B$24),"Other")</x:f>
        <x:v>LinkedIn</x:v>
      </x:c>
      <x:c r="R993" t="str">
        <x:f>IFERROR(XLOOKUP(F993,Lookups!$D$5:$D$10,Lookups!$E$5:$E$10),"Unknown Product")</x:f>
        <x:v>Service Cloud</x:v>
      </x:c>
      <x:c r="S993" t="str">
        <x:f>IFERROR(XLOOKUP(F993,Lookups!$D$5:$D$10,Lookups!$F$5:$F$10),"Unknown")</x:f>
        <x:v>Customer Service</x:v>
      </x:c>
      <x:c r="T993" t="str">
        <x:f>IF(L993&gt;=50000,"Enterprise",IF(L993&gt;=20000,"Mid-Market","SMB"))</x:f>
        <x:v>Mid-Market</x:v>
      </x:c>
      <x:c r="U993" t="str">
        <x:f>IF(I993="Closed Won","Won",IF(I993="Closed Lost","Lost","Open"))</x:f>
        <x:v>Won</x:v>
      </x:c>
      <x:c r="V993" s="22" t="n">
        <x:f>IF(U993="Won",L993*(1-M993),0)</x:f>
        <x:v>22908</x:v>
      </x:c>
      <x:c r="W993" s="22" t="n">
        <x:f>IF(U993="Open",L993*N993,0)</x:f>
        <x:v>0</x:v>
      </x:c>
      <x:c r="X993" s="26" t="n">
        <x:f>IF(U993="Open","",IFERROR(K993-B993,""))</x:f>
        <x:v>49</x:v>
      </x:c>
      <x:c r="Y993" s="26" t="n">
        <x:f>IF(U993="Open",Lookups!$B$2-B993,X993)</x:f>
        <x:v>49</x:v>
      </x:c>
      <x:c r="Z993" t="str">
        <x:f>IF(AND(U993="Open",Y993&gt;30),"STALE","OK")</x:f>
        <x:v>OK</x:v>
      </x:c>
      <x:c r="AA993" t="str">
        <x:f>TEXT(B993,"yyyy-mm")</x:f>
        <x:v>2025-01</x:v>
      </x:c>
      <x:c r="AB993" t="str">
        <x:f>IF(K993="","",TEXT(K993,"yyyy-mm"))</x:f>
        <x:v>2025-03</x:v>
      </x:c>
      <x:c r="AC993" t="str">
        <x:f>"Q"&amp;ROUNDUP(MONTH(B993)/3,0)&amp;"-"&amp;YEAR(B993)</x:f>
        <x:v>Q1-2025</x:v>
      </x:c>
      <x:c r="AD993" s="26" t="n">
        <x:f>MIN(100,IF(H993="Enterprise",30,IF(H993="Mid-Market",22,14))+IF(T993="Enterprise",25,IF(T993="Mid-Market",18,10))+IF(Q993="Referral",25,IF(Q993="Organic Search",20,IF(Q993="Email",18,14)))+IF(G993="Technology",10,5))</x:f>
        <x:v>51</x:v>
      </x:c>
      <x:c r="AE993" t="str">
        <x:f>IF(U993&lt;&gt;"Open",U993,IF(N993&gt;=0.8,"Commit",IF(N993&gt;=0.5,"Best Case","Pipeline")))</x:f>
        <x:v>Won</x:v>
      </x:c>
    </x:row>
    <x:row r="994">
      <x:c r="A994" t="str">
        <x:v>L00993</x:v>
      </x:c>
      <x:c r="B994" s="10" t="n">
        <x:v>46107</x:v>
      </x:c>
      <x:c r="C994" t="str">
        <x:v>Tuan Bui</x:v>
      </x:c>
      <x:c r="D994" t="str">
        <x:v>Central</x:v>
      </x:c>
      <x:c r="E994" t="str">
        <x:v>google cpc</x:v>
      </x:c>
      <x:c r="F994" t="str">
        <x:v>CRM-CORE</x:v>
      </x:c>
      <x:c r="G994" t="str">
        <x:v>Technology</x:v>
      </x:c>
      <x:c r="H994" t="str">
        <x:v>SMB</x:v>
      </x:c>
      <x:c r="I994" t="str">
        <x:v>Closed Lost</x:v>
      </x:c>
      <x:c r="J994" s="10" t="n">
        <x:v>46167</x:v>
      </x:c>
      <x:c r="K994" s="10" t="n">
        <x:v>46167</x:v>
      </x:c>
      <x:c r="L994" s="22" t="n">
        <x:v>10400</x:v>
      </x:c>
      <x:c r="M994" s="24" t="n">
        <x:v>0</x:v>
      </x:c>
      <x:c r="N994" s="24" t="n">
        <x:v>0</x:v>
      </x:c>
      <x:c r="O994" t="str">
        <x:v>Budget</x:v>
      </x:c>
      <x:c r="P994" t="n">
        <x:v>3</x:v>
      </x:c>
      <x:c r="Q994" t="str">
        <x:f>IFERROR(XLOOKUP(E994,Lookups!$A$5:$A$24,Lookups!$B$5:$B$24),"Other")</x:f>
        <x:v>Paid Search</x:v>
      </x:c>
      <x:c r="R994" t="str">
        <x:f>IFERROR(XLOOKUP(F994,Lookups!$D$5:$D$10,Lookups!$E$5:$E$10),"Unknown Product")</x:f>
        <x:v>NexaCRM Core</x:v>
      </x:c>
      <x:c r="S994" t="str">
        <x:f>IFERROR(XLOOKUP(F994,Lookups!$D$5:$D$10,Lookups!$F$5:$F$10),"Unknown")</x:f>
        <x:v>CRM</x:v>
      </x:c>
      <x:c r="T994" t="str">
        <x:f>IF(L994&gt;=50000,"Enterprise",IF(L994&gt;=20000,"Mid-Market","SMB"))</x:f>
        <x:v>SMB</x:v>
      </x:c>
      <x:c r="U994" t="str">
        <x:f>IF(I994="Closed Won","Won",IF(I994="Closed Lost","Lost","Open"))</x:f>
        <x:v>Lost</x:v>
      </x:c>
      <x:c r="V994" s="22" t="n">
        <x:f>IF(U994="Won",L994*(1-M994),0)</x:f>
        <x:v>0</x:v>
      </x:c>
      <x:c r="W994" s="22" t="n">
        <x:f>IF(U994="Open",L994*N994,0)</x:f>
        <x:v>0</x:v>
      </x:c>
      <x:c r="X994" s="26" t="n">
        <x:f>IF(U994="Open","",IFERROR(K994-B994,""))</x:f>
        <x:v>60</x:v>
      </x:c>
      <x:c r="Y994" s="26" t="n">
        <x:f>IF(U994="Open",Lookups!$B$2-B994,X994)</x:f>
        <x:v>60</x:v>
      </x:c>
      <x:c r="Z994" t="str">
        <x:f>IF(AND(U994="Open",Y994&gt;30),"STALE","OK")</x:f>
        <x:v>OK</x:v>
      </x:c>
      <x:c r="AA994" t="str">
        <x:f>TEXT(B994,"yyyy-mm")</x:f>
        <x:v>2026-03</x:v>
      </x:c>
      <x:c r="AB994" t="str">
        <x:f>IF(K994="","",TEXT(K994,"yyyy-mm"))</x:f>
        <x:v>2026-05</x:v>
      </x:c>
      <x:c r="AC994" t="str">
        <x:f>"Q"&amp;ROUNDUP(MONTH(B994)/3,0)&amp;"-"&amp;YEAR(B994)</x:f>
        <x:v>Q1-2026</x:v>
      </x:c>
      <x:c r="AD994" s="26" t="n">
        <x:f>MIN(100,IF(H994="Enterprise",30,IF(H994="Mid-Market",22,14))+IF(T994="Enterprise",25,IF(T994="Mid-Market",18,10))+IF(Q994="Referral",25,IF(Q994="Organic Search",20,IF(Q994="Email",18,14)))+IF(G994="Technology",10,5))</x:f>
        <x:v>48</x:v>
      </x:c>
      <x:c r="AE994" t="str">
        <x:f>IF(U994&lt;&gt;"Open",U994,IF(N994&gt;=0.8,"Commit",IF(N994&gt;=0.5,"Best Case","Pipeline")))</x:f>
        <x:v>Lost</x:v>
      </x:c>
    </x:row>
    <x:row r="995">
      <x:c r="A995" t="str">
        <x:v>L00994</x:v>
      </x:c>
      <x:c r="B995" s="10" t="n">
        <x:v>45802</x:v>
      </x:c>
      <x:c r="C995" t="str">
        <x:v>Minh Do</x:v>
      </x:c>
      <x:c r="D995" t="str">
        <x:v>North</x:v>
      </x:c>
      <x:c r="E995" t="str">
        <x:v>Webinar</x:v>
      </x:c>
      <x:c r="F995" t="str">
        <x:v>CRM-CORE</x:v>
      </x:c>
      <x:c r="G995" t="str">
        <x:v>Technology</x:v>
      </x:c>
      <x:c r="H995" t="str">
        <x:v>SMB</x:v>
      </x:c>
      <x:c r="I995" t="str">
        <x:v>Closed Lost</x:v>
      </x:c>
      <x:c r="J995" s="10" t="n">
        <x:v>45842</x:v>
      </x:c>
      <x:c r="K995" s="10" t="n">
        <x:v>45842</x:v>
      </x:c>
      <x:c r="L995" s="22" t="n">
        <x:v>5800</x:v>
      </x:c>
      <x:c r="M995" s="24" t="n">
        <x:v>0</x:v>
      </x:c>
      <x:c r="N995" s="24" t="n">
        <x:v>0</x:v>
      </x:c>
      <x:c r="O995" t="str">
        <x:v>Budget</x:v>
      </x:c>
      <x:c r="P995" t="n">
        <x:v>4</x:v>
      </x:c>
      <x:c r="Q995" t="str">
        <x:f>IFERROR(XLOOKUP(E995,Lookups!$A$5:$A$24,Lookups!$B$5:$B$24),"Other")</x:f>
        <x:v>Webinar</x:v>
      </x:c>
      <x:c r="R995" t="str">
        <x:f>IFERROR(XLOOKUP(F995,Lookups!$D$5:$D$10,Lookups!$E$5:$E$10),"Unknown Product")</x:f>
        <x:v>NexaCRM Core</x:v>
      </x:c>
      <x:c r="S995" t="str">
        <x:f>IFERROR(XLOOKUP(F995,Lookups!$D$5:$D$10,Lookups!$F$5:$F$10),"Unknown")</x:f>
        <x:v>CRM</x:v>
      </x:c>
      <x:c r="T995" t="str">
        <x:f>IF(L995&gt;=50000,"Enterprise",IF(L995&gt;=20000,"Mid-Market","SMB"))</x:f>
        <x:v>SMB</x:v>
      </x:c>
      <x:c r="U995" t="str">
        <x:f>IF(I995="Closed Won","Won",IF(I995="Closed Lost","Lost","Open"))</x:f>
        <x:v>Lost</x:v>
      </x:c>
      <x:c r="V995" s="22" t="n">
        <x:f>IF(U995="Won",L995*(1-M995),0)</x:f>
        <x:v>0</x:v>
      </x:c>
      <x:c r="W995" s="22" t="n">
        <x:f>IF(U995="Open",L995*N995,0)</x:f>
        <x:v>0</x:v>
      </x:c>
      <x:c r="X995" s="26" t="n">
        <x:f>IF(U995="Open","",IFERROR(K995-B995,""))</x:f>
        <x:v>40</x:v>
      </x:c>
      <x:c r="Y995" s="26" t="n">
        <x:f>IF(U995="Open",Lookups!$B$2-B995,X995)</x:f>
        <x:v>40</x:v>
      </x:c>
      <x:c r="Z995" t="str">
        <x:f>IF(AND(U995="Open",Y995&gt;30),"STALE","OK")</x:f>
        <x:v>OK</x:v>
      </x:c>
      <x:c r="AA995" t="str">
        <x:f>TEXT(B995,"yyyy-mm")</x:f>
        <x:v>2025-05</x:v>
      </x:c>
      <x:c r="AB995" t="str">
        <x:f>IF(K995="","",TEXT(K995,"yyyy-mm"))</x:f>
        <x:v>2025-07</x:v>
      </x:c>
      <x:c r="AC995" t="str">
        <x:f>"Q"&amp;ROUNDUP(MONTH(B995)/3,0)&amp;"-"&amp;YEAR(B995)</x:f>
        <x:v>Q2-2025</x:v>
      </x:c>
      <x:c r="AD995" s="26" t="n">
        <x:f>MIN(100,IF(H995="Enterprise",30,IF(H995="Mid-Market",22,14))+IF(T995="Enterprise",25,IF(T995="Mid-Market",18,10))+IF(Q995="Referral",25,IF(Q995="Organic Search",20,IF(Q995="Email",18,14)))+IF(G995="Technology",10,5))</x:f>
        <x:v>48</x:v>
      </x:c>
      <x:c r="AE995" t="str">
        <x:f>IF(U995&lt;&gt;"Open",U995,IF(N995&gt;=0.8,"Commit",IF(N995&gt;=0.5,"Best Case","Pipeline")))</x:f>
        <x:v>Lost</x:v>
      </x:c>
    </x:row>
    <x:row r="996">
      <x:c r="A996" t="str">
        <x:v>L00995</x:v>
      </x:c>
      <x:c r="B996" s="10" t="n">
        <x:v>45979</x:v>
      </x:c>
      <x:c r="C996" t="str">
        <x:v>Ha Vo</x:v>
      </x:c>
      <x:c r="D996" t="str">
        <x:v>North</x:v>
      </x:c>
      <x:c r="E996" t="str">
        <x:v>SEO</x:v>
      </x:c>
      <x:c r="F996" t="str">
        <x:v>MKT-AUTO</x:v>
      </x:c>
      <x:c r="G996" t="str">
        <x:v>Technology</x:v>
      </x:c>
      <x:c r="H996" t="str">
        <x:v>Mid-Market</x:v>
      </x:c>
      <x:c r="I996" t="str">
        <x:v>Closed Lost</x:v>
      </x:c>
      <x:c r="J996" s="10" t="n">
        <x:v>45995</x:v>
      </x:c>
      <x:c r="K996" s="10" t="n">
        <x:v>45995</x:v>
      </x:c>
      <x:c r="L996" s="22" t="n">
        <x:v>35000</x:v>
      </x:c>
      <x:c r="M996" s="24" t="n">
        <x:v>0</x:v>
      </x:c>
      <x:c r="N996" s="24" t="n">
        <x:v>0</x:v>
      </x:c>
      <x:c r="O996" t="str">
        <x:v>No Decision</x:v>
      </x:c>
      <x:c r="P996" t="n">
        <x:v>4</x:v>
      </x:c>
      <x:c r="Q996" t="str">
        <x:f>IFERROR(XLOOKUP(E996,Lookups!$A$5:$A$24,Lookups!$B$5:$B$24),"Other")</x:f>
        <x:v>Organic Search</x:v>
      </x:c>
      <x:c r="R996" t="str">
        <x:f>IFERROR(XLOOKUP(F996,Lookups!$D$5:$D$10,Lookups!$E$5:$E$10),"Unknown Product")</x:f>
        <x:v>Marketing Automation</x:v>
      </x:c>
      <x:c r="S996" t="str">
        <x:f>IFERROR(XLOOKUP(F996,Lookups!$D$5:$D$10,Lookups!$F$5:$F$10),"Unknown")</x:f>
        <x:v>Marketing</x:v>
      </x:c>
      <x:c r="T996" t="str">
        <x:f>IF(L996&gt;=50000,"Enterprise",IF(L996&gt;=20000,"Mid-Market","SMB"))</x:f>
        <x:v>Mid-Market</x:v>
      </x:c>
      <x:c r="U996" t="str">
        <x:f>IF(I996="Closed Won","Won",IF(I996="Closed Lost","Lost","Open"))</x:f>
        <x:v>Lost</x:v>
      </x:c>
      <x:c r="V996" s="22" t="n">
        <x:f>IF(U996="Won",L996*(1-M996),0)</x:f>
        <x:v>0</x:v>
      </x:c>
      <x:c r="W996" s="22" t="n">
        <x:f>IF(U996="Open",L996*N996,0)</x:f>
        <x:v>0</x:v>
      </x:c>
      <x:c r="X996" s="26" t="n">
        <x:f>IF(U996="Open","",IFERROR(K996-B996,""))</x:f>
        <x:v>16</x:v>
      </x:c>
      <x:c r="Y996" s="26" t="n">
        <x:f>IF(U996="Open",Lookups!$B$2-B996,X996)</x:f>
        <x:v>16</x:v>
      </x:c>
      <x:c r="Z996" t="str">
        <x:f>IF(AND(U996="Open",Y996&gt;30),"STALE","OK")</x:f>
        <x:v>OK</x:v>
      </x:c>
      <x:c r="AA996" t="str">
        <x:f>TEXT(B996,"yyyy-mm")</x:f>
        <x:v>2025-11</x:v>
      </x:c>
      <x:c r="AB996" t="str">
        <x:f>IF(K996="","",TEXT(K996,"yyyy-mm"))</x:f>
        <x:v>2025-12</x:v>
      </x:c>
      <x:c r="AC996" t="str">
        <x:f>"Q"&amp;ROUNDUP(MONTH(B996)/3,0)&amp;"-"&amp;YEAR(B996)</x:f>
        <x:v>Q4-2025</x:v>
      </x:c>
      <x:c r="AD996" s="26" t="n">
        <x:f>MIN(100,IF(H996="Enterprise",30,IF(H996="Mid-Market",22,14))+IF(T996="Enterprise",25,IF(T996="Mid-Market",18,10))+IF(Q996="Referral",25,IF(Q996="Organic Search",20,IF(Q996="Email",18,14)))+IF(G996="Technology",10,5))</x:f>
        <x:v>70</x:v>
      </x:c>
      <x:c r="AE996" t="str">
        <x:f>IF(U996&lt;&gt;"Open",U996,IF(N996&gt;=0.8,"Commit",IF(N996&gt;=0.5,"Best Case","Pipeline")))</x:f>
        <x:v>Lost</x:v>
      </x:c>
    </x:row>
    <x:row r="997">
      <x:c r="A997" t="str">
        <x:v>L00996</x:v>
      </x:c>
      <x:c r="B997" s="10" t="n">
        <x:v>46119</x:v>
      </x:c>
      <x:c r="C997" t="str">
        <x:v>Chi Le</x:v>
      </x:c>
      <x:c r="D997" t="str">
        <x:v>South</x:v>
      </x:c>
      <x:c r="E997" t="str">
        <x:v>Google Organic</x:v>
      </x:c>
      <x:c r="F997" t="str">
        <x:v>CRM-PRO</x:v>
      </x:c>
      <x:c r="G997" t="str">
        <x:v>Financial Services</x:v>
      </x:c>
      <x:c r="H997" t="str">
        <x:v>SMB</x:v>
      </x:c>
      <x:c r="I997" t="str">
        <x:v>Closed Lost</x:v>
      </x:c>
      <x:c r="J997" s="10" t="n">
        <x:v>46139</x:v>
      </x:c>
      <x:c r="K997" s="10" t="n">
        <x:v>46139</x:v>
      </x:c>
      <x:c r="L997" s="22" t="n">
        <x:v>19900</x:v>
      </x:c>
      <x:c r="M997" s="24" t="n">
        <x:v>0</x:v>
      </x:c>
      <x:c r="N997" s="24" t="n">
        <x:v>0</x:v>
      </x:c>
      <x:c r="O997" t="str">
        <x:v>No Decision</x:v>
      </x:c>
      <x:c r="P997" t="n">
        <x:v>5</x:v>
      </x:c>
      <x:c r="Q997" t="str">
        <x:f>IFERROR(XLOOKUP(E997,Lookups!$A$5:$A$24,Lookups!$B$5:$B$24),"Other")</x:f>
        <x:v>Organic Search</x:v>
      </x:c>
      <x:c r="R997" t="str">
        <x:f>IFERROR(XLOOKUP(F997,Lookups!$D$5:$D$10,Lookups!$E$5:$E$10),"Unknown Product")</x:f>
        <x:v>NexaCRM Pro</x:v>
      </x:c>
      <x:c r="S997" t="str">
        <x:f>IFERROR(XLOOKUP(F997,Lookups!$D$5:$D$10,Lookups!$F$5:$F$10),"Unknown")</x:f>
        <x:v>CRM</x:v>
      </x:c>
      <x:c r="T997" t="str">
        <x:f>IF(L997&gt;=50000,"Enterprise",IF(L997&gt;=20000,"Mid-Market","SMB"))</x:f>
        <x:v>SMB</x:v>
      </x:c>
      <x:c r="U997" t="str">
        <x:f>IF(I997="Closed Won","Won",IF(I997="Closed Lost","Lost","Open"))</x:f>
        <x:v>Lost</x:v>
      </x:c>
      <x:c r="V997" s="22" t="n">
        <x:f>IF(U997="Won",L997*(1-M997),0)</x:f>
        <x:v>0</x:v>
      </x:c>
      <x:c r="W997" s="22" t="n">
        <x:f>IF(U997="Open",L997*N997,0)</x:f>
        <x:v>0</x:v>
      </x:c>
      <x:c r="X997" s="26" t="n">
        <x:f>IF(U997="Open","",IFERROR(K997-B997,""))</x:f>
        <x:v>20</x:v>
      </x:c>
      <x:c r="Y997" s="26" t="n">
        <x:f>IF(U997="Open",Lookups!$B$2-B997,X997)</x:f>
        <x:v>20</x:v>
      </x:c>
      <x:c r="Z997" t="str">
        <x:f>IF(AND(U997="Open",Y997&gt;30),"STALE","OK")</x:f>
        <x:v>OK</x:v>
      </x:c>
      <x:c r="AA997" t="str">
        <x:f>TEXT(B997,"yyyy-mm")</x:f>
        <x:v>2026-04</x:v>
      </x:c>
      <x:c r="AB997" t="str">
        <x:f>IF(K997="","",TEXT(K997,"yyyy-mm"))</x:f>
        <x:v>2026-04</x:v>
      </x:c>
      <x:c r="AC997" t="str">
        <x:f>"Q"&amp;ROUNDUP(MONTH(B997)/3,0)&amp;"-"&amp;YEAR(B997)</x:f>
        <x:v>Q2-2026</x:v>
      </x:c>
      <x:c r="AD997" s="26" t="n">
        <x:f>MIN(100,IF(H997="Enterprise",30,IF(H997="Mid-Market",22,14))+IF(T997="Enterprise",25,IF(T997="Mid-Market",18,10))+IF(Q997="Referral",25,IF(Q997="Organic Search",20,IF(Q997="Email",18,14)))+IF(G997="Technology",10,5))</x:f>
        <x:v>49</x:v>
      </x:c>
      <x:c r="AE997" t="str">
        <x:f>IF(U997&lt;&gt;"Open",U997,IF(N997&gt;=0.8,"Commit",IF(N997&gt;=0.5,"Best Case","Pipeline")))</x:f>
        <x:v>Lost</x:v>
      </x:c>
    </x:row>
    <x:row r="998">
      <x:c r="A998" t="str">
        <x:v>L00997</x:v>
      </x:c>
      <x:c r="B998" s="10" t="n">
        <x:v>46220</x:v>
      </x:c>
      <x:c r="C998" t="str">
        <x:v>Duy Pham</x:v>
      </x:c>
      <x:c r="D998" t="str">
        <x:v>South</x:v>
      </x:c>
      <x:c r="E998" t="str">
        <x:v>virtual event</x:v>
      </x:c>
      <x:c r="F998" t="str">
        <x:v>CRM-CORE</x:v>
      </x:c>
      <x:c r="G998" t="str">
        <x:v>Manufacturing</x:v>
      </x:c>
      <x:c r="H998" t="str">
        <x:v>SMB</x:v>
      </x:c>
      <x:c r="I998" t="str">
        <x:v>Closed Lost</x:v>
      </x:c>
      <x:c r="J998" s="10" t="n">
        <x:v>46266</x:v>
      </x:c>
      <x:c r="K998" s="10" t="n">
        <x:v>46266</x:v>
      </x:c>
      <x:c r="L998" s="22" t="n">
        <x:v>7500</x:v>
      </x:c>
      <x:c r="M998" s="24" t="n">
        <x:v>0</x:v>
      </x:c>
      <x:c r="N998" s="24" t="n">
        <x:v>0</x:v>
      </x:c>
      <x:c r="O998" t="str">
        <x:v>Price</x:v>
      </x:c>
      <x:c r="P998" t="n">
        <x:v>5</x:v>
      </x:c>
      <x:c r="Q998" t="str">
        <x:f>IFERROR(XLOOKUP(E998,Lookups!$A$5:$A$24,Lookups!$B$5:$B$24),"Other")</x:f>
        <x:v>Webinar</x:v>
      </x:c>
      <x:c r="R998" t="str">
        <x:f>IFERROR(XLOOKUP(F998,Lookups!$D$5:$D$10,Lookups!$E$5:$E$10),"Unknown Product")</x:f>
        <x:v>NexaCRM Core</x:v>
      </x:c>
      <x:c r="S998" t="str">
        <x:f>IFERROR(XLOOKUP(F998,Lookups!$D$5:$D$10,Lookups!$F$5:$F$10),"Unknown")</x:f>
        <x:v>CRM</x:v>
      </x:c>
      <x:c r="T998" t="str">
        <x:f>IF(L998&gt;=50000,"Enterprise",IF(L998&gt;=20000,"Mid-Market","SMB"))</x:f>
        <x:v>SMB</x:v>
      </x:c>
      <x:c r="U998" t="str">
        <x:f>IF(I998="Closed Won","Won",IF(I998="Closed Lost","Lost","Open"))</x:f>
        <x:v>Lost</x:v>
      </x:c>
      <x:c r="V998" s="22" t="n">
        <x:f>IF(U998="Won",L998*(1-M998),0)</x:f>
        <x:v>0</x:v>
      </x:c>
      <x:c r="W998" s="22" t="n">
        <x:f>IF(U998="Open",L998*N998,0)</x:f>
        <x:v>0</x:v>
      </x:c>
      <x:c r="X998" s="26" t="n">
        <x:f>IF(U998="Open","",IFERROR(K998-B998,""))</x:f>
        <x:v>46</x:v>
      </x:c>
      <x:c r="Y998" s="26" t="n">
        <x:f>IF(U998="Open",Lookups!$B$2-B998,X998)</x:f>
        <x:v>46</x:v>
      </x:c>
      <x:c r="Z998" t="str">
        <x:f>IF(AND(U998="Open",Y998&gt;30),"STALE","OK")</x:f>
        <x:v>OK</x:v>
      </x:c>
      <x:c r="AA998" t="str">
        <x:f>TEXT(B998,"yyyy-mm")</x:f>
        <x:v>2026-07</x:v>
      </x:c>
      <x:c r="AB998" t="str">
        <x:f>IF(K998="","",TEXT(K998,"yyyy-mm"))</x:f>
        <x:v>2026-09</x:v>
      </x:c>
      <x:c r="AC998" t="str">
        <x:f>"Q"&amp;ROUNDUP(MONTH(B998)/3,0)&amp;"-"&amp;YEAR(B998)</x:f>
        <x:v>Q3-2026</x:v>
      </x:c>
      <x:c r="AD998" s="26" t="n">
        <x:f>MIN(100,IF(H998="Enterprise",30,IF(H998="Mid-Market",22,14))+IF(T998="Enterprise",25,IF(T998="Mid-Market",18,10))+IF(Q998="Referral",25,IF(Q998="Organic Search",20,IF(Q998="Email",18,14)))+IF(G998="Technology",10,5))</x:f>
        <x:v>43</x:v>
      </x:c>
      <x:c r="AE998" t="str">
        <x:f>IF(U998&lt;&gt;"Open",U998,IF(N998&gt;=0.8,"Commit",IF(N998&gt;=0.5,"Best Case","Pipeline")))</x:f>
        <x:v>Lost</x:v>
      </x:c>
    </x:row>
    <x:row r="999">
      <x:c r="A999" t="str">
        <x:v>L00998</x:v>
      </x:c>
      <x:c r="B999" s="10" t="n">
        <x:v>45873</x:v>
      </x:c>
      <x:c r="C999" t="str">
        <x:v>Bao Tran</x:v>
      </x:c>
      <x:c r="D999" t="str">
        <x:v>South</x:v>
      </x:c>
      <x:c r="E999" t="str">
        <x:v>SEO</x:v>
      </x:c>
      <x:c r="F999" t="str">
        <x:v>CRM-CORE</x:v>
      </x:c>
      <x:c r="G999" t="str">
        <x:v>Retail</x:v>
      </x:c>
      <x:c r="H999" t="str">
        <x:v>SMB</x:v>
      </x:c>
      <x:c r="I999" t="str">
        <x:v>Closed Lost</x:v>
      </x:c>
      <x:c r="J999" s="10" t="n">
        <x:v>45909</x:v>
      </x:c>
      <x:c r="K999" s="10" t="n">
        <x:v>45909</x:v>
      </x:c>
      <x:c r="L999" s="22" t="n">
        <x:v>8200</x:v>
      </x:c>
      <x:c r="M999" s="24" t="n">
        <x:v>0</x:v>
      </x:c>
      <x:c r="N999" s="24" t="n">
        <x:v>0</x:v>
      </x:c>
      <x:c r="O999" t="str">
        <x:v>Price</x:v>
      </x:c>
      <x:c r="P999" t="n">
        <x:v>3</x:v>
      </x:c>
      <x:c r="Q999" t="str">
        <x:f>IFERROR(XLOOKUP(E999,Lookups!$A$5:$A$24,Lookups!$B$5:$B$24),"Other")</x:f>
        <x:v>Organic Search</x:v>
      </x:c>
      <x:c r="R999" t="str">
        <x:f>IFERROR(XLOOKUP(F999,Lookups!$D$5:$D$10,Lookups!$E$5:$E$10),"Unknown Product")</x:f>
        <x:v>NexaCRM Core</x:v>
      </x:c>
      <x:c r="S999" t="str">
        <x:f>IFERROR(XLOOKUP(F999,Lookups!$D$5:$D$10,Lookups!$F$5:$F$10),"Unknown")</x:f>
        <x:v>CRM</x:v>
      </x:c>
      <x:c r="T999" t="str">
        <x:f>IF(L999&gt;=50000,"Enterprise",IF(L999&gt;=20000,"Mid-Market","SMB"))</x:f>
        <x:v>SMB</x:v>
      </x:c>
      <x:c r="U999" t="str">
        <x:f>IF(I999="Closed Won","Won",IF(I999="Closed Lost","Lost","Open"))</x:f>
        <x:v>Lost</x:v>
      </x:c>
      <x:c r="V999" s="22" t="n">
        <x:f>IF(U999="Won",L999*(1-M999),0)</x:f>
        <x:v>0</x:v>
      </x:c>
      <x:c r="W999" s="22" t="n">
        <x:f>IF(U999="Open",L999*N999,0)</x:f>
        <x:v>0</x:v>
      </x:c>
      <x:c r="X999" s="26" t="n">
        <x:f>IF(U999="Open","",IFERROR(K999-B999,""))</x:f>
        <x:v>36</x:v>
      </x:c>
      <x:c r="Y999" s="26" t="n">
        <x:f>IF(U999="Open",Lookups!$B$2-B999,X999)</x:f>
        <x:v>36</x:v>
      </x:c>
      <x:c r="Z999" t="str">
        <x:f>IF(AND(U999="Open",Y999&gt;30),"STALE","OK")</x:f>
        <x:v>OK</x:v>
      </x:c>
      <x:c r="AA999" t="str">
        <x:f>TEXT(B999,"yyyy-mm")</x:f>
        <x:v>2025-08</x:v>
      </x:c>
      <x:c r="AB999" t="str">
        <x:f>IF(K999="","",TEXT(K999,"yyyy-mm"))</x:f>
        <x:v>2025-09</x:v>
      </x:c>
      <x:c r="AC999" t="str">
        <x:f>"Q"&amp;ROUNDUP(MONTH(B999)/3,0)&amp;"-"&amp;YEAR(B999)</x:f>
        <x:v>Q3-2025</x:v>
      </x:c>
      <x:c r="AD999" s="26" t="n">
        <x:f>MIN(100,IF(H999="Enterprise",30,IF(H999="Mid-Market",22,14))+IF(T999="Enterprise",25,IF(T999="Mid-Market",18,10))+IF(Q999="Referral",25,IF(Q999="Organic Search",20,IF(Q999="Email",18,14)))+IF(G999="Technology",10,5))</x:f>
        <x:v>49</x:v>
      </x:c>
      <x:c r="AE999" t="str">
        <x:f>IF(U999&lt;&gt;"Open",U999,IF(N999&gt;=0.8,"Commit",IF(N999&gt;=0.5,"Best Case","Pipeline")))</x:f>
        <x:v>Lost</x:v>
      </x:c>
    </x:row>
    <x:row r="1000">
      <x:c r="A1000" t="str">
        <x:v>L00999</x:v>
      </x:c>
      <x:c r="B1000" s="10" t="n">
        <x:v>45720</x:v>
      </x:c>
      <x:c r="C1000" t="str">
        <x:v>Chi Le</x:v>
      </x:c>
      <x:c r="D1000" t="str">
        <x:v>South</x:v>
      </x:c>
      <x:c r="E1000" t="str">
        <x:v>Partner Referral</x:v>
      </x:c>
      <x:c r="F1000" t="str">
        <x:v>BI-PLUS</x:v>
      </x:c>
      <x:c r="G1000" t="str">
        <x:v>Financial Services</x:v>
      </x:c>
      <x:c r="H1000" t="str">
        <x:v>Mid-Market</x:v>
      </x:c>
      <x:c r="I1000" t="str">
        <x:v>Negotiation</x:v>
      </x:c>
      <x:c r="J1000" s="10" t="n">
        <x:v>46168</x:v>
      </x:c>
      <x:c r="K1000" s="10"/>
      <x:c r="L1000" s="22" t="n">
        <x:v>27200</x:v>
      </x:c>
      <x:c r="M1000" s="24" t="n">
        <x:v>0.05</x:v>
      </x:c>
      <x:c r="N1000" s="24" t="n">
        <x:v>0.85</x:v>
      </x:c>
      <x:c r="O1000" t="str"/>
      <x:c r="P1000" t="n">
        <x:v>5</x:v>
      </x:c>
      <x:c r="Q1000" t="str">
        <x:f>IFERROR(XLOOKUP(E1000,Lookups!$A$5:$A$24,Lookups!$B$5:$B$24),"Other")</x:f>
        <x:v>Referral</x:v>
      </x:c>
      <x:c r="R1000" t="str">
        <x:f>IFERROR(XLOOKUP(F1000,Lookups!$D$5:$D$10,Lookups!$E$5:$E$10),"Unknown Product")</x:f>
        <x:v>Analytics Plus</x:v>
      </x:c>
      <x:c r="S1000" t="str">
        <x:f>IFERROR(XLOOKUP(F1000,Lookups!$D$5:$D$10,Lookups!$F$5:$F$10),"Unknown")</x:f>
        <x:v>Analytics</x:v>
      </x:c>
      <x:c r="T1000" t="str">
        <x:f>IF(L1000&gt;=50000,"Enterprise",IF(L1000&gt;=20000,"Mid-Market","SMB"))</x:f>
        <x:v>Mid-Market</x:v>
      </x:c>
      <x:c r="U1000" t="str">
        <x:f>IF(I1000="Closed Won","Won",IF(I1000="Closed Lost","Lost","Open"))</x:f>
        <x:v>Open</x:v>
      </x:c>
      <x:c r="V1000" s="22" t="n">
        <x:f>IF(U1000="Won",L1000*(1-M1000),0)</x:f>
        <x:v>0</x:v>
      </x:c>
      <x:c r="W1000" s="22" t="n">
        <x:f>IF(U1000="Open",L1000*N1000,0)</x:f>
        <x:v>23120</x:v>
      </x:c>
      <x:c r="X1000" s="26" t="str">
        <x:f>IF(U1000="Open","",IFERROR(K1000-B1000,""))</x:f>
      </x:c>
      <x:c r="Y1000" s="26" t="n">
        <x:f>IF(U1000="Open",Lookups!$B$2-B1000,X1000)</x:f>
        <x:v>546</x:v>
      </x:c>
      <x:c r="Z1000" t="str">
        <x:f>IF(AND(U1000="Open",Y1000&gt;30),"STALE","OK")</x:f>
        <x:v>STALE</x:v>
      </x:c>
      <x:c r="AA1000" t="str">
        <x:f>TEXT(B1000,"yyyy-mm")</x:f>
        <x:v>2025-03</x:v>
      </x:c>
      <x:c r="AB1000" t="str">
        <x:f>IF(K1000="","",TEXT(K1000,"yyyy-mm"))</x:f>
      </x:c>
      <x:c r="AC1000" t="str">
        <x:f>"Q"&amp;ROUNDUP(MONTH(B1000)/3,0)&amp;"-"&amp;YEAR(B1000)</x:f>
        <x:v>Q1-2025</x:v>
      </x:c>
      <x:c r="AD1000" s="26" t="n">
        <x:f>MIN(100,IF(H1000="Enterprise",30,IF(H1000="Mid-Market",22,14))+IF(T1000="Enterprise",25,IF(T1000="Mid-Market",18,10))+IF(Q1000="Referral",25,IF(Q1000="Organic Search",20,IF(Q1000="Email",18,14)))+IF(G1000="Technology",10,5))</x:f>
        <x:v>70</x:v>
      </x:c>
      <x:c r="AE1000" t="str">
        <x:f>IF(U1000&lt;&gt;"Open",U1000,IF(N1000&gt;=0.8,"Commit",IF(N1000&gt;=0.5,"Best Case","Pipeline")))</x:f>
        <x:v>Commit</x:v>
      </x:c>
    </x:row>
    <x:row r="1001">
      <x:c r="A1001" t="str">
        <x:v>L01000</x:v>
      </x:c>
      <x:c r="B1001" s="10" t="n">
        <x:v>46131</x:v>
      </x:c>
      <x:c r="C1001" t="str">
        <x:v>An Nguyen</x:v>
      </x:c>
      <x:c r="D1001" t="str">
        <x:v>South</x:v>
      </x:c>
      <x:c r="E1001" t="str">
        <x:v>Cold Email</x:v>
      </x:c>
      <x:c r="F1001" t="str">
        <x:v>BI-PLUS</x:v>
      </x:c>
      <x:c r="G1001" t="str">
        <x:v>Technology</x:v>
      </x:c>
      <x:c r="H1001" t="str">
        <x:v>SMB</x:v>
      </x:c>
      <x:c r="I1001" t="str">
        <x:v>Closed Won</x:v>
      </x:c>
      <x:c r="J1001" s="10" t="n">
        <x:v>46160</x:v>
      </x:c>
      <x:c r="K1001" s="10" t="n">
        <x:v>46160</x:v>
      </x:c>
      <x:c r="L1001" s="22" t="n">
        <x:v>26800</x:v>
      </x:c>
      <x:c r="M1001" s="24" t="n">
        <x:v>0.08</x:v>
      </x:c>
      <x:c r="N1001" s="24" t="n">
        <x:v>1</x:v>
      </x:c>
      <x:c r="O1001" t="str"/>
      <x:c r="P1001" t="n">
        <x:v>6</x:v>
      </x:c>
      <x:c r="Q1001" t="str">
        <x:f>IFERROR(XLOOKUP(E1001,Lookups!$A$5:$A$24,Lookups!$B$5:$B$24),"Other")</x:f>
        <x:v>Outbound</x:v>
      </x:c>
      <x:c r="R1001" t="str">
        <x:f>IFERROR(XLOOKUP(F1001,Lookups!$D$5:$D$10,Lookups!$E$5:$E$10),"Unknown Product")</x:f>
        <x:v>Analytics Plus</x:v>
      </x:c>
      <x:c r="S1001" t="str">
        <x:f>IFERROR(XLOOKUP(F1001,Lookups!$D$5:$D$10,Lookups!$F$5:$F$10),"Unknown")</x:f>
        <x:v>Analytics</x:v>
      </x:c>
      <x:c r="T1001" t="str">
        <x:f>IF(L1001&gt;=50000,"Enterprise",IF(L1001&gt;=20000,"Mid-Market","SMB"))</x:f>
        <x:v>Mid-Market</x:v>
      </x:c>
      <x:c r="U1001" t="str">
        <x:f>IF(I1001="Closed Won","Won",IF(I1001="Closed Lost","Lost","Open"))</x:f>
        <x:v>Won</x:v>
      </x:c>
      <x:c r="V1001" s="22" t="n">
        <x:f>IF(U1001="Won",L1001*(1-M1001),0)</x:f>
        <x:v>24656</x:v>
      </x:c>
      <x:c r="W1001" s="22" t="n">
        <x:f>IF(U1001="Open",L1001*N1001,0)</x:f>
        <x:v>0</x:v>
      </x:c>
      <x:c r="X1001" s="26" t="n">
        <x:f>IF(U1001="Open","",IFERROR(K1001-B1001,""))</x:f>
        <x:v>29</x:v>
      </x:c>
      <x:c r="Y1001" s="26" t="n">
        <x:f>IF(U1001="Open",Lookups!$B$2-B1001,X1001)</x:f>
        <x:v>29</x:v>
      </x:c>
      <x:c r="Z1001" t="str">
        <x:f>IF(AND(U1001="Open",Y1001&gt;30),"STALE","OK")</x:f>
        <x:v>OK</x:v>
      </x:c>
      <x:c r="AA1001" t="str">
        <x:f>TEXT(B1001,"yyyy-mm")</x:f>
        <x:v>2026-04</x:v>
      </x:c>
      <x:c r="AB1001" t="str">
        <x:f>IF(K1001="","",TEXT(K1001,"yyyy-mm"))</x:f>
        <x:v>2026-05</x:v>
      </x:c>
      <x:c r="AC1001" t="str">
        <x:f>"Q"&amp;ROUNDUP(MONTH(B1001)/3,0)&amp;"-"&amp;YEAR(B1001)</x:f>
        <x:v>Q2-2026</x:v>
      </x:c>
      <x:c r="AD1001" s="26" t="n">
        <x:f>MIN(100,IF(H1001="Enterprise",30,IF(H1001="Mid-Market",22,14))+IF(T1001="Enterprise",25,IF(T1001="Mid-Market",18,10))+IF(Q1001="Referral",25,IF(Q1001="Organic Search",20,IF(Q1001="Email",18,14)))+IF(G1001="Technology",10,5))</x:f>
        <x:v>56</x:v>
      </x:c>
      <x:c r="AE1001" t="str">
        <x:f>IF(U1001&lt;&gt;"Open",U1001,IF(N1001&gt;=0.8,"Commit",IF(N1001&gt;=0.5,"Best Case","Pipeline")))</x:f>
        <x:v>Won</x:v>
      </x:c>
    </x:row>
    <x:row r="1002">
      <x:c r="A1002" t="str">
        <x:v>L01001</x:v>
      </x:c>
      <x:c r="B1002" s="10" t="n">
        <x:v>45856</x:v>
      </x:c>
      <x:c r="C1002" t="str">
        <x:v>Quynh Vu</x:v>
      </x:c>
      <x:c r="D1002" t="str">
        <x:v>North</x:v>
      </x:c>
      <x:c r="E1002" t="str">
        <x:v>Outbound</x:v>
      </x:c>
      <x:c r="F1002" t="str">
        <x:v>CRM-PRO</x:v>
      </x:c>
      <x:c r="G1002" t="str">
        <x:v>Healthcare</x:v>
      </x:c>
      <x:c r="H1002" t="str">
        <x:v>SMB</x:v>
      </x:c>
      <x:c r="I1002" t="str">
        <x:v>Negotiation</x:v>
      </x:c>
      <x:c r="J1002" s="10" t="n">
        <x:v>46104</x:v>
      </x:c>
      <x:c r="K1002" s="10"/>
      <x:c r="L1002" s="22" t="n">
        <x:v>16700</x:v>
      </x:c>
      <x:c r="M1002" s="24" t="n">
        <x:v>0</x:v>
      </x:c>
      <x:c r="N1002" s="24" t="n">
        <x:v>0.85</x:v>
      </x:c>
      <x:c r="O1002" t="str"/>
      <x:c r="P1002" t="n">
        <x:v>5</x:v>
      </x:c>
      <x:c r="Q1002" t="str">
        <x:f>IFERROR(XLOOKUP(E1002,Lookups!$A$5:$A$24,Lookups!$B$5:$B$24),"Other")</x:f>
        <x:v>Outbound</x:v>
      </x:c>
      <x:c r="R1002" t="str">
        <x:f>IFERROR(XLOOKUP(F1002,Lookups!$D$5:$D$10,Lookups!$E$5:$E$10),"Unknown Product")</x:f>
        <x:v>NexaCRM Pro</x:v>
      </x:c>
      <x:c r="S1002" t="str">
        <x:f>IFERROR(XLOOKUP(F1002,Lookups!$D$5:$D$10,Lookups!$F$5:$F$10),"Unknown")</x:f>
        <x:v>CRM</x:v>
      </x:c>
      <x:c r="T1002" t="str">
        <x:f>IF(L1002&gt;=50000,"Enterprise",IF(L1002&gt;=20000,"Mid-Market","SMB"))</x:f>
        <x:v>SMB</x:v>
      </x:c>
      <x:c r="U1002" t="str">
        <x:f>IF(I1002="Closed Won","Won",IF(I1002="Closed Lost","Lost","Open"))</x:f>
        <x:v>Open</x:v>
      </x:c>
      <x:c r="V1002" s="22" t="n">
        <x:f>IF(U1002="Won",L1002*(1-M1002),0)</x:f>
        <x:v>0</x:v>
      </x:c>
      <x:c r="W1002" s="22" t="n">
        <x:f>IF(U1002="Open",L1002*N1002,0)</x:f>
        <x:v>14195</x:v>
      </x:c>
      <x:c r="X1002" s="26" t="str">
        <x:f>IF(U1002="Open","",IFERROR(K1002-B1002,""))</x:f>
      </x:c>
      <x:c r="Y1002" s="26" t="n">
        <x:f>IF(U1002="Open",Lookups!$B$2-B1002,X1002)</x:f>
        <x:v>410</x:v>
      </x:c>
      <x:c r="Z1002" t="str">
        <x:f>IF(AND(U1002="Open",Y1002&gt;30),"STALE","OK")</x:f>
        <x:v>STALE</x:v>
      </x:c>
      <x:c r="AA1002" t="str">
        <x:f>TEXT(B1002,"yyyy-mm")</x:f>
        <x:v>2025-07</x:v>
      </x:c>
      <x:c r="AB1002" t="str">
        <x:f>IF(K1002="","",TEXT(K1002,"yyyy-mm"))</x:f>
      </x:c>
      <x:c r="AC1002" t="str">
        <x:f>"Q"&amp;ROUNDUP(MONTH(B1002)/3,0)&amp;"-"&amp;YEAR(B1002)</x:f>
        <x:v>Q3-2025</x:v>
      </x:c>
      <x:c r="AD1002" s="26" t="n">
        <x:f>MIN(100,IF(H1002="Enterprise",30,IF(H1002="Mid-Market",22,14))+IF(T1002="Enterprise",25,IF(T1002="Mid-Market",18,10))+IF(Q1002="Referral",25,IF(Q1002="Organic Search",20,IF(Q1002="Email",18,14)))+IF(G1002="Technology",10,5))</x:f>
        <x:v>43</x:v>
      </x:c>
      <x:c r="AE1002" t="str">
        <x:f>IF(U1002&lt;&gt;"Open",U1002,IF(N1002&gt;=0.8,"Commit",IF(N1002&gt;=0.5,"Best Case","Pipeline")))</x:f>
        <x:v>Commit</x:v>
      </x:c>
    </x:row>
    <x:row r="1003">
      <x:c r="A1003" t="str">
        <x:v>L01002</x:v>
      </x:c>
      <x:c r="B1003" s="10" t="n">
        <x:v>46164</x:v>
      </x:c>
      <x:c r="C1003" t="str">
        <x:v>An Nguyen</x:v>
      </x:c>
      <x:c r="D1003" t="str">
        <x:v>South</x:v>
      </x:c>
      <x:c r="E1003" t="str">
        <x:v>organic search</x:v>
      </x:c>
      <x:c r="F1003" t="str">
        <x:v>CRM-PRO</x:v>
      </x:c>
      <x:c r="G1003" t="str">
        <x:v>Professional Services</x:v>
      </x:c>
      <x:c r="H1003" t="str">
        <x:v>Mid-Market</x:v>
      </x:c>
      <x:c r="I1003" t="str">
        <x:v>Demo / Meeting</x:v>
      </x:c>
      <x:c r="J1003" s="10" t="n">
        <x:v>46236</x:v>
      </x:c>
      <x:c r="K1003" s="10"/>
      <x:c r="L1003" s="22" t="n">
        <x:v>39300</x:v>
      </x:c>
      <x:c r="M1003" s="24" t="n">
        <x:v>0</x:v>
      </x:c>
      <x:c r="N1003" s="24" t="n">
        <x:v>0.4</x:v>
      </x:c>
      <x:c r="O1003" t="str"/>
      <x:c r="P1003" t="n">
        <x:v>3</x:v>
      </x:c>
      <x:c r="Q1003" t="str">
        <x:f>IFERROR(XLOOKUP(E1003,Lookups!$A$5:$A$24,Lookups!$B$5:$B$24),"Other")</x:f>
        <x:v>Organic Search</x:v>
      </x:c>
      <x:c r="R1003" t="str">
        <x:f>IFERROR(XLOOKUP(F1003,Lookups!$D$5:$D$10,Lookups!$E$5:$E$10),"Unknown Product")</x:f>
        <x:v>NexaCRM Pro</x:v>
      </x:c>
      <x:c r="S1003" t="str">
        <x:f>IFERROR(XLOOKUP(F1003,Lookups!$D$5:$D$10,Lookups!$F$5:$F$10),"Unknown")</x:f>
        <x:v>CRM</x:v>
      </x:c>
      <x:c r="T1003" t="str">
        <x:f>IF(L1003&gt;=50000,"Enterprise",IF(L1003&gt;=20000,"Mid-Market","SMB"))</x:f>
        <x:v>Mid-Market</x:v>
      </x:c>
      <x:c r="U1003" t="str">
        <x:f>IF(I1003="Closed Won","Won",IF(I1003="Closed Lost","Lost","Open"))</x:f>
        <x:v>Open</x:v>
      </x:c>
      <x:c r="V1003" s="22" t="n">
        <x:f>IF(U1003="Won",L1003*(1-M1003),0)</x:f>
        <x:v>0</x:v>
      </x:c>
      <x:c r="W1003" s="22" t="n">
        <x:f>IF(U1003="Open",L1003*N1003,0)</x:f>
        <x:v>15720</x:v>
      </x:c>
      <x:c r="X1003" s="26" t="str">
        <x:f>IF(U1003="Open","",IFERROR(K1003-B1003,""))</x:f>
      </x:c>
      <x:c r="Y1003" s="26" t="n">
        <x:f>IF(U1003="Open",Lookups!$B$2-B1003,X1003)</x:f>
        <x:v>102</x:v>
      </x:c>
      <x:c r="Z1003" t="str">
        <x:f>IF(AND(U1003="Open",Y1003&gt;30),"STALE","OK")</x:f>
        <x:v>STALE</x:v>
      </x:c>
      <x:c r="AA1003" t="str">
        <x:f>TEXT(B1003,"yyyy-mm")</x:f>
        <x:v>2026-05</x:v>
      </x:c>
      <x:c r="AB1003" t="str">
        <x:f>IF(K1003="","",TEXT(K1003,"yyyy-mm"))</x:f>
      </x:c>
      <x:c r="AC1003" t="str">
        <x:f>"Q"&amp;ROUNDUP(MONTH(B1003)/3,0)&amp;"-"&amp;YEAR(B1003)</x:f>
        <x:v>Q2-2026</x:v>
      </x:c>
      <x:c r="AD1003" s="26" t="n">
        <x:f>MIN(100,IF(H1003="Enterprise",30,IF(H1003="Mid-Market",22,14))+IF(T1003="Enterprise",25,IF(T1003="Mid-Market",18,10))+IF(Q1003="Referral",25,IF(Q1003="Organic Search",20,IF(Q1003="Email",18,14)))+IF(G1003="Technology",10,5))</x:f>
        <x:v>65</x:v>
      </x:c>
      <x:c r="AE1003" t="str">
        <x:f>IF(U1003&lt;&gt;"Open",U1003,IF(N1003&gt;=0.8,"Commit",IF(N1003&gt;=0.5,"Best Case","Pipeline")))</x:f>
        <x:v>Pipeline</x:v>
      </x:c>
    </x:row>
    <x:row r="1004">
      <x:c r="A1004" t="str">
        <x:v>L01003</x:v>
      </x:c>
      <x:c r="B1004" s="10" t="n">
        <x:v>46213</x:v>
      </x:c>
      <x:c r="C1004" t="str">
        <x:v>Chi Le</x:v>
      </x:c>
      <x:c r="D1004" t="str">
        <x:v>South</x:v>
      </x:c>
      <x:c r="E1004" t="str">
        <x:v>Outbound</x:v>
      </x:c>
      <x:c r="F1004" t="str">
        <x:v>CRM-CORE</x:v>
      </x:c>
      <x:c r="G1004" t="str">
        <x:v>Manufacturing</x:v>
      </x:c>
      <x:c r="H1004" t="str">
        <x:v>Mid-Market</x:v>
      </x:c>
      <x:c r="I1004" t="str">
        <x:v>Closed Won</x:v>
      </x:c>
      <x:c r="J1004" s="10" t="n">
        <x:v>46258</x:v>
      </x:c>
      <x:c r="K1004" s="10" t="n">
        <x:v>46258</x:v>
      </x:c>
      <x:c r="L1004" s="22" t="n">
        <x:v>11800</x:v>
      </x:c>
      <x:c r="M1004" s="24" t="n">
        <x:v>0</x:v>
      </x:c>
      <x:c r="N1004" s="24" t="n">
        <x:v>1</x:v>
      </x:c>
      <x:c r="O1004" t="str"/>
      <x:c r="P1004" t="n">
        <x:v>6</x:v>
      </x:c>
      <x:c r="Q1004" t="str">
        <x:f>IFERROR(XLOOKUP(E1004,Lookups!$A$5:$A$24,Lookups!$B$5:$B$24),"Other")</x:f>
        <x:v>Outbound</x:v>
      </x:c>
      <x:c r="R1004" t="str">
        <x:f>IFERROR(XLOOKUP(F1004,Lookups!$D$5:$D$10,Lookups!$E$5:$E$10),"Unknown Product")</x:f>
        <x:v>NexaCRM Core</x:v>
      </x:c>
      <x:c r="S1004" t="str">
        <x:f>IFERROR(XLOOKUP(F1004,Lookups!$D$5:$D$10,Lookups!$F$5:$F$10),"Unknown")</x:f>
        <x:v>CRM</x:v>
      </x:c>
      <x:c r="T1004" t="str">
        <x:f>IF(L1004&gt;=50000,"Enterprise",IF(L1004&gt;=20000,"Mid-Market","SMB"))</x:f>
        <x:v>SMB</x:v>
      </x:c>
      <x:c r="U1004" t="str">
        <x:f>IF(I1004="Closed Won","Won",IF(I1004="Closed Lost","Lost","Open"))</x:f>
        <x:v>Won</x:v>
      </x:c>
      <x:c r="V1004" s="22" t="n">
        <x:f>IF(U1004="Won",L1004*(1-M1004),0)</x:f>
        <x:v>11800</x:v>
      </x:c>
      <x:c r="W1004" s="22" t="n">
        <x:f>IF(U1004="Open",L1004*N1004,0)</x:f>
        <x:v>0</x:v>
      </x:c>
      <x:c r="X1004" s="26" t="n">
        <x:f>IF(U1004="Open","",IFERROR(K1004-B1004,""))</x:f>
        <x:v>45</x:v>
      </x:c>
      <x:c r="Y1004" s="26" t="n">
        <x:f>IF(U1004="Open",Lookups!$B$2-B1004,X1004)</x:f>
        <x:v>45</x:v>
      </x:c>
      <x:c r="Z1004" t="str">
        <x:f>IF(AND(U1004="Open",Y1004&gt;30),"STALE","OK")</x:f>
        <x:v>OK</x:v>
      </x:c>
      <x:c r="AA1004" t="str">
        <x:f>TEXT(B1004,"yyyy-mm")</x:f>
        <x:v>2026-07</x:v>
      </x:c>
      <x:c r="AB1004" t="str">
        <x:f>IF(K1004="","",TEXT(K1004,"yyyy-mm"))</x:f>
        <x:v>2026-08</x:v>
      </x:c>
      <x:c r="AC1004" t="str">
        <x:f>"Q"&amp;ROUNDUP(MONTH(B1004)/3,0)&amp;"-"&amp;YEAR(B1004)</x:f>
        <x:v>Q3-2026</x:v>
      </x:c>
      <x:c r="AD1004" s="26" t="n">
        <x:f>MIN(100,IF(H1004="Enterprise",30,IF(H1004="Mid-Market",22,14))+IF(T1004="Enterprise",25,IF(T1004="Mid-Market",18,10))+IF(Q1004="Referral",25,IF(Q1004="Organic Search",20,IF(Q1004="Email",18,14)))+IF(G1004="Technology",10,5))</x:f>
        <x:v>51</x:v>
      </x:c>
      <x:c r="AE1004" t="str">
        <x:f>IF(U1004&lt;&gt;"Open",U1004,IF(N1004&gt;=0.8,"Commit",IF(N1004&gt;=0.5,"Best Case","Pipeline")))</x:f>
        <x:v>Won</x:v>
      </x:c>
    </x:row>
    <x:row r="1005">
      <x:c r="A1005" t="str">
        <x:v>L01004</x:v>
      </x:c>
      <x:c r="B1005" s="10" t="n">
        <x:v>46160</x:v>
      </x:c>
      <x:c r="C1005" t="str">
        <x:v>Minh Do</x:v>
      </x:c>
      <x:c r="D1005" t="str">
        <x:v>North</x:v>
      </x:c>
      <x:c r="E1005" t="str">
        <x:v>organic search</x:v>
      </x:c>
      <x:c r="F1005" t="str">
        <x:v>CRM-CORE</x:v>
      </x:c>
      <x:c r="G1005" t="str">
        <x:v>Technology</x:v>
      </x:c>
      <x:c r="H1005" t="str">
        <x:v>Mid-Market</x:v>
      </x:c>
      <x:c r="I1005" t="str">
        <x:v>Demo / Meeting</x:v>
      </x:c>
      <x:c r="J1005" s="10" t="n">
        <x:v>46206</x:v>
      </x:c>
      <x:c r="K1005" s="10"/>
      <x:c r="L1005" s="22" t="n">
        <x:v>15000</x:v>
      </x:c>
      <x:c r="M1005" s="24" t="n">
        <x:v>0</x:v>
      </x:c>
      <x:c r="N1005" s="24" t="n">
        <x:v>0.4</x:v>
      </x:c>
      <x:c r="O1005" t="str"/>
      <x:c r="P1005" t="n">
        <x:v>3</x:v>
      </x:c>
      <x:c r="Q1005" t="str">
        <x:f>IFERROR(XLOOKUP(E1005,Lookups!$A$5:$A$24,Lookups!$B$5:$B$24),"Other")</x:f>
        <x:v>Organic Search</x:v>
      </x:c>
      <x:c r="R1005" t="str">
        <x:f>IFERROR(XLOOKUP(F1005,Lookups!$D$5:$D$10,Lookups!$E$5:$E$10),"Unknown Product")</x:f>
        <x:v>NexaCRM Core</x:v>
      </x:c>
      <x:c r="S1005" t="str">
        <x:f>IFERROR(XLOOKUP(F1005,Lookups!$D$5:$D$10,Lookups!$F$5:$F$10),"Unknown")</x:f>
        <x:v>CRM</x:v>
      </x:c>
      <x:c r="T1005" t="str">
        <x:f>IF(L1005&gt;=50000,"Enterprise",IF(L1005&gt;=20000,"Mid-Market","SMB"))</x:f>
        <x:v>SMB</x:v>
      </x:c>
      <x:c r="U1005" t="str">
        <x:f>IF(I1005="Closed Won","Won",IF(I1005="Closed Lost","Lost","Open"))</x:f>
        <x:v>Open</x:v>
      </x:c>
      <x:c r="V1005" s="22" t="n">
        <x:f>IF(U1005="Won",L1005*(1-M1005),0)</x:f>
        <x:v>0</x:v>
      </x:c>
      <x:c r="W1005" s="22" t="n">
        <x:f>IF(U1005="Open",L1005*N1005,0)</x:f>
        <x:v>6000</x:v>
      </x:c>
      <x:c r="X1005" s="26" t="str">
        <x:f>IF(U1005="Open","",IFERROR(K1005-B1005,""))</x:f>
      </x:c>
      <x:c r="Y1005" s="26" t="n">
        <x:f>IF(U1005="Open",Lookups!$B$2-B1005,X1005)</x:f>
        <x:v>106</x:v>
      </x:c>
      <x:c r="Z1005" t="str">
        <x:f>IF(AND(U1005="Open",Y1005&gt;30),"STALE","OK")</x:f>
        <x:v>STALE</x:v>
      </x:c>
      <x:c r="AA1005" t="str">
        <x:f>TEXT(B1005,"yyyy-mm")</x:f>
        <x:v>2026-05</x:v>
      </x:c>
      <x:c r="AB1005" t="str">
        <x:f>IF(K1005="","",TEXT(K1005,"yyyy-mm"))</x:f>
      </x:c>
      <x:c r="AC1005" t="str">
        <x:f>"Q"&amp;ROUNDUP(MONTH(B1005)/3,0)&amp;"-"&amp;YEAR(B1005)</x:f>
        <x:v>Q2-2026</x:v>
      </x:c>
      <x:c r="AD1005" s="26" t="n">
        <x:f>MIN(100,IF(H1005="Enterprise",30,IF(H1005="Mid-Market",22,14))+IF(T1005="Enterprise",25,IF(T1005="Mid-Market",18,10))+IF(Q1005="Referral",25,IF(Q1005="Organic Search",20,IF(Q1005="Email",18,14)))+IF(G1005="Technology",10,5))</x:f>
        <x:v>62</x:v>
      </x:c>
      <x:c r="AE1005" t="str">
        <x:f>IF(U1005&lt;&gt;"Open",U1005,IF(N1005&gt;=0.8,"Commit",IF(N1005&gt;=0.5,"Best Case","Pipeline")))</x:f>
        <x:v>Pipeline</x:v>
      </x:c>
    </x:row>
    <x:row r="1006">
      <x:c r="A1006" t="str">
        <x:v>L01005</x:v>
      </x:c>
      <x:c r="B1006" s="10" t="n">
        <x:v>46013</x:v>
      </x:c>
      <x:c r="C1006" t="str">
        <x:v>Minh Do</x:v>
      </x:c>
      <x:c r="D1006" t="str">
        <x:v>North</x:v>
      </x:c>
      <x:c r="E1006" t="str">
        <x:v>organic search</x:v>
      </x:c>
      <x:c r="F1006" t="str">
        <x:v>CRM-PRO</x:v>
      </x:c>
      <x:c r="G1006" t="str">
        <x:v>Healthcare</x:v>
      </x:c>
      <x:c r="H1006" t="str">
        <x:v>SMB</x:v>
      </x:c>
      <x:c r="I1006" t="str">
        <x:v>Closed Won</x:v>
      </x:c>
      <x:c r="J1006" s="10" t="n">
        <x:v>46025</x:v>
      </x:c>
      <x:c r="K1006" s="10" t="n">
        <x:v>46025</x:v>
      </x:c>
      <x:c r="L1006" s="22" t="n">
        <x:v>23600</x:v>
      </x:c>
      <x:c r="M1006" s="24" t="n">
        <x:v>0.08</x:v>
      </x:c>
      <x:c r="N1006" s="24" t="n">
        <x:v>1</x:v>
      </x:c>
      <x:c r="O1006" t="str"/>
      <x:c r="P1006" t="n">
        <x:v>6</x:v>
      </x:c>
      <x:c r="Q1006" t="str">
        <x:f>IFERROR(XLOOKUP(E1006,Lookups!$A$5:$A$24,Lookups!$B$5:$B$24),"Other")</x:f>
        <x:v>Organic Search</x:v>
      </x:c>
      <x:c r="R1006" t="str">
        <x:f>IFERROR(XLOOKUP(F1006,Lookups!$D$5:$D$10,Lookups!$E$5:$E$10),"Unknown Product")</x:f>
        <x:v>NexaCRM Pro</x:v>
      </x:c>
      <x:c r="S1006" t="str">
        <x:f>IFERROR(XLOOKUP(F1006,Lookups!$D$5:$D$10,Lookups!$F$5:$F$10),"Unknown")</x:f>
        <x:v>CRM</x:v>
      </x:c>
      <x:c r="T1006" t="str">
        <x:f>IF(L1006&gt;=50000,"Enterprise",IF(L1006&gt;=20000,"Mid-Market","SMB"))</x:f>
        <x:v>Mid-Market</x:v>
      </x:c>
      <x:c r="U1006" t="str">
        <x:f>IF(I1006="Closed Won","Won",IF(I1006="Closed Lost","Lost","Open"))</x:f>
        <x:v>Won</x:v>
      </x:c>
      <x:c r="V1006" s="22" t="n">
        <x:f>IF(U1006="Won",L1006*(1-M1006),0)</x:f>
        <x:v>21712</x:v>
      </x:c>
      <x:c r="W1006" s="22" t="n">
        <x:f>IF(U1006="Open",L1006*N1006,0)</x:f>
        <x:v>0</x:v>
      </x:c>
      <x:c r="X1006" s="26" t="n">
        <x:f>IF(U1006="Open","",IFERROR(K1006-B1006,""))</x:f>
        <x:v>12</x:v>
      </x:c>
      <x:c r="Y1006" s="26" t="n">
        <x:f>IF(U1006="Open",Lookups!$B$2-B1006,X1006)</x:f>
        <x:v>12</x:v>
      </x:c>
      <x:c r="Z1006" t="str">
        <x:f>IF(AND(U1006="Open",Y1006&gt;30),"STALE","OK")</x:f>
        <x:v>OK</x:v>
      </x:c>
      <x:c r="AA1006" t="str">
        <x:f>TEXT(B1006,"yyyy-mm")</x:f>
        <x:v>2025-12</x:v>
      </x:c>
      <x:c r="AB1006" t="str">
        <x:f>IF(K1006="","",TEXT(K1006,"yyyy-mm"))</x:f>
        <x:v>2026-01</x:v>
      </x:c>
      <x:c r="AC1006" t="str">
        <x:f>"Q"&amp;ROUNDUP(MONTH(B1006)/3,0)&amp;"-"&amp;YEAR(B1006)</x:f>
        <x:v>Q4-2025</x:v>
      </x:c>
      <x:c r="AD1006" s="26" t="n">
        <x:f>MIN(100,IF(H1006="Enterprise",30,IF(H1006="Mid-Market",22,14))+IF(T1006="Enterprise",25,IF(T1006="Mid-Market",18,10))+IF(Q1006="Referral",25,IF(Q1006="Organic Search",20,IF(Q1006="Email",18,14)))+IF(G1006="Technology",10,5))</x:f>
        <x:v>57</x:v>
      </x:c>
      <x:c r="AE1006" t="str">
        <x:f>IF(U1006&lt;&gt;"Open",U1006,IF(N1006&gt;=0.8,"Commit",IF(N1006&gt;=0.5,"Best Case","Pipeline")))</x:f>
        <x:v>Won</x:v>
      </x:c>
    </x:row>
    <x:row r="1007">
      <x:c r="A1007" t="str">
        <x:v>L01006</x:v>
      </x:c>
      <x:c r="B1007" s="10" t="n">
        <x:v>45819</x:v>
      </x:c>
      <x:c r="C1007" t="str">
        <x:v>Minh Do</x:v>
      </x:c>
      <x:c r="D1007" t="str">
        <x:v>North</x:v>
      </x:c>
      <x:c r="E1007" t="str">
        <x:v>linkedin</x:v>
      </x:c>
      <x:c r="F1007" t="str">
        <x:v>CRM-CORE</x:v>
      </x:c>
      <x:c r="G1007" t="str">
        <x:v>Education</x:v>
      </x:c>
      <x:c r="H1007" t="str">
        <x:v>Enterprise</x:v>
      </x:c>
      <x:c r="I1007" t="str">
        <x:v>Closed Lost</x:v>
      </x:c>
      <x:c r="J1007" s="10" t="n">
        <x:v>45840</x:v>
      </x:c>
      <x:c r="K1007" s="10" t="n">
        <x:v>45840</x:v>
      </x:c>
      <x:c r="L1007" s="22" t="n">
        <x:v>15800</x:v>
      </x:c>
      <x:c r="M1007" s="24" t="n">
        <x:v>0</x:v>
      </x:c>
      <x:c r="N1007" s="24" t="n">
        <x:v>0</x:v>
      </x:c>
      <x:c r="O1007" t="str">
        <x:v>No Decision</x:v>
      </x:c>
      <x:c r="P1007" t="n">
        <x:v>5</x:v>
      </x:c>
      <x:c r="Q1007" t="str">
        <x:f>IFERROR(XLOOKUP(E1007,Lookups!$A$5:$A$24,Lookups!$B$5:$B$24),"Other")</x:f>
        <x:v>LinkedIn</x:v>
      </x:c>
      <x:c r="R1007" t="str">
        <x:f>IFERROR(XLOOKUP(F1007,Lookups!$D$5:$D$10,Lookups!$E$5:$E$10),"Unknown Product")</x:f>
        <x:v>NexaCRM Core</x:v>
      </x:c>
      <x:c r="S1007" t="str">
        <x:f>IFERROR(XLOOKUP(F1007,Lookups!$D$5:$D$10,Lookups!$F$5:$F$10),"Unknown")</x:f>
        <x:v>CRM</x:v>
      </x:c>
      <x:c r="T1007" t="str">
        <x:f>IF(L1007&gt;=50000,"Enterprise",IF(L1007&gt;=20000,"Mid-Market","SMB"))</x:f>
        <x:v>SMB</x:v>
      </x:c>
      <x:c r="U1007" t="str">
        <x:f>IF(I1007="Closed Won","Won",IF(I1007="Closed Lost","Lost","Open"))</x:f>
        <x:v>Lost</x:v>
      </x:c>
      <x:c r="V1007" s="22" t="n">
        <x:f>IF(U1007="Won",L1007*(1-M1007),0)</x:f>
        <x:v>0</x:v>
      </x:c>
      <x:c r="W1007" s="22" t="n">
        <x:f>IF(U1007="Open",L1007*N1007,0)</x:f>
        <x:v>0</x:v>
      </x:c>
      <x:c r="X1007" s="26" t="n">
        <x:f>IF(U1007="Open","",IFERROR(K1007-B1007,""))</x:f>
        <x:v>21</x:v>
      </x:c>
      <x:c r="Y1007" s="26" t="n">
        <x:f>IF(U1007="Open",Lookups!$B$2-B1007,X1007)</x:f>
        <x:v>21</x:v>
      </x:c>
      <x:c r="Z1007" t="str">
        <x:f>IF(AND(U1007="Open",Y1007&gt;30),"STALE","OK")</x:f>
        <x:v>OK</x:v>
      </x:c>
      <x:c r="AA1007" t="str">
        <x:f>TEXT(B1007,"yyyy-mm")</x:f>
        <x:v>2025-06</x:v>
      </x:c>
      <x:c r="AB1007" t="str">
        <x:f>IF(K1007="","",TEXT(K1007,"yyyy-mm"))</x:f>
        <x:v>2025-07</x:v>
      </x:c>
      <x:c r="AC1007" t="str">
        <x:f>"Q"&amp;ROUNDUP(MONTH(B1007)/3,0)&amp;"-"&amp;YEAR(B1007)</x:f>
        <x:v>Q2-2025</x:v>
      </x:c>
      <x:c r="AD1007" s="26" t="n">
        <x:f>MIN(100,IF(H1007="Enterprise",30,IF(H1007="Mid-Market",22,14))+IF(T1007="Enterprise",25,IF(T1007="Mid-Market",18,10))+IF(Q1007="Referral",25,IF(Q1007="Organic Search",20,IF(Q1007="Email",18,14)))+IF(G1007="Technology",10,5))</x:f>
        <x:v>59</x:v>
      </x:c>
      <x:c r="AE1007" t="str">
        <x:f>IF(U1007&lt;&gt;"Open",U1007,IF(N1007&gt;=0.8,"Commit",IF(N1007&gt;=0.5,"Best Case","Pipeline")))</x:f>
        <x:v>Lost</x:v>
      </x:c>
    </x:row>
    <x:row r="1008">
      <x:c r="A1008" t="str">
        <x:v>L01007</x:v>
      </x:c>
      <x:c r="B1008" s="10" t="n">
        <x:v>45815</x:v>
      </x:c>
      <x:c r="C1008" t="str">
        <x:v>Quynh Vu</x:v>
      </x:c>
      <x:c r="D1008" t="str">
        <x:v>North</x:v>
      </x:c>
      <x:c r="E1008" t="str">
        <x:v>LinkedIn Ads</x:v>
      </x:c>
      <x:c r="F1008" t="str">
        <x:v>MKT-AUTO</x:v>
      </x:c>
      <x:c r="G1008" t="str">
        <x:v>Professional Services</x:v>
      </x:c>
      <x:c r="H1008" t="str">
        <x:v>SMB</x:v>
      </x:c>
      <x:c r="I1008" t="str">
        <x:v>Closed Lost</x:v>
      </x:c>
      <x:c r="J1008" s="10" t="n">
        <x:v>45863</x:v>
      </x:c>
      <x:c r="K1008" s="10" t="n">
        <x:v>45863</x:v>
      </x:c>
      <x:c r="L1008" s="22" t="n">
        <x:v>17900</x:v>
      </x:c>
      <x:c r="M1008" s="24" t="n">
        <x:v>0</x:v>
      </x:c>
      <x:c r="N1008" s="24" t="n">
        <x:v>0</x:v>
      </x:c>
      <x:c r="O1008" t="str">
        <x:v>No Decision</x:v>
      </x:c>
      <x:c r="P1008" t="n">
        <x:v>4</x:v>
      </x:c>
      <x:c r="Q1008" t="str">
        <x:f>IFERROR(XLOOKUP(E1008,Lookups!$A$5:$A$24,Lookups!$B$5:$B$24),"Other")</x:f>
        <x:v>LinkedIn</x:v>
      </x:c>
      <x:c r="R1008" t="str">
        <x:f>IFERROR(XLOOKUP(F1008,Lookups!$D$5:$D$10,Lookups!$E$5:$E$10),"Unknown Product")</x:f>
        <x:v>Marketing Automation</x:v>
      </x:c>
      <x:c r="S1008" t="str">
        <x:f>IFERROR(XLOOKUP(F1008,Lookups!$D$5:$D$10,Lookups!$F$5:$F$10),"Unknown")</x:f>
        <x:v>Marketing</x:v>
      </x:c>
      <x:c r="T1008" t="str">
        <x:f>IF(L1008&gt;=50000,"Enterprise",IF(L1008&gt;=20000,"Mid-Market","SMB"))</x:f>
        <x:v>SMB</x:v>
      </x:c>
      <x:c r="U1008" t="str">
        <x:f>IF(I1008="Closed Won","Won",IF(I1008="Closed Lost","Lost","Open"))</x:f>
        <x:v>Lost</x:v>
      </x:c>
      <x:c r="V1008" s="22" t="n">
        <x:f>IF(U1008="Won",L1008*(1-M1008),0)</x:f>
        <x:v>0</x:v>
      </x:c>
      <x:c r="W1008" s="22" t="n">
        <x:f>IF(U1008="Open",L1008*N1008,0)</x:f>
        <x:v>0</x:v>
      </x:c>
      <x:c r="X1008" s="26" t="n">
        <x:f>IF(U1008="Open","",IFERROR(K1008-B1008,""))</x:f>
        <x:v>48</x:v>
      </x:c>
      <x:c r="Y1008" s="26" t="n">
        <x:f>IF(U1008="Open",Lookups!$B$2-B1008,X1008)</x:f>
        <x:v>48</x:v>
      </x:c>
      <x:c r="Z1008" t="str">
        <x:f>IF(AND(U1008="Open",Y1008&gt;30),"STALE","OK")</x:f>
        <x:v>OK</x:v>
      </x:c>
      <x:c r="AA1008" t="str">
        <x:f>TEXT(B1008,"yyyy-mm")</x:f>
        <x:v>2025-06</x:v>
      </x:c>
      <x:c r="AB1008" t="str">
        <x:f>IF(K1008="","",TEXT(K1008,"yyyy-mm"))</x:f>
        <x:v>2025-07</x:v>
      </x:c>
      <x:c r="AC1008" t="str">
        <x:f>"Q"&amp;ROUNDUP(MONTH(B1008)/3,0)&amp;"-"&amp;YEAR(B1008)</x:f>
        <x:v>Q2-2025</x:v>
      </x:c>
      <x:c r="AD1008" s="26" t="n">
        <x:f>MIN(100,IF(H1008="Enterprise",30,IF(H1008="Mid-Market",22,14))+IF(T1008="Enterprise",25,IF(T1008="Mid-Market",18,10))+IF(Q1008="Referral",25,IF(Q1008="Organic Search",20,IF(Q1008="Email",18,14)))+IF(G1008="Technology",10,5))</x:f>
        <x:v>43</x:v>
      </x:c>
      <x:c r="AE1008" t="str">
        <x:f>IF(U1008&lt;&gt;"Open",U1008,IF(N1008&gt;=0.8,"Commit",IF(N1008&gt;=0.5,"Best Case","Pipeline")))</x:f>
        <x:v>Lost</x:v>
      </x:c>
    </x:row>
    <x:row r="1009">
      <x:c r="A1009" t="str">
        <x:v>L01008</x:v>
      </x:c>
      <x:c r="B1009" s="10" t="n">
        <x:v>46178</x:v>
      </x:c>
      <x:c r="C1009" t="str">
        <x:v>Bao Tran</x:v>
      </x:c>
      <x:c r="D1009" t="str">
        <x:v>South</x:v>
      </x:c>
      <x:c r="E1009" t="str">
        <x:v>SEO</x:v>
      </x:c>
      <x:c r="F1009" t="str">
        <x:v>MKT-AUTO</x:v>
      </x:c>
      <x:c r="G1009" t="str">
        <x:v>Financial Services</x:v>
      </x:c>
      <x:c r="H1009" t="str">
        <x:v>Mid-Market</x:v>
      </x:c>
      <x:c r="I1009" t="str">
        <x:v>Closed Won</x:v>
      </x:c>
      <x:c r="J1009" s="10" t="n">
        <x:v>46196</x:v>
      </x:c>
      <x:c r="K1009" s="10" t="n">
        <x:v>46196</x:v>
      </x:c>
      <x:c r="L1009" s="22" t="n">
        <x:v>20800</x:v>
      </x:c>
      <x:c r="M1009" s="24" t="n">
        <x:v>0.1</x:v>
      </x:c>
      <x:c r="N1009" s="24" t="n">
        <x:v>1</x:v>
      </x:c>
      <x:c r="O1009" t="str"/>
      <x:c r="P1009" t="n">
        <x:v>6</x:v>
      </x:c>
      <x:c r="Q1009" t="str">
        <x:f>IFERROR(XLOOKUP(E1009,Lookups!$A$5:$A$24,Lookups!$B$5:$B$24),"Other")</x:f>
        <x:v>Organic Search</x:v>
      </x:c>
      <x:c r="R1009" t="str">
        <x:f>IFERROR(XLOOKUP(F1009,Lookups!$D$5:$D$10,Lookups!$E$5:$E$10),"Unknown Product")</x:f>
        <x:v>Marketing Automation</x:v>
      </x:c>
      <x:c r="S1009" t="str">
        <x:f>IFERROR(XLOOKUP(F1009,Lookups!$D$5:$D$10,Lookups!$F$5:$F$10),"Unknown")</x:f>
        <x:v>Marketing</x:v>
      </x:c>
      <x:c r="T1009" t="str">
        <x:f>IF(L1009&gt;=50000,"Enterprise",IF(L1009&gt;=20000,"Mid-Market","SMB"))</x:f>
        <x:v>Mid-Market</x:v>
      </x:c>
      <x:c r="U1009" t="str">
        <x:f>IF(I1009="Closed Won","Won",IF(I1009="Closed Lost","Lost","Open"))</x:f>
        <x:v>Won</x:v>
      </x:c>
      <x:c r="V1009" s="22" t="n">
        <x:f>IF(U1009="Won",L1009*(1-M1009),0)</x:f>
        <x:v>18720</x:v>
      </x:c>
      <x:c r="W1009" s="22" t="n">
        <x:f>IF(U1009="Open",L1009*N1009,0)</x:f>
        <x:v>0</x:v>
      </x:c>
      <x:c r="X1009" s="26" t="n">
        <x:f>IF(U1009="Open","",IFERROR(K1009-B1009,""))</x:f>
        <x:v>18</x:v>
      </x:c>
      <x:c r="Y1009" s="26" t="n">
        <x:f>IF(U1009="Open",Lookups!$B$2-B1009,X1009)</x:f>
        <x:v>18</x:v>
      </x:c>
      <x:c r="Z1009" t="str">
        <x:f>IF(AND(U1009="Open",Y1009&gt;30),"STALE","OK")</x:f>
        <x:v>OK</x:v>
      </x:c>
      <x:c r="AA1009" t="str">
        <x:f>TEXT(B1009,"yyyy-mm")</x:f>
        <x:v>2026-06</x:v>
      </x:c>
      <x:c r="AB1009" t="str">
        <x:f>IF(K1009="","",TEXT(K1009,"yyyy-mm"))</x:f>
        <x:v>2026-06</x:v>
      </x:c>
      <x:c r="AC1009" t="str">
        <x:f>"Q"&amp;ROUNDUP(MONTH(B1009)/3,0)&amp;"-"&amp;YEAR(B1009)</x:f>
        <x:v>Q2-2026</x:v>
      </x:c>
      <x:c r="AD1009" s="26" t="n">
        <x:f>MIN(100,IF(H1009="Enterprise",30,IF(H1009="Mid-Market",22,14))+IF(T1009="Enterprise",25,IF(T1009="Mid-Market",18,10))+IF(Q1009="Referral",25,IF(Q1009="Organic Search",20,IF(Q1009="Email",18,14)))+IF(G1009="Technology",10,5))</x:f>
        <x:v>65</x:v>
      </x:c>
      <x:c r="AE1009" t="str">
        <x:f>IF(U1009&lt;&gt;"Open",U1009,IF(N1009&gt;=0.8,"Commit",IF(N1009&gt;=0.5,"Best Case","Pipeline")))</x:f>
        <x:v>Won</x:v>
      </x:c>
    </x:row>
    <x:row r="1010">
      <x:c r="A1010" t="str">
        <x:v>L01009</x:v>
      </x:c>
      <x:c r="B1010" s="10" t="n">
        <x:v>45757</x:v>
      </x:c>
      <x:c r="C1010" t="str">
        <x:v>Ha Vo</x:v>
      </x:c>
      <x:c r="D1010" t="str">
        <x:v>North</x:v>
      </x:c>
      <x:c r="E1010" t="str">
        <x:v>SEM - Google</x:v>
      </x:c>
      <x:c r="F1010" t="str">
        <x:v>CRM-CORE</x:v>
      </x:c>
      <x:c r="G1010" t="str">
        <x:v>Financial Services</x:v>
      </x:c>
      <x:c r="H1010" t="str">
        <x:v>Mid-Market</x:v>
      </x:c>
      <x:c r="I1010" t="str">
        <x:v>Closed Lost</x:v>
      </x:c>
      <x:c r="J1010" s="10" t="n">
        <x:v>45821</x:v>
      </x:c>
      <x:c r="K1010" s="10" t="n">
        <x:v>45821</x:v>
      </x:c>
      <x:c r="L1010" s="22" t="n">
        <x:v>8300</x:v>
      </x:c>
      <x:c r="M1010" s="24" t="n">
        <x:v>0</x:v>
      </x:c>
      <x:c r="N1010" s="24" t="n">
        <x:v>0</x:v>
      </x:c>
      <x:c r="O1010" t="str">
        <x:v>Price</x:v>
      </x:c>
      <x:c r="P1010" t="n">
        <x:v>5</x:v>
      </x:c>
      <x:c r="Q1010" t="str">
        <x:f>IFERROR(XLOOKUP(E1010,Lookups!$A$5:$A$24,Lookups!$B$5:$B$24),"Other")</x:f>
        <x:v>Paid Search</x:v>
      </x:c>
      <x:c r="R1010" t="str">
        <x:f>IFERROR(XLOOKUP(F1010,Lookups!$D$5:$D$10,Lookups!$E$5:$E$10),"Unknown Product")</x:f>
        <x:v>NexaCRM Core</x:v>
      </x:c>
      <x:c r="S1010" t="str">
        <x:f>IFERROR(XLOOKUP(F1010,Lookups!$D$5:$D$10,Lookups!$F$5:$F$10),"Unknown")</x:f>
        <x:v>CRM</x:v>
      </x:c>
      <x:c r="T1010" t="str">
        <x:f>IF(L1010&gt;=50000,"Enterprise",IF(L1010&gt;=20000,"Mid-Market","SMB"))</x:f>
        <x:v>SMB</x:v>
      </x:c>
      <x:c r="U1010" t="str">
        <x:f>IF(I1010="Closed Won","Won",IF(I1010="Closed Lost","Lost","Open"))</x:f>
        <x:v>Lost</x:v>
      </x:c>
      <x:c r="V1010" s="22" t="n">
        <x:f>IF(U1010="Won",L1010*(1-M1010),0)</x:f>
        <x:v>0</x:v>
      </x:c>
      <x:c r="W1010" s="22" t="n">
        <x:f>IF(U1010="Open",L1010*N1010,0)</x:f>
        <x:v>0</x:v>
      </x:c>
      <x:c r="X1010" s="26" t="n">
        <x:f>IF(U1010="Open","",IFERROR(K1010-B1010,""))</x:f>
        <x:v>64</x:v>
      </x:c>
      <x:c r="Y1010" s="26" t="n">
        <x:f>IF(U1010="Open",Lookups!$B$2-B1010,X1010)</x:f>
        <x:v>64</x:v>
      </x:c>
      <x:c r="Z1010" t="str">
        <x:f>IF(AND(U1010="Open",Y1010&gt;30),"STALE","OK")</x:f>
        <x:v>OK</x:v>
      </x:c>
      <x:c r="AA1010" t="str">
        <x:f>TEXT(B1010,"yyyy-mm")</x:f>
        <x:v>2025-04</x:v>
      </x:c>
      <x:c r="AB1010" t="str">
        <x:f>IF(K1010="","",TEXT(K1010,"yyyy-mm"))</x:f>
        <x:v>2025-06</x:v>
      </x:c>
      <x:c r="AC1010" t="str">
        <x:f>"Q"&amp;ROUNDUP(MONTH(B1010)/3,0)&amp;"-"&amp;YEAR(B1010)</x:f>
        <x:v>Q2-2025</x:v>
      </x:c>
      <x:c r="AD1010" s="26" t="n">
        <x:f>MIN(100,IF(H1010="Enterprise",30,IF(H1010="Mid-Market",22,14))+IF(T1010="Enterprise",25,IF(T1010="Mid-Market",18,10))+IF(Q1010="Referral",25,IF(Q1010="Organic Search",20,IF(Q1010="Email",18,14)))+IF(G1010="Technology",10,5))</x:f>
        <x:v>51</x:v>
      </x:c>
      <x:c r="AE1010" t="str">
        <x:f>IF(U1010&lt;&gt;"Open",U1010,IF(N1010&gt;=0.8,"Commit",IF(N1010&gt;=0.5,"Best Case","Pipeline")))</x:f>
        <x:v>Lost</x:v>
      </x:c>
    </x:row>
    <x:row r="1011">
      <x:c r="A1011" t="str">
        <x:v>L01010</x:v>
      </x:c>
      <x:c r="B1011" s="10" t="n">
        <x:v>45879</x:v>
      </x:c>
      <x:c r="C1011" t="str">
        <x:v>Bao Tran</x:v>
      </x:c>
      <x:c r="D1011" t="str">
        <x:v>South</x:v>
      </x:c>
      <x:c r="E1011" t="str">
        <x:v>linkedin</x:v>
      </x:c>
      <x:c r="F1011" t="str">
        <x:v>CRM-PRO</x:v>
      </x:c>
      <x:c r="G1011" t="str">
        <x:v>Professional Services</x:v>
      </x:c>
      <x:c r="H1011" t="str">
        <x:v>Mid-Market</x:v>
      </x:c>
      <x:c r="I1011" t="str">
        <x:v>Closed Lost</x:v>
      </x:c>
      <x:c r="J1011" s="10" t="n">
        <x:v>45931</x:v>
      </x:c>
      <x:c r="K1011" s="10" t="n">
        <x:v>45931</x:v>
      </x:c>
      <x:c r="L1011" s="22" t="n">
        <x:v>43200</x:v>
      </x:c>
      <x:c r="M1011" s="24" t="n">
        <x:v>0</x:v>
      </x:c>
      <x:c r="N1011" s="24" t="n">
        <x:v>0</x:v>
      </x:c>
      <x:c r="O1011" t="str">
        <x:v>Budget</x:v>
      </x:c>
      <x:c r="P1011" t="n">
        <x:v>4</x:v>
      </x:c>
      <x:c r="Q1011" t="str">
        <x:f>IFERROR(XLOOKUP(E1011,Lookups!$A$5:$A$24,Lookups!$B$5:$B$24),"Other")</x:f>
        <x:v>LinkedIn</x:v>
      </x:c>
      <x:c r="R1011" t="str">
        <x:f>IFERROR(XLOOKUP(F1011,Lookups!$D$5:$D$10,Lookups!$E$5:$E$10),"Unknown Product")</x:f>
        <x:v>NexaCRM Pro</x:v>
      </x:c>
      <x:c r="S1011" t="str">
        <x:f>IFERROR(XLOOKUP(F1011,Lookups!$D$5:$D$10,Lookups!$F$5:$F$10),"Unknown")</x:f>
        <x:v>CRM</x:v>
      </x:c>
      <x:c r="T1011" t="str">
        <x:f>IF(L1011&gt;=50000,"Enterprise",IF(L1011&gt;=20000,"Mid-Market","SMB"))</x:f>
        <x:v>Mid-Market</x:v>
      </x:c>
      <x:c r="U1011" t="str">
        <x:f>IF(I1011="Closed Won","Won",IF(I1011="Closed Lost","Lost","Open"))</x:f>
        <x:v>Lost</x:v>
      </x:c>
      <x:c r="V1011" s="22" t="n">
        <x:f>IF(U1011="Won",L1011*(1-M1011),0)</x:f>
        <x:v>0</x:v>
      </x:c>
      <x:c r="W1011" s="22" t="n">
        <x:f>IF(U1011="Open",L1011*N1011,0)</x:f>
        <x:v>0</x:v>
      </x:c>
      <x:c r="X1011" s="26" t="n">
        <x:f>IF(U1011="Open","",IFERROR(K1011-B1011,""))</x:f>
        <x:v>52</x:v>
      </x:c>
      <x:c r="Y1011" s="26" t="n">
        <x:f>IF(U1011="Open",Lookups!$B$2-B1011,X1011)</x:f>
        <x:v>52</x:v>
      </x:c>
      <x:c r="Z1011" t="str">
        <x:f>IF(AND(U1011="Open",Y1011&gt;30),"STALE","OK")</x:f>
        <x:v>OK</x:v>
      </x:c>
      <x:c r="AA1011" t="str">
        <x:f>TEXT(B1011,"yyyy-mm")</x:f>
        <x:v>2025-08</x:v>
      </x:c>
      <x:c r="AB1011" t="str">
        <x:f>IF(K1011="","",TEXT(K1011,"yyyy-mm"))</x:f>
        <x:v>2025-10</x:v>
      </x:c>
      <x:c r="AC1011" t="str">
        <x:f>"Q"&amp;ROUNDUP(MONTH(B1011)/3,0)&amp;"-"&amp;YEAR(B1011)</x:f>
        <x:v>Q3-2025</x:v>
      </x:c>
      <x:c r="AD1011" s="26" t="n">
        <x:f>MIN(100,IF(H1011="Enterprise",30,IF(H1011="Mid-Market",22,14))+IF(T1011="Enterprise",25,IF(T1011="Mid-Market",18,10))+IF(Q1011="Referral",25,IF(Q1011="Organic Search",20,IF(Q1011="Email",18,14)))+IF(G1011="Technology",10,5))</x:f>
        <x:v>59</x:v>
      </x:c>
      <x:c r="AE1011" t="str">
        <x:f>IF(U1011&lt;&gt;"Open",U1011,IF(N1011&gt;=0.8,"Commit",IF(N1011&gt;=0.5,"Best Case","Pipeline")))</x:f>
        <x:v>Lost</x:v>
      </x:c>
    </x:row>
    <x:row r="1012">
      <x:c r="A1012" t="str">
        <x:v>L01011</x:v>
      </x:c>
      <x:c r="B1012" s="10" t="n">
        <x:v>46092</x:v>
      </x:c>
      <x:c r="C1012" t="str">
        <x:v>Duy Pham</x:v>
      </x:c>
      <x:c r="D1012" t="str">
        <x:v>South</x:v>
      </x:c>
      <x:c r="E1012" t="str">
        <x:v>email nurture</x:v>
      </x:c>
      <x:c r="F1012" t="str">
        <x:v>CS-CLOUD</x:v>
      </x:c>
      <x:c r="G1012" t="str">
        <x:v>Education</x:v>
      </x:c>
      <x:c r="H1012" t="str">
        <x:v>Enterprise</x:v>
      </x:c>
      <x:c r="I1012" t="str">
        <x:v>Closed Won</x:v>
      </x:c>
      <x:c r="J1012" s="10" t="n">
        <x:v>46183</x:v>
      </x:c>
      <x:c r="K1012" s="10" t="n">
        <x:v>46183</x:v>
      </x:c>
      <x:c r="L1012" s="22" t="n">
        <x:v>82200</x:v>
      </x:c>
      <x:c r="M1012" s="24" t="n">
        <x:v>0.03</x:v>
      </x:c>
      <x:c r="N1012" s="24" t="n">
        <x:v>1</x:v>
      </x:c>
      <x:c r="O1012" t="str"/>
      <x:c r="P1012" t="n">
        <x:v>6</x:v>
      </x:c>
      <x:c r="Q1012" t="str">
        <x:f>IFERROR(XLOOKUP(E1012,Lookups!$A$5:$A$24,Lookups!$B$5:$B$24),"Other")</x:f>
        <x:v>Email</x:v>
      </x:c>
      <x:c r="R1012" t="str">
        <x:f>IFERROR(XLOOKUP(F1012,Lookups!$D$5:$D$10,Lookups!$E$5:$E$10),"Unknown Product")</x:f>
        <x:v>Service Cloud</x:v>
      </x:c>
      <x:c r="S1012" t="str">
        <x:f>IFERROR(XLOOKUP(F1012,Lookups!$D$5:$D$10,Lookups!$F$5:$F$10),"Unknown")</x:f>
        <x:v>Customer Service</x:v>
      </x:c>
      <x:c r="T1012" t="str">
        <x:f>IF(L1012&gt;=50000,"Enterprise",IF(L1012&gt;=20000,"Mid-Market","SMB"))</x:f>
        <x:v>Enterprise</x:v>
      </x:c>
      <x:c r="U1012" t="str">
        <x:f>IF(I1012="Closed Won","Won",IF(I1012="Closed Lost","Lost","Open"))</x:f>
        <x:v>Won</x:v>
      </x:c>
      <x:c r="V1012" s="22" t="n">
        <x:f>IF(U1012="Won",L1012*(1-M1012),0)</x:f>
        <x:v>79734</x:v>
      </x:c>
      <x:c r="W1012" s="22" t="n">
        <x:f>IF(U1012="Open",L1012*N1012,0)</x:f>
        <x:v>0</x:v>
      </x:c>
      <x:c r="X1012" s="26" t="n">
        <x:f>IF(U1012="Open","",IFERROR(K1012-B1012,""))</x:f>
        <x:v>91</x:v>
      </x:c>
      <x:c r="Y1012" s="26" t="n">
        <x:f>IF(U1012="Open",Lookups!$B$2-B1012,X1012)</x:f>
        <x:v>91</x:v>
      </x:c>
      <x:c r="Z1012" t="str">
        <x:f>IF(AND(U1012="Open",Y1012&gt;30),"STALE","OK")</x:f>
        <x:v>OK</x:v>
      </x:c>
      <x:c r="AA1012" t="str">
        <x:f>TEXT(B1012,"yyyy-mm")</x:f>
        <x:v>2026-03</x:v>
      </x:c>
      <x:c r="AB1012" t="str">
        <x:f>IF(K1012="","",TEXT(K1012,"yyyy-mm"))</x:f>
        <x:v>2026-06</x:v>
      </x:c>
      <x:c r="AC1012" t="str">
        <x:f>"Q"&amp;ROUNDUP(MONTH(B1012)/3,0)&amp;"-"&amp;YEAR(B1012)</x:f>
        <x:v>Q1-2026</x:v>
      </x:c>
      <x:c r="AD1012" s="26" t="n">
        <x:f>MIN(100,IF(H1012="Enterprise",30,IF(H1012="Mid-Market",22,14))+IF(T1012="Enterprise",25,IF(T1012="Mid-Market",18,10))+IF(Q1012="Referral",25,IF(Q1012="Organic Search",20,IF(Q1012="Email",18,14)))+IF(G1012="Technology",10,5))</x:f>
        <x:v>78</x:v>
      </x:c>
      <x:c r="AE1012" t="str">
        <x:f>IF(U1012&lt;&gt;"Open",U1012,IF(N1012&gt;=0.8,"Commit",IF(N1012&gt;=0.5,"Best Case","Pipeline")))</x:f>
        <x:v>Won</x:v>
      </x:c>
    </x:row>
    <x:row r="1013">
      <x:c r="A1013" t="str">
        <x:v>L01012</x:v>
      </x:c>
      <x:c r="B1013" s="10" t="n">
        <x:v>45726</x:v>
      </x:c>
      <x:c r="C1013" t="str">
        <x:v>Chi Le</x:v>
      </x:c>
      <x:c r="D1013" t="str">
        <x:v>South</x:v>
      </x:c>
      <x:c r="E1013" t="str">
        <x:v>LinkedIn Ads</x:v>
      </x:c>
      <x:c r="F1013" t="str">
        <x:v>BI-PLUS</x:v>
      </x:c>
      <x:c r="G1013" t="str">
        <x:v>Technology</x:v>
      </x:c>
      <x:c r="H1013" t="str">
        <x:v>SMB</x:v>
      </x:c>
      <x:c r="I1013" t="str">
        <x:v>Closed Lost</x:v>
      </x:c>
      <x:c r="J1013" s="10" t="n">
        <x:v>45773</x:v>
      </x:c>
      <x:c r="K1013" s="10" t="n">
        <x:v>45773</x:v>
      </x:c>
      <x:c r="L1013" s="22" t="n">
        <x:v>22600</x:v>
      </x:c>
      <x:c r="M1013" s="24" t="n">
        <x:v>0</x:v>
      </x:c>
      <x:c r="N1013" s="24" t="n">
        <x:v>0</x:v>
      </x:c>
      <x:c r="O1013" t="str">
        <x:v>Budget</x:v>
      </x:c>
      <x:c r="P1013" t="n">
        <x:v>2</x:v>
      </x:c>
      <x:c r="Q1013" t="str">
        <x:f>IFERROR(XLOOKUP(E1013,Lookups!$A$5:$A$24,Lookups!$B$5:$B$24),"Other")</x:f>
        <x:v>LinkedIn</x:v>
      </x:c>
      <x:c r="R1013" t="str">
        <x:f>IFERROR(XLOOKUP(F1013,Lookups!$D$5:$D$10,Lookups!$E$5:$E$10),"Unknown Product")</x:f>
        <x:v>Analytics Plus</x:v>
      </x:c>
      <x:c r="S1013" t="str">
        <x:f>IFERROR(XLOOKUP(F1013,Lookups!$D$5:$D$10,Lookups!$F$5:$F$10),"Unknown")</x:f>
        <x:v>Analytics</x:v>
      </x:c>
      <x:c r="T1013" t="str">
        <x:f>IF(L1013&gt;=50000,"Enterprise",IF(L1013&gt;=20000,"Mid-Market","SMB"))</x:f>
        <x:v>Mid-Market</x:v>
      </x:c>
      <x:c r="U1013" t="str">
        <x:f>IF(I1013="Closed Won","Won",IF(I1013="Closed Lost","Lost","Open"))</x:f>
        <x:v>Lost</x:v>
      </x:c>
      <x:c r="V1013" s="22" t="n">
        <x:f>IF(U1013="Won",L1013*(1-M1013),0)</x:f>
        <x:v>0</x:v>
      </x:c>
      <x:c r="W1013" s="22" t="n">
        <x:f>IF(U1013="Open",L1013*N1013,0)</x:f>
        <x:v>0</x:v>
      </x:c>
      <x:c r="X1013" s="26" t="n">
        <x:f>IF(U1013="Open","",IFERROR(K1013-B1013,""))</x:f>
        <x:v>47</x:v>
      </x:c>
      <x:c r="Y1013" s="26" t="n">
        <x:f>IF(U1013="Open",Lookups!$B$2-B1013,X1013)</x:f>
        <x:v>47</x:v>
      </x:c>
      <x:c r="Z1013" t="str">
        <x:f>IF(AND(U1013="Open",Y1013&gt;30),"STALE","OK")</x:f>
        <x:v>OK</x:v>
      </x:c>
      <x:c r="AA1013" t="str">
        <x:f>TEXT(B1013,"yyyy-mm")</x:f>
        <x:v>2025-03</x:v>
      </x:c>
      <x:c r="AB1013" t="str">
        <x:f>IF(K1013="","",TEXT(K1013,"yyyy-mm"))</x:f>
        <x:v>2025-04</x:v>
      </x:c>
      <x:c r="AC1013" t="str">
        <x:f>"Q"&amp;ROUNDUP(MONTH(B1013)/3,0)&amp;"-"&amp;YEAR(B1013)</x:f>
        <x:v>Q1-2025</x:v>
      </x:c>
      <x:c r="AD1013" s="26" t="n">
        <x:f>MIN(100,IF(H1013="Enterprise",30,IF(H1013="Mid-Market",22,14))+IF(T1013="Enterprise",25,IF(T1013="Mid-Market",18,10))+IF(Q1013="Referral",25,IF(Q1013="Organic Search",20,IF(Q1013="Email",18,14)))+IF(G1013="Technology",10,5))</x:f>
        <x:v>56</x:v>
      </x:c>
      <x:c r="AE1013" t="str">
        <x:f>IF(U1013&lt;&gt;"Open",U1013,IF(N1013&gt;=0.8,"Commit",IF(N1013&gt;=0.5,"Best Case","Pipeline")))</x:f>
        <x:v>Lost</x:v>
      </x:c>
    </x:row>
    <x:row r="1014">
      <x:c r="A1014" t="str">
        <x:v>L01013</x:v>
      </x:c>
      <x:c r="B1014" s="10" t="n">
        <x:v>45721</x:v>
      </x:c>
      <x:c r="C1014" t="str">
        <x:v>Bao Tran</x:v>
      </x:c>
      <x:c r="D1014" t="str">
        <x:v>South</x:v>
      </x:c>
      <x:c r="E1014" t="str">
        <x:v>Google Organic</x:v>
      </x:c>
      <x:c r="F1014" t="str">
        <x:v>CRM-CORE</x:v>
      </x:c>
      <x:c r="G1014" t="str">
        <x:v>Technology</x:v>
      </x:c>
      <x:c r="H1014" t="str">
        <x:v>SMB</x:v>
      </x:c>
      <x:c r="I1014" t="str">
        <x:v>Closed Lost</x:v>
      </x:c>
      <x:c r="J1014" s="10" t="n">
        <x:v>45782</x:v>
      </x:c>
      <x:c r="K1014" s="10" t="n">
        <x:v>45782</x:v>
      </x:c>
      <x:c r="L1014" s="22" t="n">
        <x:v>9600</x:v>
      </x:c>
      <x:c r="M1014" s="24" t="n">
        <x:v>0</x:v>
      </x:c>
      <x:c r="N1014" s="24" t="n">
        <x:v>0</x:v>
      </x:c>
      <x:c r="O1014" t="str">
        <x:v>Competitor</x:v>
      </x:c>
      <x:c r="P1014" t="n">
        <x:v>5</x:v>
      </x:c>
      <x:c r="Q1014" t="str">
        <x:f>IFERROR(XLOOKUP(E1014,Lookups!$A$5:$A$24,Lookups!$B$5:$B$24),"Other")</x:f>
        <x:v>Organic Search</x:v>
      </x:c>
      <x:c r="R1014" t="str">
        <x:f>IFERROR(XLOOKUP(F1014,Lookups!$D$5:$D$10,Lookups!$E$5:$E$10),"Unknown Product")</x:f>
        <x:v>NexaCRM Core</x:v>
      </x:c>
      <x:c r="S1014" t="str">
        <x:f>IFERROR(XLOOKUP(F1014,Lookups!$D$5:$D$10,Lookups!$F$5:$F$10),"Unknown")</x:f>
        <x:v>CRM</x:v>
      </x:c>
      <x:c r="T1014" t="str">
        <x:f>IF(L1014&gt;=50000,"Enterprise",IF(L1014&gt;=20000,"Mid-Market","SMB"))</x:f>
        <x:v>SMB</x:v>
      </x:c>
      <x:c r="U1014" t="str">
        <x:f>IF(I1014="Closed Won","Won",IF(I1014="Closed Lost","Lost","Open"))</x:f>
        <x:v>Lost</x:v>
      </x:c>
      <x:c r="V1014" s="22" t="n">
        <x:f>IF(U1014="Won",L1014*(1-M1014),0)</x:f>
        <x:v>0</x:v>
      </x:c>
      <x:c r="W1014" s="22" t="n">
        <x:f>IF(U1014="Open",L1014*N1014,0)</x:f>
        <x:v>0</x:v>
      </x:c>
      <x:c r="X1014" s="26" t="n">
        <x:f>IF(U1014="Open","",IFERROR(K1014-B1014,""))</x:f>
        <x:v>61</x:v>
      </x:c>
      <x:c r="Y1014" s="26" t="n">
        <x:f>IF(U1014="Open",Lookups!$B$2-B1014,X1014)</x:f>
        <x:v>61</x:v>
      </x:c>
      <x:c r="Z1014" t="str">
        <x:f>IF(AND(U1014="Open",Y1014&gt;30),"STALE","OK")</x:f>
        <x:v>OK</x:v>
      </x:c>
      <x:c r="AA1014" t="str">
        <x:f>TEXT(B1014,"yyyy-mm")</x:f>
        <x:v>2025-03</x:v>
      </x:c>
      <x:c r="AB1014" t="str">
        <x:f>IF(K1014="","",TEXT(K1014,"yyyy-mm"))</x:f>
        <x:v>2025-05</x:v>
      </x:c>
      <x:c r="AC1014" t="str">
        <x:f>"Q"&amp;ROUNDUP(MONTH(B1014)/3,0)&amp;"-"&amp;YEAR(B1014)</x:f>
        <x:v>Q1-2025</x:v>
      </x:c>
      <x:c r="AD1014" s="26" t="n">
        <x:f>MIN(100,IF(H1014="Enterprise",30,IF(H1014="Mid-Market",22,14))+IF(T1014="Enterprise",25,IF(T1014="Mid-Market",18,10))+IF(Q1014="Referral",25,IF(Q1014="Organic Search",20,IF(Q1014="Email",18,14)))+IF(G1014="Technology",10,5))</x:f>
        <x:v>54</x:v>
      </x:c>
      <x:c r="AE1014" t="str">
        <x:f>IF(U1014&lt;&gt;"Open",U1014,IF(N1014&gt;=0.8,"Commit",IF(N1014&gt;=0.5,"Best Case","Pipeline")))</x:f>
        <x:v>Lost</x:v>
      </x:c>
    </x:row>
    <x:row r="1015">
      <x:c r="A1015" t="str">
        <x:v>L01014</x:v>
      </x:c>
      <x:c r="B1015" s="10" t="n">
        <x:v>45665</x:v>
      </x:c>
      <x:c r="C1015" t="str">
        <x:v>Duy Pham</x:v>
      </x:c>
      <x:c r="D1015" t="str">
        <x:v>South</x:v>
      </x:c>
      <x:c r="E1015" t="str">
        <x:v>Referral</x:v>
      </x:c>
      <x:c r="F1015" t="str">
        <x:v>CRM-CORE</x:v>
      </x:c>
      <x:c r="G1015" t="str">
        <x:v>Financial Services</x:v>
      </x:c>
      <x:c r="H1015" t="str">
        <x:v>SMB</x:v>
      </x:c>
      <x:c r="I1015" t="str">
        <x:v>Closed Lost</x:v>
      </x:c>
      <x:c r="J1015" s="10" t="n">
        <x:v>45734</x:v>
      </x:c>
      <x:c r="K1015" s="10" t="n">
        <x:v>45734</x:v>
      </x:c>
      <x:c r="L1015" s="22" t="n">
        <x:v>4800</x:v>
      </x:c>
      <x:c r="M1015" s="24" t="n">
        <x:v>0</x:v>
      </x:c>
      <x:c r="N1015" s="24" t="n">
        <x:v>0</x:v>
      </x:c>
      <x:c r="O1015" t="str">
        <x:v>Timing</x:v>
      </x:c>
      <x:c r="P1015" t="n">
        <x:v>2</x:v>
      </x:c>
      <x:c r="Q1015" t="str">
        <x:f>IFERROR(XLOOKUP(E1015,Lookups!$A$5:$A$24,Lookups!$B$5:$B$24),"Other")</x:f>
        <x:v>Referral</x:v>
      </x:c>
      <x:c r="R1015" t="str">
        <x:f>IFERROR(XLOOKUP(F1015,Lookups!$D$5:$D$10,Lookups!$E$5:$E$10),"Unknown Product")</x:f>
        <x:v>NexaCRM Core</x:v>
      </x:c>
      <x:c r="S1015" t="str">
        <x:f>IFERROR(XLOOKUP(F1015,Lookups!$D$5:$D$10,Lookups!$F$5:$F$10),"Unknown")</x:f>
        <x:v>CRM</x:v>
      </x:c>
      <x:c r="T1015" t="str">
        <x:f>IF(L1015&gt;=50000,"Enterprise",IF(L1015&gt;=20000,"Mid-Market","SMB"))</x:f>
        <x:v>SMB</x:v>
      </x:c>
      <x:c r="U1015" t="str">
        <x:f>IF(I1015="Closed Won","Won",IF(I1015="Closed Lost","Lost","Open"))</x:f>
        <x:v>Lost</x:v>
      </x:c>
      <x:c r="V1015" s="22" t="n">
        <x:f>IF(U1015="Won",L1015*(1-M1015),0)</x:f>
        <x:v>0</x:v>
      </x:c>
      <x:c r="W1015" s="22" t="n">
        <x:f>IF(U1015="Open",L1015*N1015,0)</x:f>
        <x:v>0</x:v>
      </x:c>
      <x:c r="X1015" s="26" t="n">
        <x:f>IF(U1015="Open","",IFERROR(K1015-B1015,""))</x:f>
        <x:v>69</x:v>
      </x:c>
      <x:c r="Y1015" s="26" t="n">
        <x:f>IF(U1015="Open",Lookups!$B$2-B1015,X1015)</x:f>
        <x:v>69</x:v>
      </x:c>
      <x:c r="Z1015" t="str">
        <x:f>IF(AND(U1015="Open",Y1015&gt;30),"STALE","OK")</x:f>
        <x:v>OK</x:v>
      </x:c>
      <x:c r="AA1015" t="str">
        <x:f>TEXT(B1015,"yyyy-mm")</x:f>
        <x:v>2025-01</x:v>
      </x:c>
      <x:c r="AB1015" t="str">
        <x:f>IF(K1015="","",TEXT(K1015,"yyyy-mm"))</x:f>
        <x:v>2025-03</x:v>
      </x:c>
      <x:c r="AC1015" t="str">
        <x:f>"Q"&amp;ROUNDUP(MONTH(B1015)/3,0)&amp;"-"&amp;YEAR(B1015)</x:f>
        <x:v>Q1-2025</x:v>
      </x:c>
      <x:c r="AD1015" s="26" t="n">
        <x:f>MIN(100,IF(H1015="Enterprise",30,IF(H1015="Mid-Market",22,14))+IF(T1015="Enterprise",25,IF(T1015="Mid-Market",18,10))+IF(Q1015="Referral",25,IF(Q1015="Organic Search",20,IF(Q1015="Email",18,14)))+IF(G1015="Technology",10,5))</x:f>
        <x:v>54</x:v>
      </x:c>
      <x:c r="AE1015" t="str">
        <x:f>IF(U1015&lt;&gt;"Open",U1015,IF(N1015&gt;=0.8,"Commit",IF(N1015&gt;=0.5,"Best Case","Pipeline")))</x:f>
        <x:v>Lost</x:v>
      </x:c>
    </x:row>
    <x:row r="1016">
      <x:c r="A1016" t="str">
        <x:v>L01015</x:v>
      </x:c>
      <x:c r="B1016" s="10" t="n">
        <x:v>46088</x:v>
      </x:c>
      <x:c r="C1016" t="str">
        <x:v>Tuan Bui</x:v>
      </x:c>
      <x:c r="D1016" t="str">
        <x:v>Central</x:v>
      </x:c>
      <x:c r="E1016" t="str">
        <x:v>LinkedIn Ads</x:v>
      </x:c>
      <x:c r="F1016" t="str">
        <x:v>REV-OPS</x:v>
      </x:c>
      <x:c r="G1016" t="str">
        <x:v>Professional Services</x:v>
      </x:c>
      <x:c r="H1016" t="str">
        <x:v>Mid-Market</x:v>
      </x:c>
      <x:c r="I1016" t="str">
        <x:v>Closed Lost</x:v>
      </x:c>
      <x:c r="J1016" s="10" t="n">
        <x:v>46103</x:v>
      </x:c>
      <x:c r="K1016" s="10" t="n">
        <x:v>46103</x:v>
      </x:c>
      <x:c r="L1016" s="22" t="n">
        <x:v>86700</x:v>
      </x:c>
      <x:c r="M1016" s="24" t="n">
        <x:v>0</x:v>
      </x:c>
      <x:c r="N1016" s="24" t="n">
        <x:v>0</x:v>
      </x:c>
      <x:c r="O1016" t="str">
        <x:v>No Decision</x:v>
      </x:c>
      <x:c r="P1016" t="n">
        <x:v>5</x:v>
      </x:c>
      <x:c r="Q1016" t="str">
        <x:f>IFERROR(XLOOKUP(E1016,Lookups!$A$5:$A$24,Lookups!$B$5:$B$24),"Other")</x:f>
        <x:v>LinkedIn</x:v>
      </x:c>
      <x:c r="R1016" t="str">
        <x:f>IFERROR(XLOOKUP(F1016,Lookups!$D$5:$D$10,Lookups!$E$5:$E$10),"Unknown Product")</x:f>
        <x:v>Revenue Operations Suite</x:v>
      </x:c>
      <x:c r="S1016" t="str">
        <x:f>IFERROR(XLOOKUP(F1016,Lookups!$D$5:$D$10,Lookups!$F$5:$F$10),"Unknown")</x:f>
        <x:v>Revenue Ops</x:v>
      </x:c>
      <x:c r="T1016" t="str">
        <x:f>IF(L1016&gt;=50000,"Enterprise",IF(L1016&gt;=20000,"Mid-Market","SMB"))</x:f>
        <x:v>Enterprise</x:v>
      </x:c>
      <x:c r="U1016" t="str">
        <x:f>IF(I1016="Closed Won","Won",IF(I1016="Closed Lost","Lost","Open"))</x:f>
        <x:v>Lost</x:v>
      </x:c>
      <x:c r="V1016" s="22" t="n">
        <x:f>IF(U1016="Won",L1016*(1-M1016),0)</x:f>
        <x:v>0</x:v>
      </x:c>
      <x:c r="W1016" s="22" t="n">
        <x:f>IF(U1016="Open",L1016*N1016,0)</x:f>
        <x:v>0</x:v>
      </x:c>
      <x:c r="X1016" s="26" t="n">
        <x:f>IF(U1016="Open","",IFERROR(K1016-B1016,""))</x:f>
        <x:v>15</x:v>
      </x:c>
      <x:c r="Y1016" s="26" t="n">
        <x:f>IF(U1016="Open",Lookups!$B$2-B1016,X1016)</x:f>
        <x:v>15</x:v>
      </x:c>
      <x:c r="Z1016" t="str">
        <x:f>IF(AND(U1016="Open",Y1016&gt;30),"STALE","OK")</x:f>
        <x:v>OK</x:v>
      </x:c>
      <x:c r="AA1016" t="str">
        <x:f>TEXT(B1016,"yyyy-mm")</x:f>
        <x:v>2026-03</x:v>
      </x:c>
      <x:c r="AB1016" t="str">
        <x:f>IF(K1016="","",TEXT(K1016,"yyyy-mm"))</x:f>
        <x:v>2026-03</x:v>
      </x:c>
      <x:c r="AC1016" t="str">
        <x:f>"Q"&amp;ROUNDUP(MONTH(B1016)/3,0)&amp;"-"&amp;YEAR(B1016)</x:f>
        <x:v>Q1-2026</x:v>
      </x:c>
      <x:c r="AD1016" s="26" t="n">
        <x:f>MIN(100,IF(H1016="Enterprise",30,IF(H1016="Mid-Market",22,14))+IF(T1016="Enterprise",25,IF(T1016="Mid-Market",18,10))+IF(Q1016="Referral",25,IF(Q1016="Organic Search",20,IF(Q1016="Email",18,14)))+IF(G1016="Technology",10,5))</x:f>
        <x:v>66</x:v>
      </x:c>
      <x:c r="AE1016" t="str">
        <x:f>IF(U1016&lt;&gt;"Open",U1016,IF(N1016&gt;=0.8,"Commit",IF(N1016&gt;=0.5,"Best Case","Pipeline")))</x:f>
        <x:v>Lost</x:v>
      </x:c>
    </x:row>
    <x:row r="1017">
      <x:c r="A1017" t="str">
        <x:v>L01016</x:v>
      </x:c>
      <x:c r="B1017" s="10" t="n">
        <x:v>46216</x:v>
      </x:c>
      <x:c r="C1017" t="str">
        <x:v>Quynh Vu</x:v>
      </x:c>
      <x:c r="D1017" t="str">
        <x:v>North</x:v>
      </x:c>
      <x:c r="E1017" t="str">
        <x:v>Unknown Event</x:v>
      </x:c>
      <x:c r="F1017" t="str">
        <x:v>CS-CLOUD</x:v>
      </x:c>
      <x:c r="G1017" t="str">
        <x:v>Retail</x:v>
      </x:c>
      <x:c r="H1017" t="str">
        <x:v>SMB</x:v>
      </x:c>
      <x:c r="I1017" t="str">
        <x:v>Qualified</x:v>
      </x:c>
      <x:c r="J1017" s="10" t="n">
        <x:v>46239</x:v>
      </x:c>
      <x:c r="K1017" s="10"/>
      <x:c r="L1017" s="22" t="n">
        <x:v>20400</x:v>
      </x:c>
      <x:c r="M1017" s="24" t="n">
        <x:v>0</x:v>
      </x:c>
      <x:c r="N1017" s="24" t="n">
        <x:v>0.2</x:v>
      </x:c>
      <x:c r="O1017" t="str"/>
      <x:c r="P1017" t="n">
        <x:v>2</x:v>
      </x:c>
      <x:c r="Q1017" t="str">
        <x:f>IFERROR(XLOOKUP(E1017,Lookups!$A$5:$A$24,Lookups!$B$5:$B$24),"Other")</x:f>
        <x:v>Other</x:v>
      </x:c>
      <x:c r="R1017" t="str">
        <x:f>IFERROR(XLOOKUP(F1017,Lookups!$D$5:$D$10,Lookups!$E$5:$E$10),"Unknown Product")</x:f>
        <x:v>Service Cloud</x:v>
      </x:c>
      <x:c r="S1017" t="str">
        <x:f>IFERROR(XLOOKUP(F1017,Lookups!$D$5:$D$10,Lookups!$F$5:$F$10),"Unknown")</x:f>
        <x:v>Customer Service</x:v>
      </x:c>
      <x:c r="T1017" t="str">
        <x:f>IF(L1017&gt;=50000,"Enterprise",IF(L1017&gt;=20000,"Mid-Market","SMB"))</x:f>
        <x:v>Mid-Market</x:v>
      </x:c>
      <x:c r="U1017" t="str">
        <x:f>IF(I1017="Closed Won","Won",IF(I1017="Closed Lost","Lost","Open"))</x:f>
        <x:v>Open</x:v>
      </x:c>
      <x:c r="V1017" s="22" t="n">
        <x:f>IF(U1017="Won",L1017*(1-M1017),0)</x:f>
        <x:v>0</x:v>
      </x:c>
      <x:c r="W1017" s="22" t="n">
        <x:f>IF(U1017="Open",L1017*N1017,0)</x:f>
        <x:v>4080</x:v>
      </x:c>
      <x:c r="X1017" s="26" t="str">
        <x:f>IF(U1017="Open","",IFERROR(K1017-B1017,""))</x:f>
      </x:c>
      <x:c r="Y1017" s="26" t="n">
        <x:f>IF(U1017="Open",Lookups!$B$2-B1017,X1017)</x:f>
        <x:v>50</x:v>
      </x:c>
      <x:c r="Z1017" t="str">
        <x:f>IF(AND(U1017="Open",Y1017&gt;30),"STALE","OK")</x:f>
        <x:v>STALE</x:v>
      </x:c>
      <x:c r="AA1017" t="str">
        <x:f>TEXT(B1017,"yyyy-mm")</x:f>
        <x:v>2026-07</x:v>
      </x:c>
      <x:c r="AB1017" t="str">
        <x:f>IF(K1017="","",TEXT(K1017,"yyyy-mm"))</x:f>
      </x:c>
      <x:c r="AC1017" t="str">
        <x:f>"Q"&amp;ROUNDUP(MONTH(B1017)/3,0)&amp;"-"&amp;YEAR(B1017)</x:f>
        <x:v>Q3-2026</x:v>
      </x:c>
      <x:c r="AD1017" s="26" t="n">
        <x:f>MIN(100,IF(H1017="Enterprise",30,IF(H1017="Mid-Market",22,14))+IF(T1017="Enterprise",25,IF(T1017="Mid-Market",18,10))+IF(Q1017="Referral",25,IF(Q1017="Organic Search",20,IF(Q1017="Email",18,14)))+IF(G1017="Technology",10,5))</x:f>
        <x:v>51</x:v>
      </x:c>
      <x:c r="AE1017" t="str">
        <x:f>IF(U1017&lt;&gt;"Open",U1017,IF(N1017&gt;=0.8,"Commit",IF(N1017&gt;=0.5,"Best Case","Pipeline")))</x:f>
        <x:v>Pipeline</x:v>
      </x:c>
    </x:row>
    <x:row r="1018">
      <x:c r="A1018" t="str">
        <x:v>L01017</x:v>
      </x:c>
      <x:c r="B1018" s="10" t="n">
        <x:v>45752</x:v>
      </x:c>
      <x:c r="C1018" t="str">
        <x:v>Tuan Bui</x:v>
      </x:c>
      <x:c r="D1018" t="str">
        <x:v>Central</x:v>
      </x:c>
      <x:c r="E1018" t="str">
        <x:v>Cold Email</x:v>
      </x:c>
      <x:c r="F1018" t="str">
        <x:v>REV-OPS</x:v>
      </x:c>
      <x:c r="G1018" t="str">
        <x:v>Manufacturing</x:v>
      </x:c>
      <x:c r="H1018" t="str">
        <x:v>SMB</x:v>
      </x:c>
      <x:c r="I1018" t="str">
        <x:v>Closed Lost</x:v>
      </x:c>
      <x:c r="J1018" s="10" t="n">
        <x:v>45812</x:v>
      </x:c>
      <x:c r="K1018" s="10" t="n">
        <x:v>45812</x:v>
      </x:c>
      <x:c r="L1018" s="22" t="n">
        <x:v>25500</x:v>
      </x:c>
      <x:c r="M1018" s="24" t="n">
        <x:v>0</x:v>
      </x:c>
      <x:c r="N1018" s="24" t="n">
        <x:v>0</x:v>
      </x:c>
      <x:c r="O1018" t="str">
        <x:v>Price</x:v>
      </x:c>
      <x:c r="P1018" t="n">
        <x:v>3</x:v>
      </x:c>
      <x:c r="Q1018" t="str">
        <x:f>IFERROR(XLOOKUP(E1018,Lookups!$A$5:$A$24,Lookups!$B$5:$B$24),"Other")</x:f>
        <x:v>Outbound</x:v>
      </x:c>
      <x:c r="R1018" t="str">
        <x:f>IFERROR(XLOOKUP(F1018,Lookups!$D$5:$D$10,Lookups!$E$5:$E$10),"Unknown Product")</x:f>
        <x:v>Revenue Operations Suite</x:v>
      </x:c>
      <x:c r="S1018" t="str">
        <x:f>IFERROR(XLOOKUP(F1018,Lookups!$D$5:$D$10,Lookups!$F$5:$F$10),"Unknown")</x:f>
        <x:v>Revenue Ops</x:v>
      </x:c>
      <x:c r="T1018" t="str">
        <x:f>IF(L1018&gt;=50000,"Enterprise",IF(L1018&gt;=20000,"Mid-Market","SMB"))</x:f>
        <x:v>Mid-Market</x:v>
      </x:c>
      <x:c r="U1018" t="str">
        <x:f>IF(I1018="Closed Won","Won",IF(I1018="Closed Lost","Lost","Open"))</x:f>
        <x:v>Lost</x:v>
      </x:c>
      <x:c r="V1018" s="22" t="n">
        <x:f>IF(U1018="Won",L1018*(1-M1018),0)</x:f>
        <x:v>0</x:v>
      </x:c>
      <x:c r="W1018" s="22" t="n">
        <x:f>IF(U1018="Open",L1018*N1018,0)</x:f>
        <x:v>0</x:v>
      </x:c>
      <x:c r="X1018" s="26" t="n">
        <x:f>IF(U1018="Open","",IFERROR(K1018-B1018,""))</x:f>
        <x:v>60</x:v>
      </x:c>
      <x:c r="Y1018" s="26" t="n">
        <x:f>IF(U1018="Open",Lookups!$B$2-B1018,X1018)</x:f>
        <x:v>60</x:v>
      </x:c>
      <x:c r="Z1018" t="str">
        <x:f>IF(AND(U1018="Open",Y1018&gt;30),"STALE","OK")</x:f>
        <x:v>OK</x:v>
      </x:c>
      <x:c r="AA1018" t="str">
        <x:f>TEXT(B1018,"yyyy-mm")</x:f>
        <x:v>2025-04</x:v>
      </x:c>
      <x:c r="AB1018" t="str">
        <x:f>IF(K1018="","",TEXT(K1018,"yyyy-mm"))</x:f>
        <x:v>2025-06</x:v>
      </x:c>
      <x:c r="AC1018" t="str">
        <x:f>"Q"&amp;ROUNDUP(MONTH(B1018)/3,0)&amp;"-"&amp;YEAR(B1018)</x:f>
        <x:v>Q2-2025</x:v>
      </x:c>
      <x:c r="AD1018" s="26" t="n">
        <x:f>MIN(100,IF(H1018="Enterprise",30,IF(H1018="Mid-Market",22,14))+IF(T1018="Enterprise",25,IF(T1018="Mid-Market",18,10))+IF(Q1018="Referral",25,IF(Q1018="Organic Search",20,IF(Q1018="Email",18,14)))+IF(G1018="Technology",10,5))</x:f>
        <x:v>51</x:v>
      </x:c>
      <x:c r="AE1018" t="str">
        <x:f>IF(U1018&lt;&gt;"Open",U1018,IF(N1018&gt;=0.8,"Commit",IF(N1018&gt;=0.5,"Best Case","Pipeline")))</x:f>
        <x:v>Lost</x:v>
      </x:c>
    </x:row>
    <x:row r="1019">
      <x:c r="A1019" t="str">
        <x:v>L01018</x:v>
      </x:c>
      <x:c r="B1019" s="10" t="n">
        <x:v>46165</x:v>
      </x:c>
      <x:c r="C1019" t="str">
        <x:v>Chi Le</x:v>
      </x:c>
      <x:c r="D1019" t="str">
        <x:v>South</x:v>
      </x:c>
      <x:c r="E1019" t="str">
        <x:v>Google Ads</x:v>
      </x:c>
      <x:c r="F1019" t="str">
        <x:v>MKT-AUTO</x:v>
      </x:c>
      <x:c r="G1019" t="str">
        <x:v>Retail</x:v>
      </x:c>
      <x:c r="H1019" t="str">
        <x:v>SMB</x:v>
      </x:c>
      <x:c r="I1019" t="str">
        <x:v>Demo / Meeting</x:v>
      </x:c>
      <x:c r="J1019" s="10" t="n">
        <x:v>46204</x:v>
      </x:c>
      <x:c r="K1019" s="10"/>
      <x:c r="L1019" s="22" t="n">
        <x:v>9500</x:v>
      </x:c>
      <x:c r="M1019" s="24" t="n">
        <x:v>0</x:v>
      </x:c>
      <x:c r="N1019" s="24" t="n">
        <x:v>0.4</x:v>
      </x:c>
      <x:c r="O1019" t="str"/>
      <x:c r="P1019" t="n">
        <x:v>3</x:v>
      </x:c>
      <x:c r="Q1019" t="str">
        <x:f>IFERROR(XLOOKUP(E1019,Lookups!$A$5:$A$24,Lookups!$B$5:$B$24),"Other")</x:f>
        <x:v>Paid Search</x:v>
      </x:c>
      <x:c r="R1019" t="str">
        <x:f>IFERROR(XLOOKUP(F1019,Lookups!$D$5:$D$10,Lookups!$E$5:$E$10),"Unknown Product")</x:f>
        <x:v>Marketing Automation</x:v>
      </x:c>
      <x:c r="S1019" t="str">
        <x:f>IFERROR(XLOOKUP(F1019,Lookups!$D$5:$D$10,Lookups!$F$5:$F$10),"Unknown")</x:f>
        <x:v>Marketing</x:v>
      </x:c>
      <x:c r="T1019" t="str">
        <x:f>IF(L1019&gt;=50000,"Enterprise",IF(L1019&gt;=20000,"Mid-Market","SMB"))</x:f>
        <x:v>SMB</x:v>
      </x:c>
      <x:c r="U1019" t="str">
        <x:f>IF(I1019="Closed Won","Won",IF(I1019="Closed Lost","Lost","Open"))</x:f>
        <x:v>Open</x:v>
      </x:c>
      <x:c r="V1019" s="22" t="n">
        <x:f>IF(U1019="Won",L1019*(1-M1019),0)</x:f>
        <x:v>0</x:v>
      </x:c>
      <x:c r="W1019" s="22" t="n">
        <x:f>IF(U1019="Open",L1019*N1019,0)</x:f>
        <x:v>3800</x:v>
      </x:c>
      <x:c r="X1019" s="26" t="str">
        <x:f>IF(U1019="Open","",IFERROR(K1019-B1019,""))</x:f>
      </x:c>
      <x:c r="Y1019" s="26" t="n">
        <x:f>IF(U1019="Open",Lookups!$B$2-B1019,X1019)</x:f>
        <x:v>101</x:v>
      </x:c>
      <x:c r="Z1019" t="str">
        <x:f>IF(AND(U1019="Open",Y1019&gt;30),"STALE","OK")</x:f>
        <x:v>STALE</x:v>
      </x:c>
      <x:c r="AA1019" t="str">
        <x:f>TEXT(B1019,"yyyy-mm")</x:f>
        <x:v>2026-05</x:v>
      </x:c>
      <x:c r="AB1019" t="str">
        <x:f>IF(K1019="","",TEXT(K1019,"yyyy-mm"))</x:f>
      </x:c>
      <x:c r="AC1019" t="str">
        <x:f>"Q"&amp;ROUNDUP(MONTH(B1019)/3,0)&amp;"-"&amp;YEAR(B1019)</x:f>
        <x:v>Q2-2026</x:v>
      </x:c>
      <x:c r="AD1019" s="26" t="n">
        <x:f>MIN(100,IF(H1019="Enterprise",30,IF(H1019="Mid-Market",22,14))+IF(T1019="Enterprise",25,IF(T1019="Mid-Market",18,10))+IF(Q1019="Referral",25,IF(Q1019="Organic Search",20,IF(Q1019="Email",18,14)))+IF(G1019="Technology",10,5))</x:f>
        <x:v>43</x:v>
      </x:c>
      <x:c r="AE1019" t="str">
        <x:f>IF(U1019&lt;&gt;"Open",U1019,IF(N1019&gt;=0.8,"Commit",IF(N1019&gt;=0.5,"Best Case","Pipeline")))</x:f>
        <x:v>Pipeline</x:v>
      </x:c>
    </x:row>
    <x:row r="1020">
      <x:c r="A1020" t="str">
        <x:v>L01019</x:v>
      </x:c>
      <x:c r="B1020" s="10" t="n">
        <x:v>46219</x:v>
      </x:c>
      <x:c r="C1020" t="str">
        <x:v>Ha Vo</x:v>
      </x:c>
      <x:c r="D1020" t="str">
        <x:v>North</x:v>
      </x:c>
      <x:c r="E1020" t="str">
        <x:v>organic search</x:v>
      </x:c>
      <x:c r="F1020" t="str">
        <x:v>BI-PLUS</x:v>
      </x:c>
      <x:c r="G1020" t="str">
        <x:v>Retail</x:v>
      </x:c>
      <x:c r="H1020" t="str">
        <x:v>Enterprise</x:v>
      </x:c>
      <x:c r="I1020" t="str">
        <x:v>Qualified</x:v>
      </x:c>
      <x:c r="J1020" s="10" t="n">
        <x:v>46250</x:v>
      </x:c>
      <x:c r="K1020" s="10"/>
      <x:c r="L1020" s="22" t="n">
        <x:v>77000</x:v>
      </x:c>
      <x:c r="M1020" s="24" t="n">
        <x:v>0.03</x:v>
      </x:c>
      <x:c r="N1020" s="24" t="n">
        <x:v>0.2</x:v>
      </x:c>
      <x:c r="O1020" t="str"/>
      <x:c r="P1020" t="n">
        <x:v>2</x:v>
      </x:c>
      <x:c r="Q1020" t="str">
        <x:f>IFERROR(XLOOKUP(E1020,Lookups!$A$5:$A$24,Lookups!$B$5:$B$24),"Other")</x:f>
        <x:v>Organic Search</x:v>
      </x:c>
      <x:c r="R1020" t="str">
        <x:f>IFERROR(XLOOKUP(F1020,Lookups!$D$5:$D$10,Lookups!$E$5:$E$10),"Unknown Product")</x:f>
        <x:v>Analytics Plus</x:v>
      </x:c>
      <x:c r="S1020" t="str">
        <x:f>IFERROR(XLOOKUP(F1020,Lookups!$D$5:$D$10,Lookups!$F$5:$F$10),"Unknown")</x:f>
        <x:v>Analytics</x:v>
      </x:c>
      <x:c r="T1020" t="str">
        <x:f>IF(L1020&gt;=50000,"Enterprise",IF(L1020&gt;=20000,"Mid-Market","SMB"))</x:f>
        <x:v>Enterprise</x:v>
      </x:c>
      <x:c r="U1020" t="str">
        <x:f>IF(I1020="Closed Won","Won",IF(I1020="Closed Lost","Lost","Open"))</x:f>
        <x:v>Open</x:v>
      </x:c>
      <x:c r="V1020" s="22" t="n">
        <x:f>IF(U1020="Won",L1020*(1-M1020),0)</x:f>
        <x:v>0</x:v>
      </x:c>
      <x:c r="W1020" s="22" t="n">
        <x:f>IF(U1020="Open",L1020*N1020,0)</x:f>
        <x:v>15400</x:v>
      </x:c>
      <x:c r="X1020" s="26" t="str">
        <x:f>IF(U1020="Open","",IFERROR(K1020-B1020,""))</x:f>
      </x:c>
      <x:c r="Y1020" s="26" t="n">
        <x:f>IF(U1020="Open",Lookups!$B$2-B1020,X1020)</x:f>
        <x:v>47</x:v>
      </x:c>
      <x:c r="Z1020" t="str">
        <x:f>IF(AND(U1020="Open",Y1020&gt;30),"STALE","OK")</x:f>
        <x:v>STALE</x:v>
      </x:c>
      <x:c r="AA1020" t="str">
        <x:f>TEXT(B1020,"yyyy-mm")</x:f>
        <x:v>2026-07</x:v>
      </x:c>
      <x:c r="AB1020" t="str">
        <x:f>IF(K1020="","",TEXT(K1020,"yyyy-mm"))</x:f>
      </x:c>
      <x:c r="AC1020" t="str">
        <x:f>"Q"&amp;ROUNDUP(MONTH(B1020)/3,0)&amp;"-"&amp;YEAR(B1020)</x:f>
        <x:v>Q3-2026</x:v>
      </x:c>
      <x:c r="AD1020" s="26" t="n">
        <x:f>MIN(100,IF(H1020="Enterprise",30,IF(H1020="Mid-Market",22,14))+IF(T1020="Enterprise",25,IF(T1020="Mid-Market",18,10))+IF(Q1020="Referral",25,IF(Q1020="Organic Search",20,IF(Q1020="Email",18,14)))+IF(G1020="Technology",10,5))</x:f>
        <x:v>80</x:v>
      </x:c>
      <x:c r="AE1020" t="str">
        <x:f>IF(U1020&lt;&gt;"Open",U1020,IF(N1020&gt;=0.8,"Commit",IF(N1020&gt;=0.5,"Best Case","Pipeline")))</x:f>
        <x:v>Pipeline</x:v>
      </x:c>
    </x:row>
    <x:row r="1021">
      <x:c r="A1021" t="str">
        <x:v>L01020</x:v>
      </x:c>
      <x:c r="B1021" s="10" t="n">
        <x:v>46244</x:v>
      </x:c>
      <x:c r="C1021" t="str">
        <x:v>Chi Le</x:v>
      </x:c>
      <x:c r="D1021" t="str">
        <x:v>South</x:v>
      </x:c>
      <x:c r="E1021" t="str">
        <x:v>Google Organic</x:v>
      </x:c>
      <x:c r="F1021" t="str">
        <x:v>CRM-CORE</x:v>
      </x:c>
      <x:c r="G1021" t="str">
        <x:v>Retail</x:v>
      </x:c>
      <x:c r="H1021" t="str">
        <x:v>SMB</x:v>
      </x:c>
      <x:c r="I1021" t="str">
        <x:v>New</x:v>
      </x:c>
      <x:c r="J1021" s="10" t="n">
        <x:v>46258</x:v>
      </x:c>
      <x:c r="K1021" s="10"/>
      <x:c r="L1021" s="22" t="n">
        <x:v>9600</x:v>
      </x:c>
      <x:c r="M1021" s="24" t="n">
        <x:v>0</x:v>
      </x:c>
      <x:c r="N1021" s="24" t="n">
        <x:v>0.05</x:v>
      </x:c>
      <x:c r="O1021" t="str"/>
      <x:c r="P1021" t="n">
        <x:v>1</x:v>
      </x:c>
      <x:c r="Q1021" t="str">
        <x:f>IFERROR(XLOOKUP(E1021,Lookups!$A$5:$A$24,Lookups!$B$5:$B$24),"Other")</x:f>
        <x:v>Organic Search</x:v>
      </x:c>
      <x:c r="R1021" t="str">
        <x:f>IFERROR(XLOOKUP(F1021,Lookups!$D$5:$D$10,Lookups!$E$5:$E$10),"Unknown Product")</x:f>
        <x:v>NexaCRM Core</x:v>
      </x:c>
      <x:c r="S1021" t="str">
        <x:f>IFERROR(XLOOKUP(F1021,Lookups!$D$5:$D$10,Lookups!$F$5:$F$10),"Unknown")</x:f>
        <x:v>CRM</x:v>
      </x:c>
      <x:c r="T1021" t="str">
        <x:f>IF(L1021&gt;=50000,"Enterprise",IF(L1021&gt;=20000,"Mid-Market","SMB"))</x:f>
        <x:v>SMB</x:v>
      </x:c>
      <x:c r="U1021" t="str">
        <x:f>IF(I1021="Closed Won","Won",IF(I1021="Closed Lost","Lost","Open"))</x:f>
        <x:v>Open</x:v>
      </x:c>
      <x:c r="V1021" s="22" t="n">
        <x:f>IF(U1021="Won",L1021*(1-M1021),0)</x:f>
        <x:v>0</x:v>
      </x:c>
      <x:c r="W1021" s="22" t="n">
        <x:f>IF(U1021="Open",L1021*N1021,0)</x:f>
        <x:v>480</x:v>
      </x:c>
      <x:c r="X1021" s="26" t="str">
        <x:f>IF(U1021="Open","",IFERROR(K1021-B1021,""))</x:f>
      </x:c>
      <x:c r="Y1021" s="26" t="n">
        <x:f>IF(U1021="Open",Lookups!$B$2-B1021,X1021)</x:f>
        <x:v>22</x:v>
      </x:c>
      <x:c r="Z1021" t="str">
        <x:f>IF(AND(U1021="Open",Y1021&gt;30),"STALE","OK")</x:f>
        <x:v>OK</x:v>
      </x:c>
      <x:c r="AA1021" t="str">
        <x:f>TEXT(B1021,"yyyy-mm")</x:f>
        <x:v>2026-08</x:v>
      </x:c>
      <x:c r="AB1021" t="str">
        <x:f>IF(K1021="","",TEXT(K1021,"yyyy-mm"))</x:f>
      </x:c>
      <x:c r="AC1021" t="str">
        <x:f>"Q"&amp;ROUNDUP(MONTH(B1021)/3,0)&amp;"-"&amp;YEAR(B1021)</x:f>
        <x:v>Q3-2026</x:v>
      </x:c>
      <x:c r="AD1021" s="26" t="n">
        <x:f>MIN(100,IF(H1021="Enterprise",30,IF(H1021="Mid-Market",22,14))+IF(T1021="Enterprise",25,IF(T1021="Mid-Market",18,10))+IF(Q1021="Referral",25,IF(Q1021="Organic Search",20,IF(Q1021="Email",18,14)))+IF(G1021="Technology",10,5))</x:f>
        <x:v>49</x:v>
      </x:c>
      <x:c r="AE1021" t="str">
        <x:f>IF(U1021&lt;&gt;"Open",U1021,IF(N1021&gt;=0.8,"Commit",IF(N1021&gt;=0.5,"Best Case","Pipeline")))</x:f>
        <x:v>Pipeline</x:v>
      </x:c>
    </x:row>
    <x:row r="1022">
      <x:c r="A1022" t="str">
        <x:v>L01021</x:v>
      </x:c>
      <x:c r="B1022" s="10" t="n">
        <x:v>46217</x:v>
      </x:c>
      <x:c r="C1022" t="str">
        <x:v>Bao Tran</x:v>
      </x:c>
      <x:c r="D1022" t="str">
        <x:v>South</x:v>
      </x:c>
      <x:c r="E1022" t="str">
        <x:v>Google Ads</x:v>
      </x:c>
      <x:c r="F1022" t="str">
        <x:v>MKT-AUTO</x:v>
      </x:c>
      <x:c r="G1022" t="str">
        <x:v>Healthcare</x:v>
      </x:c>
      <x:c r="H1022" t="str">
        <x:v>SMB</x:v>
      </x:c>
      <x:c r="I1022" t="str">
        <x:v>Demo / Meeting</x:v>
      </x:c>
      <x:c r="J1022" s="10" t="n">
        <x:v>46252</x:v>
      </x:c>
      <x:c r="K1022" s="10"/>
      <x:c r="L1022" s="22" t="n">
        <x:v>10300</x:v>
      </x:c>
      <x:c r="M1022" s="24" t="n">
        <x:v>0.03</x:v>
      </x:c>
      <x:c r="N1022" s="24" t="n">
        <x:v>0.4</x:v>
      </x:c>
      <x:c r="O1022" t="str"/>
      <x:c r="P1022" t="n">
        <x:v>3</x:v>
      </x:c>
      <x:c r="Q1022" t="str">
        <x:f>IFERROR(XLOOKUP(E1022,Lookups!$A$5:$A$24,Lookups!$B$5:$B$24),"Other")</x:f>
        <x:v>Paid Search</x:v>
      </x:c>
      <x:c r="R1022" t="str">
        <x:f>IFERROR(XLOOKUP(F1022,Lookups!$D$5:$D$10,Lookups!$E$5:$E$10),"Unknown Product")</x:f>
        <x:v>Marketing Automation</x:v>
      </x:c>
      <x:c r="S1022" t="str">
        <x:f>IFERROR(XLOOKUP(F1022,Lookups!$D$5:$D$10,Lookups!$F$5:$F$10),"Unknown")</x:f>
        <x:v>Marketing</x:v>
      </x:c>
      <x:c r="T1022" t="str">
        <x:f>IF(L1022&gt;=50000,"Enterprise",IF(L1022&gt;=20000,"Mid-Market","SMB"))</x:f>
        <x:v>SMB</x:v>
      </x:c>
      <x:c r="U1022" t="str">
        <x:f>IF(I1022="Closed Won","Won",IF(I1022="Closed Lost","Lost","Open"))</x:f>
        <x:v>Open</x:v>
      </x:c>
      <x:c r="V1022" s="22" t="n">
        <x:f>IF(U1022="Won",L1022*(1-M1022),0)</x:f>
        <x:v>0</x:v>
      </x:c>
      <x:c r="W1022" s="22" t="n">
        <x:f>IF(U1022="Open",L1022*N1022,0)</x:f>
        <x:v>4120</x:v>
      </x:c>
      <x:c r="X1022" s="26" t="str">
        <x:f>IF(U1022="Open","",IFERROR(K1022-B1022,""))</x:f>
      </x:c>
      <x:c r="Y1022" s="26" t="n">
        <x:f>IF(U1022="Open",Lookups!$B$2-B1022,X1022)</x:f>
        <x:v>49</x:v>
      </x:c>
      <x:c r="Z1022" t="str">
        <x:f>IF(AND(U1022="Open",Y1022&gt;30),"STALE","OK")</x:f>
        <x:v>STALE</x:v>
      </x:c>
      <x:c r="AA1022" t="str">
        <x:f>TEXT(B1022,"yyyy-mm")</x:f>
        <x:v>2026-07</x:v>
      </x:c>
      <x:c r="AB1022" t="str">
        <x:f>IF(K1022="","",TEXT(K1022,"yyyy-mm"))</x:f>
      </x:c>
      <x:c r="AC1022" t="str">
        <x:f>"Q"&amp;ROUNDUP(MONTH(B1022)/3,0)&amp;"-"&amp;YEAR(B1022)</x:f>
        <x:v>Q3-2026</x:v>
      </x:c>
      <x:c r="AD1022" s="26" t="n">
        <x:f>MIN(100,IF(H1022="Enterprise",30,IF(H1022="Mid-Market",22,14))+IF(T1022="Enterprise",25,IF(T1022="Mid-Market",18,10))+IF(Q1022="Referral",25,IF(Q1022="Organic Search",20,IF(Q1022="Email",18,14)))+IF(G1022="Technology",10,5))</x:f>
        <x:v>43</x:v>
      </x:c>
      <x:c r="AE1022" t="str">
        <x:f>IF(U1022&lt;&gt;"Open",U1022,IF(N1022&gt;=0.8,"Commit",IF(N1022&gt;=0.5,"Best Case","Pipeline")))</x:f>
        <x:v>Pipeline</x:v>
      </x:c>
    </x:row>
    <x:row r="1023">
      <x:c r="A1023" t="str">
        <x:v>L01022</x:v>
      </x:c>
      <x:c r="B1023" s="10" t="n">
        <x:v>46160</x:v>
      </x:c>
      <x:c r="C1023" t="str">
        <x:v>Tuan Bui</x:v>
      </x:c>
      <x:c r="D1023" t="str">
        <x:v>Central</x:v>
      </x:c>
      <x:c r="E1023" t="str">
        <x:v>linkedin</x:v>
      </x:c>
      <x:c r="F1023" t="str">
        <x:v>BI-PLUS</x:v>
      </x:c>
      <x:c r="G1023" t="str">
        <x:v>Education</x:v>
      </x:c>
      <x:c r="H1023" t="str">
        <x:v>Enterprise</x:v>
      </x:c>
      <x:c r="I1023" t="str">
        <x:v>Closed Won</x:v>
      </x:c>
      <x:c r="J1023" s="10" t="n">
        <x:v>46219</x:v>
      </x:c>
      <x:c r="K1023" s="10" t="n">
        <x:v>46219</x:v>
      </x:c>
      <x:c r="L1023" s="22" t="n">
        <x:v>49700</x:v>
      </x:c>
      <x:c r="M1023" s="24" t="n">
        <x:v>0.12</x:v>
      </x:c>
      <x:c r="N1023" s="24" t="n">
        <x:v>1</x:v>
      </x:c>
      <x:c r="O1023" t="str"/>
      <x:c r="P1023" t="n">
        <x:v>6</x:v>
      </x:c>
      <x:c r="Q1023" t="str">
        <x:f>IFERROR(XLOOKUP(E1023,Lookups!$A$5:$A$24,Lookups!$B$5:$B$24),"Other")</x:f>
        <x:v>LinkedIn</x:v>
      </x:c>
      <x:c r="R1023" t="str">
        <x:f>IFERROR(XLOOKUP(F1023,Lookups!$D$5:$D$10,Lookups!$E$5:$E$10),"Unknown Product")</x:f>
        <x:v>Analytics Plus</x:v>
      </x:c>
      <x:c r="S1023" t="str">
        <x:f>IFERROR(XLOOKUP(F1023,Lookups!$D$5:$D$10,Lookups!$F$5:$F$10),"Unknown")</x:f>
        <x:v>Analytics</x:v>
      </x:c>
      <x:c r="T1023" t="str">
        <x:f>IF(L1023&gt;=50000,"Enterprise",IF(L1023&gt;=20000,"Mid-Market","SMB"))</x:f>
        <x:v>Mid-Market</x:v>
      </x:c>
      <x:c r="U1023" t="str">
        <x:f>IF(I1023="Closed Won","Won",IF(I1023="Closed Lost","Lost","Open"))</x:f>
        <x:v>Won</x:v>
      </x:c>
      <x:c r="V1023" s="22" t="n">
        <x:f>IF(U1023="Won",L1023*(1-M1023),0)</x:f>
        <x:v>43736</x:v>
      </x:c>
      <x:c r="W1023" s="22" t="n">
        <x:f>IF(U1023="Open",L1023*N1023,0)</x:f>
        <x:v>0</x:v>
      </x:c>
      <x:c r="X1023" s="26" t="n">
        <x:f>IF(U1023="Open","",IFERROR(K1023-B1023,""))</x:f>
        <x:v>59</x:v>
      </x:c>
      <x:c r="Y1023" s="26" t="n">
        <x:f>IF(U1023="Open",Lookups!$B$2-B1023,X1023)</x:f>
        <x:v>59</x:v>
      </x:c>
      <x:c r="Z1023" t="str">
        <x:f>IF(AND(U1023="Open",Y1023&gt;30),"STALE","OK")</x:f>
        <x:v>OK</x:v>
      </x:c>
      <x:c r="AA1023" t="str">
        <x:f>TEXT(B1023,"yyyy-mm")</x:f>
        <x:v>2026-05</x:v>
      </x:c>
      <x:c r="AB1023" t="str">
        <x:f>IF(K1023="","",TEXT(K1023,"yyyy-mm"))</x:f>
        <x:v>2026-07</x:v>
      </x:c>
      <x:c r="AC1023" t="str">
        <x:f>"Q"&amp;ROUNDUP(MONTH(B1023)/3,0)&amp;"-"&amp;YEAR(B1023)</x:f>
        <x:v>Q2-2026</x:v>
      </x:c>
      <x:c r="AD1023" s="26" t="n">
        <x:f>MIN(100,IF(H1023="Enterprise",30,IF(H1023="Mid-Market",22,14))+IF(T1023="Enterprise",25,IF(T1023="Mid-Market",18,10))+IF(Q1023="Referral",25,IF(Q1023="Organic Search",20,IF(Q1023="Email",18,14)))+IF(G1023="Technology",10,5))</x:f>
        <x:v>67</x:v>
      </x:c>
      <x:c r="AE1023" t="str">
        <x:f>IF(U1023&lt;&gt;"Open",U1023,IF(N1023&gt;=0.8,"Commit",IF(N1023&gt;=0.5,"Best Case","Pipeline")))</x:f>
        <x:v>Won</x:v>
      </x:c>
    </x:row>
    <x:row r="1024">
      <x:c r="A1024" t="str">
        <x:v>L01023</x:v>
      </x:c>
      <x:c r="B1024" s="10" t="n">
        <x:v>45758</x:v>
      </x:c>
      <x:c r="C1024" t="str">
        <x:v>An Nguyen</x:v>
      </x:c>
      <x:c r="D1024" t="str">
        <x:v>South</x:v>
      </x:c>
      <x:c r="E1024" t="str">
        <x:v>LI Ads</x:v>
      </x:c>
      <x:c r="F1024" t="str">
        <x:v>MKT-AUTO</x:v>
      </x:c>
      <x:c r="G1024" t="str">
        <x:v>Retail</x:v>
      </x:c>
      <x:c r="H1024" t="str">
        <x:v>Mid-Market</x:v>
      </x:c>
      <x:c r="I1024" t="str">
        <x:v>Closed Lost</x:v>
      </x:c>
      <x:c r="J1024" s="10" t="n">
        <x:v>45783</x:v>
      </x:c>
      <x:c r="K1024" s="10" t="n">
        <x:v>45783</x:v>
      </x:c>
      <x:c r="L1024" s="22" t="n">
        <x:v>22000</x:v>
      </x:c>
      <x:c r="M1024" s="24" t="n">
        <x:v>0</x:v>
      </x:c>
      <x:c r="N1024" s="24" t="n">
        <x:v>0</x:v>
      </x:c>
      <x:c r="O1024" t="str">
        <x:v>No Decision</x:v>
      </x:c>
      <x:c r="P1024" t="n">
        <x:v>4</x:v>
      </x:c>
      <x:c r="Q1024" t="str">
        <x:f>IFERROR(XLOOKUP(E1024,Lookups!$A$5:$A$24,Lookups!$B$5:$B$24),"Other")</x:f>
        <x:v>LinkedIn</x:v>
      </x:c>
      <x:c r="R1024" t="str">
        <x:f>IFERROR(XLOOKUP(F1024,Lookups!$D$5:$D$10,Lookups!$E$5:$E$10),"Unknown Product")</x:f>
        <x:v>Marketing Automation</x:v>
      </x:c>
      <x:c r="S1024" t="str">
        <x:f>IFERROR(XLOOKUP(F1024,Lookups!$D$5:$D$10,Lookups!$F$5:$F$10),"Unknown")</x:f>
        <x:v>Marketing</x:v>
      </x:c>
      <x:c r="T1024" t="str">
        <x:f>IF(L1024&gt;=50000,"Enterprise",IF(L1024&gt;=20000,"Mid-Market","SMB"))</x:f>
        <x:v>Mid-Market</x:v>
      </x:c>
      <x:c r="U1024" t="str">
        <x:f>IF(I1024="Closed Won","Won",IF(I1024="Closed Lost","Lost","Open"))</x:f>
        <x:v>Lost</x:v>
      </x:c>
      <x:c r="V1024" s="22" t="n">
        <x:f>IF(U1024="Won",L1024*(1-M1024),0)</x:f>
        <x:v>0</x:v>
      </x:c>
      <x:c r="W1024" s="22" t="n">
        <x:f>IF(U1024="Open",L1024*N1024,0)</x:f>
        <x:v>0</x:v>
      </x:c>
      <x:c r="X1024" s="26" t="n">
        <x:f>IF(U1024="Open","",IFERROR(K1024-B1024,""))</x:f>
        <x:v>25</x:v>
      </x:c>
      <x:c r="Y1024" s="26" t="n">
        <x:f>IF(U1024="Open",Lookups!$B$2-B1024,X1024)</x:f>
        <x:v>25</x:v>
      </x:c>
      <x:c r="Z1024" t="str">
        <x:f>IF(AND(U1024="Open",Y1024&gt;30),"STALE","OK")</x:f>
        <x:v>OK</x:v>
      </x:c>
      <x:c r="AA1024" t="str">
        <x:f>TEXT(B1024,"yyyy-mm")</x:f>
        <x:v>2025-04</x:v>
      </x:c>
      <x:c r="AB1024" t="str">
        <x:f>IF(K1024="","",TEXT(K1024,"yyyy-mm"))</x:f>
        <x:v>2025-05</x:v>
      </x:c>
      <x:c r="AC1024" t="str">
        <x:f>"Q"&amp;ROUNDUP(MONTH(B1024)/3,0)&amp;"-"&amp;YEAR(B1024)</x:f>
        <x:v>Q2-2025</x:v>
      </x:c>
      <x:c r="AD1024" s="26" t="n">
        <x:f>MIN(100,IF(H1024="Enterprise",30,IF(H1024="Mid-Market",22,14))+IF(T1024="Enterprise",25,IF(T1024="Mid-Market",18,10))+IF(Q1024="Referral",25,IF(Q1024="Organic Search",20,IF(Q1024="Email",18,14)))+IF(G1024="Technology",10,5))</x:f>
        <x:v>59</x:v>
      </x:c>
      <x:c r="AE1024" t="str">
        <x:f>IF(U1024&lt;&gt;"Open",U1024,IF(N1024&gt;=0.8,"Commit",IF(N1024&gt;=0.5,"Best Case","Pipeline")))</x:f>
        <x:v>Lost</x:v>
      </x:c>
    </x:row>
    <x:row r="1025">
      <x:c r="A1025" t="str">
        <x:v>L01024</x:v>
      </x:c>
      <x:c r="B1025" s="10" t="n">
        <x:v>45749</x:v>
      </x:c>
      <x:c r="C1025" t="str">
        <x:v>Quynh Vu</x:v>
      </x:c>
      <x:c r="D1025" t="str">
        <x:v>North</x:v>
      </x:c>
      <x:c r="E1025" t="str">
        <x:v>Google Ads</x:v>
      </x:c>
      <x:c r="F1025" t="str">
        <x:v>BI-PLUS</x:v>
      </x:c>
      <x:c r="G1025" t="str">
        <x:v>Retail</x:v>
      </x:c>
      <x:c r="H1025" t="str">
        <x:v>Mid-Market</x:v>
      </x:c>
      <x:c r="I1025" t="str">
        <x:v>Closed Won</x:v>
      </x:c>
      <x:c r="J1025" s="10" t="n">
        <x:v>45820</x:v>
      </x:c>
      <x:c r="K1025" s="10" t="n">
        <x:v>45820</x:v>
      </x:c>
      <x:c r="L1025" s="22" t="n">
        <x:v>39700</x:v>
      </x:c>
      <x:c r="M1025" s="24" t="n">
        <x:v>0.03</x:v>
      </x:c>
      <x:c r="N1025" s="24" t="n">
        <x:v>1</x:v>
      </x:c>
      <x:c r="O1025" t="str"/>
      <x:c r="P1025" t="n">
        <x:v>6</x:v>
      </x:c>
      <x:c r="Q1025" t="str">
        <x:f>IFERROR(XLOOKUP(E1025,Lookups!$A$5:$A$24,Lookups!$B$5:$B$24),"Other")</x:f>
        <x:v>Paid Search</x:v>
      </x:c>
      <x:c r="R1025" t="str">
        <x:f>IFERROR(XLOOKUP(F1025,Lookups!$D$5:$D$10,Lookups!$E$5:$E$10),"Unknown Product")</x:f>
        <x:v>Analytics Plus</x:v>
      </x:c>
      <x:c r="S1025" t="str">
        <x:f>IFERROR(XLOOKUP(F1025,Lookups!$D$5:$D$10,Lookups!$F$5:$F$10),"Unknown")</x:f>
        <x:v>Analytics</x:v>
      </x:c>
      <x:c r="T1025" t="str">
        <x:f>IF(L1025&gt;=50000,"Enterprise",IF(L1025&gt;=20000,"Mid-Market","SMB"))</x:f>
        <x:v>Mid-Market</x:v>
      </x:c>
      <x:c r="U1025" t="str">
        <x:f>IF(I1025="Closed Won","Won",IF(I1025="Closed Lost","Lost","Open"))</x:f>
        <x:v>Won</x:v>
      </x:c>
      <x:c r="V1025" s="22" t="n">
        <x:f>IF(U1025="Won",L1025*(1-M1025),0)</x:f>
        <x:v>38509</x:v>
      </x:c>
      <x:c r="W1025" s="22" t="n">
        <x:f>IF(U1025="Open",L1025*N1025,0)</x:f>
        <x:v>0</x:v>
      </x:c>
      <x:c r="X1025" s="26" t="n">
        <x:f>IF(U1025="Open","",IFERROR(K1025-B1025,""))</x:f>
        <x:v>71</x:v>
      </x:c>
      <x:c r="Y1025" s="26" t="n">
        <x:f>IF(U1025="Open",Lookups!$B$2-B1025,X1025)</x:f>
        <x:v>71</x:v>
      </x:c>
      <x:c r="Z1025" t="str">
        <x:f>IF(AND(U1025="Open",Y1025&gt;30),"STALE","OK")</x:f>
        <x:v>OK</x:v>
      </x:c>
      <x:c r="AA1025" t="str">
        <x:f>TEXT(B1025,"yyyy-mm")</x:f>
        <x:v>2025-04</x:v>
      </x:c>
      <x:c r="AB1025" t="str">
        <x:f>IF(K1025="","",TEXT(K1025,"yyyy-mm"))</x:f>
        <x:v>2025-06</x:v>
      </x:c>
      <x:c r="AC1025" t="str">
        <x:f>"Q"&amp;ROUNDUP(MONTH(B1025)/3,0)&amp;"-"&amp;YEAR(B1025)</x:f>
        <x:v>Q2-2025</x:v>
      </x:c>
      <x:c r="AD1025" s="26" t="n">
        <x:f>MIN(100,IF(H1025="Enterprise",30,IF(H1025="Mid-Market",22,14))+IF(T1025="Enterprise",25,IF(T1025="Mid-Market",18,10))+IF(Q1025="Referral",25,IF(Q1025="Organic Search",20,IF(Q1025="Email",18,14)))+IF(G1025="Technology",10,5))</x:f>
        <x:v>59</x:v>
      </x:c>
      <x:c r="AE1025" t="str">
        <x:f>IF(U1025&lt;&gt;"Open",U1025,IF(N1025&gt;=0.8,"Commit",IF(N1025&gt;=0.5,"Best Case","Pipeline")))</x:f>
        <x:v>Won</x:v>
      </x:c>
    </x:row>
    <x:row r="1026">
      <x:c r="A1026" t="str">
        <x:v>L01025</x:v>
      </x:c>
      <x:c r="B1026" s="10" t="n">
        <x:v>45898</x:v>
      </x:c>
      <x:c r="C1026" t="str">
        <x:v>An Nguyen</x:v>
      </x:c>
      <x:c r="D1026" t="str">
        <x:v>South</x:v>
      </x:c>
      <x:c r="E1026" t="str">
        <x:v>Cold Email</x:v>
      </x:c>
      <x:c r="F1026" t="str">
        <x:v>REV-OPS</x:v>
      </x:c>
      <x:c r="G1026" t="str">
        <x:v>Healthcare</x:v>
      </x:c>
      <x:c r="H1026" t="str">
        <x:v>SMB</x:v>
      </x:c>
      <x:c r="I1026" t="str">
        <x:v>Negotiation</x:v>
      </x:c>
      <x:c r="J1026" s="10" t="n">
        <x:v>46183</x:v>
      </x:c>
      <x:c r="K1026" s="10"/>
      <x:c r="L1026" s="22" t="n">
        <x:v>48000</x:v>
      </x:c>
      <x:c r="M1026" s="24" t="n">
        <x:v>0.05</x:v>
      </x:c>
      <x:c r="N1026" s="24" t="n">
        <x:v>0.85</x:v>
      </x:c>
      <x:c r="O1026" t="str"/>
      <x:c r="P1026" t="n">
        <x:v>5</x:v>
      </x:c>
      <x:c r="Q1026" t="str">
        <x:f>IFERROR(XLOOKUP(E1026,Lookups!$A$5:$A$24,Lookups!$B$5:$B$24),"Other")</x:f>
        <x:v>Outbound</x:v>
      </x:c>
      <x:c r="R1026" t="str">
        <x:f>IFERROR(XLOOKUP(F1026,Lookups!$D$5:$D$10,Lookups!$E$5:$E$10),"Unknown Product")</x:f>
        <x:v>Revenue Operations Suite</x:v>
      </x:c>
      <x:c r="S1026" t="str">
        <x:f>IFERROR(XLOOKUP(F1026,Lookups!$D$5:$D$10,Lookups!$F$5:$F$10),"Unknown")</x:f>
        <x:v>Revenue Ops</x:v>
      </x:c>
      <x:c r="T1026" t="str">
        <x:f>IF(L1026&gt;=50000,"Enterprise",IF(L1026&gt;=20000,"Mid-Market","SMB"))</x:f>
        <x:v>Mid-Market</x:v>
      </x:c>
      <x:c r="U1026" t="str">
        <x:f>IF(I1026="Closed Won","Won",IF(I1026="Closed Lost","Lost","Open"))</x:f>
        <x:v>Open</x:v>
      </x:c>
      <x:c r="V1026" s="22" t="n">
        <x:f>IF(U1026="Won",L1026*(1-M1026),0)</x:f>
        <x:v>0</x:v>
      </x:c>
      <x:c r="W1026" s="22" t="n">
        <x:f>IF(U1026="Open",L1026*N1026,0)</x:f>
        <x:v>40800</x:v>
      </x:c>
      <x:c r="X1026" s="26" t="str">
        <x:f>IF(U1026="Open","",IFERROR(K1026-B1026,""))</x:f>
      </x:c>
      <x:c r="Y1026" s="26" t="n">
        <x:f>IF(U1026="Open",Lookups!$B$2-B1026,X1026)</x:f>
        <x:v>368</x:v>
      </x:c>
      <x:c r="Z1026" t="str">
        <x:f>IF(AND(U1026="Open",Y1026&gt;30),"STALE","OK")</x:f>
        <x:v>STALE</x:v>
      </x:c>
      <x:c r="AA1026" t="str">
        <x:f>TEXT(B1026,"yyyy-mm")</x:f>
        <x:v>2025-08</x:v>
      </x:c>
      <x:c r="AB1026" t="str">
        <x:f>IF(K1026="","",TEXT(K1026,"yyyy-mm"))</x:f>
      </x:c>
      <x:c r="AC1026" t="str">
        <x:f>"Q"&amp;ROUNDUP(MONTH(B1026)/3,0)&amp;"-"&amp;YEAR(B1026)</x:f>
        <x:v>Q3-2025</x:v>
      </x:c>
      <x:c r="AD1026" s="26" t="n">
        <x:f>MIN(100,IF(H1026="Enterprise",30,IF(H1026="Mid-Market",22,14))+IF(T1026="Enterprise",25,IF(T1026="Mid-Market",18,10))+IF(Q1026="Referral",25,IF(Q1026="Organic Search",20,IF(Q1026="Email",18,14)))+IF(G1026="Technology",10,5))</x:f>
        <x:v>51</x:v>
      </x:c>
      <x:c r="AE1026" t="str">
        <x:f>IF(U1026&lt;&gt;"Open",U1026,IF(N1026&gt;=0.8,"Commit",IF(N1026&gt;=0.5,"Best Case","Pipeline")))</x:f>
        <x:v>Commit</x:v>
      </x:c>
    </x:row>
    <x:row r="1027">
      <x:c r="A1027" t="str">
        <x:v>L01026</x:v>
      </x:c>
      <x:c r="B1027" s="10" t="n">
        <x:v>45699</x:v>
      </x:c>
      <x:c r="C1027" t="str">
        <x:v>Bao Tran</x:v>
      </x:c>
      <x:c r="D1027" t="str">
        <x:v>South</x:v>
      </x:c>
      <x:c r="E1027" t="str">
        <x:v>SEM - Google</x:v>
      </x:c>
      <x:c r="F1027" t="str">
        <x:v>CS-CLOUD</x:v>
      </x:c>
      <x:c r="G1027" t="str">
        <x:v>Healthcare</x:v>
      </x:c>
      <x:c r="H1027" t="str">
        <x:v>Mid-Market</x:v>
      </x:c>
      <x:c r="I1027" t="str">
        <x:v>Closed Lost</x:v>
      </x:c>
      <x:c r="J1027" s="10" t="n">
        <x:v>45736</x:v>
      </x:c>
      <x:c r="K1027" s="10" t="n">
        <x:v>45736</x:v>
      </x:c>
      <x:c r="L1027" s="22" t="n">
        <x:v>49200</x:v>
      </x:c>
      <x:c r="M1027" s="24" t="n">
        <x:v>0</x:v>
      </x:c>
      <x:c r="N1027" s="24" t="n">
        <x:v>0</x:v>
      </x:c>
      <x:c r="O1027" t="str">
        <x:v>Price</x:v>
      </x:c>
      <x:c r="P1027" t="n">
        <x:v>3</x:v>
      </x:c>
      <x:c r="Q1027" t="str">
        <x:f>IFERROR(XLOOKUP(E1027,Lookups!$A$5:$A$24,Lookups!$B$5:$B$24),"Other")</x:f>
        <x:v>Paid Search</x:v>
      </x:c>
      <x:c r="R1027" t="str">
        <x:f>IFERROR(XLOOKUP(F1027,Lookups!$D$5:$D$10,Lookups!$E$5:$E$10),"Unknown Product")</x:f>
        <x:v>Service Cloud</x:v>
      </x:c>
      <x:c r="S1027" t="str">
        <x:f>IFERROR(XLOOKUP(F1027,Lookups!$D$5:$D$10,Lookups!$F$5:$F$10),"Unknown")</x:f>
        <x:v>Customer Service</x:v>
      </x:c>
      <x:c r="T1027" t="str">
        <x:f>IF(L1027&gt;=50000,"Enterprise",IF(L1027&gt;=20000,"Mid-Market","SMB"))</x:f>
        <x:v>Mid-Market</x:v>
      </x:c>
      <x:c r="U1027" t="str">
        <x:f>IF(I1027="Closed Won","Won",IF(I1027="Closed Lost","Lost","Open"))</x:f>
        <x:v>Lost</x:v>
      </x:c>
      <x:c r="V1027" s="22" t="n">
        <x:f>IF(U1027="Won",L1027*(1-M1027),0)</x:f>
        <x:v>0</x:v>
      </x:c>
      <x:c r="W1027" s="22" t="n">
        <x:f>IF(U1027="Open",L1027*N1027,0)</x:f>
        <x:v>0</x:v>
      </x:c>
      <x:c r="X1027" s="26" t="n">
        <x:f>IF(U1027="Open","",IFERROR(K1027-B1027,""))</x:f>
        <x:v>37</x:v>
      </x:c>
      <x:c r="Y1027" s="26" t="n">
        <x:f>IF(U1027="Open",Lookups!$B$2-B1027,X1027)</x:f>
        <x:v>37</x:v>
      </x:c>
      <x:c r="Z1027" t="str">
        <x:f>IF(AND(U1027="Open",Y1027&gt;30),"STALE","OK")</x:f>
        <x:v>OK</x:v>
      </x:c>
      <x:c r="AA1027" t="str">
        <x:f>TEXT(B1027,"yyyy-mm")</x:f>
        <x:v>2025-02</x:v>
      </x:c>
      <x:c r="AB1027" t="str">
        <x:f>IF(K1027="","",TEXT(K1027,"yyyy-mm"))</x:f>
        <x:v>2025-03</x:v>
      </x:c>
      <x:c r="AC1027" t="str">
        <x:f>"Q"&amp;ROUNDUP(MONTH(B1027)/3,0)&amp;"-"&amp;YEAR(B1027)</x:f>
        <x:v>Q1-2025</x:v>
      </x:c>
      <x:c r="AD1027" s="26" t="n">
        <x:f>MIN(100,IF(H1027="Enterprise",30,IF(H1027="Mid-Market",22,14))+IF(T1027="Enterprise",25,IF(T1027="Mid-Market",18,10))+IF(Q1027="Referral",25,IF(Q1027="Organic Search",20,IF(Q1027="Email",18,14)))+IF(G1027="Technology",10,5))</x:f>
        <x:v>59</x:v>
      </x:c>
      <x:c r="AE1027" t="str">
        <x:f>IF(U1027&lt;&gt;"Open",U1027,IF(N1027&gt;=0.8,"Commit",IF(N1027&gt;=0.5,"Best Case","Pipeline")))</x:f>
        <x:v>Lost</x:v>
      </x:c>
    </x:row>
    <x:row r="1028">
      <x:c r="A1028" t="str">
        <x:v>L01027</x:v>
      </x:c>
      <x:c r="B1028" s="10" t="n">
        <x:v>45955</x:v>
      </x:c>
      <x:c r="C1028" t="str">
        <x:v>Tuan Bui</x:v>
      </x:c>
      <x:c r="D1028" t="str">
        <x:v>Central</x:v>
      </x:c>
      <x:c r="E1028" t="str">
        <x:v>Outbound</x:v>
      </x:c>
      <x:c r="F1028" t="str">
        <x:v>CRM-PRO</x:v>
      </x:c>
      <x:c r="G1028" t="str">
        <x:v>Technology</x:v>
      </x:c>
      <x:c r="H1028" t="str">
        <x:v>Enterprise</x:v>
      </x:c>
      <x:c r="I1028" t="str">
        <x:v>Closed Lost</x:v>
      </x:c>
      <x:c r="J1028" s="10" t="n">
        <x:v>45984</x:v>
      </x:c>
      <x:c r="K1028" s="10" t="n">
        <x:v>45984</x:v>
      </x:c>
      <x:c r="L1028" s="22" t="n">
        <x:v>59900</x:v>
      </x:c>
      <x:c r="M1028" s="24" t="n">
        <x:v>0</x:v>
      </x:c>
      <x:c r="N1028" s="24" t="n">
        <x:v>0</x:v>
      </x:c>
      <x:c r="O1028" t="str">
        <x:v>Timing</x:v>
      </x:c>
      <x:c r="P1028" t="n">
        <x:v>4</x:v>
      </x:c>
      <x:c r="Q1028" t="str">
        <x:f>IFERROR(XLOOKUP(E1028,Lookups!$A$5:$A$24,Lookups!$B$5:$B$24),"Other")</x:f>
        <x:v>Outbound</x:v>
      </x:c>
      <x:c r="R1028" t="str">
        <x:f>IFERROR(XLOOKUP(F1028,Lookups!$D$5:$D$10,Lookups!$E$5:$E$10),"Unknown Product")</x:f>
        <x:v>NexaCRM Pro</x:v>
      </x:c>
      <x:c r="S1028" t="str">
        <x:f>IFERROR(XLOOKUP(F1028,Lookups!$D$5:$D$10,Lookups!$F$5:$F$10),"Unknown")</x:f>
        <x:v>CRM</x:v>
      </x:c>
      <x:c r="T1028" t="str">
        <x:f>IF(L1028&gt;=50000,"Enterprise",IF(L1028&gt;=20000,"Mid-Market","SMB"))</x:f>
        <x:v>Enterprise</x:v>
      </x:c>
      <x:c r="U1028" t="str">
        <x:f>IF(I1028="Closed Won","Won",IF(I1028="Closed Lost","Lost","Open"))</x:f>
        <x:v>Lost</x:v>
      </x:c>
      <x:c r="V1028" s="22" t="n">
        <x:f>IF(U1028="Won",L1028*(1-M1028),0)</x:f>
        <x:v>0</x:v>
      </x:c>
      <x:c r="W1028" s="22" t="n">
        <x:f>IF(U1028="Open",L1028*N1028,0)</x:f>
        <x:v>0</x:v>
      </x:c>
      <x:c r="X1028" s="26" t="n">
        <x:f>IF(U1028="Open","",IFERROR(K1028-B1028,""))</x:f>
        <x:v>29</x:v>
      </x:c>
      <x:c r="Y1028" s="26" t="n">
        <x:f>IF(U1028="Open",Lookups!$B$2-B1028,X1028)</x:f>
        <x:v>29</x:v>
      </x:c>
      <x:c r="Z1028" t="str">
        <x:f>IF(AND(U1028="Open",Y1028&gt;30),"STALE","OK")</x:f>
        <x:v>OK</x:v>
      </x:c>
      <x:c r="AA1028" t="str">
        <x:f>TEXT(B1028,"yyyy-mm")</x:f>
        <x:v>2025-10</x:v>
      </x:c>
      <x:c r="AB1028" t="str">
        <x:f>IF(K1028="","",TEXT(K1028,"yyyy-mm"))</x:f>
        <x:v>2025-11</x:v>
      </x:c>
      <x:c r="AC1028" t="str">
        <x:f>"Q"&amp;ROUNDUP(MONTH(B1028)/3,0)&amp;"-"&amp;YEAR(B1028)</x:f>
        <x:v>Q4-2025</x:v>
      </x:c>
      <x:c r="AD1028" s="26" t="n">
        <x:f>MIN(100,IF(H1028="Enterprise",30,IF(H1028="Mid-Market",22,14))+IF(T1028="Enterprise",25,IF(T1028="Mid-Market",18,10))+IF(Q1028="Referral",25,IF(Q1028="Organic Search",20,IF(Q1028="Email",18,14)))+IF(G1028="Technology",10,5))</x:f>
        <x:v>79</x:v>
      </x:c>
      <x:c r="AE1028" t="str">
        <x:f>IF(U1028&lt;&gt;"Open",U1028,IF(N1028&gt;=0.8,"Commit",IF(N1028&gt;=0.5,"Best Case","Pipeline")))</x:f>
        <x:v>Lost</x:v>
      </x:c>
    </x:row>
    <x:row r="1029">
      <x:c r="A1029" t="str">
        <x:v>L01028</x:v>
      </x:c>
      <x:c r="B1029" s="10" t="n">
        <x:v>46015</x:v>
      </x:c>
      <x:c r="C1029" t="str">
        <x:v>Chi Le</x:v>
      </x:c>
      <x:c r="D1029" t="str">
        <x:v>South</x:v>
      </x:c>
      <x:c r="E1029" t="str">
        <x:v>virtual event</x:v>
      </x:c>
      <x:c r="F1029" t="str">
        <x:v>MKT-AUTO</x:v>
      </x:c>
      <x:c r="G1029" t="str">
        <x:v>Professional Services</x:v>
      </x:c>
      <x:c r="H1029" t="str">
        <x:v>Enterprise</x:v>
      </x:c>
      <x:c r="I1029" t="str">
        <x:v>Closed Won</x:v>
      </x:c>
      <x:c r="J1029" s="10" t="n">
        <x:v>46094</x:v>
      </x:c>
      <x:c r="K1029" s="10" t="n">
        <x:v>46094</x:v>
      </x:c>
      <x:c r="L1029" s="22" t="n">
        <x:v>51900</x:v>
      </x:c>
      <x:c r="M1029" s="24" t="n">
        <x:v>0.05</x:v>
      </x:c>
      <x:c r="N1029" s="24" t="n">
        <x:v>1</x:v>
      </x:c>
      <x:c r="O1029" t="str"/>
      <x:c r="P1029" t="n">
        <x:v>6</x:v>
      </x:c>
      <x:c r="Q1029" t="str">
        <x:f>IFERROR(XLOOKUP(E1029,Lookups!$A$5:$A$24,Lookups!$B$5:$B$24),"Other")</x:f>
        <x:v>Webinar</x:v>
      </x:c>
      <x:c r="R1029" t="str">
        <x:f>IFERROR(XLOOKUP(F1029,Lookups!$D$5:$D$10,Lookups!$E$5:$E$10),"Unknown Product")</x:f>
        <x:v>Marketing Automation</x:v>
      </x:c>
      <x:c r="S1029" t="str">
        <x:f>IFERROR(XLOOKUP(F1029,Lookups!$D$5:$D$10,Lookups!$F$5:$F$10),"Unknown")</x:f>
        <x:v>Marketing</x:v>
      </x:c>
      <x:c r="T1029" t="str">
        <x:f>IF(L1029&gt;=50000,"Enterprise",IF(L1029&gt;=20000,"Mid-Market","SMB"))</x:f>
        <x:v>Enterprise</x:v>
      </x:c>
      <x:c r="U1029" t="str">
        <x:f>IF(I1029="Closed Won","Won",IF(I1029="Closed Lost","Lost","Open"))</x:f>
        <x:v>Won</x:v>
      </x:c>
      <x:c r="V1029" s="22" t="n">
        <x:f>IF(U1029="Won",L1029*(1-M1029),0)</x:f>
        <x:v>49305</x:v>
      </x:c>
      <x:c r="W1029" s="22" t="n">
        <x:f>IF(U1029="Open",L1029*N1029,0)</x:f>
        <x:v>0</x:v>
      </x:c>
      <x:c r="X1029" s="26" t="n">
        <x:f>IF(U1029="Open","",IFERROR(K1029-B1029,""))</x:f>
        <x:v>79</x:v>
      </x:c>
      <x:c r="Y1029" s="26" t="n">
        <x:f>IF(U1029="Open",Lookups!$B$2-B1029,X1029)</x:f>
        <x:v>79</x:v>
      </x:c>
      <x:c r="Z1029" t="str">
        <x:f>IF(AND(U1029="Open",Y1029&gt;30),"STALE","OK")</x:f>
        <x:v>OK</x:v>
      </x:c>
      <x:c r="AA1029" t="str">
        <x:f>TEXT(B1029,"yyyy-mm")</x:f>
        <x:v>2025-12</x:v>
      </x:c>
      <x:c r="AB1029" t="str">
        <x:f>IF(K1029="","",TEXT(K1029,"yyyy-mm"))</x:f>
        <x:v>2026-03</x:v>
      </x:c>
      <x:c r="AC1029" t="str">
        <x:f>"Q"&amp;ROUNDUP(MONTH(B1029)/3,0)&amp;"-"&amp;YEAR(B1029)</x:f>
        <x:v>Q4-2025</x:v>
      </x:c>
      <x:c r="AD1029" s="26" t="n">
        <x:f>MIN(100,IF(H1029="Enterprise",30,IF(H1029="Mid-Market",22,14))+IF(T1029="Enterprise",25,IF(T1029="Mid-Market",18,10))+IF(Q1029="Referral",25,IF(Q1029="Organic Search",20,IF(Q1029="Email",18,14)))+IF(G1029="Technology",10,5))</x:f>
        <x:v>74</x:v>
      </x:c>
      <x:c r="AE1029" t="str">
        <x:f>IF(U1029&lt;&gt;"Open",U1029,IF(N1029&gt;=0.8,"Commit",IF(N1029&gt;=0.5,"Best Case","Pipeline")))</x:f>
        <x:v>Won</x:v>
      </x:c>
    </x:row>
    <x:row r="1030">
      <x:c r="A1030" t="str">
        <x:v>L01029</x:v>
      </x:c>
      <x:c r="B1030" s="10" t="n">
        <x:v>46082</x:v>
      </x:c>
      <x:c r="C1030" t="str">
        <x:v>Chi Le</x:v>
      </x:c>
      <x:c r="D1030" t="str">
        <x:v>South</x:v>
      </x:c>
      <x:c r="E1030" t="str">
        <x:v>Cold Email</x:v>
      </x:c>
      <x:c r="F1030" t="str">
        <x:v>CRM-PRO</x:v>
      </x:c>
      <x:c r="G1030" t="str">
        <x:v>Manufacturing</x:v>
      </x:c>
      <x:c r="H1030" t="str">
        <x:v>Mid-Market</x:v>
      </x:c>
      <x:c r="I1030" t="str">
        <x:v>Closed Lost</x:v>
      </x:c>
      <x:c r="J1030" s="10" t="n">
        <x:v>46113</x:v>
      </x:c>
      <x:c r="K1030" s="10" t="n">
        <x:v>46113</x:v>
      </x:c>
      <x:c r="L1030" s="22" t="n">
        <x:v>25300</x:v>
      </x:c>
      <x:c r="M1030" s="24" t="n">
        <x:v>0</x:v>
      </x:c>
      <x:c r="N1030" s="24" t="n">
        <x:v>0</x:v>
      </x:c>
      <x:c r="O1030" t="str">
        <x:v>No Decision</x:v>
      </x:c>
      <x:c r="P1030" t="n">
        <x:v>2</x:v>
      </x:c>
      <x:c r="Q1030" t="str">
        <x:f>IFERROR(XLOOKUP(E1030,Lookups!$A$5:$A$24,Lookups!$B$5:$B$24),"Other")</x:f>
        <x:v>Outbound</x:v>
      </x:c>
      <x:c r="R1030" t="str">
        <x:f>IFERROR(XLOOKUP(F1030,Lookups!$D$5:$D$10,Lookups!$E$5:$E$10),"Unknown Product")</x:f>
        <x:v>NexaCRM Pro</x:v>
      </x:c>
      <x:c r="S1030" t="str">
        <x:f>IFERROR(XLOOKUP(F1030,Lookups!$D$5:$D$10,Lookups!$F$5:$F$10),"Unknown")</x:f>
        <x:v>CRM</x:v>
      </x:c>
      <x:c r="T1030" t="str">
        <x:f>IF(L1030&gt;=50000,"Enterprise",IF(L1030&gt;=20000,"Mid-Market","SMB"))</x:f>
        <x:v>Mid-Market</x:v>
      </x:c>
      <x:c r="U1030" t="str">
        <x:f>IF(I1030="Closed Won","Won",IF(I1030="Closed Lost","Lost","Open"))</x:f>
        <x:v>Lost</x:v>
      </x:c>
      <x:c r="V1030" s="22" t="n">
        <x:f>IF(U1030="Won",L1030*(1-M1030),0)</x:f>
        <x:v>0</x:v>
      </x:c>
      <x:c r="W1030" s="22" t="n">
        <x:f>IF(U1030="Open",L1030*N1030,0)</x:f>
        <x:v>0</x:v>
      </x:c>
      <x:c r="X1030" s="26" t="n">
        <x:f>IF(U1030="Open","",IFERROR(K1030-B1030,""))</x:f>
        <x:v>31</x:v>
      </x:c>
      <x:c r="Y1030" s="26" t="n">
        <x:f>IF(U1030="Open",Lookups!$B$2-B1030,X1030)</x:f>
        <x:v>31</x:v>
      </x:c>
      <x:c r="Z1030" t="str">
        <x:f>IF(AND(U1030="Open",Y1030&gt;30),"STALE","OK")</x:f>
        <x:v>OK</x:v>
      </x:c>
      <x:c r="AA1030" t="str">
        <x:f>TEXT(B1030,"yyyy-mm")</x:f>
        <x:v>2026-03</x:v>
      </x:c>
      <x:c r="AB1030" t="str">
        <x:f>IF(K1030="","",TEXT(K1030,"yyyy-mm"))</x:f>
        <x:v>2026-04</x:v>
      </x:c>
      <x:c r="AC1030" t="str">
        <x:f>"Q"&amp;ROUNDUP(MONTH(B1030)/3,0)&amp;"-"&amp;YEAR(B1030)</x:f>
        <x:v>Q1-2026</x:v>
      </x:c>
      <x:c r="AD1030" s="26" t="n">
        <x:f>MIN(100,IF(H1030="Enterprise",30,IF(H1030="Mid-Market",22,14))+IF(T1030="Enterprise",25,IF(T1030="Mid-Market",18,10))+IF(Q1030="Referral",25,IF(Q1030="Organic Search",20,IF(Q1030="Email",18,14)))+IF(G1030="Technology",10,5))</x:f>
        <x:v>59</x:v>
      </x:c>
      <x:c r="AE1030" t="str">
        <x:f>IF(U1030&lt;&gt;"Open",U1030,IF(N1030&gt;=0.8,"Commit",IF(N1030&gt;=0.5,"Best Case","Pipeline")))</x:f>
        <x:v>Lost</x:v>
      </x:c>
    </x:row>
    <x:row r="1031">
      <x:c r="A1031" t="str">
        <x:v>L01030</x:v>
      </x:c>
      <x:c r="B1031" s="10" t="n">
        <x:v>45839</x:v>
      </x:c>
      <x:c r="C1031" t="str">
        <x:v>Duy Pham</x:v>
      </x:c>
      <x:c r="D1031" t="str">
        <x:v>South</x:v>
      </x:c>
      <x:c r="E1031" t="str">
        <x:v>SDR Outreach</x:v>
      </x:c>
      <x:c r="F1031" t="str">
        <x:v>REV-OPS</x:v>
      </x:c>
      <x:c r="G1031" t="str">
        <x:v>Education</x:v>
      </x:c>
      <x:c r="H1031" t="str">
        <x:v>Mid-Market</x:v>
      </x:c>
      <x:c r="I1031" t="str">
        <x:v>Closed Lost</x:v>
      </x:c>
      <x:c r="J1031" s="10" t="n">
        <x:v>45878</x:v>
      </x:c>
      <x:c r="K1031" s="10" t="n">
        <x:v>45878</x:v>
      </x:c>
      <x:c r="L1031" s="22" t="n">
        <x:v>39500</x:v>
      </x:c>
      <x:c r="M1031" s="24" t="n">
        <x:v>0</x:v>
      </x:c>
      <x:c r="N1031" s="24" t="n">
        <x:v>0</x:v>
      </x:c>
      <x:c r="O1031" t="str">
        <x:v>Timing</x:v>
      </x:c>
      <x:c r="P1031" t="n">
        <x:v>2</x:v>
      </x:c>
      <x:c r="Q1031" t="str">
        <x:f>IFERROR(XLOOKUP(E1031,Lookups!$A$5:$A$24,Lookups!$B$5:$B$24),"Other")</x:f>
        <x:v>Outbound</x:v>
      </x:c>
      <x:c r="R1031" t="str">
        <x:f>IFERROR(XLOOKUP(F1031,Lookups!$D$5:$D$10,Lookups!$E$5:$E$10),"Unknown Product")</x:f>
        <x:v>Revenue Operations Suite</x:v>
      </x:c>
      <x:c r="S1031" t="str">
        <x:f>IFERROR(XLOOKUP(F1031,Lookups!$D$5:$D$10,Lookups!$F$5:$F$10),"Unknown")</x:f>
        <x:v>Revenue Ops</x:v>
      </x:c>
      <x:c r="T1031" t="str">
        <x:f>IF(L1031&gt;=50000,"Enterprise",IF(L1031&gt;=20000,"Mid-Market","SMB"))</x:f>
        <x:v>Mid-Market</x:v>
      </x:c>
      <x:c r="U1031" t="str">
        <x:f>IF(I1031="Closed Won","Won",IF(I1031="Closed Lost","Lost","Open"))</x:f>
        <x:v>Lost</x:v>
      </x:c>
      <x:c r="V1031" s="22" t="n">
        <x:f>IF(U1031="Won",L1031*(1-M1031),0)</x:f>
        <x:v>0</x:v>
      </x:c>
      <x:c r="W1031" s="22" t="n">
        <x:f>IF(U1031="Open",L1031*N1031,0)</x:f>
        <x:v>0</x:v>
      </x:c>
      <x:c r="X1031" s="26" t="n">
        <x:f>IF(U1031="Open","",IFERROR(K1031-B1031,""))</x:f>
        <x:v>39</x:v>
      </x:c>
      <x:c r="Y1031" s="26" t="n">
        <x:f>IF(U1031="Open",Lookups!$B$2-B1031,X1031)</x:f>
        <x:v>39</x:v>
      </x:c>
      <x:c r="Z1031" t="str">
        <x:f>IF(AND(U1031="Open",Y1031&gt;30),"STALE","OK")</x:f>
        <x:v>OK</x:v>
      </x:c>
      <x:c r="AA1031" t="str">
        <x:f>TEXT(B1031,"yyyy-mm")</x:f>
        <x:v>2025-07</x:v>
      </x:c>
      <x:c r="AB1031" t="str">
        <x:f>IF(K1031="","",TEXT(K1031,"yyyy-mm"))</x:f>
        <x:v>2025-08</x:v>
      </x:c>
      <x:c r="AC1031" t="str">
        <x:f>"Q"&amp;ROUNDUP(MONTH(B1031)/3,0)&amp;"-"&amp;YEAR(B1031)</x:f>
        <x:v>Q3-2025</x:v>
      </x:c>
      <x:c r="AD1031" s="26" t="n">
        <x:f>MIN(100,IF(H1031="Enterprise",30,IF(H1031="Mid-Market",22,14))+IF(T1031="Enterprise",25,IF(T1031="Mid-Market",18,10))+IF(Q1031="Referral",25,IF(Q1031="Organic Search",20,IF(Q1031="Email",18,14)))+IF(G1031="Technology",10,5))</x:f>
        <x:v>59</x:v>
      </x:c>
      <x:c r="AE1031" t="str">
        <x:f>IF(U1031&lt;&gt;"Open",U1031,IF(N1031&gt;=0.8,"Commit",IF(N1031&gt;=0.5,"Best Case","Pipeline")))</x:f>
        <x:v>Lost</x:v>
      </x:c>
    </x:row>
    <x:row r="1032">
      <x:c r="A1032" t="str">
        <x:v>L01031</x:v>
      </x:c>
      <x:c r="B1032" s="10" t="n">
        <x:v>46016</x:v>
      </x:c>
      <x:c r="C1032" t="str">
        <x:v>Ha Vo</x:v>
      </x:c>
      <x:c r="D1032" t="str">
        <x:v>North</x:v>
      </x:c>
      <x:c r="E1032" t="str">
        <x:v>LinkedIn Ads</x:v>
      </x:c>
      <x:c r="F1032" t="str">
        <x:v>REV-OPS</x:v>
      </x:c>
      <x:c r="G1032" t="str">
        <x:v>Technology</x:v>
      </x:c>
      <x:c r="H1032" t="str">
        <x:v>Enterprise</x:v>
      </x:c>
      <x:c r="I1032" t="str">
        <x:v>Closed Lost</x:v>
      </x:c>
      <x:c r="J1032" s="10" t="n">
        <x:v>46064</x:v>
      </x:c>
      <x:c r="K1032" s="10" t="n">
        <x:v>46064</x:v>
      </x:c>
      <x:c r="L1032" s="22" t="n">
        <x:v>85100</x:v>
      </x:c>
      <x:c r="M1032" s="24" t="n">
        <x:v>0</x:v>
      </x:c>
      <x:c r="N1032" s="24" t="n">
        <x:v>0</x:v>
      </x:c>
      <x:c r="O1032" t="str">
        <x:v>No Decision</x:v>
      </x:c>
      <x:c r="P1032" t="n">
        <x:v>3</x:v>
      </x:c>
      <x:c r="Q1032" t="str">
        <x:f>IFERROR(XLOOKUP(E1032,Lookups!$A$5:$A$24,Lookups!$B$5:$B$24),"Other")</x:f>
        <x:v>LinkedIn</x:v>
      </x:c>
      <x:c r="R1032" t="str">
        <x:f>IFERROR(XLOOKUP(F1032,Lookups!$D$5:$D$10,Lookups!$E$5:$E$10),"Unknown Product")</x:f>
        <x:v>Revenue Operations Suite</x:v>
      </x:c>
      <x:c r="S1032" t="str">
        <x:f>IFERROR(XLOOKUP(F1032,Lookups!$D$5:$D$10,Lookups!$F$5:$F$10),"Unknown")</x:f>
        <x:v>Revenue Ops</x:v>
      </x:c>
      <x:c r="T1032" t="str">
        <x:f>IF(L1032&gt;=50000,"Enterprise",IF(L1032&gt;=20000,"Mid-Market","SMB"))</x:f>
        <x:v>Enterprise</x:v>
      </x:c>
      <x:c r="U1032" t="str">
        <x:f>IF(I1032="Closed Won","Won",IF(I1032="Closed Lost","Lost","Open"))</x:f>
        <x:v>Lost</x:v>
      </x:c>
      <x:c r="V1032" s="22" t="n">
        <x:f>IF(U1032="Won",L1032*(1-M1032),0)</x:f>
        <x:v>0</x:v>
      </x:c>
      <x:c r="W1032" s="22" t="n">
        <x:f>IF(U1032="Open",L1032*N1032,0)</x:f>
        <x:v>0</x:v>
      </x:c>
      <x:c r="X1032" s="26" t="n">
        <x:f>IF(U1032="Open","",IFERROR(K1032-B1032,""))</x:f>
        <x:v>48</x:v>
      </x:c>
      <x:c r="Y1032" s="26" t="n">
        <x:f>IF(U1032="Open",Lookups!$B$2-B1032,X1032)</x:f>
        <x:v>48</x:v>
      </x:c>
      <x:c r="Z1032" t="str">
        <x:f>IF(AND(U1032="Open",Y1032&gt;30),"STALE","OK")</x:f>
        <x:v>OK</x:v>
      </x:c>
      <x:c r="AA1032" t="str">
        <x:f>TEXT(B1032,"yyyy-mm")</x:f>
        <x:v>2025-12</x:v>
      </x:c>
      <x:c r="AB1032" t="str">
        <x:f>IF(K1032="","",TEXT(K1032,"yyyy-mm"))</x:f>
        <x:v>2026-02</x:v>
      </x:c>
      <x:c r="AC1032" t="str">
        <x:f>"Q"&amp;ROUNDUP(MONTH(B1032)/3,0)&amp;"-"&amp;YEAR(B1032)</x:f>
        <x:v>Q4-2025</x:v>
      </x:c>
      <x:c r="AD1032" s="26" t="n">
        <x:f>MIN(100,IF(H1032="Enterprise",30,IF(H1032="Mid-Market",22,14))+IF(T1032="Enterprise",25,IF(T1032="Mid-Market",18,10))+IF(Q1032="Referral",25,IF(Q1032="Organic Search",20,IF(Q1032="Email",18,14)))+IF(G1032="Technology",10,5))</x:f>
        <x:v>79</x:v>
      </x:c>
      <x:c r="AE1032" t="str">
        <x:f>IF(U1032&lt;&gt;"Open",U1032,IF(N1032&gt;=0.8,"Commit",IF(N1032&gt;=0.5,"Best Case","Pipeline")))</x:f>
        <x:v>Lost</x:v>
      </x:c>
    </x:row>
    <x:row r="1033">
      <x:c r="A1033" t="str">
        <x:v>L01032</x:v>
      </x:c>
      <x:c r="B1033" s="10" t="n">
        <x:v>45907</x:v>
      </x:c>
      <x:c r="C1033" t="str">
        <x:v>Tuan Bui</x:v>
      </x:c>
      <x:c r="D1033" t="str">
        <x:v>Central</x:v>
      </x:c>
      <x:c r="E1033" t="str">
        <x:v>Email Campaign</x:v>
      </x:c>
      <x:c r="F1033" t="str">
        <x:v>CRM-PRO</x:v>
      </x:c>
      <x:c r="G1033" t="str">
        <x:v>Manufacturing</x:v>
      </x:c>
      <x:c r="H1033" t="str">
        <x:v>SMB</x:v>
      </x:c>
      <x:c r="I1033" t="str">
        <x:v>Negotiation</x:v>
      </x:c>
      <x:c r="J1033" s="10" t="n">
        <x:v>46131</x:v>
      </x:c>
      <x:c r="K1033" s="10"/>
      <x:c r="L1033" s="22" t="n">
        <x:v>24000</x:v>
      </x:c>
      <x:c r="M1033" s="24" t="n">
        <x:v>0</x:v>
      </x:c>
      <x:c r="N1033" s="24" t="n">
        <x:v>0.85</x:v>
      </x:c>
      <x:c r="O1033" t="str"/>
      <x:c r="P1033" t="n">
        <x:v>5</x:v>
      </x:c>
      <x:c r="Q1033" t="str">
        <x:f>IFERROR(XLOOKUP(E1033,Lookups!$A$5:$A$24,Lookups!$B$5:$B$24),"Other")</x:f>
        <x:v>Email</x:v>
      </x:c>
      <x:c r="R1033" t="str">
        <x:f>IFERROR(XLOOKUP(F1033,Lookups!$D$5:$D$10,Lookups!$E$5:$E$10),"Unknown Product")</x:f>
        <x:v>NexaCRM Pro</x:v>
      </x:c>
      <x:c r="S1033" t="str">
        <x:f>IFERROR(XLOOKUP(F1033,Lookups!$D$5:$D$10,Lookups!$F$5:$F$10),"Unknown")</x:f>
        <x:v>CRM</x:v>
      </x:c>
      <x:c r="T1033" t="str">
        <x:f>IF(L1033&gt;=50000,"Enterprise",IF(L1033&gt;=20000,"Mid-Market","SMB"))</x:f>
        <x:v>Mid-Market</x:v>
      </x:c>
      <x:c r="U1033" t="str">
        <x:f>IF(I1033="Closed Won","Won",IF(I1033="Closed Lost","Lost","Open"))</x:f>
        <x:v>Open</x:v>
      </x:c>
      <x:c r="V1033" s="22" t="n">
        <x:f>IF(U1033="Won",L1033*(1-M1033),0)</x:f>
        <x:v>0</x:v>
      </x:c>
      <x:c r="W1033" s="22" t="n">
        <x:f>IF(U1033="Open",L1033*N1033,0)</x:f>
        <x:v>20400</x:v>
      </x:c>
      <x:c r="X1033" s="26" t="str">
        <x:f>IF(U1033="Open","",IFERROR(K1033-B1033,""))</x:f>
      </x:c>
      <x:c r="Y1033" s="26" t="n">
        <x:f>IF(U1033="Open",Lookups!$B$2-B1033,X1033)</x:f>
        <x:v>359</x:v>
      </x:c>
      <x:c r="Z1033" t="str">
        <x:f>IF(AND(U1033="Open",Y1033&gt;30),"STALE","OK")</x:f>
        <x:v>STALE</x:v>
      </x:c>
      <x:c r="AA1033" t="str">
        <x:f>TEXT(B1033,"yyyy-mm")</x:f>
        <x:v>2025-09</x:v>
      </x:c>
      <x:c r="AB1033" t="str">
        <x:f>IF(K1033="","",TEXT(K1033,"yyyy-mm"))</x:f>
      </x:c>
      <x:c r="AC1033" t="str">
        <x:f>"Q"&amp;ROUNDUP(MONTH(B1033)/3,0)&amp;"-"&amp;YEAR(B1033)</x:f>
        <x:v>Q3-2025</x:v>
      </x:c>
      <x:c r="AD1033" s="26" t="n">
        <x:f>MIN(100,IF(H1033="Enterprise",30,IF(H1033="Mid-Market",22,14))+IF(T1033="Enterprise",25,IF(T1033="Mid-Market",18,10))+IF(Q1033="Referral",25,IF(Q1033="Organic Search",20,IF(Q1033="Email",18,14)))+IF(G1033="Technology",10,5))</x:f>
        <x:v>55</x:v>
      </x:c>
      <x:c r="AE1033" t="str">
        <x:f>IF(U1033&lt;&gt;"Open",U1033,IF(N1033&gt;=0.8,"Commit",IF(N1033&gt;=0.5,"Best Case","Pipeline")))</x:f>
        <x:v>Commit</x:v>
      </x:c>
    </x:row>
    <x:row r="1034">
      <x:c r="A1034" t="str">
        <x:v>L01033</x:v>
      </x:c>
      <x:c r="B1034" s="10" t="n">
        <x:v>45695</x:v>
      </x:c>
      <x:c r="C1034" t="str">
        <x:v>Ha Vo</x:v>
      </x:c>
      <x:c r="D1034" t="str">
        <x:v>North</x:v>
      </x:c>
      <x:c r="E1034" t="str">
        <x:v>organic search</x:v>
      </x:c>
      <x:c r="F1034" t="str">
        <x:v>CRM-CORE</x:v>
      </x:c>
      <x:c r="G1034" t="str">
        <x:v>Financial Services</x:v>
      </x:c>
      <x:c r="H1034" t="str">
        <x:v>SMB</x:v>
      </x:c>
      <x:c r="I1034" t="str">
        <x:v>Closed Won</x:v>
      </x:c>
      <x:c r="J1034" s="10" t="n">
        <x:v>45760</x:v>
      </x:c>
      <x:c r="K1034" s="10" t="n">
        <x:v>45760</x:v>
      </x:c>
      <x:c r="L1034" s="22" t="n">
        <x:v>5900</x:v>
      </x:c>
      <x:c r="M1034" s="24" t="n">
        <x:v>0.08</x:v>
      </x:c>
      <x:c r="N1034" s="24" t="n">
        <x:v>1</x:v>
      </x:c>
      <x:c r="O1034" t="str"/>
      <x:c r="P1034" t="n">
        <x:v>6</x:v>
      </x:c>
      <x:c r="Q1034" t="str">
        <x:f>IFERROR(XLOOKUP(E1034,Lookups!$A$5:$A$24,Lookups!$B$5:$B$24),"Other")</x:f>
        <x:v>Organic Search</x:v>
      </x:c>
      <x:c r="R1034" t="str">
        <x:f>IFERROR(XLOOKUP(F1034,Lookups!$D$5:$D$10,Lookups!$E$5:$E$10),"Unknown Product")</x:f>
        <x:v>NexaCRM Core</x:v>
      </x:c>
      <x:c r="S1034" t="str">
        <x:f>IFERROR(XLOOKUP(F1034,Lookups!$D$5:$D$10,Lookups!$F$5:$F$10),"Unknown")</x:f>
        <x:v>CRM</x:v>
      </x:c>
      <x:c r="T1034" t="str">
        <x:f>IF(L1034&gt;=50000,"Enterprise",IF(L1034&gt;=20000,"Mid-Market","SMB"))</x:f>
        <x:v>SMB</x:v>
      </x:c>
      <x:c r="U1034" t="str">
        <x:f>IF(I1034="Closed Won","Won",IF(I1034="Closed Lost","Lost","Open"))</x:f>
        <x:v>Won</x:v>
      </x:c>
      <x:c r="V1034" s="22" t="n">
        <x:f>IF(U1034="Won",L1034*(1-M1034),0)</x:f>
        <x:v>5428</x:v>
      </x:c>
      <x:c r="W1034" s="22" t="n">
        <x:f>IF(U1034="Open",L1034*N1034,0)</x:f>
        <x:v>0</x:v>
      </x:c>
      <x:c r="X1034" s="26" t="n">
        <x:f>IF(U1034="Open","",IFERROR(K1034-B1034,""))</x:f>
        <x:v>65</x:v>
      </x:c>
      <x:c r="Y1034" s="26" t="n">
        <x:f>IF(U1034="Open",Lookups!$B$2-B1034,X1034)</x:f>
        <x:v>65</x:v>
      </x:c>
      <x:c r="Z1034" t="str">
        <x:f>IF(AND(U1034="Open",Y1034&gt;30),"STALE","OK")</x:f>
        <x:v>OK</x:v>
      </x:c>
      <x:c r="AA1034" t="str">
        <x:f>TEXT(B1034,"yyyy-mm")</x:f>
        <x:v>2025-02</x:v>
      </x:c>
      <x:c r="AB1034" t="str">
        <x:f>IF(K1034="","",TEXT(K1034,"yyyy-mm"))</x:f>
        <x:v>2025-04</x:v>
      </x:c>
      <x:c r="AC1034" t="str">
        <x:f>"Q"&amp;ROUNDUP(MONTH(B1034)/3,0)&amp;"-"&amp;YEAR(B1034)</x:f>
        <x:v>Q1-2025</x:v>
      </x:c>
      <x:c r="AD1034" s="26" t="n">
        <x:f>MIN(100,IF(H1034="Enterprise",30,IF(H1034="Mid-Market",22,14))+IF(T1034="Enterprise",25,IF(T1034="Mid-Market",18,10))+IF(Q1034="Referral",25,IF(Q1034="Organic Search",20,IF(Q1034="Email",18,14)))+IF(G1034="Technology",10,5))</x:f>
        <x:v>49</x:v>
      </x:c>
      <x:c r="AE1034" t="str">
        <x:f>IF(U1034&lt;&gt;"Open",U1034,IF(N1034&gt;=0.8,"Commit",IF(N1034&gt;=0.5,"Best Case","Pipeline")))</x:f>
        <x:v>Won</x:v>
      </x:c>
    </x:row>
    <x:row r="1035">
      <x:c r="A1035" t="str">
        <x:v>L01034</x:v>
      </x:c>
      <x:c r="B1035" s="10" t="n">
        <x:v>45815</x:v>
      </x:c>
      <x:c r="C1035" t="str">
        <x:v>Ha Vo</x:v>
      </x:c>
      <x:c r="D1035" t="str">
        <x:v>North</x:v>
      </x:c>
      <x:c r="E1035" t="str">
        <x:v>LinkedIn Ads</x:v>
      </x:c>
      <x:c r="F1035" t="str">
        <x:v>MKT-AUTO</x:v>
      </x:c>
      <x:c r="G1035" t="str">
        <x:v>Professional Services</x:v>
      </x:c>
      <x:c r="H1035" t="str">
        <x:v>SMB</x:v>
      </x:c>
      <x:c r="I1035" t="str">
        <x:v>Closed Lost</x:v>
      </x:c>
      <x:c r="J1035" s="10" t="n">
        <x:v>45831</x:v>
      </x:c>
      <x:c r="K1035" s="10" t="n">
        <x:v>45831</x:v>
      </x:c>
      <x:c r="L1035" s="22" t="n">
        <x:v>13700</x:v>
      </x:c>
      <x:c r="M1035" s="24" t="n">
        <x:v>0</x:v>
      </x:c>
      <x:c r="N1035" s="24" t="n">
        <x:v>0</x:v>
      </x:c>
      <x:c r="O1035" t="str">
        <x:v>Competitor</x:v>
      </x:c>
      <x:c r="P1035" t="n">
        <x:v>5</x:v>
      </x:c>
      <x:c r="Q1035" t="str">
        <x:f>IFERROR(XLOOKUP(E1035,Lookups!$A$5:$A$24,Lookups!$B$5:$B$24),"Other")</x:f>
        <x:v>LinkedIn</x:v>
      </x:c>
      <x:c r="R1035" t="str">
        <x:f>IFERROR(XLOOKUP(F1035,Lookups!$D$5:$D$10,Lookups!$E$5:$E$10),"Unknown Product")</x:f>
        <x:v>Marketing Automation</x:v>
      </x:c>
      <x:c r="S1035" t="str">
        <x:f>IFERROR(XLOOKUP(F1035,Lookups!$D$5:$D$10,Lookups!$F$5:$F$10),"Unknown")</x:f>
        <x:v>Marketing</x:v>
      </x:c>
      <x:c r="T1035" t="str">
        <x:f>IF(L1035&gt;=50000,"Enterprise",IF(L1035&gt;=20000,"Mid-Market","SMB"))</x:f>
        <x:v>SMB</x:v>
      </x:c>
      <x:c r="U1035" t="str">
        <x:f>IF(I1035="Closed Won","Won",IF(I1035="Closed Lost","Lost","Open"))</x:f>
        <x:v>Lost</x:v>
      </x:c>
      <x:c r="V1035" s="22" t="n">
        <x:f>IF(U1035="Won",L1035*(1-M1035),0)</x:f>
        <x:v>0</x:v>
      </x:c>
      <x:c r="W1035" s="22" t="n">
        <x:f>IF(U1035="Open",L1035*N1035,0)</x:f>
        <x:v>0</x:v>
      </x:c>
      <x:c r="X1035" s="26" t="n">
        <x:f>IF(U1035="Open","",IFERROR(K1035-B1035,""))</x:f>
        <x:v>16</x:v>
      </x:c>
      <x:c r="Y1035" s="26" t="n">
        <x:f>IF(U1035="Open",Lookups!$B$2-B1035,X1035)</x:f>
        <x:v>16</x:v>
      </x:c>
      <x:c r="Z1035" t="str">
        <x:f>IF(AND(U1035="Open",Y1035&gt;30),"STALE","OK")</x:f>
        <x:v>OK</x:v>
      </x:c>
      <x:c r="AA1035" t="str">
        <x:f>TEXT(B1035,"yyyy-mm")</x:f>
        <x:v>2025-06</x:v>
      </x:c>
      <x:c r="AB1035" t="str">
        <x:f>IF(K1035="","",TEXT(K1035,"yyyy-mm"))</x:f>
        <x:v>2025-06</x:v>
      </x:c>
      <x:c r="AC1035" t="str">
        <x:f>"Q"&amp;ROUNDUP(MONTH(B1035)/3,0)&amp;"-"&amp;YEAR(B1035)</x:f>
        <x:v>Q2-2025</x:v>
      </x:c>
      <x:c r="AD1035" s="26" t="n">
        <x:f>MIN(100,IF(H1035="Enterprise",30,IF(H1035="Mid-Market",22,14))+IF(T1035="Enterprise",25,IF(T1035="Mid-Market",18,10))+IF(Q1035="Referral",25,IF(Q1035="Organic Search",20,IF(Q1035="Email",18,14)))+IF(G1035="Technology",10,5))</x:f>
        <x:v>43</x:v>
      </x:c>
      <x:c r="AE1035" t="str">
        <x:f>IF(U1035&lt;&gt;"Open",U1035,IF(N1035&gt;=0.8,"Commit",IF(N1035&gt;=0.5,"Best Case","Pipeline")))</x:f>
        <x:v>Lost</x:v>
      </x:c>
    </x:row>
    <x:row r="1036">
      <x:c r="A1036" t="str">
        <x:v>L01035</x:v>
      </x:c>
      <x:c r="B1036" s="10" t="n">
        <x:v>45897</x:v>
      </x:c>
      <x:c r="C1036" t="str">
        <x:v>Duy Pham</x:v>
      </x:c>
      <x:c r="D1036" t="str">
        <x:v>South</x:v>
      </x:c>
      <x:c r="E1036" t="str">
        <x:v>newsletter</x:v>
      </x:c>
      <x:c r="F1036" t="str">
        <x:v>CRM-CORE</x:v>
      </x:c>
      <x:c r="G1036" t="str">
        <x:v>Healthcare</x:v>
      </x:c>
      <x:c r="H1036" t="str">
        <x:v>SMB</x:v>
      </x:c>
      <x:c r="I1036" t="str">
        <x:v>Closed Lost</x:v>
      </x:c>
      <x:c r="J1036" s="10" t="n">
        <x:v>45949</x:v>
      </x:c>
      <x:c r="K1036" s="10" t="n">
        <x:v>45949</x:v>
      </x:c>
      <x:c r="L1036" s="22" t="n">
        <x:v>6500</x:v>
      </x:c>
      <x:c r="M1036" s="24" t="n">
        <x:v>0</x:v>
      </x:c>
      <x:c r="N1036" s="24" t="n">
        <x:v>0</x:v>
      </x:c>
      <x:c r="O1036" t="str">
        <x:v>No Decision</x:v>
      </x:c>
      <x:c r="P1036" t="n">
        <x:v>3</x:v>
      </x:c>
      <x:c r="Q1036" t="str">
        <x:f>IFERROR(XLOOKUP(E1036,Lookups!$A$5:$A$24,Lookups!$B$5:$B$24),"Other")</x:f>
        <x:v>Email</x:v>
      </x:c>
      <x:c r="R1036" t="str">
        <x:f>IFERROR(XLOOKUP(F1036,Lookups!$D$5:$D$10,Lookups!$E$5:$E$10),"Unknown Product")</x:f>
        <x:v>NexaCRM Core</x:v>
      </x:c>
      <x:c r="S1036" t="str">
        <x:f>IFERROR(XLOOKUP(F1036,Lookups!$D$5:$D$10,Lookups!$F$5:$F$10),"Unknown")</x:f>
        <x:v>CRM</x:v>
      </x:c>
      <x:c r="T1036" t="str">
        <x:f>IF(L1036&gt;=50000,"Enterprise",IF(L1036&gt;=20000,"Mid-Market","SMB"))</x:f>
        <x:v>SMB</x:v>
      </x:c>
      <x:c r="U1036" t="str">
        <x:f>IF(I1036="Closed Won","Won",IF(I1036="Closed Lost","Lost","Open"))</x:f>
        <x:v>Lost</x:v>
      </x:c>
      <x:c r="V1036" s="22" t="n">
        <x:f>IF(U1036="Won",L1036*(1-M1036),0)</x:f>
        <x:v>0</x:v>
      </x:c>
      <x:c r="W1036" s="22" t="n">
        <x:f>IF(U1036="Open",L1036*N1036,0)</x:f>
        <x:v>0</x:v>
      </x:c>
      <x:c r="X1036" s="26" t="n">
        <x:f>IF(U1036="Open","",IFERROR(K1036-B1036,""))</x:f>
        <x:v>52</x:v>
      </x:c>
      <x:c r="Y1036" s="26" t="n">
        <x:f>IF(U1036="Open",Lookups!$B$2-B1036,X1036)</x:f>
        <x:v>52</x:v>
      </x:c>
      <x:c r="Z1036" t="str">
        <x:f>IF(AND(U1036="Open",Y1036&gt;30),"STALE","OK")</x:f>
        <x:v>OK</x:v>
      </x:c>
      <x:c r="AA1036" t="str">
        <x:f>TEXT(B1036,"yyyy-mm")</x:f>
        <x:v>2025-08</x:v>
      </x:c>
      <x:c r="AB1036" t="str">
        <x:f>IF(K1036="","",TEXT(K1036,"yyyy-mm"))</x:f>
        <x:v>2025-10</x:v>
      </x:c>
      <x:c r="AC1036" t="str">
        <x:f>"Q"&amp;ROUNDUP(MONTH(B1036)/3,0)&amp;"-"&amp;YEAR(B1036)</x:f>
        <x:v>Q3-2025</x:v>
      </x:c>
      <x:c r="AD1036" s="26" t="n">
        <x:f>MIN(100,IF(H1036="Enterprise",30,IF(H1036="Mid-Market",22,14))+IF(T1036="Enterprise",25,IF(T1036="Mid-Market",18,10))+IF(Q1036="Referral",25,IF(Q1036="Organic Search",20,IF(Q1036="Email",18,14)))+IF(G1036="Technology",10,5))</x:f>
        <x:v>47</x:v>
      </x:c>
      <x:c r="AE1036" t="str">
        <x:f>IF(U1036&lt;&gt;"Open",U1036,IF(N1036&gt;=0.8,"Commit",IF(N1036&gt;=0.5,"Best Case","Pipeline")))</x:f>
        <x:v>Lost</x:v>
      </x:c>
    </x:row>
    <x:row r="1037">
      <x:c r="A1037" t="str">
        <x:v>L01036</x:v>
      </x:c>
      <x:c r="B1037" s="10" t="n">
        <x:v>45878</x:v>
      </x:c>
      <x:c r="C1037" t="str">
        <x:v>Duy Pham</x:v>
      </x:c>
      <x:c r="D1037" t="str">
        <x:v>South</x:v>
      </x:c>
      <x:c r="E1037" t="str">
        <x:v>Google Ads</x:v>
      </x:c>
      <x:c r="F1037" t="str">
        <x:v>CRM-PRO</x:v>
      </x:c>
      <x:c r="G1037" t="str">
        <x:v>Financial Services</x:v>
      </x:c>
      <x:c r="H1037" t="str">
        <x:v>SMB</x:v>
      </x:c>
      <x:c r="I1037" t="str">
        <x:v>Closed Lost</x:v>
      </x:c>
      <x:c r="J1037" s="10" t="n">
        <x:v>45938</x:v>
      </x:c>
      <x:c r="K1037" s="10" t="n">
        <x:v>45938</x:v>
      </x:c>
      <x:c r="L1037" s="22" t="n">
        <x:v>14400</x:v>
      </x:c>
      <x:c r="M1037" s="24" t="n">
        <x:v>0</x:v>
      </x:c>
      <x:c r="N1037" s="24" t="n">
        <x:v>0</x:v>
      </x:c>
      <x:c r="O1037" t="str">
        <x:v>Competitor</x:v>
      </x:c>
      <x:c r="P1037" t="n">
        <x:v>3</x:v>
      </x:c>
      <x:c r="Q1037" t="str">
        <x:f>IFERROR(XLOOKUP(E1037,Lookups!$A$5:$A$24,Lookups!$B$5:$B$24),"Other")</x:f>
        <x:v>Paid Search</x:v>
      </x:c>
      <x:c r="R1037" t="str">
        <x:f>IFERROR(XLOOKUP(F1037,Lookups!$D$5:$D$10,Lookups!$E$5:$E$10),"Unknown Product")</x:f>
        <x:v>NexaCRM Pro</x:v>
      </x:c>
      <x:c r="S1037" t="str">
        <x:f>IFERROR(XLOOKUP(F1037,Lookups!$D$5:$D$10,Lookups!$F$5:$F$10),"Unknown")</x:f>
        <x:v>CRM</x:v>
      </x:c>
      <x:c r="T1037" t="str">
        <x:f>IF(L1037&gt;=50000,"Enterprise",IF(L1037&gt;=20000,"Mid-Market","SMB"))</x:f>
        <x:v>SMB</x:v>
      </x:c>
      <x:c r="U1037" t="str">
        <x:f>IF(I1037="Closed Won","Won",IF(I1037="Closed Lost","Lost","Open"))</x:f>
        <x:v>Lost</x:v>
      </x:c>
      <x:c r="V1037" s="22" t="n">
        <x:f>IF(U1037="Won",L1037*(1-M1037),0)</x:f>
        <x:v>0</x:v>
      </x:c>
      <x:c r="W1037" s="22" t="n">
        <x:f>IF(U1037="Open",L1037*N1037,0)</x:f>
        <x:v>0</x:v>
      </x:c>
      <x:c r="X1037" s="26" t="n">
        <x:f>IF(U1037="Open","",IFERROR(K1037-B1037,""))</x:f>
        <x:v>60</x:v>
      </x:c>
      <x:c r="Y1037" s="26" t="n">
        <x:f>IF(U1037="Open",Lookups!$B$2-B1037,X1037)</x:f>
        <x:v>60</x:v>
      </x:c>
      <x:c r="Z1037" t="str">
        <x:f>IF(AND(U1037="Open",Y1037&gt;30),"STALE","OK")</x:f>
        <x:v>OK</x:v>
      </x:c>
      <x:c r="AA1037" t="str">
        <x:f>TEXT(B1037,"yyyy-mm")</x:f>
        <x:v>2025-08</x:v>
      </x:c>
      <x:c r="AB1037" t="str">
        <x:f>IF(K1037="","",TEXT(K1037,"yyyy-mm"))</x:f>
        <x:v>2025-10</x:v>
      </x:c>
      <x:c r="AC1037" t="str">
        <x:f>"Q"&amp;ROUNDUP(MONTH(B1037)/3,0)&amp;"-"&amp;YEAR(B1037)</x:f>
        <x:v>Q3-2025</x:v>
      </x:c>
      <x:c r="AD1037" s="26" t="n">
        <x:f>MIN(100,IF(H1037="Enterprise",30,IF(H1037="Mid-Market",22,14))+IF(T1037="Enterprise",25,IF(T1037="Mid-Market",18,10))+IF(Q1037="Referral",25,IF(Q1037="Organic Search",20,IF(Q1037="Email",18,14)))+IF(G1037="Technology",10,5))</x:f>
        <x:v>43</x:v>
      </x:c>
      <x:c r="AE1037" t="str">
        <x:f>IF(U1037&lt;&gt;"Open",U1037,IF(N1037&gt;=0.8,"Commit",IF(N1037&gt;=0.5,"Best Case","Pipeline")))</x:f>
        <x:v>Lost</x:v>
      </x:c>
    </x:row>
    <x:row r="1038">
      <x:c r="A1038" t="str">
        <x:v>L01037</x:v>
      </x:c>
      <x:c r="B1038" s="10" t="n">
        <x:v>46035</x:v>
      </x:c>
      <x:c r="C1038" t="str">
        <x:v>Bao Tran</x:v>
      </x:c>
      <x:c r="D1038" t="str">
        <x:v>South</x:v>
      </x:c>
      <x:c r="E1038" t="str">
        <x:v>Google Organic</x:v>
      </x:c>
      <x:c r="F1038" t="str">
        <x:v>MKT-AUTO</x:v>
      </x:c>
      <x:c r="G1038" t="str">
        <x:v>Technology</x:v>
      </x:c>
      <x:c r="H1038" t="str">
        <x:v>SMB</x:v>
      </x:c>
      <x:c r="I1038" t="str">
        <x:v>Closed Lost</x:v>
      </x:c>
      <x:c r="J1038" s="10" t="n">
        <x:v>46122</x:v>
      </x:c>
      <x:c r="K1038" s="10" t="n">
        <x:v>46122</x:v>
      </x:c>
      <x:c r="L1038" s="22" t="n">
        <x:v>13900</x:v>
      </x:c>
      <x:c r="M1038" s="24" t="n">
        <x:v>0</x:v>
      </x:c>
      <x:c r="N1038" s="24" t="n">
        <x:v>0</x:v>
      </x:c>
      <x:c r="O1038" t="str">
        <x:v>Timing</x:v>
      </x:c>
      <x:c r="P1038" t="n">
        <x:v>4</x:v>
      </x:c>
      <x:c r="Q1038" t="str">
        <x:f>IFERROR(XLOOKUP(E1038,Lookups!$A$5:$A$24,Lookups!$B$5:$B$24),"Other")</x:f>
        <x:v>Organic Search</x:v>
      </x:c>
      <x:c r="R1038" t="str">
        <x:f>IFERROR(XLOOKUP(F1038,Lookups!$D$5:$D$10,Lookups!$E$5:$E$10),"Unknown Product")</x:f>
        <x:v>Marketing Automation</x:v>
      </x:c>
      <x:c r="S1038" t="str">
        <x:f>IFERROR(XLOOKUP(F1038,Lookups!$D$5:$D$10,Lookups!$F$5:$F$10),"Unknown")</x:f>
        <x:v>Marketing</x:v>
      </x:c>
      <x:c r="T1038" t="str">
        <x:f>IF(L1038&gt;=50000,"Enterprise",IF(L1038&gt;=20000,"Mid-Market","SMB"))</x:f>
        <x:v>SMB</x:v>
      </x:c>
      <x:c r="U1038" t="str">
        <x:f>IF(I1038="Closed Won","Won",IF(I1038="Closed Lost","Lost","Open"))</x:f>
        <x:v>Lost</x:v>
      </x:c>
      <x:c r="V1038" s="22" t="n">
        <x:f>IF(U1038="Won",L1038*(1-M1038),0)</x:f>
        <x:v>0</x:v>
      </x:c>
      <x:c r="W1038" s="22" t="n">
        <x:f>IF(U1038="Open",L1038*N1038,0)</x:f>
        <x:v>0</x:v>
      </x:c>
      <x:c r="X1038" s="26" t="n">
        <x:f>IF(U1038="Open","",IFERROR(K1038-B1038,""))</x:f>
        <x:v>87</x:v>
      </x:c>
      <x:c r="Y1038" s="26" t="n">
        <x:f>IF(U1038="Open",Lookups!$B$2-B1038,X1038)</x:f>
        <x:v>87</x:v>
      </x:c>
      <x:c r="Z1038" t="str">
        <x:f>IF(AND(U1038="Open",Y1038&gt;30),"STALE","OK")</x:f>
        <x:v>OK</x:v>
      </x:c>
      <x:c r="AA1038" t="str">
        <x:f>TEXT(B1038,"yyyy-mm")</x:f>
        <x:v>2026-01</x:v>
      </x:c>
      <x:c r="AB1038" t="str">
        <x:f>IF(K1038="","",TEXT(K1038,"yyyy-mm"))</x:f>
        <x:v>2026-04</x:v>
      </x:c>
      <x:c r="AC1038" t="str">
        <x:f>"Q"&amp;ROUNDUP(MONTH(B1038)/3,0)&amp;"-"&amp;YEAR(B1038)</x:f>
        <x:v>Q1-2026</x:v>
      </x:c>
      <x:c r="AD1038" s="26" t="n">
        <x:f>MIN(100,IF(H1038="Enterprise",30,IF(H1038="Mid-Market",22,14))+IF(T1038="Enterprise",25,IF(T1038="Mid-Market",18,10))+IF(Q1038="Referral",25,IF(Q1038="Organic Search",20,IF(Q1038="Email",18,14)))+IF(G1038="Technology",10,5))</x:f>
        <x:v>54</x:v>
      </x:c>
      <x:c r="AE1038" t="str">
        <x:f>IF(U1038&lt;&gt;"Open",U1038,IF(N1038&gt;=0.8,"Commit",IF(N1038&gt;=0.5,"Best Case","Pipeline")))</x:f>
        <x:v>Lost</x:v>
      </x:c>
    </x:row>
    <x:row r="1039">
      <x:c r="A1039" t="str">
        <x:v>L01038</x:v>
      </x:c>
      <x:c r="B1039" s="10" t="n">
        <x:v>45983</x:v>
      </x:c>
      <x:c r="C1039" t="str">
        <x:v>Bao Tran</x:v>
      </x:c>
      <x:c r="D1039" t="str">
        <x:v>South</x:v>
      </x:c>
      <x:c r="E1039" t="str">
        <x:v>SEM - Google</x:v>
      </x:c>
      <x:c r="F1039" t="str">
        <x:v>CS-CLOUD</x:v>
      </x:c>
      <x:c r="G1039" t="str">
        <x:v>Manufacturing</x:v>
      </x:c>
      <x:c r="H1039" t="str">
        <x:v>Enterprise</x:v>
      </x:c>
      <x:c r="I1039" t="str">
        <x:v>Closed Lost</x:v>
      </x:c>
      <x:c r="J1039" s="10" t="n">
        <x:v>46027</x:v>
      </x:c>
      <x:c r="K1039" s="10" t="n">
        <x:v>46027</x:v>
      </x:c>
      <x:c r="L1039" s="22" t="n">
        <x:v>86600</x:v>
      </x:c>
      <x:c r="M1039" s="24" t="n">
        <x:v>0</x:v>
      </x:c>
      <x:c r="N1039" s="24" t="n">
        <x:v>0</x:v>
      </x:c>
      <x:c r="O1039" t="str">
        <x:v>Competitor</x:v>
      </x:c>
      <x:c r="P1039" t="n">
        <x:v>3</x:v>
      </x:c>
      <x:c r="Q1039" t="str">
        <x:f>IFERROR(XLOOKUP(E1039,Lookups!$A$5:$A$24,Lookups!$B$5:$B$24),"Other")</x:f>
        <x:v>Paid Search</x:v>
      </x:c>
      <x:c r="R1039" t="str">
        <x:f>IFERROR(XLOOKUP(F1039,Lookups!$D$5:$D$10,Lookups!$E$5:$E$10),"Unknown Product")</x:f>
        <x:v>Service Cloud</x:v>
      </x:c>
      <x:c r="S1039" t="str">
        <x:f>IFERROR(XLOOKUP(F1039,Lookups!$D$5:$D$10,Lookups!$F$5:$F$10),"Unknown")</x:f>
        <x:v>Customer Service</x:v>
      </x:c>
      <x:c r="T1039" t="str">
        <x:f>IF(L1039&gt;=50000,"Enterprise",IF(L1039&gt;=20000,"Mid-Market","SMB"))</x:f>
        <x:v>Enterprise</x:v>
      </x:c>
      <x:c r="U1039" t="str">
        <x:f>IF(I1039="Closed Won","Won",IF(I1039="Closed Lost","Lost","Open"))</x:f>
        <x:v>Lost</x:v>
      </x:c>
      <x:c r="V1039" s="22" t="n">
        <x:f>IF(U1039="Won",L1039*(1-M1039),0)</x:f>
        <x:v>0</x:v>
      </x:c>
      <x:c r="W1039" s="22" t="n">
        <x:f>IF(U1039="Open",L1039*N1039,0)</x:f>
        <x:v>0</x:v>
      </x:c>
      <x:c r="X1039" s="26" t="n">
        <x:f>IF(U1039="Open","",IFERROR(K1039-B1039,""))</x:f>
        <x:v>44</x:v>
      </x:c>
      <x:c r="Y1039" s="26" t="n">
        <x:f>IF(U1039="Open",Lookups!$B$2-B1039,X1039)</x:f>
        <x:v>44</x:v>
      </x:c>
      <x:c r="Z1039" t="str">
        <x:f>IF(AND(U1039="Open",Y1039&gt;30),"STALE","OK")</x:f>
        <x:v>OK</x:v>
      </x:c>
      <x:c r="AA1039" t="str">
        <x:f>TEXT(B1039,"yyyy-mm")</x:f>
        <x:v>2025-11</x:v>
      </x:c>
      <x:c r="AB1039" t="str">
        <x:f>IF(K1039="","",TEXT(K1039,"yyyy-mm"))</x:f>
        <x:v>2026-01</x:v>
      </x:c>
      <x:c r="AC1039" t="str">
        <x:f>"Q"&amp;ROUNDUP(MONTH(B1039)/3,0)&amp;"-"&amp;YEAR(B1039)</x:f>
        <x:v>Q4-2025</x:v>
      </x:c>
      <x:c r="AD1039" s="26" t="n">
        <x:f>MIN(100,IF(H1039="Enterprise",30,IF(H1039="Mid-Market",22,14))+IF(T1039="Enterprise",25,IF(T1039="Mid-Market",18,10))+IF(Q1039="Referral",25,IF(Q1039="Organic Search",20,IF(Q1039="Email",18,14)))+IF(G1039="Technology",10,5))</x:f>
        <x:v>74</x:v>
      </x:c>
      <x:c r="AE1039" t="str">
        <x:f>IF(U1039&lt;&gt;"Open",U1039,IF(N1039&gt;=0.8,"Commit",IF(N1039&gt;=0.5,"Best Case","Pipeline")))</x:f>
        <x:v>Lost</x:v>
      </x:c>
    </x:row>
    <x:row r="1040">
      <x:c r="A1040" t="str">
        <x:v>L01039</x:v>
      </x:c>
      <x:c r="B1040" s="10" t="n">
        <x:v>45697</x:v>
      </x:c>
      <x:c r="C1040" t="str">
        <x:v>Bao Tran</x:v>
      </x:c>
      <x:c r="D1040" t="str">
        <x:v>South</x:v>
      </x:c>
      <x:c r="E1040" t="str">
        <x:v>Referral</x:v>
      </x:c>
      <x:c r="F1040" t="str">
        <x:v>MKT-AUTO</x:v>
      </x:c>
      <x:c r="G1040" t="str">
        <x:v>Retail</x:v>
      </x:c>
      <x:c r="H1040" t="str">
        <x:v>Enterprise</x:v>
      </x:c>
      <x:c r="I1040" t="str">
        <x:v>Closed Won</x:v>
      </x:c>
      <x:c r="J1040" s="10" t="n">
        <x:v>45725</x:v>
      </x:c>
      <x:c r="K1040" s="10" t="n">
        <x:v>45725</x:v>
      </x:c>
      <x:c r="L1040" s="22" t="n">
        <x:v>37100</x:v>
      </x:c>
      <x:c r="M1040" s="24" t="n">
        <x:v>0.05</x:v>
      </x:c>
      <x:c r="N1040" s="24" t="n">
        <x:v>1</x:v>
      </x:c>
      <x:c r="O1040" t="str"/>
      <x:c r="P1040" t="n">
        <x:v>6</x:v>
      </x:c>
      <x:c r="Q1040" t="str">
        <x:f>IFERROR(XLOOKUP(E1040,Lookups!$A$5:$A$24,Lookups!$B$5:$B$24),"Other")</x:f>
        <x:v>Referral</x:v>
      </x:c>
      <x:c r="R1040" t="str">
        <x:f>IFERROR(XLOOKUP(F1040,Lookups!$D$5:$D$10,Lookups!$E$5:$E$10),"Unknown Product")</x:f>
        <x:v>Marketing Automation</x:v>
      </x:c>
      <x:c r="S1040" t="str">
        <x:f>IFERROR(XLOOKUP(F1040,Lookups!$D$5:$D$10,Lookups!$F$5:$F$10),"Unknown")</x:f>
        <x:v>Marketing</x:v>
      </x:c>
      <x:c r="T1040" t="str">
        <x:f>IF(L1040&gt;=50000,"Enterprise",IF(L1040&gt;=20000,"Mid-Market","SMB"))</x:f>
        <x:v>Mid-Market</x:v>
      </x:c>
      <x:c r="U1040" t="str">
        <x:f>IF(I1040="Closed Won","Won",IF(I1040="Closed Lost","Lost","Open"))</x:f>
        <x:v>Won</x:v>
      </x:c>
      <x:c r="V1040" s="22" t="n">
        <x:f>IF(U1040="Won",L1040*(1-M1040),0)</x:f>
        <x:v>35245</x:v>
      </x:c>
      <x:c r="W1040" s="22" t="n">
        <x:f>IF(U1040="Open",L1040*N1040,0)</x:f>
        <x:v>0</x:v>
      </x:c>
      <x:c r="X1040" s="26" t="n">
        <x:f>IF(U1040="Open","",IFERROR(K1040-B1040,""))</x:f>
        <x:v>28</x:v>
      </x:c>
      <x:c r="Y1040" s="26" t="n">
        <x:f>IF(U1040="Open",Lookups!$B$2-B1040,X1040)</x:f>
        <x:v>28</x:v>
      </x:c>
      <x:c r="Z1040" t="str">
        <x:f>IF(AND(U1040="Open",Y1040&gt;30),"STALE","OK")</x:f>
        <x:v>OK</x:v>
      </x:c>
      <x:c r="AA1040" t="str">
        <x:f>TEXT(B1040,"yyyy-mm")</x:f>
        <x:v>2025-02</x:v>
      </x:c>
      <x:c r="AB1040" t="str">
        <x:f>IF(K1040="","",TEXT(K1040,"yyyy-mm"))</x:f>
        <x:v>2025-03</x:v>
      </x:c>
      <x:c r="AC1040" t="str">
        <x:f>"Q"&amp;ROUNDUP(MONTH(B1040)/3,0)&amp;"-"&amp;YEAR(B1040)</x:f>
        <x:v>Q1-2025</x:v>
      </x:c>
      <x:c r="AD1040" s="26" t="n">
        <x:f>MIN(100,IF(H1040="Enterprise",30,IF(H1040="Mid-Market",22,14))+IF(T1040="Enterprise",25,IF(T1040="Mid-Market",18,10))+IF(Q1040="Referral",25,IF(Q1040="Organic Search",20,IF(Q1040="Email",18,14)))+IF(G1040="Technology",10,5))</x:f>
        <x:v>78</x:v>
      </x:c>
      <x:c r="AE1040" t="str">
        <x:f>IF(U1040&lt;&gt;"Open",U1040,IF(N1040&gt;=0.8,"Commit",IF(N1040&gt;=0.5,"Best Case","Pipeline")))</x:f>
        <x:v>Won</x:v>
      </x:c>
    </x:row>
    <x:row r="1041">
      <x:c r="A1041" t="str">
        <x:v>L01040</x:v>
      </x:c>
      <x:c r="B1041" s="10" t="n">
        <x:v>46216</x:v>
      </x:c>
      <x:c r="C1041" t="str">
        <x:v>Quynh Vu</x:v>
      </x:c>
      <x:c r="D1041" t="str">
        <x:v>North</x:v>
      </x:c>
      <x:c r="E1041" t="str">
        <x:v>SEM - Google</x:v>
      </x:c>
      <x:c r="F1041" t="str">
        <x:v>CRM-PRO</x:v>
      </x:c>
      <x:c r="G1041" t="str">
        <x:v>Financial Services</x:v>
      </x:c>
      <x:c r="H1041" t="str">
        <x:v>SMB</x:v>
      </x:c>
      <x:c r="I1041" t="str">
        <x:v>Qualified</x:v>
      </x:c>
      <x:c r="J1041" s="10" t="n">
        <x:v>46239</x:v>
      </x:c>
      <x:c r="K1041" s="10"/>
      <x:c r="L1041" s="22" t="n">
        <x:v>25500</x:v>
      </x:c>
      <x:c r="M1041" s="24" t="n">
        <x:v>0</x:v>
      </x:c>
      <x:c r="N1041" s="24" t="n">
        <x:v>0.2</x:v>
      </x:c>
      <x:c r="O1041" t="str"/>
      <x:c r="P1041" t="n">
        <x:v>2</x:v>
      </x:c>
      <x:c r="Q1041" t="str">
        <x:f>IFERROR(XLOOKUP(E1041,Lookups!$A$5:$A$24,Lookups!$B$5:$B$24),"Other")</x:f>
        <x:v>Paid Search</x:v>
      </x:c>
      <x:c r="R1041" t="str">
        <x:f>IFERROR(XLOOKUP(F1041,Lookups!$D$5:$D$10,Lookups!$E$5:$E$10),"Unknown Product")</x:f>
        <x:v>NexaCRM Pro</x:v>
      </x:c>
      <x:c r="S1041" t="str">
        <x:f>IFERROR(XLOOKUP(F1041,Lookups!$D$5:$D$10,Lookups!$F$5:$F$10),"Unknown")</x:f>
        <x:v>CRM</x:v>
      </x:c>
      <x:c r="T1041" t="str">
        <x:f>IF(L1041&gt;=50000,"Enterprise",IF(L1041&gt;=20000,"Mid-Market","SMB"))</x:f>
        <x:v>Mid-Market</x:v>
      </x:c>
      <x:c r="U1041" t="str">
        <x:f>IF(I1041="Closed Won","Won",IF(I1041="Closed Lost","Lost","Open"))</x:f>
        <x:v>Open</x:v>
      </x:c>
      <x:c r="V1041" s="22" t="n">
        <x:f>IF(U1041="Won",L1041*(1-M1041),0)</x:f>
        <x:v>0</x:v>
      </x:c>
      <x:c r="W1041" s="22" t="n">
        <x:f>IF(U1041="Open",L1041*N1041,0)</x:f>
        <x:v>5100</x:v>
      </x:c>
      <x:c r="X1041" s="26" t="str">
        <x:f>IF(U1041="Open","",IFERROR(K1041-B1041,""))</x:f>
      </x:c>
      <x:c r="Y1041" s="26" t="n">
        <x:f>IF(U1041="Open",Lookups!$B$2-B1041,X1041)</x:f>
        <x:v>50</x:v>
      </x:c>
      <x:c r="Z1041" t="str">
        <x:f>IF(AND(U1041="Open",Y1041&gt;30),"STALE","OK")</x:f>
        <x:v>STALE</x:v>
      </x:c>
      <x:c r="AA1041" t="str">
        <x:f>TEXT(B1041,"yyyy-mm")</x:f>
        <x:v>2026-07</x:v>
      </x:c>
      <x:c r="AB1041" t="str">
        <x:f>IF(K1041="","",TEXT(K1041,"yyyy-mm"))</x:f>
      </x:c>
      <x:c r="AC1041" t="str">
        <x:f>"Q"&amp;ROUNDUP(MONTH(B1041)/3,0)&amp;"-"&amp;YEAR(B1041)</x:f>
        <x:v>Q3-2026</x:v>
      </x:c>
      <x:c r="AD1041" s="26" t="n">
        <x:f>MIN(100,IF(H1041="Enterprise",30,IF(H1041="Mid-Market",22,14))+IF(T1041="Enterprise",25,IF(T1041="Mid-Market",18,10))+IF(Q1041="Referral",25,IF(Q1041="Organic Search",20,IF(Q1041="Email",18,14)))+IF(G1041="Technology",10,5))</x:f>
        <x:v>51</x:v>
      </x:c>
      <x:c r="AE1041" t="str">
        <x:f>IF(U1041&lt;&gt;"Open",U1041,IF(N1041&gt;=0.8,"Commit",IF(N1041&gt;=0.5,"Best Case","Pipeline")))</x:f>
        <x:v>Pipeline</x:v>
      </x:c>
    </x:row>
    <x:row r="1042">
      <x:c r="A1042" t="str">
        <x:v>L01041</x:v>
      </x:c>
      <x:c r="B1042" s="10" t="n">
        <x:v>46170</x:v>
      </x:c>
      <x:c r="C1042" t="str">
        <x:v>An Nguyen</x:v>
      </x:c>
      <x:c r="D1042" t="str">
        <x:v>South</x:v>
      </x:c>
      <x:c r="E1042" t="str">
        <x:v>SEO</x:v>
      </x:c>
      <x:c r="F1042" t="str">
        <x:v>MKT-AUTO</x:v>
      </x:c>
      <x:c r="G1042" t="str">
        <x:v>Manufacturing</x:v>
      </x:c>
      <x:c r="H1042" t="str">
        <x:v>Mid-Market</x:v>
      </x:c>
      <x:c r="I1042" t="str">
        <x:v>Demo / Meeting</x:v>
      </x:c>
      <x:c r="J1042" s="10" t="n">
        <x:v>46247</x:v>
      </x:c>
      <x:c r="K1042" s="10"/>
      <x:c r="L1042" s="22" t="n">
        <x:v>18300</x:v>
      </x:c>
      <x:c r="M1042" s="24" t="n">
        <x:v>0</x:v>
      </x:c>
      <x:c r="N1042" s="24" t="n">
        <x:v>0.4</x:v>
      </x:c>
      <x:c r="O1042" t="str"/>
      <x:c r="P1042" t="n">
        <x:v>3</x:v>
      </x:c>
      <x:c r="Q1042" t="str">
        <x:f>IFERROR(XLOOKUP(E1042,Lookups!$A$5:$A$24,Lookups!$B$5:$B$24),"Other")</x:f>
        <x:v>Organic Search</x:v>
      </x:c>
      <x:c r="R1042" t="str">
        <x:f>IFERROR(XLOOKUP(F1042,Lookups!$D$5:$D$10,Lookups!$E$5:$E$10),"Unknown Product")</x:f>
        <x:v>Marketing Automation</x:v>
      </x:c>
      <x:c r="S1042" t="str">
        <x:f>IFERROR(XLOOKUP(F1042,Lookups!$D$5:$D$10,Lookups!$F$5:$F$10),"Unknown")</x:f>
        <x:v>Marketing</x:v>
      </x:c>
      <x:c r="T1042" t="str">
        <x:f>IF(L1042&gt;=50000,"Enterprise",IF(L1042&gt;=20000,"Mid-Market","SMB"))</x:f>
        <x:v>SMB</x:v>
      </x:c>
      <x:c r="U1042" t="str">
        <x:f>IF(I1042="Closed Won","Won",IF(I1042="Closed Lost","Lost","Open"))</x:f>
        <x:v>Open</x:v>
      </x:c>
      <x:c r="V1042" s="22" t="n">
        <x:f>IF(U1042="Won",L1042*(1-M1042),0)</x:f>
        <x:v>0</x:v>
      </x:c>
      <x:c r="W1042" s="22" t="n">
        <x:f>IF(U1042="Open",L1042*N1042,0)</x:f>
        <x:v>7320</x:v>
      </x:c>
      <x:c r="X1042" s="26" t="str">
        <x:f>IF(U1042="Open","",IFERROR(K1042-B1042,""))</x:f>
      </x:c>
      <x:c r="Y1042" s="26" t="n">
        <x:f>IF(U1042="Open",Lookups!$B$2-B1042,X1042)</x:f>
        <x:v>96</x:v>
      </x:c>
      <x:c r="Z1042" t="str">
        <x:f>IF(AND(U1042="Open",Y1042&gt;30),"STALE","OK")</x:f>
        <x:v>STALE</x:v>
      </x:c>
      <x:c r="AA1042" t="str">
        <x:f>TEXT(B1042,"yyyy-mm")</x:f>
        <x:v>2026-05</x:v>
      </x:c>
      <x:c r="AB1042" t="str">
        <x:f>IF(K1042="","",TEXT(K1042,"yyyy-mm"))</x:f>
      </x:c>
      <x:c r="AC1042" t="str">
        <x:f>"Q"&amp;ROUNDUP(MONTH(B1042)/3,0)&amp;"-"&amp;YEAR(B1042)</x:f>
        <x:v>Q2-2026</x:v>
      </x:c>
      <x:c r="AD1042" s="26" t="n">
        <x:f>MIN(100,IF(H1042="Enterprise",30,IF(H1042="Mid-Market",22,14))+IF(T1042="Enterprise",25,IF(T1042="Mid-Market",18,10))+IF(Q1042="Referral",25,IF(Q1042="Organic Search",20,IF(Q1042="Email",18,14)))+IF(G1042="Technology",10,5))</x:f>
        <x:v>57</x:v>
      </x:c>
      <x:c r="AE1042" t="str">
        <x:f>IF(U1042&lt;&gt;"Open",U1042,IF(N1042&gt;=0.8,"Commit",IF(N1042&gt;=0.5,"Best Case","Pipeline")))</x:f>
        <x:v>Pipeline</x:v>
      </x:c>
    </x:row>
    <x:row r="1043">
      <x:c r="A1043" t="str">
        <x:v>L01042</x:v>
      </x:c>
      <x:c r="B1043" s="10" t="n">
        <x:v>46144</x:v>
      </x:c>
      <x:c r="C1043" t="str">
        <x:v>Bao Tran</x:v>
      </x:c>
      <x:c r="D1043" t="str">
        <x:v>South</x:v>
      </x:c>
      <x:c r="E1043" t="str">
        <x:v>Outbound</x:v>
      </x:c>
      <x:c r="F1043" t="str">
        <x:v>BI-PLUS</x:v>
      </x:c>
      <x:c r="G1043" t="str">
        <x:v>Professional Services</x:v>
      </x:c>
      <x:c r="H1043" t="str">
        <x:v>SMB</x:v>
      </x:c>
      <x:c r="I1043" t="str">
        <x:v>Proposal</x:v>
      </x:c>
      <x:c r="J1043" s="10" t="n">
        <x:v>46239</x:v>
      </x:c>
      <x:c r="K1043" s="10"/>
      <x:c r="L1043" s="22" t="n">
        <x:v>17900</x:v>
      </x:c>
      <x:c r="M1043" s="24" t="n">
        <x:v>0</x:v>
      </x:c>
      <x:c r="N1043" s="24" t="n">
        <x:v>0.65</x:v>
      </x:c>
      <x:c r="O1043" t="str"/>
      <x:c r="P1043" t="n">
        <x:v>4</x:v>
      </x:c>
      <x:c r="Q1043" t="str">
        <x:f>IFERROR(XLOOKUP(E1043,Lookups!$A$5:$A$24,Lookups!$B$5:$B$24),"Other")</x:f>
        <x:v>Outbound</x:v>
      </x:c>
      <x:c r="R1043" t="str">
        <x:f>IFERROR(XLOOKUP(F1043,Lookups!$D$5:$D$10,Lookups!$E$5:$E$10),"Unknown Product")</x:f>
        <x:v>Analytics Plus</x:v>
      </x:c>
      <x:c r="S1043" t="str">
        <x:f>IFERROR(XLOOKUP(F1043,Lookups!$D$5:$D$10,Lookups!$F$5:$F$10),"Unknown")</x:f>
        <x:v>Analytics</x:v>
      </x:c>
      <x:c r="T1043" t="str">
        <x:f>IF(L1043&gt;=50000,"Enterprise",IF(L1043&gt;=20000,"Mid-Market","SMB"))</x:f>
        <x:v>SMB</x:v>
      </x:c>
      <x:c r="U1043" t="str">
        <x:f>IF(I1043="Closed Won","Won",IF(I1043="Closed Lost","Lost","Open"))</x:f>
        <x:v>Open</x:v>
      </x:c>
      <x:c r="V1043" s="22" t="n">
        <x:f>IF(U1043="Won",L1043*(1-M1043),0)</x:f>
        <x:v>0</x:v>
      </x:c>
      <x:c r="W1043" s="22" t="n">
        <x:f>IF(U1043="Open",L1043*N1043,0)</x:f>
        <x:v>11635</x:v>
      </x:c>
      <x:c r="X1043" s="26" t="str">
        <x:f>IF(U1043="Open","",IFERROR(K1043-B1043,""))</x:f>
      </x:c>
      <x:c r="Y1043" s="26" t="n">
        <x:f>IF(U1043="Open",Lookups!$B$2-B1043,X1043)</x:f>
        <x:v>122</x:v>
      </x:c>
      <x:c r="Z1043" t="str">
        <x:f>IF(AND(U1043="Open",Y1043&gt;30),"STALE","OK")</x:f>
        <x:v>STALE</x:v>
      </x:c>
      <x:c r="AA1043" t="str">
        <x:f>TEXT(B1043,"yyyy-mm")</x:f>
        <x:v>2026-05</x:v>
      </x:c>
      <x:c r="AB1043" t="str">
        <x:f>IF(K1043="","",TEXT(K1043,"yyyy-mm"))</x:f>
      </x:c>
      <x:c r="AC1043" t="str">
        <x:f>"Q"&amp;ROUNDUP(MONTH(B1043)/3,0)&amp;"-"&amp;YEAR(B1043)</x:f>
        <x:v>Q2-2026</x:v>
      </x:c>
      <x:c r="AD1043" s="26" t="n">
        <x:f>MIN(100,IF(H1043="Enterprise",30,IF(H1043="Mid-Market",22,14))+IF(T1043="Enterprise",25,IF(T1043="Mid-Market",18,10))+IF(Q1043="Referral",25,IF(Q1043="Organic Search",20,IF(Q1043="Email",18,14)))+IF(G1043="Technology",10,5))</x:f>
        <x:v>43</x:v>
      </x:c>
      <x:c r="AE1043" t="str">
        <x:f>IF(U1043&lt;&gt;"Open",U1043,IF(N1043&gt;=0.8,"Commit",IF(N1043&gt;=0.5,"Best Case","Pipeline")))</x:f>
        <x:v>Best Case</x:v>
      </x:c>
    </x:row>
    <x:row r="1044">
      <x:c r="A1044" t="str">
        <x:v>L01043</x:v>
      </x:c>
      <x:c r="B1044" s="10" t="n">
        <x:v>45677</x:v>
      </x:c>
      <x:c r="C1044" t="str">
        <x:v>Tuan Bui</x:v>
      </x:c>
      <x:c r="D1044" t="str">
        <x:v>Central</x:v>
      </x:c>
      <x:c r="E1044" t="str">
        <x:v>Offline List</x:v>
      </x:c>
      <x:c r="F1044" t="str">
        <x:v>CRM-CORE</x:v>
      </x:c>
      <x:c r="G1044" t="str">
        <x:v>Technology</x:v>
      </x:c>
      <x:c r="H1044" t="str">
        <x:v>SMB</x:v>
      </x:c>
      <x:c r="I1044" t="str">
        <x:v>Closed Lost</x:v>
      </x:c>
      <x:c r="J1044" s="10" t="n">
        <x:v>45718</x:v>
      </x:c>
      <x:c r="K1044" s="10" t="n">
        <x:v>45718</x:v>
      </x:c>
      <x:c r="L1044" s="22" t="n">
        <x:v>5300</x:v>
      </x:c>
      <x:c r="M1044" s="24" t="n">
        <x:v>0</x:v>
      </x:c>
      <x:c r="N1044" s="24" t="n">
        <x:v>0</x:v>
      </x:c>
      <x:c r="O1044" t="str">
        <x:v>Competitor</x:v>
      </x:c>
      <x:c r="P1044" t="n">
        <x:v>3</x:v>
      </x:c>
      <x:c r="Q1044" t="str">
        <x:f>IFERROR(XLOOKUP(E1044,Lookups!$A$5:$A$24,Lookups!$B$5:$B$24),"Other")</x:f>
        <x:v>Other</x:v>
      </x:c>
      <x:c r="R1044" t="str">
        <x:f>IFERROR(XLOOKUP(F1044,Lookups!$D$5:$D$10,Lookups!$E$5:$E$10),"Unknown Product")</x:f>
        <x:v>NexaCRM Core</x:v>
      </x:c>
      <x:c r="S1044" t="str">
        <x:f>IFERROR(XLOOKUP(F1044,Lookups!$D$5:$D$10,Lookups!$F$5:$F$10),"Unknown")</x:f>
        <x:v>CRM</x:v>
      </x:c>
      <x:c r="T1044" t="str">
        <x:f>IF(L1044&gt;=50000,"Enterprise",IF(L1044&gt;=20000,"Mid-Market","SMB"))</x:f>
        <x:v>SMB</x:v>
      </x:c>
      <x:c r="U1044" t="str">
        <x:f>IF(I1044="Closed Won","Won",IF(I1044="Closed Lost","Lost","Open"))</x:f>
        <x:v>Lost</x:v>
      </x:c>
      <x:c r="V1044" s="22" t="n">
        <x:f>IF(U1044="Won",L1044*(1-M1044),0)</x:f>
        <x:v>0</x:v>
      </x:c>
      <x:c r="W1044" s="22" t="n">
        <x:f>IF(U1044="Open",L1044*N1044,0)</x:f>
        <x:v>0</x:v>
      </x:c>
      <x:c r="X1044" s="26" t="n">
        <x:f>IF(U1044="Open","",IFERROR(K1044-B1044,""))</x:f>
        <x:v>41</x:v>
      </x:c>
      <x:c r="Y1044" s="26" t="n">
        <x:f>IF(U1044="Open",Lookups!$B$2-B1044,X1044)</x:f>
        <x:v>41</x:v>
      </x:c>
      <x:c r="Z1044" t="str">
        <x:f>IF(AND(U1044="Open",Y1044&gt;30),"STALE","OK")</x:f>
        <x:v>OK</x:v>
      </x:c>
      <x:c r="AA1044" t="str">
        <x:f>TEXT(B1044,"yyyy-mm")</x:f>
        <x:v>2025-01</x:v>
      </x:c>
      <x:c r="AB1044" t="str">
        <x:f>IF(K1044="","",TEXT(K1044,"yyyy-mm"))</x:f>
        <x:v>2025-03</x:v>
      </x:c>
      <x:c r="AC1044" t="str">
        <x:f>"Q"&amp;ROUNDUP(MONTH(B1044)/3,0)&amp;"-"&amp;YEAR(B1044)</x:f>
        <x:v>Q1-2025</x:v>
      </x:c>
      <x:c r="AD1044" s="26" t="n">
        <x:f>MIN(100,IF(H1044="Enterprise",30,IF(H1044="Mid-Market",22,14))+IF(T1044="Enterprise",25,IF(T1044="Mid-Market",18,10))+IF(Q1044="Referral",25,IF(Q1044="Organic Search",20,IF(Q1044="Email",18,14)))+IF(G1044="Technology",10,5))</x:f>
        <x:v>48</x:v>
      </x:c>
      <x:c r="AE1044" t="str">
        <x:f>IF(U1044&lt;&gt;"Open",U1044,IF(N1044&gt;=0.8,"Commit",IF(N1044&gt;=0.5,"Best Case","Pipeline")))</x:f>
        <x:v>Lost</x:v>
      </x:c>
    </x:row>
    <x:row r="1045">
      <x:c r="A1045" t="str">
        <x:v>L01044</x:v>
      </x:c>
      <x:c r="B1045" s="10" t="n">
        <x:v>45705</x:v>
      </x:c>
      <x:c r="C1045" t="str">
        <x:v>An Nguyen</x:v>
      </x:c>
      <x:c r="D1045" t="str">
        <x:v>South</x:v>
      </x:c>
      <x:c r="E1045" t="str">
        <x:v>customer referral</x:v>
      </x:c>
      <x:c r="F1045" t="str">
        <x:v>CRM-CORE</x:v>
      </x:c>
      <x:c r="G1045" t="str">
        <x:v>Professional Services</x:v>
      </x:c>
      <x:c r="H1045" t="str">
        <x:v>Mid-Market</x:v>
      </x:c>
      <x:c r="I1045" t="str">
        <x:v>Closed Lost</x:v>
      </x:c>
      <x:c r="J1045" s="10" t="n">
        <x:v>45729</x:v>
      </x:c>
      <x:c r="K1045" s="10" t="n">
        <x:v>45729</x:v>
      </x:c>
      <x:c r="L1045" s="22" t="n">
        <x:v>10000</x:v>
      </x:c>
      <x:c r="M1045" s="24" t="n">
        <x:v>0</x:v>
      </x:c>
      <x:c r="N1045" s="24" t="n">
        <x:v>0</x:v>
      </x:c>
      <x:c r="O1045" t="str">
        <x:v>No Decision</x:v>
      </x:c>
      <x:c r="P1045" t="n">
        <x:v>4</x:v>
      </x:c>
      <x:c r="Q1045" t="str">
        <x:f>IFERROR(XLOOKUP(E1045,Lookups!$A$5:$A$24,Lookups!$B$5:$B$24),"Other")</x:f>
        <x:v>Referral</x:v>
      </x:c>
      <x:c r="R1045" t="str">
        <x:f>IFERROR(XLOOKUP(F1045,Lookups!$D$5:$D$10,Lookups!$E$5:$E$10),"Unknown Product")</x:f>
        <x:v>NexaCRM Core</x:v>
      </x:c>
      <x:c r="S1045" t="str">
        <x:f>IFERROR(XLOOKUP(F1045,Lookups!$D$5:$D$10,Lookups!$F$5:$F$10),"Unknown")</x:f>
        <x:v>CRM</x:v>
      </x:c>
      <x:c r="T1045" t="str">
        <x:f>IF(L1045&gt;=50000,"Enterprise",IF(L1045&gt;=20000,"Mid-Market","SMB"))</x:f>
        <x:v>SMB</x:v>
      </x:c>
      <x:c r="U1045" t="str">
        <x:f>IF(I1045="Closed Won","Won",IF(I1045="Closed Lost","Lost","Open"))</x:f>
        <x:v>Lost</x:v>
      </x:c>
      <x:c r="V1045" s="22" t="n">
        <x:f>IF(U1045="Won",L1045*(1-M1045),0)</x:f>
        <x:v>0</x:v>
      </x:c>
      <x:c r="W1045" s="22" t="n">
        <x:f>IF(U1045="Open",L1045*N1045,0)</x:f>
        <x:v>0</x:v>
      </x:c>
      <x:c r="X1045" s="26" t="n">
        <x:f>IF(U1045="Open","",IFERROR(K1045-B1045,""))</x:f>
        <x:v>24</x:v>
      </x:c>
      <x:c r="Y1045" s="26" t="n">
        <x:f>IF(U1045="Open",Lookups!$B$2-B1045,X1045)</x:f>
        <x:v>24</x:v>
      </x:c>
      <x:c r="Z1045" t="str">
        <x:f>IF(AND(U1045="Open",Y1045&gt;30),"STALE","OK")</x:f>
        <x:v>OK</x:v>
      </x:c>
      <x:c r="AA1045" t="str">
        <x:f>TEXT(B1045,"yyyy-mm")</x:f>
        <x:v>2025-02</x:v>
      </x:c>
      <x:c r="AB1045" t="str">
        <x:f>IF(K1045="","",TEXT(K1045,"yyyy-mm"))</x:f>
        <x:v>2025-03</x:v>
      </x:c>
      <x:c r="AC1045" t="str">
        <x:f>"Q"&amp;ROUNDUP(MONTH(B1045)/3,0)&amp;"-"&amp;YEAR(B1045)</x:f>
        <x:v>Q1-2025</x:v>
      </x:c>
      <x:c r="AD1045" s="26" t="n">
        <x:f>MIN(100,IF(H1045="Enterprise",30,IF(H1045="Mid-Market",22,14))+IF(T1045="Enterprise",25,IF(T1045="Mid-Market",18,10))+IF(Q1045="Referral",25,IF(Q1045="Organic Search",20,IF(Q1045="Email",18,14)))+IF(G1045="Technology",10,5))</x:f>
        <x:v>62</x:v>
      </x:c>
      <x:c r="AE1045" t="str">
        <x:f>IF(U1045&lt;&gt;"Open",U1045,IF(N1045&gt;=0.8,"Commit",IF(N1045&gt;=0.5,"Best Case","Pipeline")))</x:f>
        <x:v>Lost</x:v>
      </x:c>
    </x:row>
    <x:row r="1046">
      <x:c r="A1046" t="str">
        <x:v>L01045</x:v>
      </x:c>
      <x:c r="B1046" s="10" t="n">
        <x:v>45794</x:v>
      </x:c>
      <x:c r="C1046" t="str">
        <x:v>Minh Do</x:v>
      </x:c>
      <x:c r="D1046" t="str">
        <x:v>North</x:v>
      </x:c>
      <x:c r="E1046" t="str">
        <x:v>virtual event</x:v>
      </x:c>
      <x:c r="F1046" t="str">
        <x:v>REV-OPS</x:v>
      </x:c>
      <x:c r="G1046" t="str">
        <x:v>Technology</x:v>
      </x:c>
      <x:c r="H1046" t="str">
        <x:v>SMB</x:v>
      </x:c>
      <x:c r="I1046" t="str">
        <x:v>Closed Lost</x:v>
      </x:c>
      <x:c r="J1046" s="10" t="n">
        <x:v>45802</x:v>
      </x:c>
      <x:c r="K1046" s="10" t="n">
        <x:v>45802</x:v>
      </x:c>
      <x:c r="L1046" s="22" t="n">
        <x:v>32100</x:v>
      </x:c>
      <x:c r="M1046" s="24" t="n">
        <x:v>0</x:v>
      </x:c>
      <x:c r="N1046" s="24" t="n">
        <x:v>0</x:v>
      </x:c>
      <x:c r="O1046" t="str">
        <x:v>Timing</x:v>
      </x:c>
      <x:c r="P1046" t="n">
        <x:v>2</x:v>
      </x:c>
      <x:c r="Q1046" t="str">
        <x:f>IFERROR(XLOOKUP(E1046,Lookups!$A$5:$A$24,Lookups!$B$5:$B$24),"Other")</x:f>
        <x:v>Webinar</x:v>
      </x:c>
      <x:c r="R1046" t="str">
        <x:f>IFERROR(XLOOKUP(F1046,Lookups!$D$5:$D$10,Lookups!$E$5:$E$10),"Unknown Product")</x:f>
        <x:v>Revenue Operations Suite</x:v>
      </x:c>
      <x:c r="S1046" t="str">
        <x:f>IFERROR(XLOOKUP(F1046,Lookups!$D$5:$D$10,Lookups!$F$5:$F$10),"Unknown")</x:f>
        <x:v>Revenue Ops</x:v>
      </x:c>
      <x:c r="T1046" t="str">
        <x:f>IF(L1046&gt;=50000,"Enterprise",IF(L1046&gt;=20000,"Mid-Market","SMB"))</x:f>
        <x:v>Mid-Market</x:v>
      </x:c>
      <x:c r="U1046" t="str">
        <x:f>IF(I1046="Closed Won","Won",IF(I1046="Closed Lost","Lost","Open"))</x:f>
        <x:v>Lost</x:v>
      </x:c>
      <x:c r="V1046" s="22" t="n">
        <x:f>IF(U1046="Won",L1046*(1-M1046),0)</x:f>
        <x:v>0</x:v>
      </x:c>
      <x:c r="W1046" s="22" t="n">
        <x:f>IF(U1046="Open",L1046*N1046,0)</x:f>
        <x:v>0</x:v>
      </x:c>
      <x:c r="X1046" s="26" t="n">
        <x:f>IF(U1046="Open","",IFERROR(K1046-B1046,""))</x:f>
        <x:v>8</x:v>
      </x:c>
      <x:c r="Y1046" s="26" t="n">
        <x:f>IF(U1046="Open",Lookups!$B$2-B1046,X1046)</x:f>
        <x:v>8</x:v>
      </x:c>
      <x:c r="Z1046" t="str">
        <x:f>IF(AND(U1046="Open",Y1046&gt;30),"STALE","OK")</x:f>
        <x:v>OK</x:v>
      </x:c>
      <x:c r="AA1046" t="str">
        <x:f>TEXT(B1046,"yyyy-mm")</x:f>
        <x:v>2025-05</x:v>
      </x:c>
      <x:c r="AB1046" t="str">
        <x:f>IF(K1046="","",TEXT(K1046,"yyyy-mm"))</x:f>
        <x:v>2025-05</x:v>
      </x:c>
      <x:c r="AC1046" t="str">
        <x:f>"Q"&amp;ROUNDUP(MONTH(B1046)/3,0)&amp;"-"&amp;YEAR(B1046)</x:f>
        <x:v>Q2-2025</x:v>
      </x:c>
      <x:c r="AD1046" s="26" t="n">
        <x:f>MIN(100,IF(H1046="Enterprise",30,IF(H1046="Mid-Market",22,14))+IF(T1046="Enterprise",25,IF(T1046="Mid-Market",18,10))+IF(Q1046="Referral",25,IF(Q1046="Organic Search",20,IF(Q1046="Email",18,14)))+IF(G1046="Technology",10,5))</x:f>
        <x:v>56</x:v>
      </x:c>
      <x:c r="AE1046" t="str">
        <x:f>IF(U1046&lt;&gt;"Open",U1046,IF(N1046&gt;=0.8,"Commit",IF(N1046&gt;=0.5,"Best Case","Pipeline")))</x:f>
        <x:v>Lost</x:v>
      </x:c>
    </x:row>
    <x:row r="1047">
      <x:c r="A1047" t="str">
        <x:v>L01046</x:v>
      </x:c>
      <x:c r="B1047" s="10" t="n">
        <x:v>46000</x:v>
      </x:c>
      <x:c r="C1047" t="str">
        <x:v>Bao Tran</x:v>
      </x:c>
      <x:c r="D1047" t="str">
        <x:v>South</x:v>
      </x:c>
      <x:c r="E1047" t="str">
        <x:v>Outbound</x:v>
      </x:c>
      <x:c r="F1047" t="str">
        <x:v>MKT-AUTO</x:v>
      </x:c>
      <x:c r="G1047" t="str">
        <x:v>Healthcare</x:v>
      </x:c>
      <x:c r="H1047" t="str">
        <x:v>Mid-Market</x:v>
      </x:c>
      <x:c r="I1047" t="str">
        <x:v>Closed Lost</x:v>
      </x:c>
      <x:c r="J1047" s="10" t="n">
        <x:v>46043</x:v>
      </x:c>
      <x:c r="K1047" s="10" t="n">
        <x:v>46043</x:v>
      </x:c>
      <x:c r="L1047" s="22" t="n">
        <x:v>37000</x:v>
      </x:c>
      <x:c r="M1047" s="24" t="n">
        <x:v>0</x:v>
      </x:c>
      <x:c r="N1047" s="24" t="n">
        <x:v>0</x:v>
      </x:c>
      <x:c r="O1047" t="str">
        <x:v>Competitor</x:v>
      </x:c>
      <x:c r="P1047" t="n">
        <x:v>4</x:v>
      </x:c>
      <x:c r="Q1047" t="str">
        <x:f>IFERROR(XLOOKUP(E1047,Lookups!$A$5:$A$24,Lookups!$B$5:$B$24),"Other")</x:f>
        <x:v>Outbound</x:v>
      </x:c>
      <x:c r="R1047" t="str">
        <x:f>IFERROR(XLOOKUP(F1047,Lookups!$D$5:$D$10,Lookups!$E$5:$E$10),"Unknown Product")</x:f>
        <x:v>Marketing Automation</x:v>
      </x:c>
      <x:c r="S1047" t="str">
        <x:f>IFERROR(XLOOKUP(F1047,Lookups!$D$5:$D$10,Lookups!$F$5:$F$10),"Unknown")</x:f>
        <x:v>Marketing</x:v>
      </x:c>
      <x:c r="T1047" t="str">
        <x:f>IF(L1047&gt;=50000,"Enterprise",IF(L1047&gt;=20000,"Mid-Market","SMB"))</x:f>
        <x:v>Mid-Market</x:v>
      </x:c>
      <x:c r="U1047" t="str">
        <x:f>IF(I1047="Closed Won","Won",IF(I1047="Closed Lost","Lost","Open"))</x:f>
        <x:v>Lost</x:v>
      </x:c>
      <x:c r="V1047" s="22" t="n">
        <x:f>IF(U1047="Won",L1047*(1-M1047),0)</x:f>
        <x:v>0</x:v>
      </x:c>
      <x:c r="W1047" s="22" t="n">
        <x:f>IF(U1047="Open",L1047*N1047,0)</x:f>
        <x:v>0</x:v>
      </x:c>
      <x:c r="X1047" s="26" t="n">
        <x:f>IF(U1047="Open","",IFERROR(K1047-B1047,""))</x:f>
        <x:v>43</x:v>
      </x:c>
      <x:c r="Y1047" s="26" t="n">
        <x:f>IF(U1047="Open",Lookups!$B$2-B1047,X1047)</x:f>
        <x:v>43</x:v>
      </x:c>
      <x:c r="Z1047" t="str">
        <x:f>IF(AND(U1047="Open",Y1047&gt;30),"STALE","OK")</x:f>
        <x:v>OK</x:v>
      </x:c>
      <x:c r="AA1047" t="str">
        <x:f>TEXT(B1047,"yyyy-mm")</x:f>
        <x:v>2025-12</x:v>
      </x:c>
      <x:c r="AB1047" t="str">
        <x:f>IF(K1047="","",TEXT(K1047,"yyyy-mm"))</x:f>
        <x:v>2026-01</x:v>
      </x:c>
      <x:c r="AC1047" t="str">
        <x:f>"Q"&amp;ROUNDUP(MONTH(B1047)/3,0)&amp;"-"&amp;YEAR(B1047)</x:f>
        <x:v>Q4-2025</x:v>
      </x:c>
      <x:c r="AD1047" s="26" t="n">
        <x:f>MIN(100,IF(H1047="Enterprise",30,IF(H1047="Mid-Market",22,14))+IF(T1047="Enterprise",25,IF(T1047="Mid-Market",18,10))+IF(Q1047="Referral",25,IF(Q1047="Organic Search",20,IF(Q1047="Email",18,14)))+IF(G1047="Technology",10,5))</x:f>
        <x:v>59</x:v>
      </x:c>
      <x:c r="AE1047" t="str">
        <x:f>IF(U1047&lt;&gt;"Open",U1047,IF(N1047&gt;=0.8,"Commit",IF(N1047&gt;=0.5,"Best Case","Pipeline")))</x:f>
        <x:v>Lost</x:v>
      </x:c>
    </x:row>
    <x:row r="1048">
      <x:c r="A1048" t="str">
        <x:v>L01047</x:v>
      </x:c>
      <x:c r="B1048" s="10" t="n">
        <x:v>45980</x:v>
      </x:c>
      <x:c r="C1048" t="str">
        <x:v>Quynh Vu</x:v>
      </x:c>
      <x:c r="D1048" t="str">
        <x:v>North</x:v>
      </x:c>
      <x:c r="E1048" t="str">
        <x:v>newsletter</x:v>
      </x:c>
      <x:c r="F1048" t="str">
        <x:v>CRM-CORE</x:v>
      </x:c>
      <x:c r="G1048" t="str">
        <x:v>Professional Services</x:v>
      </x:c>
      <x:c r="H1048" t="str">
        <x:v>Mid-Market</x:v>
      </x:c>
      <x:c r="I1048" t="str">
        <x:v>Negotiation</x:v>
      </x:c>
      <x:c r="J1048" s="10" t="n">
        <x:v>46219</x:v>
      </x:c>
      <x:c r="K1048" s="10"/>
      <x:c r="L1048" s="22" t="n">
        <x:v>16800</x:v>
      </x:c>
      <x:c r="M1048" s="24" t="n">
        <x:v>0</x:v>
      </x:c>
      <x:c r="N1048" s="24" t="n">
        <x:v>0.85</x:v>
      </x:c>
      <x:c r="O1048" t="str"/>
      <x:c r="P1048" t="n">
        <x:v>5</x:v>
      </x:c>
      <x:c r="Q1048" t="str">
        <x:f>IFERROR(XLOOKUP(E1048,Lookups!$A$5:$A$24,Lookups!$B$5:$B$24),"Other")</x:f>
        <x:v>Email</x:v>
      </x:c>
      <x:c r="R1048" t="str">
        <x:f>IFERROR(XLOOKUP(F1048,Lookups!$D$5:$D$10,Lookups!$E$5:$E$10),"Unknown Product")</x:f>
        <x:v>NexaCRM Core</x:v>
      </x:c>
      <x:c r="S1048" t="str">
        <x:f>IFERROR(XLOOKUP(F1048,Lookups!$D$5:$D$10,Lookups!$F$5:$F$10),"Unknown")</x:f>
        <x:v>CRM</x:v>
      </x:c>
      <x:c r="T1048" t="str">
        <x:f>IF(L1048&gt;=50000,"Enterprise",IF(L1048&gt;=20000,"Mid-Market","SMB"))</x:f>
        <x:v>SMB</x:v>
      </x:c>
      <x:c r="U1048" t="str">
        <x:f>IF(I1048="Closed Won","Won",IF(I1048="Closed Lost","Lost","Open"))</x:f>
        <x:v>Open</x:v>
      </x:c>
      <x:c r="V1048" s="22" t="n">
        <x:f>IF(U1048="Won",L1048*(1-M1048),0)</x:f>
        <x:v>0</x:v>
      </x:c>
      <x:c r="W1048" s="22" t="n">
        <x:f>IF(U1048="Open",L1048*N1048,0)</x:f>
        <x:v>14280</x:v>
      </x:c>
      <x:c r="X1048" s="26" t="str">
        <x:f>IF(U1048="Open","",IFERROR(K1048-B1048,""))</x:f>
      </x:c>
      <x:c r="Y1048" s="26" t="n">
        <x:f>IF(U1048="Open",Lookups!$B$2-B1048,X1048)</x:f>
        <x:v>286</x:v>
      </x:c>
      <x:c r="Z1048" t="str">
        <x:f>IF(AND(U1048="Open",Y1048&gt;30),"STALE","OK")</x:f>
        <x:v>STALE</x:v>
      </x:c>
      <x:c r="AA1048" t="str">
        <x:f>TEXT(B1048,"yyyy-mm")</x:f>
        <x:v>2025-11</x:v>
      </x:c>
      <x:c r="AB1048" t="str">
        <x:f>IF(K1048="","",TEXT(K1048,"yyyy-mm"))</x:f>
      </x:c>
      <x:c r="AC1048" t="str">
        <x:f>"Q"&amp;ROUNDUP(MONTH(B1048)/3,0)&amp;"-"&amp;YEAR(B1048)</x:f>
        <x:v>Q4-2025</x:v>
      </x:c>
      <x:c r="AD1048" s="26" t="n">
        <x:f>MIN(100,IF(H1048="Enterprise",30,IF(H1048="Mid-Market",22,14))+IF(T1048="Enterprise",25,IF(T1048="Mid-Market",18,10))+IF(Q1048="Referral",25,IF(Q1048="Organic Search",20,IF(Q1048="Email",18,14)))+IF(G1048="Technology",10,5))</x:f>
        <x:v>55</x:v>
      </x:c>
      <x:c r="AE1048" t="str">
        <x:f>IF(U1048&lt;&gt;"Open",U1048,IF(N1048&gt;=0.8,"Commit",IF(N1048&gt;=0.5,"Best Case","Pipeline")))</x:f>
        <x:v>Commit</x:v>
      </x:c>
    </x:row>
    <x:row r="1049">
      <x:c r="A1049" t="str">
        <x:v>L01048</x:v>
      </x:c>
      <x:c r="B1049" s="10" t="n">
        <x:v>46143</x:v>
      </x:c>
      <x:c r="C1049" t="str">
        <x:v>Bao Tran</x:v>
      </x:c>
      <x:c r="D1049" t="str">
        <x:v>South</x:v>
      </x:c>
      <x:c r="E1049" t="str">
        <x:v>organic search</x:v>
      </x:c>
      <x:c r="F1049" t="str">
        <x:v>MKT-AUTO</x:v>
      </x:c>
      <x:c r="G1049" t="str">
        <x:v>Manufacturing</x:v>
      </x:c>
      <x:c r="H1049" t="str">
        <x:v>SMB</x:v>
      </x:c>
      <x:c r="I1049" t="str">
        <x:v>Proposal</x:v>
      </x:c>
      <x:c r="J1049" s="10" t="n">
        <x:v>46232</x:v>
      </x:c>
      <x:c r="K1049" s="10"/>
      <x:c r="L1049" s="22" t="n">
        <x:v>14100</x:v>
      </x:c>
      <x:c r="M1049" s="24" t="n">
        <x:v>0.03</x:v>
      </x:c>
      <x:c r="N1049" s="24" t="n">
        <x:v>0.65</x:v>
      </x:c>
      <x:c r="O1049" t="str"/>
      <x:c r="P1049" t="n">
        <x:v>4</x:v>
      </x:c>
      <x:c r="Q1049" t="str">
        <x:f>IFERROR(XLOOKUP(E1049,Lookups!$A$5:$A$24,Lookups!$B$5:$B$24),"Other")</x:f>
        <x:v>Organic Search</x:v>
      </x:c>
      <x:c r="R1049" t="str">
        <x:f>IFERROR(XLOOKUP(F1049,Lookups!$D$5:$D$10,Lookups!$E$5:$E$10),"Unknown Product")</x:f>
        <x:v>Marketing Automation</x:v>
      </x:c>
      <x:c r="S1049" t="str">
        <x:f>IFERROR(XLOOKUP(F1049,Lookups!$D$5:$D$10,Lookups!$F$5:$F$10),"Unknown")</x:f>
        <x:v>Marketing</x:v>
      </x:c>
      <x:c r="T1049" t="str">
        <x:f>IF(L1049&gt;=50000,"Enterprise",IF(L1049&gt;=20000,"Mid-Market","SMB"))</x:f>
        <x:v>SMB</x:v>
      </x:c>
      <x:c r="U1049" t="str">
        <x:f>IF(I1049="Closed Won","Won",IF(I1049="Closed Lost","Lost","Open"))</x:f>
        <x:v>Open</x:v>
      </x:c>
      <x:c r="V1049" s="22" t="n">
        <x:f>IF(U1049="Won",L1049*(1-M1049),0)</x:f>
        <x:v>0</x:v>
      </x:c>
      <x:c r="W1049" s="22" t="n">
        <x:f>IF(U1049="Open",L1049*N1049,0)</x:f>
        <x:v>9165</x:v>
      </x:c>
      <x:c r="X1049" s="26" t="str">
        <x:f>IF(U1049="Open","",IFERROR(K1049-B1049,""))</x:f>
      </x:c>
      <x:c r="Y1049" s="26" t="n">
        <x:f>IF(U1049="Open",Lookups!$B$2-B1049,X1049)</x:f>
        <x:v>123</x:v>
      </x:c>
      <x:c r="Z1049" t="str">
        <x:f>IF(AND(U1049="Open",Y1049&gt;30),"STALE","OK")</x:f>
        <x:v>STALE</x:v>
      </x:c>
      <x:c r="AA1049" t="str">
        <x:f>TEXT(B1049,"yyyy-mm")</x:f>
        <x:v>2026-05</x:v>
      </x:c>
      <x:c r="AB1049" t="str">
        <x:f>IF(K1049="","",TEXT(K1049,"yyyy-mm"))</x:f>
      </x:c>
      <x:c r="AC1049" t="str">
        <x:f>"Q"&amp;ROUNDUP(MONTH(B1049)/3,0)&amp;"-"&amp;YEAR(B1049)</x:f>
        <x:v>Q2-2026</x:v>
      </x:c>
      <x:c r="AD1049" s="26" t="n">
        <x:f>MIN(100,IF(H1049="Enterprise",30,IF(H1049="Mid-Market",22,14))+IF(T1049="Enterprise",25,IF(T1049="Mid-Market",18,10))+IF(Q1049="Referral",25,IF(Q1049="Organic Search",20,IF(Q1049="Email",18,14)))+IF(G1049="Technology",10,5))</x:f>
        <x:v>49</x:v>
      </x:c>
      <x:c r="AE1049" t="str">
        <x:f>IF(U1049&lt;&gt;"Open",U1049,IF(N1049&gt;=0.8,"Commit",IF(N1049&gt;=0.5,"Best Case","Pipeline")))</x:f>
        <x:v>Best Case</x:v>
      </x:c>
    </x:row>
    <x:row r="1050">
      <x:c r="A1050" t="str">
        <x:v>L01049</x:v>
      </x:c>
      <x:c r="B1050" s="10" t="n">
        <x:v>45732</x:v>
      </x:c>
      <x:c r="C1050" t="str">
        <x:v>Minh Do</x:v>
      </x:c>
      <x:c r="D1050" t="str">
        <x:v>North</x:v>
      </x:c>
      <x:c r="E1050" t="str">
        <x:v>SDR Outreach</x:v>
      </x:c>
      <x:c r="F1050" t="str">
        <x:v>BI-PLUS</x:v>
      </x:c>
      <x:c r="G1050" t="str">
        <x:v>Professional Services</x:v>
      </x:c>
      <x:c r="H1050" t="str">
        <x:v>SMB</x:v>
      </x:c>
      <x:c r="I1050" t="str">
        <x:v>Closed Lost</x:v>
      </x:c>
      <x:c r="J1050" s="10" t="n">
        <x:v>45798</x:v>
      </x:c>
      <x:c r="K1050" s="10" t="n">
        <x:v>45798</x:v>
      </x:c>
      <x:c r="L1050" s="22" t="n">
        <x:v>24600</x:v>
      </x:c>
      <x:c r="M1050" s="24" t="n">
        <x:v>0</x:v>
      </x:c>
      <x:c r="N1050" s="24" t="n">
        <x:v>0</x:v>
      </x:c>
      <x:c r="O1050" t="str">
        <x:v>Budget</x:v>
      </x:c>
      <x:c r="P1050" t="n">
        <x:v>3</x:v>
      </x:c>
      <x:c r="Q1050" t="str">
        <x:f>IFERROR(XLOOKUP(E1050,Lookups!$A$5:$A$24,Lookups!$B$5:$B$24),"Other")</x:f>
        <x:v>Outbound</x:v>
      </x:c>
      <x:c r="R1050" t="str">
        <x:f>IFERROR(XLOOKUP(F1050,Lookups!$D$5:$D$10,Lookups!$E$5:$E$10),"Unknown Product")</x:f>
        <x:v>Analytics Plus</x:v>
      </x:c>
      <x:c r="S1050" t="str">
        <x:f>IFERROR(XLOOKUP(F1050,Lookups!$D$5:$D$10,Lookups!$F$5:$F$10),"Unknown")</x:f>
        <x:v>Analytics</x:v>
      </x:c>
      <x:c r="T1050" t="str">
        <x:f>IF(L1050&gt;=50000,"Enterprise",IF(L1050&gt;=20000,"Mid-Market","SMB"))</x:f>
        <x:v>Mid-Market</x:v>
      </x:c>
      <x:c r="U1050" t="str">
        <x:f>IF(I1050="Closed Won","Won",IF(I1050="Closed Lost","Lost","Open"))</x:f>
        <x:v>Lost</x:v>
      </x:c>
      <x:c r="V1050" s="22" t="n">
        <x:f>IF(U1050="Won",L1050*(1-M1050),0)</x:f>
        <x:v>0</x:v>
      </x:c>
      <x:c r="W1050" s="22" t="n">
        <x:f>IF(U1050="Open",L1050*N1050,0)</x:f>
        <x:v>0</x:v>
      </x:c>
      <x:c r="X1050" s="26" t="n">
        <x:f>IF(U1050="Open","",IFERROR(K1050-B1050,""))</x:f>
        <x:v>66</x:v>
      </x:c>
      <x:c r="Y1050" s="26" t="n">
        <x:f>IF(U1050="Open",Lookups!$B$2-B1050,X1050)</x:f>
        <x:v>66</x:v>
      </x:c>
      <x:c r="Z1050" t="str">
        <x:f>IF(AND(U1050="Open",Y1050&gt;30),"STALE","OK")</x:f>
        <x:v>OK</x:v>
      </x:c>
      <x:c r="AA1050" t="str">
        <x:f>TEXT(B1050,"yyyy-mm")</x:f>
        <x:v>2025-03</x:v>
      </x:c>
      <x:c r="AB1050" t="str">
        <x:f>IF(K1050="","",TEXT(K1050,"yyyy-mm"))</x:f>
        <x:v>2025-05</x:v>
      </x:c>
      <x:c r="AC1050" t="str">
        <x:f>"Q"&amp;ROUNDUP(MONTH(B1050)/3,0)&amp;"-"&amp;YEAR(B1050)</x:f>
        <x:v>Q1-2025</x:v>
      </x:c>
      <x:c r="AD1050" s="26" t="n">
        <x:f>MIN(100,IF(H1050="Enterprise",30,IF(H1050="Mid-Market",22,14))+IF(T1050="Enterprise",25,IF(T1050="Mid-Market",18,10))+IF(Q1050="Referral",25,IF(Q1050="Organic Search",20,IF(Q1050="Email",18,14)))+IF(G1050="Technology",10,5))</x:f>
        <x:v>51</x:v>
      </x:c>
      <x:c r="AE1050" t="str">
        <x:f>IF(U1050&lt;&gt;"Open",U1050,IF(N1050&gt;=0.8,"Commit",IF(N1050&gt;=0.5,"Best Case","Pipeline")))</x:f>
        <x:v>Lost</x:v>
      </x:c>
    </x:row>
    <x:row r="1051">
      <x:c r="A1051" t="str">
        <x:v>L01050</x:v>
      </x:c>
      <x:c r="B1051" s="10" t="n">
        <x:v>45765</x:v>
      </x:c>
      <x:c r="C1051" t="str">
        <x:v>Chi Le</x:v>
      </x:c>
      <x:c r="D1051" t="str">
        <x:v>South</x:v>
      </x:c>
      <x:c r="E1051" t="str">
        <x:v>SEM - Google</x:v>
      </x:c>
      <x:c r="F1051" t="str">
        <x:v>BI-PLUS</x:v>
      </x:c>
      <x:c r="G1051" t="str">
        <x:v>Financial Services</x:v>
      </x:c>
      <x:c r="H1051" t="str">
        <x:v>Mid-Market</x:v>
      </x:c>
      <x:c r="I1051" t="str">
        <x:v>Negotiation</x:v>
      </x:c>
      <x:c r="J1051" s="10" t="n">
        <x:v>46024</x:v>
      </x:c>
      <x:c r="K1051" s="10"/>
      <x:c r="L1051" s="22" t="n">
        <x:v>27000</x:v>
      </x:c>
      <x:c r="M1051" s="24" t="n">
        <x:v>0.05</x:v>
      </x:c>
      <x:c r="N1051" s="24" t="n">
        <x:v>0.85</x:v>
      </x:c>
      <x:c r="O1051" t="str"/>
      <x:c r="P1051" t="n">
        <x:v>5</x:v>
      </x:c>
      <x:c r="Q1051" t="str">
        <x:f>IFERROR(XLOOKUP(E1051,Lookups!$A$5:$A$24,Lookups!$B$5:$B$24),"Other")</x:f>
        <x:v>Paid Search</x:v>
      </x:c>
      <x:c r="R1051" t="str">
        <x:f>IFERROR(XLOOKUP(F1051,Lookups!$D$5:$D$10,Lookups!$E$5:$E$10),"Unknown Product")</x:f>
        <x:v>Analytics Plus</x:v>
      </x:c>
      <x:c r="S1051" t="str">
        <x:f>IFERROR(XLOOKUP(F1051,Lookups!$D$5:$D$10,Lookups!$F$5:$F$10),"Unknown")</x:f>
        <x:v>Analytics</x:v>
      </x:c>
      <x:c r="T1051" t="str">
        <x:f>IF(L1051&gt;=50000,"Enterprise",IF(L1051&gt;=20000,"Mid-Market","SMB"))</x:f>
        <x:v>Mid-Market</x:v>
      </x:c>
      <x:c r="U1051" t="str">
        <x:f>IF(I1051="Closed Won","Won",IF(I1051="Closed Lost","Lost","Open"))</x:f>
        <x:v>Open</x:v>
      </x:c>
      <x:c r="V1051" s="22" t="n">
        <x:f>IF(U1051="Won",L1051*(1-M1051),0)</x:f>
        <x:v>0</x:v>
      </x:c>
      <x:c r="W1051" s="22" t="n">
        <x:f>IF(U1051="Open",L1051*N1051,0)</x:f>
        <x:v>22950</x:v>
      </x:c>
      <x:c r="X1051" s="26" t="str">
        <x:f>IF(U1051="Open","",IFERROR(K1051-B1051,""))</x:f>
      </x:c>
      <x:c r="Y1051" s="26" t="n">
        <x:f>IF(U1051="Open",Lookups!$B$2-B1051,X1051)</x:f>
        <x:v>501</x:v>
      </x:c>
      <x:c r="Z1051" t="str">
        <x:f>IF(AND(U1051="Open",Y1051&gt;30),"STALE","OK")</x:f>
        <x:v>STALE</x:v>
      </x:c>
      <x:c r="AA1051" t="str">
        <x:f>TEXT(B1051,"yyyy-mm")</x:f>
        <x:v>2025-04</x:v>
      </x:c>
      <x:c r="AB1051" t="str">
        <x:f>IF(K1051="","",TEXT(K1051,"yyyy-mm"))</x:f>
      </x:c>
      <x:c r="AC1051" t="str">
        <x:f>"Q"&amp;ROUNDUP(MONTH(B1051)/3,0)&amp;"-"&amp;YEAR(B1051)</x:f>
        <x:v>Q2-2025</x:v>
      </x:c>
      <x:c r="AD1051" s="26" t="n">
        <x:f>MIN(100,IF(H1051="Enterprise",30,IF(H1051="Mid-Market",22,14))+IF(T1051="Enterprise",25,IF(T1051="Mid-Market",18,10))+IF(Q1051="Referral",25,IF(Q1051="Organic Search",20,IF(Q1051="Email",18,14)))+IF(G1051="Technology",10,5))</x:f>
        <x:v>59</x:v>
      </x:c>
      <x:c r="AE1051" t="str">
        <x:f>IF(U1051&lt;&gt;"Open",U1051,IF(N1051&gt;=0.8,"Commit",IF(N1051&gt;=0.5,"Best Case","Pipeline")))</x:f>
        <x:v>Commit</x:v>
      </x:c>
    </x:row>
    <x:row r="1052">
      <x:c r="A1052" t="str">
        <x:v>L01051</x:v>
      </x:c>
      <x:c r="B1052" s="10" t="n">
        <x:v>45749</x:v>
      </x:c>
      <x:c r="C1052" t="str">
        <x:v>Ha Vo</x:v>
      </x:c>
      <x:c r="D1052" t="str">
        <x:v>North</x:v>
      </x:c>
      <x:c r="E1052" t="str">
        <x:v>organic search</x:v>
      </x:c>
      <x:c r="F1052" t="str">
        <x:v>CRM-PRO</x:v>
      </x:c>
      <x:c r="G1052" t="str">
        <x:v>Technology</x:v>
      </x:c>
      <x:c r="H1052" t="str">
        <x:v>SMB</x:v>
      </x:c>
      <x:c r="I1052" t="str">
        <x:v>Closed Won</x:v>
      </x:c>
      <x:c r="J1052" s="10" t="n">
        <x:v>45835</x:v>
      </x:c>
      <x:c r="K1052" s="10" t="n">
        <x:v>45835</x:v>
      </x:c>
      <x:c r="L1052" s="22" t="n">
        <x:v>15800</x:v>
      </x:c>
      <x:c r="M1052" s="24" t="n">
        <x:v>0.05</x:v>
      </x:c>
      <x:c r="N1052" s="24" t="n">
        <x:v>1</x:v>
      </x:c>
      <x:c r="O1052" t="str"/>
      <x:c r="P1052" t="n">
        <x:v>6</x:v>
      </x:c>
      <x:c r="Q1052" t="str">
        <x:f>IFERROR(XLOOKUP(E1052,Lookups!$A$5:$A$24,Lookups!$B$5:$B$24),"Other")</x:f>
        <x:v>Organic Search</x:v>
      </x:c>
      <x:c r="R1052" t="str">
        <x:f>IFERROR(XLOOKUP(F1052,Lookups!$D$5:$D$10,Lookups!$E$5:$E$10),"Unknown Product")</x:f>
        <x:v>NexaCRM Pro</x:v>
      </x:c>
      <x:c r="S1052" t="str">
        <x:f>IFERROR(XLOOKUP(F1052,Lookups!$D$5:$D$10,Lookups!$F$5:$F$10),"Unknown")</x:f>
        <x:v>CRM</x:v>
      </x:c>
      <x:c r="T1052" t="str">
        <x:f>IF(L1052&gt;=50000,"Enterprise",IF(L1052&gt;=20000,"Mid-Market","SMB"))</x:f>
        <x:v>SMB</x:v>
      </x:c>
      <x:c r="U1052" t="str">
        <x:f>IF(I1052="Closed Won","Won",IF(I1052="Closed Lost","Lost","Open"))</x:f>
        <x:v>Won</x:v>
      </x:c>
      <x:c r="V1052" s="22" t="n">
        <x:f>IF(U1052="Won",L1052*(1-M1052),0)</x:f>
        <x:v>15010</x:v>
      </x:c>
      <x:c r="W1052" s="22" t="n">
        <x:f>IF(U1052="Open",L1052*N1052,0)</x:f>
        <x:v>0</x:v>
      </x:c>
      <x:c r="X1052" s="26" t="n">
        <x:f>IF(U1052="Open","",IFERROR(K1052-B1052,""))</x:f>
        <x:v>86</x:v>
      </x:c>
      <x:c r="Y1052" s="26" t="n">
        <x:f>IF(U1052="Open",Lookups!$B$2-B1052,X1052)</x:f>
        <x:v>86</x:v>
      </x:c>
      <x:c r="Z1052" t="str">
        <x:f>IF(AND(U1052="Open",Y1052&gt;30),"STALE","OK")</x:f>
        <x:v>OK</x:v>
      </x:c>
      <x:c r="AA1052" t="str">
        <x:f>TEXT(B1052,"yyyy-mm")</x:f>
        <x:v>2025-04</x:v>
      </x:c>
      <x:c r="AB1052" t="str">
        <x:f>IF(K1052="","",TEXT(K1052,"yyyy-mm"))</x:f>
        <x:v>2025-06</x:v>
      </x:c>
      <x:c r="AC1052" t="str">
        <x:f>"Q"&amp;ROUNDUP(MONTH(B1052)/3,0)&amp;"-"&amp;YEAR(B1052)</x:f>
        <x:v>Q2-2025</x:v>
      </x:c>
      <x:c r="AD1052" s="26" t="n">
        <x:f>MIN(100,IF(H1052="Enterprise",30,IF(H1052="Mid-Market",22,14))+IF(T1052="Enterprise",25,IF(T1052="Mid-Market",18,10))+IF(Q1052="Referral",25,IF(Q1052="Organic Search",20,IF(Q1052="Email",18,14)))+IF(G1052="Technology",10,5))</x:f>
        <x:v>54</x:v>
      </x:c>
      <x:c r="AE1052" t="str">
        <x:f>IF(U1052&lt;&gt;"Open",U1052,IF(N1052&gt;=0.8,"Commit",IF(N1052&gt;=0.5,"Best Case","Pipeline")))</x:f>
        <x:v>Won</x:v>
      </x:c>
    </x:row>
    <x:row r="1053">
      <x:c r="A1053" t="str">
        <x:v>L01052</x:v>
      </x:c>
      <x:c r="B1053" s="10" t="n">
        <x:v>45687</x:v>
      </x:c>
      <x:c r="C1053" t="str">
        <x:v>Minh Do</x:v>
      </x:c>
      <x:c r="D1053" t="str">
        <x:v>North</x:v>
      </x:c>
      <x:c r="E1053" t="str">
        <x:v>SDR Outreach</x:v>
      </x:c>
      <x:c r="F1053" t="str">
        <x:v>REV-OPS</x:v>
      </x:c>
      <x:c r="G1053" t="str">
        <x:v>Education</x:v>
      </x:c>
      <x:c r="H1053" t="str">
        <x:v>SMB</x:v>
      </x:c>
      <x:c r="I1053" t="str">
        <x:v>Closed Lost</x:v>
      </x:c>
      <x:c r="J1053" s="10" t="n">
        <x:v>45764</x:v>
      </x:c>
      <x:c r="K1053" s="10" t="n">
        <x:v>45764</x:v>
      </x:c>
      <x:c r="L1053" s="22" t="n">
        <x:v>34800</x:v>
      </x:c>
      <x:c r="M1053" s="24" t="n">
        <x:v>0</x:v>
      </x:c>
      <x:c r="N1053" s="24" t="n">
        <x:v>0</x:v>
      </x:c>
      <x:c r="O1053" t="str">
        <x:v>Competitor</x:v>
      </x:c>
      <x:c r="P1053" t="n">
        <x:v>4</x:v>
      </x:c>
      <x:c r="Q1053" t="str">
        <x:f>IFERROR(XLOOKUP(E1053,Lookups!$A$5:$A$24,Lookups!$B$5:$B$24),"Other")</x:f>
        <x:v>Outbound</x:v>
      </x:c>
      <x:c r="R1053" t="str">
        <x:f>IFERROR(XLOOKUP(F1053,Lookups!$D$5:$D$10,Lookups!$E$5:$E$10),"Unknown Product")</x:f>
        <x:v>Revenue Operations Suite</x:v>
      </x:c>
      <x:c r="S1053" t="str">
        <x:f>IFERROR(XLOOKUP(F1053,Lookups!$D$5:$D$10,Lookups!$F$5:$F$10),"Unknown")</x:f>
        <x:v>Revenue Ops</x:v>
      </x:c>
      <x:c r="T1053" t="str">
        <x:f>IF(L1053&gt;=50000,"Enterprise",IF(L1053&gt;=20000,"Mid-Market","SMB"))</x:f>
        <x:v>Mid-Market</x:v>
      </x:c>
      <x:c r="U1053" t="str">
        <x:f>IF(I1053="Closed Won","Won",IF(I1053="Closed Lost","Lost","Open"))</x:f>
        <x:v>Lost</x:v>
      </x:c>
      <x:c r="V1053" s="22" t="n">
        <x:f>IF(U1053="Won",L1053*(1-M1053),0)</x:f>
        <x:v>0</x:v>
      </x:c>
      <x:c r="W1053" s="22" t="n">
        <x:f>IF(U1053="Open",L1053*N1053,0)</x:f>
        <x:v>0</x:v>
      </x:c>
      <x:c r="X1053" s="26" t="n">
        <x:f>IF(U1053="Open","",IFERROR(K1053-B1053,""))</x:f>
        <x:v>77</x:v>
      </x:c>
      <x:c r="Y1053" s="26" t="n">
        <x:f>IF(U1053="Open",Lookups!$B$2-B1053,X1053)</x:f>
        <x:v>77</x:v>
      </x:c>
      <x:c r="Z1053" t="str">
        <x:f>IF(AND(U1053="Open",Y1053&gt;30),"STALE","OK")</x:f>
        <x:v>OK</x:v>
      </x:c>
      <x:c r="AA1053" t="str">
        <x:f>TEXT(B1053,"yyyy-mm")</x:f>
        <x:v>2025-01</x:v>
      </x:c>
      <x:c r="AB1053" t="str">
        <x:f>IF(K1053="","",TEXT(K1053,"yyyy-mm"))</x:f>
        <x:v>2025-04</x:v>
      </x:c>
      <x:c r="AC1053" t="str">
        <x:f>"Q"&amp;ROUNDUP(MONTH(B1053)/3,0)&amp;"-"&amp;YEAR(B1053)</x:f>
        <x:v>Q1-2025</x:v>
      </x:c>
      <x:c r="AD1053" s="26" t="n">
        <x:f>MIN(100,IF(H1053="Enterprise",30,IF(H1053="Mid-Market",22,14))+IF(T1053="Enterprise",25,IF(T1053="Mid-Market",18,10))+IF(Q1053="Referral",25,IF(Q1053="Organic Search",20,IF(Q1053="Email",18,14)))+IF(G1053="Technology",10,5))</x:f>
        <x:v>51</x:v>
      </x:c>
      <x:c r="AE1053" t="str">
        <x:f>IF(U1053&lt;&gt;"Open",U1053,IF(N1053&gt;=0.8,"Commit",IF(N1053&gt;=0.5,"Best Case","Pipeline")))</x:f>
        <x:v>Lost</x:v>
      </x:c>
    </x:row>
    <x:row r="1054">
      <x:c r="A1054" t="str">
        <x:v>L01053</x:v>
      </x:c>
      <x:c r="B1054" s="10" t="n">
        <x:v>45995</x:v>
      </x:c>
      <x:c r="C1054" t="str">
        <x:v>Quynh Vu</x:v>
      </x:c>
      <x:c r="D1054" t="str">
        <x:v>North</x:v>
      </x:c>
      <x:c r="E1054" t="str">
        <x:v>SEO</x:v>
      </x:c>
      <x:c r="F1054" t="str">
        <x:v>CRM-CORE</x:v>
      </x:c>
      <x:c r="G1054" t="str">
        <x:v>Technology</x:v>
      </x:c>
      <x:c r="H1054" t="str">
        <x:v>SMB</x:v>
      </x:c>
      <x:c r="I1054" t="str">
        <x:v>Negotiation</x:v>
      </x:c>
      <x:c r="J1054" s="10" t="n">
        <x:v>46197</x:v>
      </x:c>
      <x:c r="K1054" s="10"/>
      <x:c r="L1054" s="22" t="n">
        <x:v>5800</x:v>
      </x:c>
      <x:c r="M1054" s="24" t="n">
        <x:v>0.05</x:v>
      </x:c>
      <x:c r="N1054" s="24" t="n">
        <x:v>0.85</x:v>
      </x:c>
      <x:c r="O1054" t="str"/>
      <x:c r="P1054" t="n">
        <x:v>5</x:v>
      </x:c>
      <x:c r="Q1054" t="str">
        <x:f>IFERROR(XLOOKUP(E1054,Lookups!$A$5:$A$24,Lookups!$B$5:$B$24),"Other")</x:f>
        <x:v>Organic Search</x:v>
      </x:c>
      <x:c r="R1054" t="str">
        <x:f>IFERROR(XLOOKUP(F1054,Lookups!$D$5:$D$10,Lookups!$E$5:$E$10),"Unknown Product")</x:f>
        <x:v>NexaCRM Core</x:v>
      </x:c>
      <x:c r="S1054" t="str">
        <x:f>IFERROR(XLOOKUP(F1054,Lookups!$D$5:$D$10,Lookups!$F$5:$F$10),"Unknown")</x:f>
        <x:v>CRM</x:v>
      </x:c>
      <x:c r="T1054" t="str">
        <x:f>IF(L1054&gt;=50000,"Enterprise",IF(L1054&gt;=20000,"Mid-Market","SMB"))</x:f>
        <x:v>SMB</x:v>
      </x:c>
      <x:c r="U1054" t="str">
        <x:f>IF(I1054="Closed Won","Won",IF(I1054="Closed Lost","Lost","Open"))</x:f>
        <x:v>Open</x:v>
      </x:c>
      <x:c r="V1054" s="22" t="n">
        <x:f>IF(U1054="Won",L1054*(1-M1054),0)</x:f>
        <x:v>0</x:v>
      </x:c>
      <x:c r="W1054" s="22" t="n">
        <x:f>IF(U1054="Open",L1054*N1054,0)</x:f>
        <x:v>4930</x:v>
      </x:c>
      <x:c r="X1054" s="26" t="str">
        <x:f>IF(U1054="Open","",IFERROR(K1054-B1054,""))</x:f>
      </x:c>
      <x:c r="Y1054" s="26" t="n">
        <x:f>IF(U1054="Open",Lookups!$B$2-B1054,X1054)</x:f>
        <x:v>271</x:v>
      </x:c>
      <x:c r="Z1054" t="str">
        <x:f>IF(AND(U1054="Open",Y1054&gt;30),"STALE","OK")</x:f>
        <x:v>STALE</x:v>
      </x:c>
      <x:c r="AA1054" t="str">
        <x:f>TEXT(B1054,"yyyy-mm")</x:f>
        <x:v>2025-12</x:v>
      </x:c>
      <x:c r="AB1054" t="str">
        <x:f>IF(K1054="","",TEXT(K1054,"yyyy-mm"))</x:f>
      </x:c>
      <x:c r="AC1054" t="str">
        <x:f>"Q"&amp;ROUNDUP(MONTH(B1054)/3,0)&amp;"-"&amp;YEAR(B1054)</x:f>
        <x:v>Q4-2025</x:v>
      </x:c>
      <x:c r="AD1054" s="26" t="n">
        <x:f>MIN(100,IF(H1054="Enterprise",30,IF(H1054="Mid-Market",22,14))+IF(T1054="Enterprise",25,IF(T1054="Mid-Market",18,10))+IF(Q1054="Referral",25,IF(Q1054="Organic Search",20,IF(Q1054="Email",18,14)))+IF(G1054="Technology",10,5))</x:f>
        <x:v>54</x:v>
      </x:c>
      <x:c r="AE1054" t="str">
        <x:f>IF(U1054&lt;&gt;"Open",U1054,IF(N1054&gt;=0.8,"Commit",IF(N1054&gt;=0.5,"Best Case","Pipeline")))</x:f>
        <x:v>Commit</x:v>
      </x:c>
    </x:row>
    <x:row r="1055">
      <x:c r="A1055" t="str">
        <x:v>L01054</x:v>
      </x:c>
      <x:c r="B1055" s="10" t="n">
        <x:v>46223</x:v>
      </x:c>
      <x:c r="C1055" t="str">
        <x:v>Ha Vo</x:v>
      </x:c>
      <x:c r="D1055" t="str">
        <x:v>North</x:v>
      </x:c>
      <x:c r="E1055" t="str">
        <x:v>virtual event</x:v>
      </x:c>
      <x:c r="F1055" t="str">
        <x:v>MKT-AUTO</x:v>
      </x:c>
      <x:c r="G1055" t="str">
        <x:v>Education</x:v>
      </x:c>
      <x:c r="H1055" t="str">
        <x:v>Mid-Market</x:v>
      </x:c>
      <x:c r="I1055" t="str">
        <x:v>Qualified</x:v>
      </x:c>
      <x:c r="J1055" s="10" t="n">
        <x:v>46251</x:v>
      </x:c>
      <x:c r="K1055" s="10"/>
      <x:c r="L1055" s="22" t="n">
        <x:v>28400</x:v>
      </x:c>
      <x:c r="M1055" s="24" t="n">
        <x:v>0</x:v>
      </x:c>
      <x:c r="N1055" s="24" t="n">
        <x:v>0.2</x:v>
      </x:c>
      <x:c r="O1055" t="str"/>
      <x:c r="P1055" t="n">
        <x:v>2</x:v>
      </x:c>
      <x:c r="Q1055" t="str">
        <x:f>IFERROR(XLOOKUP(E1055,Lookups!$A$5:$A$24,Lookups!$B$5:$B$24),"Other")</x:f>
        <x:v>Webinar</x:v>
      </x:c>
      <x:c r="R1055" t="str">
        <x:f>IFERROR(XLOOKUP(F1055,Lookups!$D$5:$D$10,Lookups!$E$5:$E$10),"Unknown Product")</x:f>
        <x:v>Marketing Automation</x:v>
      </x:c>
      <x:c r="S1055" t="str">
        <x:f>IFERROR(XLOOKUP(F1055,Lookups!$D$5:$D$10,Lookups!$F$5:$F$10),"Unknown")</x:f>
        <x:v>Marketing</x:v>
      </x:c>
      <x:c r="T1055" t="str">
        <x:f>IF(L1055&gt;=50000,"Enterprise",IF(L1055&gt;=20000,"Mid-Market","SMB"))</x:f>
        <x:v>Mid-Market</x:v>
      </x:c>
      <x:c r="U1055" t="str">
        <x:f>IF(I1055="Closed Won","Won",IF(I1055="Closed Lost","Lost","Open"))</x:f>
        <x:v>Open</x:v>
      </x:c>
      <x:c r="V1055" s="22" t="n">
        <x:f>IF(U1055="Won",L1055*(1-M1055),0)</x:f>
        <x:v>0</x:v>
      </x:c>
      <x:c r="W1055" s="22" t="n">
        <x:f>IF(U1055="Open",L1055*N1055,0)</x:f>
        <x:v>5680</x:v>
      </x:c>
      <x:c r="X1055" s="26" t="str">
        <x:f>IF(U1055="Open","",IFERROR(K1055-B1055,""))</x:f>
      </x:c>
      <x:c r="Y1055" s="26" t="n">
        <x:f>IF(U1055="Open",Lookups!$B$2-B1055,X1055)</x:f>
        <x:v>43</x:v>
      </x:c>
      <x:c r="Z1055" t="str">
        <x:f>IF(AND(U1055="Open",Y1055&gt;30),"STALE","OK")</x:f>
        <x:v>STALE</x:v>
      </x:c>
      <x:c r="AA1055" t="str">
        <x:f>TEXT(B1055,"yyyy-mm")</x:f>
        <x:v>2026-07</x:v>
      </x:c>
      <x:c r="AB1055" t="str">
        <x:f>IF(K1055="","",TEXT(K1055,"yyyy-mm"))</x:f>
      </x:c>
      <x:c r="AC1055" t="str">
        <x:f>"Q"&amp;ROUNDUP(MONTH(B1055)/3,0)&amp;"-"&amp;YEAR(B1055)</x:f>
        <x:v>Q3-2026</x:v>
      </x:c>
      <x:c r="AD1055" s="26" t="n">
        <x:f>MIN(100,IF(H1055="Enterprise",30,IF(H1055="Mid-Market",22,14))+IF(T1055="Enterprise",25,IF(T1055="Mid-Market",18,10))+IF(Q1055="Referral",25,IF(Q1055="Organic Search",20,IF(Q1055="Email",18,14)))+IF(G1055="Technology",10,5))</x:f>
        <x:v>59</x:v>
      </x:c>
      <x:c r="AE1055" t="str">
        <x:f>IF(U1055&lt;&gt;"Open",U1055,IF(N1055&gt;=0.8,"Commit",IF(N1055&gt;=0.5,"Best Case","Pipeline")))</x:f>
        <x:v>Pipeline</x:v>
      </x:c>
    </x:row>
    <x:row r="1056">
      <x:c r="A1056" t="str">
        <x:v>L01055</x:v>
      </x:c>
      <x:c r="B1056" s="10" t="n">
        <x:v>46047</x:v>
      </x:c>
      <x:c r="C1056" t="str">
        <x:v>Quynh Vu</x:v>
      </x:c>
      <x:c r="D1056" t="str">
        <x:v>North</x:v>
      </x:c>
      <x:c r="E1056" t="str">
        <x:v>Email Campaign</x:v>
      </x:c>
      <x:c r="F1056" t="str">
        <x:v>REV-OPS</x:v>
      </x:c>
      <x:c r="G1056" t="str">
        <x:v>Financial Services</x:v>
      </x:c>
      <x:c r="H1056" t="str">
        <x:v>Mid-Market</x:v>
      </x:c>
      <x:c r="I1056" t="str">
        <x:v>Closed Won</x:v>
      </x:c>
      <x:c r="J1056" s="10" t="n">
        <x:v>46117</x:v>
      </x:c>
      <x:c r="K1056" s="10" t="n">
        <x:v>46117</x:v>
      </x:c>
      <x:c r="L1056" s="22" t="n">
        <x:v>53600</x:v>
      </x:c>
      <x:c r="M1056" s="24" t="n">
        <x:v>0.03</x:v>
      </x:c>
      <x:c r="N1056" s="24" t="n">
        <x:v>1</x:v>
      </x:c>
      <x:c r="O1056" t="str"/>
      <x:c r="P1056" t="n">
        <x:v>6</x:v>
      </x:c>
      <x:c r="Q1056" t="str">
        <x:f>IFERROR(XLOOKUP(E1056,Lookups!$A$5:$A$24,Lookups!$B$5:$B$24),"Other")</x:f>
        <x:v>Email</x:v>
      </x:c>
      <x:c r="R1056" t="str">
        <x:f>IFERROR(XLOOKUP(F1056,Lookups!$D$5:$D$10,Lookups!$E$5:$E$10),"Unknown Product")</x:f>
        <x:v>Revenue Operations Suite</x:v>
      </x:c>
      <x:c r="S1056" t="str">
        <x:f>IFERROR(XLOOKUP(F1056,Lookups!$D$5:$D$10,Lookups!$F$5:$F$10),"Unknown")</x:f>
        <x:v>Revenue Ops</x:v>
      </x:c>
      <x:c r="T1056" t="str">
        <x:f>IF(L1056&gt;=50000,"Enterprise",IF(L1056&gt;=20000,"Mid-Market","SMB"))</x:f>
        <x:v>Enterprise</x:v>
      </x:c>
      <x:c r="U1056" t="str">
        <x:f>IF(I1056="Closed Won","Won",IF(I1056="Closed Lost","Lost","Open"))</x:f>
        <x:v>Won</x:v>
      </x:c>
      <x:c r="V1056" s="22" t="n">
        <x:f>IF(U1056="Won",L1056*(1-M1056),0)</x:f>
        <x:v>51992</x:v>
      </x:c>
      <x:c r="W1056" s="22" t="n">
        <x:f>IF(U1056="Open",L1056*N1056,0)</x:f>
        <x:v>0</x:v>
      </x:c>
      <x:c r="X1056" s="26" t="n">
        <x:f>IF(U1056="Open","",IFERROR(K1056-B1056,""))</x:f>
        <x:v>70</x:v>
      </x:c>
      <x:c r="Y1056" s="26" t="n">
        <x:f>IF(U1056="Open",Lookups!$B$2-B1056,X1056)</x:f>
        <x:v>70</x:v>
      </x:c>
      <x:c r="Z1056" t="str">
        <x:f>IF(AND(U1056="Open",Y1056&gt;30),"STALE","OK")</x:f>
        <x:v>OK</x:v>
      </x:c>
      <x:c r="AA1056" t="str">
        <x:f>TEXT(B1056,"yyyy-mm")</x:f>
        <x:v>2026-01</x:v>
      </x:c>
      <x:c r="AB1056" t="str">
        <x:f>IF(K1056="","",TEXT(K1056,"yyyy-mm"))</x:f>
        <x:v>2026-04</x:v>
      </x:c>
      <x:c r="AC1056" t="str">
        <x:f>"Q"&amp;ROUNDUP(MONTH(B1056)/3,0)&amp;"-"&amp;YEAR(B1056)</x:f>
        <x:v>Q1-2026</x:v>
      </x:c>
      <x:c r="AD1056" s="26" t="n">
        <x:f>MIN(100,IF(H1056="Enterprise",30,IF(H1056="Mid-Market",22,14))+IF(T1056="Enterprise",25,IF(T1056="Mid-Market",18,10))+IF(Q1056="Referral",25,IF(Q1056="Organic Search",20,IF(Q1056="Email",18,14)))+IF(G1056="Technology",10,5))</x:f>
        <x:v>70</x:v>
      </x:c>
      <x:c r="AE1056" t="str">
        <x:f>IF(U1056&lt;&gt;"Open",U1056,IF(N1056&gt;=0.8,"Commit",IF(N1056&gt;=0.5,"Best Case","Pipeline")))</x:f>
        <x:v>Won</x:v>
      </x:c>
    </x:row>
    <x:row r="1057">
      <x:c r="A1057" t="str">
        <x:v>L01056</x:v>
      </x:c>
      <x:c r="B1057" s="10" t="n">
        <x:v>45748</x:v>
      </x:c>
      <x:c r="C1057" t="str">
        <x:v>Chi Le</x:v>
      </x:c>
      <x:c r="D1057" t="str">
        <x:v>South</x:v>
      </x:c>
      <x:c r="E1057" t="str">
        <x:v>LinkedIn Ads</x:v>
      </x:c>
      <x:c r="F1057" t="str">
        <x:v>BI-PLUS</x:v>
      </x:c>
      <x:c r="G1057" t="str">
        <x:v>Manufacturing</x:v>
      </x:c>
      <x:c r="H1057" t="str">
        <x:v>Mid-Market</x:v>
      </x:c>
      <x:c r="I1057" t="str">
        <x:v>Closed Lost</x:v>
      </x:c>
      <x:c r="J1057" s="10" t="n">
        <x:v>45820</x:v>
      </x:c>
      <x:c r="K1057" s="10" t="n">
        <x:v>45820</x:v>
      </x:c>
      <x:c r="L1057" s="22" t="n">
        <x:v>33700</x:v>
      </x:c>
      <x:c r="M1057" s="24" t="n">
        <x:v>0</x:v>
      </x:c>
      <x:c r="N1057" s="24" t="n">
        <x:v>0</x:v>
      </x:c>
      <x:c r="O1057" t="str">
        <x:v>No Decision</x:v>
      </x:c>
      <x:c r="P1057" t="n">
        <x:v>4</x:v>
      </x:c>
      <x:c r="Q1057" t="str">
        <x:f>IFERROR(XLOOKUP(E1057,Lookups!$A$5:$A$24,Lookups!$B$5:$B$24),"Other")</x:f>
        <x:v>LinkedIn</x:v>
      </x:c>
      <x:c r="R1057" t="str">
        <x:f>IFERROR(XLOOKUP(F1057,Lookups!$D$5:$D$10,Lookups!$E$5:$E$10),"Unknown Product")</x:f>
        <x:v>Analytics Plus</x:v>
      </x:c>
      <x:c r="S1057" t="str">
        <x:f>IFERROR(XLOOKUP(F1057,Lookups!$D$5:$D$10,Lookups!$F$5:$F$10),"Unknown")</x:f>
        <x:v>Analytics</x:v>
      </x:c>
      <x:c r="T1057" t="str">
        <x:f>IF(L1057&gt;=50000,"Enterprise",IF(L1057&gt;=20000,"Mid-Market","SMB"))</x:f>
        <x:v>Mid-Market</x:v>
      </x:c>
      <x:c r="U1057" t="str">
        <x:f>IF(I1057="Closed Won","Won",IF(I1057="Closed Lost","Lost","Open"))</x:f>
        <x:v>Lost</x:v>
      </x:c>
      <x:c r="V1057" s="22" t="n">
        <x:f>IF(U1057="Won",L1057*(1-M1057),0)</x:f>
        <x:v>0</x:v>
      </x:c>
      <x:c r="W1057" s="22" t="n">
        <x:f>IF(U1057="Open",L1057*N1057,0)</x:f>
        <x:v>0</x:v>
      </x:c>
      <x:c r="X1057" s="26" t="n">
        <x:f>IF(U1057="Open","",IFERROR(K1057-B1057,""))</x:f>
        <x:v>72</x:v>
      </x:c>
      <x:c r="Y1057" s="26" t="n">
        <x:f>IF(U1057="Open",Lookups!$B$2-B1057,X1057)</x:f>
        <x:v>72</x:v>
      </x:c>
      <x:c r="Z1057" t="str">
        <x:f>IF(AND(U1057="Open",Y1057&gt;30),"STALE","OK")</x:f>
        <x:v>OK</x:v>
      </x:c>
      <x:c r="AA1057" t="str">
        <x:f>TEXT(B1057,"yyyy-mm")</x:f>
        <x:v>2025-04</x:v>
      </x:c>
      <x:c r="AB1057" t="str">
        <x:f>IF(K1057="","",TEXT(K1057,"yyyy-mm"))</x:f>
        <x:v>2025-06</x:v>
      </x:c>
      <x:c r="AC1057" t="str">
        <x:f>"Q"&amp;ROUNDUP(MONTH(B1057)/3,0)&amp;"-"&amp;YEAR(B1057)</x:f>
        <x:v>Q2-2025</x:v>
      </x:c>
      <x:c r="AD1057" s="26" t="n">
        <x:f>MIN(100,IF(H1057="Enterprise",30,IF(H1057="Mid-Market",22,14))+IF(T1057="Enterprise",25,IF(T1057="Mid-Market",18,10))+IF(Q1057="Referral",25,IF(Q1057="Organic Search",20,IF(Q1057="Email",18,14)))+IF(G1057="Technology",10,5))</x:f>
        <x:v>59</x:v>
      </x:c>
      <x:c r="AE1057" t="str">
        <x:f>IF(U1057&lt;&gt;"Open",U1057,IF(N1057&gt;=0.8,"Commit",IF(N1057&gt;=0.5,"Best Case","Pipeline")))</x:f>
        <x:v>Lost</x:v>
      </x:c>
    </x:row>
    <x:row r="1058">
      <x:c r="A1058" t="str">
        <x:v>L01057</x:v>
      </x:c>
      <x:c r="B1058" s="10" t="n">
        <x:v>45736</x:v>
      </x:c>
      <x:c r="C1058" t="str">
        <x:v>Minh Do</x:v>
      </x:c>
      <x:c r="D1058" t="str">
        <x:v>North</x:v>
      </x:c>
      <x:c r="E1058" t="str">
        <x:v>virtual event</x:v>
      </x:c>
      <x:c r="F1058" t="str">
        <x:v>CRM-CORE</x:v>
      </x:c>
      <x:c r="G1058" t="str">
        <x:v>Professional Services</x:v>
      </x:c>
      <x:c r="H1058" t="str">
        <x:v>Mid-Market</x:v>
      </x:c>
      <x:c r="I1058" t="str">
        <x:v>Closed Won</x:v>
      </x:c>
      <x:c r="J1058" s="10" t="n">
        <x:v>45787</x:v>
      </x:c>
      <x:c r="K1058" s="10" t="n">
        <x:v>45787</x:v>
      </x:c>
      <x:c r="L1058" s="22" t="n">
        <x:v>8400</x:v>
      </x:c>
      <x:c r="M1058" s="24" t="n">
        <x:v>0.05</x:v>
      </x:c>
      <x:c r="N1058" s="24" t="n">
        <x:v>1</x:v>
      </x:c>
      <x:c r="O1058" t="str"/>
      <x:c r="P1058" t="n">
        <x:v>6</x:v>
      </x:c>
      <x:c r="Q1058" t="str">
        <x:f>IFERROR(XLOOKUP(E1058,Lookups!$A$5:$A$24,Lookups!$B$5:$B$24),"Other")</x:f>
        <x:v>Webinar</x:v>
      </x:c>
      <x:c r="R1058" t="str">
        <x:f>IFERROR(XLOOKUP(F1058,Lookups!$D$5:$D$10,Lookups!$E$5:$E$10),"Unknown Product")</x:f>
        <x:v>NexaCRM Core</x:v>
      </x:c>
      <x:c r="S1058" t="str">
        <x:f>IFERROR(XLOOKUP(F1058,Lookups!$D$5:$D$10,Lookups!$F$5:$F$10),"Unknown")</x:f>
        <x:v>CRM</x:v>
      </x:c>
      <x:c r="T1058" t="str">
        <x:f>IF(L1058&gt;=50000,"Enterprise",IF(L1058&gt;=20000,"Mid-Market","SMB"))</x:f>
        <x:v>SMB</x:v>
      </x:c>
      <x:c r="U1058" t="str">
        <x:f>IF(I1058="Closed Won","Won",IF(I1058="Closed Lost","Lost","Open"))</x:f>
        <x:v>Won</x:v>
      </x:c>
      <x:c r="V1058" s="22" t="n">
        <x:f>IF(U1058="Won",L1058*(1-M1058),0)</x:f>
        <x:v>7980</x:v>
      </x:c>
      <x:c r="W1058" s="22" t="n">
        <x:f>IF(U1058="Open",L1058*N1058,0)</x:f>
        <x:v>0</x:v>
      </x:c>
      <x:c r="X1058" s="26" t="n">
        <x:f>IF(U1058="Open","",IFERROR(K1058-B1058,""))</x:f>
        <x:v>51</x:v>
      </x:c>
      <x:c r="Y1058" s="26" t="n">
        <x:f>IF(U1058="Open",Lookups!$B$2-B1058,X1058)</x:f>
        <x:v>51</x:v>
      </x:c>
      <x:c r="Z1058" t="str">
        <x:f>IF(AND(U1058="Open",Y1058&gt;30),"STALE","OK")</x:f>
        <x:v>OK</x:v>
      </x:c>
      <x:c r="AA1058" t="str">
        <x:f>TEXT(B1058,"yyyy-mm")</x:f>
        <x:v>2025-03</x:v>
      </x:c>
      <x:c r="AB1058" t="str">
        <x:f>IF(K1058="","",TEXT(K1058,"yyyy-mm"))</x:f>
        <x:v>2025-05</x:v>
      </x:c>
      <x:c r="AC1058" t="str">
        <x:f>"Q"&amp;ROUNDUP(MONTH(B1058)/3,0)&amp;"-"&amp;YEAR(B1058)</x:f>
        <x:v>Q1-2025</x:v>
      </x:c>
      <x:c r="AD1058" s="26" t="n">
        <x:f>MIN(100,IF(H1058="Enterprise",30,IF(H1058="Mid-Market",22,14))+IF(T1058="Enterprise",25,IF(T1058="Mid-Market",18,10))+IF(Q1058="Referral",25,IF(Q1058="Organic Search",20,IF(Q1058="Email",18,14)))+IF(G1058="Technology",10,5))</x:f>
        <x:v>51</x:v>
      </x:c>
      <x:c r="AE1058" t="str">
        <x:f>IF(U1058&lt;&gt;"Open",U1058,IF(N1058&gt;=0.8,"Commit",IF(N1058&gt;=0.5,"Best Case","Pipeline")))</x:f>
        <x:v>Won</x:v>
      </x:c>
    </x:row>
    <x:row r="1059">
      <x:c r="A1059" t="str">
        <x:v>L01058</x:v>
      </x:c>
      <x:c r="B1059" s="10" t="n">
        <x:v>45807</x:v>
      </x:c>
      <x:c r="C1059" t="str">
        <x:v>Chi Le</x:v>
      </x:c>
      <x:c r="D1059" t="str">
        <x:v>South</x:v>
      </x:c>
      <x:c r="E1059" t="str">
        <x:v>Unknown Event</x:v>
      </x:c>
      <x:c r="F1059" t="str">
        <x:v>CS-CLOUD</x:v>
      </x:c>
      <x:c r="G1059" t="str">
        <x:v>Retail</x:v>
      </x:c>
      <x:c r="H1059" t="str">
        <x:v>Enterprise</x:v>
      </x:c>
      <x:c r="I1059" t="str">
        <x:v>Closed Lost</x:v>
      </x:c>
      <x:c r="J1059" s="10" t="n">
        <x:v>45841</x:v>
      </x:c>
      <x:c r="K1059" s="10" t="n">
        <x:v>45841</x:v>
      </x:c>
      <x:c r="L1059" s="22" t="n">
        <x:v>47800</x:v>
      </x:c>
      <x:c r="M1059" s="24" t="n">
        <x:v>0</x:v>
      </x:c>
      <x:c r="N1059" s="24" t="n">
        <x:v>0</x:v>
      </x:c>
      <x:c r="O1059" t="str">
        <x:v>Competitor</x:v>
      </x:c>
      <x:c r="P1059" t="n">
        <x:v>5</x:v>
      </x:c>
      <x:c r="Q1059" t="str">
        <x:f>IFERROR(XLOOKUP(E1059,Lookups!$A$5:$A$24,Lookups!$B$5:$B$24),"Other")</x:f>
        <x:v>Other</x:v>
      </x:c>
      <x:c r="R1059" t="str">
        <x:f>IFERROR(XLOOKUP(F1059,Lookups!$D$5:$D$10,Lookups!$E$5:$E$10),"Unknown Product")</x:f>
        <x:v>Service Cloud</x:v>
      </x:c>
      <x:c r="S1059" t="str">
        <x:f>IFERROR(XLOOKUP(F1059,Lookups!$D$5:$D$10,Lookups!$F$5:$F$10),"Unknown")</x:f>
        <x:v>Customer Service</x:v>
      </x:c>
      <x:c r="T1059" t="str">
        <x:f>IF(L1059&gt;=50000,"Enterprise",IF(L1059&gt;=20000,"Mid-Market","SMB"))</x:f>
        <x:v>Mid-Market</x:v>
      </x:c>
      <x:c r="U1059" t="str">
        <x:f>IF(I1059="Closed Won","Won",IF(I1059="Closed Lost","Lost","Open"))</x:f>
        <x:v>Lost</x:v>
      </x:c>
      <x:c r="V1059" s="22" t="n">
        <x:f>IF(U1059="Won",L1059*(1-M1059),0)</x:f>
        <x:v>0</x:v>
      </x:c>
      <x:c r="W1059" s="22" t="n">
        <x:f>IF(U1059="Open",L1059*N1059,0)</x:f>
        <x:v>0</x:v>
      </x:c>
      <x:c r="X1059" s="26" t="n">
        <x:f>IF(U1059="Open","",IFERROR(K1059-B1059,""))</x:f>
        <x:v>34</x:v>
      </x:c>
      <x:c r="Y1059" s="26" t="n">
        <x:f>IF(U1059="Open",Lookups!$B$2-B1059,X1059)</x:f>
        <x:v>34</x:v>
      </x:c>
      <x:c r="Z1059" t="str">
        <x:f>IF(AND(U1059="Open",Y1059&gt;30),"STALE","OK")</x:f>
        <x:v>OK</x:v>
      </x:c>
      <x:c r="AA1059" t="str">
        <x:f>TEXT(B1059,"yyyy-mm")</x:f>
        <x:v>2025-05</x:v>
      </x:c>
      <x:c r="AB1059" t="str">
        <x:f>IF(K1059="","",TEXT(K1059,"yyyy-mm"))</x:f>
        <x:v>2025-07</x:v>
      </x:c>
      <x:c r="AC1059" t="str">
        <x:f>"Q"&amp;ROUNDUP(MONTH(B1059)/3,0)&amp;"-"&amp;YEAR(B1059)</x:f>
        <x:v>Q2-2025</x:v>
      </x:c>
      <x:c r="AD1059" s="26" t="n">
        <x:f>MIN(100,IF(H1059="Enterprise",30,IF(H1059="Mid-Market",22,14))+IF(T1059="Enterprise",25,IF(T1059="Mid-Market",18,10))+IF(Q1059="Referral",25,IF(Q1059="Organic Search",20,IF(Q1059="Email",18,14)))+IF(G1059="Technology",10,5))</x:f>
        <x:v>67</x:v>
      </x:c>
      <x:c r="AE1059" t="str">
        <x:f>IF(U1059&lt;&gt;"Open",U1059,IF(N1059&gt;=0.8,"Commit",IF(N1059&gt;=0.5,"Best Case","Pipeline")))</x:f>
        <x:v>Lost</x:v>
      </x:c>
    </x:row>
    <x:row r="1060">
      <x:c r="A1060" t="str">
        <x:v>L01059</x:v>
      </x:c>
      <x:c r="B1060" s="10" t="n">
        <x:v>45704</x:v>
      </x:c>
      <x:c r="C1060" t="str">
        <x:v>Minh Do</x:v>
      </x:c>
      <x:c r="D1060" t="str">
        <x:v>North</x:v>
      </x:c>
      <x:c r="E1060" t="str">
        <x:v>virtual event</x:v>
      </x:c>
      <x:c r="F1060" t="str">
        <x:v>CRM-PRO</x:v>
      </x:c>
      <x:c r="G1060" t="str">
        <x:v>Healthcare</x:v>
      </x:c>
      <x:c r="H1060" t="str">
        <x:v>SMB</x:v>
      </x:c>
      <x:c r="I1060" t="str">
        <x:v>Closed Lost</x:v>
      </x:c>
      <x:c r="J1060" s="10" t="n">
        <x:v>45735</x:v>
      </x:c>
      <x:c r="K1060" s="10" t="n">
        <x:v>45735</x:v>
      </x:c>
      <x:c r="L1060" s="22" t="n">
        <x:v>21300</x:v>
      </x:c>
      <x:c r="M1060" s="24" t="n">
        <x:v>0</x:v>
      </x:c>
      <x:c r="N1060" s="24" t="n">
        <x:v>0</x:v>
      </x:c>
      <x:c r="O1060" t="str">
        <x:v>Price</x:v>
      </x:c>
      <x:c r="P1060" t="n">
        <x:v>5</x:v>
      </x:c>
      <x:c r="Q1060" t="str">
        <x:f>IFERROR(XLOOKUP(E1060,Lookups!$A$5:$A$24,Lookups!$B$5:$B$24),"Other")</x:f>
        <x:v>Webinar</x:v>
      </x:c>
      <x:c r="R1060" t="str">
        <x:f>IFERROR(XLOOKUP(F1060,Lookups!$D$5:$D$10,Lookups!$E$5:$E$10),"Unknown Product")</x:f>
        <x:v>NexaCRM Pro</x:v>
      </x:c>
      <x:c r="S1060" t="str">
        <x:f>IFERROR(XLOOKUP(F1060,Lookups!$D$5:$D$10,Lookups!$F$5:$F$10),"Unknown")</x:f>
        <x:v>CRM</x:v>
      </x:c>
      <x:c r="T1060" t="str">
        <x:f>IF(L1060&gt;=50000,"Enterprise",IF(L1060&gt;=20000,"Mid-Market","SMB"))</x:f>
        <x:v>Mid-Market</x:v>
      </x:c>
      <x:c r="U1060" t="str">
        <x:f>IF(I1060="Closed Won","Won",IF(I1060="Closed Lost","Lost","Open"))</x:f>
        <x:v>Lost</x:v>
      </x:c>
      <x:c r="V1060" s="22" t="n">
        <x:f>IF(U1060="Won",L1060*(1-M1060),0)</x:f>
        <x:v>0</x:v>
      </x:c>
      <x:c r="W1060" s="22" t="n">
        <x:f>IF(U1060="Open",L1060*N1060,0)</x:f>
        <x:v>0</x:v>
      </x:c>
      <x:c r="X1060" s="26" t="n">
        <x:f>IF(U1060="Open","",IFERROR(K1060-B1060,""))</x:f>
        <x:v>31</x:v>
      </x:c>
      <x:c r="Y1060" s="26" t="n">
        <x:f>IF(U1060="Open",Lookups!$B$2-B1060,X1060)</x:f>
        <x:v>31</x:v>
      </x:c>
      <x:c r="Z1060" t="str">
        <x:f>IF(AND(U1060="Open",Y1060&gt;30),"STALE","OK")</x:f>
        <x:v>OK</x:v>
      </x:c>
      <x:c r="AA1060" t="str">
        <x:f>TEXT(B1060,"yyyy-mm")</x:f>
        <x:v>2025-02</x:v>
      </x:c>
      <x:c r="AB1060" t="str">
        <x:f>IF(K1060="","",TEXT(K1060,"yyyy-mm"))</x:f>
        <x:v>2025-03</x:v>
      </x:c>
      <x:c r="AC1060" t="str">
        <x:f>"Q"&amp;ROUNDUP(MONTH(B1060)/3,0)&amp;"-"&amp;YEAR(B1060)</x:f>
        <x:v>Q1-2025</x:v>
      </x:c>
      <x:c r="AD1060" s="26" t="n">
        <x:f>MIN(100,IF(H1060="Enterprise",30,IF(H1060="Mid-Market",22,14))+IF(T1060="Enterprise",25,IF(T1060="Mid-Market",18,10))+IF(Q1060="Referral",25,IF(Q1060="Organic Search",20,IF(Q1060="Email",18,14)))+IF(G1060="Technology",10,5))</x:f>
        <x:v>51</x:v>
      </x:c>
      <x:c r="AE1060" t="str">
        <x:f>IF(U1060&lt;&gt;"Open",U1060,IF(N1060&gt;=0.8,"Commit",IF(N1060&gt;=0.5,"Best Case","Pipeline")))</x:f>
        <x:v>Lost</x:v>
      </x:c>
    </x:row>
    <x:row r="1061">
      <x:c r="A1061" t="str">
        <x:v>L01060</x:v>
      </x:c>
      <x:c r="B1061" s="10" t="n">
        <x:v>45881</x:v>
      </x:c>
      <x:c r="C1061" t="str">
        <x:v>Ha Vo</x:v>
      </x:c>
      <x:c r="D1061" t="str">
        <x:v>North</x:v>
      </x:c>
      <x:c r="E1061" t="str">
        <x:v>Webinar</x:v>
      </x:c>
      <x:c r="F1061" t="str">
        <x:v>MKT-AUTO</x:v>
      </x:c>
      <x:c r="G1061" t="str">
        <x:v>Professional Services</x:v>
      </x:c>
      <x:c r="H1061" t="str">
        <x:v>SMB</x:v>
      </x:c>
      <x:c r="I1061" t="str">
        <x:v>Negotiation</x:v>
      </x:c>
      <x:c r="J1061" s="10" t="n">
        <x:v>46074</x:v>
      </x:c>
      <x:c r="K1061" s="10"/>
      <x:c r="L1061" s="22" t="n">
        <x:v>14700</x:v>
      </x:c>
      <x:c r="M1061" s="24" t="n">
        <x:v>0.03</x:v>
      </x:c>
      <x:c r="N1061" s="24" t="n">
        <x:v>0.85</x:v>
      </x:c>
      <x:c r="O1061" t="str"/>
      <x:c r="P1061" t="n">
        <x:v>5</x:v>
      </x:c>
      <x:c r="Q1061" t="str">
        <x:f>IFERROR(XLOOKUP(E1061,Lookups!$A$5:$A$24,Lookups!$B$5:$B$24),"Other")</x:f>
        <x:v>Webinar</x:v>
      </x:c>
      <x:c r="R1061" t="str">
        <x:f>IFERROR(XLOOKUP(F1061,Lookups!$D$5:$D$10,Lookups!$E$5:$E$10),"Unknown Product")</x:f>
        <x:v>Marketing Automation</x:v>
      </x:c>
      <x:c r="S1061" t="str">
        <x:f>IFERROR(XLOOKUP(F1061,Lookups!$D$5:$D$10,Lookups!$F$5:$F$10),"Unknown")</x:f>
        <x:v>Marketing</x:v>
      </x:c>
      <x:c r="T1061" t="str">
        <x:f>IF(L1061&gt;=50000,"Enterprise",IF(L1061&gt;=20000,"Mid-Market","SMB"))</x:f>
        <x:v>SMB</x:v>
      </x:c>
      <x:c r="U1061" t="str">
        <x:f>IF(I1061="Closed Won","Won",IF(I1061="Closed Lost","Lost","Open"))</x:f>
        <x:v>Open</x:v>
      </x:c>
      <x:c r="V1061" s="22" t="n">
        <x:f>IF(U1061="Won",L1061*(1-M1061),0)</x:f>
        <x:v>0</x:v>
      </x:c>
      <x:c r="W1061" s="22" t="n">
        <x:f>IF(U1061="Open",L1061*N1061,0)</x:f>
        <x:v>12495</x:v>
      </x:c>
      <x:c r="X1061" s="26" t="str">
        <x:f>IF(U1061="Open","",IFERROR(K1061-B1061,""))</x:f>
      </x:c>
      <x:c r="Y1061" s="26" t="n">
        <x:f>IF(U1061="Open",Lookups!$B$2-B1061,X1061)</x:f>
        <x:v>385</x:v>
      </x:c>
      <x:c r="Z1061" t="str">
        <x:f>IF(AND(U1061="Open",Y1061&gt;30),"STALE","OK")</x:f>
        <x:v>STALE</x:v>
      </x:c>
      <x:c r="AA1061" t="str">
        <x:f>TEXT(B1061,"yyyy-mm")</x:f>
        <x:v>2025-08</x:v>
      </x:c>
      <x:c r="AB1061" t="str">
        <x:f>IF(K1061="","",TEXT(K1061,"yyyy-mm"))</x:f>
      </x:c>
      <x:c r="AC1061" t="str">
        <x:f>"Q"&amp;ROUNDUP(MONTH(B1061)/3,0)&amp;"-"&amp;YEAR(B1061)</x:f>
        <x:v>Q3-2025</x:v>
      </x:c>
      <x:c r="AD1061" s="26" t="n">
        <x:f>MIN(100,IF(H1061="Enterprise",30,IF(H1061="Mid-Market",22,14))+IF(T1061="Enterprise",25,IF(T1061="Mid-Market",18,10))+IF(Q1061="Referral",25,IF(Q1061="Organic Search",20,IF(Q1061="Email",18,14)))+IF(G1061="Technology",10,5))</x:f>
        <x:v>43</x:v>
      </x:c>
      <x:c r="AE1061" t="str">
        <x:f>IF(U1061&lt;&gt;"Open",U1061,IF(N1061&gt;=0.8,"Commit",IF(N1061&gt;=0.5,"Best Case","Pipeline")))</x:f>
        <x:v>Commit</x:v>
      </x:c>
    </x:row>
    <x:row r="1062">
      <x:c r="A1062" t="str">
        <x:v>L01061</x:v>
      </x:c>
      <x:c r="B1062" s="10" t="n">
        <x:v>46009</x:v>
      </x:c>
      <x:c r="C1062" t="str">
        <x:v>Ha Vo</x:v>
      </x:c>
      <x:c r="D1062" t="str">
        <x:v>North</x:v>
      </x:c>
      <x:c r="E1062" t="str">
        <x:v>virtual event</x:v>
      </x:c>
      <x:c r="F1062" t="str">
        <x:v>MKT-AUTO</x:v>
      </x:c>
      <x:c r="G1062" t="str">
        <x:v>Professional Services</x:v>
      </x:c>
      <x:c r="H1062" t="str">
        <x:v>SMB</x:v>
      </x:c>
      <x:c r="I1062" t="str">
        <x:v>Closed Lost</x:v>
      </x:c>
      <x:c r="J1062" s="10" t="n">
        <x:v>46042</x:v>
      </x:c>
      <x:c r="K1062" s="10" t="n">
        <x:v>46042</x:v>
      </x:c>
      <x:c r="L1062" s="22" t="n">
        <x:v>10800</x:v>
      </x:c>
      <x:c r="M1062" s="24" t="n">
        <x:v>0</x:v>
      </x:c>
      <x:c r="N1062" s="24" t="n">
        <x:v>0</x:v>
      </x:c>
      <x:c r="O1062" t="str">
        <x:v>Feature Gap</x:v>
      </x:c>
      <x:c r="P1062" t="n">
        <x:v>4</x:v>
      </x:c>
      <x:c r="Q1062" t="str">
        <x:f>IFERROR(XLOOKUP(E1062,Lookups!$A$5:$A$24,Lookups!$B$5:$B$24),"Other")</x:f>
        <x:v>Webinar</x:v>
      </x:c>
      <x:c r="R1062" t="str">
        <x:f>IFERROR(XLOOKUP(F1062,Lookups!$D$5:$D$10,Lookups!$E$5:$E$10),"Unknown Product")</x:f>
        <x:v>Marketing Automation</x:v>
      </x:c>
      <x:c r="S1062" t="str">
        <x:f>IFERROR(XLOOKUP(F1062,Lookups!$D$5:$D$10,Lookups!$F$5:$F$10),"Unknown")</x:f>
        <x:v>Marketing</x:v>
      </x:c>
      <x:c r="T1062" t="str">
        <x:f>IF(L1062&gt;=50000,"Enterprise",IF(L1062&gt;=20000,"Mid-Market","SMB"))</x:f>
        <x:v>SMB</x:v>
      </x:c>
      <x:c r="U1062" t="str">
        <x:f>IF(I1062="Closed Won","Won",IF(I1062="Closed Lost","Lost","Open"))</x:f>
        <x:v>Lost</x:v>
      </x:c>
      <x:c r="V1062" s="22" t="n">
        <x:f>IF(U1062="Won",L1062*(1-M1062),0)</x:f>
        <x:v>0</x:v>
      </x:c>
      <x:c r="W1062" s="22" t="n">
        <x:f>IF(U1062="Open",L1062*N1062,0)</x:f>
        <x:v>0</x:v>
      </x:c>
      <x:c r="X1062" s="26" t="n">
        <x:f>IF(U1062="Open","",IFERROR(K1062-B1062,""))</x:f>
        <x:v>33</x:v>
      </x:c>
      <x:c r="Y1062" s="26" t="n">
        <x:f>IF(U1062="Open",Lookups!$B$2-B1062,X1062)</x:f>
        <x:v>33</x:v>
      </x:c>
      <x:c r="Z1062" t="str">
        <x:f>IF(AND(U1062="Open",Y1062&gt;30),"STALE","OK")</x:f>
        <x:v>OK</x:v>
      </x:c>
      <x:c r="AA1062" t="str">
        <x:f>TEXT(B1062,"yyyy-mm")</x:f>
        <x:v>2025-12</x:v>
      </x:c>
      <x:c r="AB1062" t="str">
        <x:f>IF(K1062="","",TEXT(K1062,"yyyy-mm"))</x:f>
        <x:v>2026-01</x:v>
      </x:c>
      <x:c r="AC1062" t="str">
        <x:f>"Q"&amp;ROUNDUP(MONTH(B1062)/3,0)&amp;"-"&amp;YEAR(B1062)</x:f>
        <x:v>Q4-2025</x:v>
      </x:c>
      <x:c r="AD1062" s="26" t="n">
        <x:f>MIN(100,IF(H1062="Enterprise",30,IF(H1062="Mid-Market",22,14))+IF(T1062="Enterprise",25,IF(T1062="Mid-Market",18,10))+IF(Q1062="Referral",25,IF(Q1062="Organic Search",20,IF(Q1062="Email",18,14)))+IF(G1062="Technology",10,5))</x:f>
        <x:v>43</x:v>
      </x:c>
      <x:c r="AE1062" t="str">
        <x:f>IF(U1062&lt;&gt;"Open",U1062,IF(N1062&gt;=0.8,"Commit",IF(N1062&gt;=0.5,"Best Case","Pipeline")))</x:f>
        <x:v>Lost</x:v>
      </x:c>
    </x:row>
    <x:row r="1063">
      <x:c r="A1063" t="str">
        <x:v>L01062</x:v>
      </x:c>
      <x:c r="B1063" s="10" t="n">
        <x:v>45800</x:v>
      </x:c>
      <x:c r="C1063" t="str">
        <x:v>Chi Le</x:v>
      </x:c>
      <x:c r="D1063" t="str">
        <x:v>South</x:v>
      </x:c>
      <x:c r="E1063" t="str">
        <x:v>organic search</x:v>
      </x:c>
      <x:c r="F1063" t="str">
        <x:v>CRM-CORE</x:v>
      </x:c>
      <x:c r="G1063" t="str">
        <x:v>Healthcare</x:v>
      </x:c>
      <x:c r="H1063" t="str">
        <x:v>SMB</x:v>
      </x:c>
      <x:c r="I1063" t="str">
        <x:v>Closed Won</x:v>
      </x:c>
      <x:c r="J1063" s="10" t="n">
        <x:v>45849</x:v>
      </x:c>
      <x:c r="K1063" s="10" t="n">
        <x:v>45849</x:v>
      </x:c>
      <x:c r="L1063" s="22" t="n">
        <x:v>4600</x:v>
      </x:c>
      <x:c r="M1063" s="24" t="n">
        <x:v>0.03</x:v>
      </x:c>
      <x:c r="N1063" s="24" t="n">
        <x:v>1</x:v>
      </x:c>
      <x:c r="O1063" t="str"/>
      <x:c r="P1063" t="n">
        <x:v>6</x:v>
      </x:c>
      <x:c r="Q1063" t="str">
        <x:f>IFERROR(XLOOKUP(E1063,Lookups!$A$5:$A$24,Lookups!$B$5:$B$24),"Other")</x:f>
        <x:v>Organic Search</x:v>
      </x:c>
      <x:c r="R1063" t="str">
        <x:f>IFERROR(XLOOKUP(F1063,Lookups!$D$5:$D$10,Lookups!$E$5:$E$10),"Unknown Product")</x:f>
        <x:v>NexaCRM Core</x:v>
      </x:c>
      <x:c r="S1063" t="str">
        <x:f>IFERROR(XLOOKUP(F1063,Lookups!$D$5:$D$10,Lookups!$F$5:$F$10),"Unknown")</x:f>
        <x:v>CRM</x:v>
      </x:c>
      <x:c r="T1063" t="str">
        <x:f>IF(L1063&gt;=50000,"Enterprise",IF(L1063&gt;=20000,"Mid-Market","SMB"))</x:f>
        <x:v>SMB</x:v>
      </x:c>
      <x:c r="U1063" t="str">
        <x:f>IF(I1063="Closed Won","Won",IF(I1063="Closed Lost","Lost","Open"))</x:f>
        <x:v>Won</x:v>
      </x:c>
      <x:c r="V1063" s="22" t="n">
        <x:f>IF(U1063="Won",L1063*(1-M1063),0)</x:f>
        <x:v>4462</x:v>
      </x:c>
      <x:c r="W1063" s="22" t="n">
        <x:f>IF(U1063="Open",L1063*N1063,0)</x:f>
        <x:v>0</x:v>
      </x:c>
      <x:c r="X1063" s="26" t="n">
        <x:f>IF(U1063="Open","",IFERROR(K1063-B1063,""))</x:f>
        <x:v>49</x:v>
      </x:c>
      <x:c r="Y1063" s="26" t="n">
        <x:f>IF(U1063="Open",Lookups!$B$2-B1063,X1063)</x:f>
        <x:v>49</x:v>
      </x:c>
      <x:c r="Z1063" t="str">
        <x:f>IF(AND(U1063="Open",Y1063&gt;30),"STALE","OK")</x:f>
        <x:v>OK</x:v>
      </x:c>
      <x:c r="AA1063" t="str">
        <x:f>TEXT(B1063,"yyyy-mm")</x:f>
        <x:v>2025-05</x:v>
      </x:c>
      <x:c r="AB1063" t="str">
        <x:f>IF(K1063="","",TEXT(K1063,"yyyy-mm"))</x:f>
        <x:v>2025-07</x:v>
      </x:c>
      <x:c r="AC1063" t="str">
        <x:f>"Q"&amp;ROUNDUP(MONTH(B1063)/3,0)&amp;"-"&amp;YEAR(B1063)</x:f>
        <x:v>Q2-2025</x:v>
      </x:c>
      <x:c r="AD1063" s="26" t="n">
        <x:f>MIN(100,IF(H1063="Enterprise",30,IF(H1063="Mid-Market",22,14))+IF(T1063="Enterprise",25,IF(T1063="Mid-Market",18,10))+IF(Q1063="Referral",25,IF(Q1063="Organic Search",20,IF(Q1063="Email",18,14)))+IF(G1063="Technology",10,5))</x:f>
        <x:v>49</x:v>
      </x:c>
      <x:c r="AE1063" t="str">
        <x:f>IF(U1063&lt;&gt;"Open",U1063,IF(N1063&gt;=0.8,"Commit",IF(N1063&gt;=0.5,"Best Case","Pipeline")))</x:f>
        <x:v>Won</x:v>
      </x:c>
    </x:row>
    <x:row r="1064">
      <x:c r="A1064" t="str">
        <x:v>L01063</x:v>
      </x:c>
      <x:c r="B1064" s="10" t="n">
        <x:v>46217</x:v>
      </x:c>
      <x:c r="C1064" t="str">
        <x:v>Bao Tran</x:v>
      </x:c>
      <x:c r="D1064" t="str">
        <x:v>South</x:v>
      </x:c>
      <x:c r="E1064" t="str">
        <x:v>google cpc</x:v>
      </x:c>
      <x:c r="F1064" t="str">
        <x:v>REV-OPS</x:v>
      </x:c>
      <x:c r="G1064" t="str">
        <x:v>Technology</x:v>
      </x:c>
      <x:c r="H1064" t="str">
        <x:v>Mid-Market</x:v>
      </x:c>
      <x:c r="I1064" t="str">
        <x:v>Qualified</x:v>
      </x:c>
      <x:c r="J1064" s="10" t="n">
        <x:v>46259</x:v>
      </x:c>
      <x:c r="K1064" s="10"/>
      <x:c r="L1064" s="22" t="n">
        <x:v>52700</x:v>
      </x:c>
      <x:c r="M1064" s="24" t="n">
        <x:v>0</x:v>
      </x:c>
      <x:c r="N1064" s="24" t="n">
        <x:v>0.2</x:v>
      </x:c>
      <x:c r="O1064" t="str"/>
      <x:c r="P1064" t="n">
        <x:v>2</x:v>
      </x:c>
      <x:c r="Q1064" t="str">
        <x:f>IFERROR(XLOOKUP(E1064,Lookups!$A$5:$A$24,Lookups!$B$5:$B$24),"Other")</x:f>
        <x:v>Paid Search</x:v>
      </x:c>
      <x:c r="R1064" t="str">
        <x:f>IFERROR(XLOOKUP(F1064,Lookups!$D$5:$D$10,Lookups!$E$5:$E$10),"Unknown Product")</x:f>
        <x:v>Revenue Operations Suite</x:v>
      </x:c>
      <x:c r="S1064" t="str">
        <x:f>IFERROR(XLOOKUP(F1064,Lookups!$D$5:$D$10,Lookups!$F$5:$F$10),"Unknown")</x:f>
        <x:v>Revenue Ops</x:v>
      </x:c>
      <x:c r="T1064" t="str">
        <x:f>IF(L1064&gt;=50000,"Enterprise",IF(L1064&gt;=20000,"Mid-Market","SMB"))</x:f>
        <x:v>Enterprise</x:v>
      </x:c>
      <x:c r="U1064" t="str">
        <x:f>IF(I1064="Closed Won","Won",IF(I1064="Closed Lost","Lost","Open"))</x:f>
        <x:v>Open</x:v>
      </x:c>
      <x:c r="V1064" s="22" t="n">
        <x:f>IF(U1064="Won",L1064*(1-M1064),0)</x:f>
        <x:v>0</x:v>
      </x:c>
      <x:c r="W1064" s="22" t="n">
        <x:f>IF(U1064="Open",L1064*N1064,0)</x:f>
        <x:v>10540</x:v>
      </x:c>
      <x:c r="X1064" s="26" t="str">
        <x:f>IF(U1064="Open","",IFERROR(K1064-B1064,""))</x:f>
      </x:c>
      <x:c r="Y1064" s="26" t="n">
        <x:f>IF(U1064="Open",Lookups!$B$2-B1064,X1064)</x:f>
        <x:v>49</x:v>
      </x:c>
      <x:c r="Z1064" t="str">
        <x:f>IF(AND(U1064="Open",Y1064&gt;30),"STALE","OK")</x:f>
        <x:v>STALE</x:v>
      </x:c>
      <x:c r="AA1064" t="str">
        <x:f>TEXT(B1064,"yyyy-mm")</x:f>
        <x:v>2026-07</x:v>
      </x:c>
      <x:c r="AB1064" t="str">
        <x:f>IF(K1064="","",TEXT(K1064,"yyyy-mm"))</x:f>
      </x:c>
      <x:c r="AC1064" t="str">
        <x:f>"Q"&amp;ROUNDUP(MONTH(B1064)/3,0)&amp;"-"&amp;YEAR(B1064)</x:f>
        <x:v>Q3-2026</x:v>
      </x:c>
      <x:c r="AD1064" s="26" t="n">
        <x:f>MIN(100,IF(H1064="Enterprise",30,IF(H1064="Mid-Market",22,14))+IF(T1064="Enterprise",25,IF(T1064="Mid-Market",18,10))+IF(Q1064="Referral",25,IF(Q1064="Organic Search",20,IF(Q1064="Email",18,14)))+IF(G1064="Technology",10,5))</x:f>
        <x:v>71</x:v>
      </x:c>
      <x:c r="AE1064" t="str">
        <x:f>IF(U1064&lt;&gt;"Open",U1064,IF(N1064&gt;=0.8,"Commit",IF(N1064&gt;=0.5,"Best Case","Pipeline")))</x:f>
        <x:v>Pipeline</x:v>
      </x:c>
    </x:row>
    <x:row r="1065">
      <x:c r="A1065" t="str">
        <x:v>L01064</x:v>
      </x:c>
      <x:c r="B1065" s="10" t="n">
        <x:v>45974</x:v>
      </x:c>
      <x:c r="C1065" t="str">
        <x:v>Tuan Bui</x:v>
      </x:c>
      <x:c r="D1065" t="str">
        <x:v>Central</x:v>
      </x:c>
      <x:c r="E1065" t="str">
        <x:v>virtual event</x:v>
      </x:c>
      <x:c r="F1065" t="str">
        <x:v>BI-PLUS</x:v>
      </x:c>
      <x:c r="G1065" t="str">
        <x:v>Retail</x:v>
      </x:c>
      <x:c r="H1065" t="str">
        <x:v>SMB</x:v>
      </x:c>
      <x:c r="I1065" t="str">
        <x:v>Closed Won</x:v>
      </x:c>
      <x:c r="J1065" s="10" t="n">
        <x:v>46067</x:v>
      </x:c>
      <x:c r="K1065" s="10" t="n">
        <x:v>46067</x:v>
      </x:c>
      <x:c r="L1065" s="22" t="n">
        <x:v>19700</x:v>
      </x:c>
      <x:c r="M1065" s="24" t="n">
        <x:v>0.05</x:v>
      </x:c>
      <x:c r="N1065" s="24" t="n">
        <x:v>1</x:v>
      </x:c>
      <x:c r="O1065" t="str"/>
      <x:c r="P1065" t="n">
        <x:v>6</x:v>
      </x:c>
      <x:c r="Q1065" t="str">
        <x:f>IFERROR(XLOOKUP(E1065,Lookups!$A$5:$A$24,Lookups!$B$5:$B$24),"Other")</x:f>
        <x:v>Webinar</x:v>
      </x:c>
      <x:c r="R1065" t="str">
        <x:f>IFERROR(XLOOKUP(F1065,Lookups!$D$5:$D$10,Lookups!$E$5:$E$10),"Unknown Product")</x:f>
        <x:v>Analytics Plus</x:v>
      </x:c>
      <x:c r="S1065" t="str">
        <x:f>IFERROR(XLOOKUP(F1065,Lookups!$D$5:$D$10,Lookups!$F$5:$F$10),"Unknown")</x:f>
        <x:v>Analytics</x:v>
      </x:c>
      <x:c r="T1065" t="str">
        <x:f>IF(L1065&gt;=50000,"Enterprise",IF(L1065&gt;=20000,"Mid-Market","SMB"))</x:f>
        <x:v>SMB</x:v>
      </x:c>
      <x:c r="U1065" t="str">
        <x:f>IF(I1065="Closed Won","Won",IF(I1065="Closed Lost","Lost","Open"))</x:f>
        <x:v>Won</x:v>
      </x:c>
      <x:c r="V1065" s="22" t="n">
        <x:f>IF(U1065="Won",L1065*(1-M1065),0)</x:f>
        <x:v>18715</x:v>
      </x:c>
      <x:c r="W1065" s="22" t="n">
        <x:f>IF(U1065="Open",L1065*N1065,0)</x:f>
        <x:v>0</x:v>
      </x:c>
      <x:c r="X1065" s="26" t="n">
        <x:f>IF(U1065="Open","",IFERROR(K1065-B1065,""))</x:f>
        <x:v>93</x:v>
      </x:c>
      <x:c r="Y1065" s="26" t="n">
        <x:f>IF(U1065="Open",Lookups!$B$2-B1065,X1065)</x:f>
        <x:v>93</x:v>
      </x:c>
      <x:c r="Z1065" t="str">
        <x:f>IF(AND(U1065="Open",Y1065&gt;30),"STALE","OK")</x:f>
        <x:v>OK</x:v>
      </x:c>
      <x:c r="AA1065" t="str">
        <x:f>TEXT(B1065,"yyyy-mm")</x:f>
        <x:v>2025-11</x:v>
      </x:c>
      <x:c r="AB1065" t="str">
        <x:f>IF(K1065="","",TEXT(K1065,"yyyy-mm"))</x:f>
        <x:v>2026-02</x:v>
      </x:c>
      <x:c r="AC1065" t="str">
        <x:f>"Q"&amp;ROUNDUP(MONTH(B1065)/3,0)&amp;"-"&amp;YEAR(B1065)</x:f>
        <x:v>Q4-2025</x:v>
      </x:c>
      <x:c r="AD1065" s="26" t="n">
        <x:f>MIN(100,IF(H1065="Enterprise",30,IF(H1065="Mid-Market",22,14))+IF(T1065="Enterprise",25,IF(T1065="Mid-Market",18,10))+IF(Q1065="Referral",25,IF(Q1065="Organic Search",20,IF(Q1065="Email",18,14)))+IF(G1065="Technology",10,5))</x:f>
        <x:v>43</x:v>
      </x:c>
      <x:c r="AE1065" t="str">
        <x:f>IF(U1065&lt;&gt;"Open",U1065,IF(N1065&gt;=0.8,"Commit",IF(N1065&gt;=0.5,"Best Case","Pipeline")))</x:f>
        <x:v>Won</x:v>
      </x:c>
    </x:row>
    <x:row r="1066">
      <x:c r="A1066" t="str">
        <x:v>L01065</x:v>
      </x:c>
      <x:c r="B1066" s="10" t="n">
        <x:v>45982</x:v>
      </x:c>
      <x:c r="C1066" t="str">
        <x:v>Minh Do</x:v>
      </x:c>
      <x:c r="D1066" t="str">
        <x:v>North</x:v>
      </x:c>
      <x:c r="E1066" t="str">
        <x:v>google cpc</x:v>
      </x:c>
      <x:c r="F1066" t="str">
        <x:v>CRM-PRO</x:v>
      </x:c>
      <x:c r="G1066" t="str">
        <x:v>Healthcare</x:v>
      </x:c>
      <x:c r="H1066" t="str">
        <x:v>Mid-Market</x:v>
      </x:c>
      <x:c r="I1066" t="str">
        <x:v>Closed Won</x:v>
      </x:c>
      <x:c r="J1066" s="10" t="n">
        <x:v>46047</x:v>
      </x:c>
      <x:c r="K1066" s="10" t="n">
        <x:v>46047</x:v>
      </x:c>
      <x:c r="L1066" s="22" t="n">
        <x:v>23200</x:v>
      </x:c>
      <x:c r="M1066" s="24" t="n">
        <x:v>0.08</x:v>
      </x:c>
      <x:c r="N1066" s="24" t="n">
        <x:v>1</x:v>
      </x:c>
      <x:c r="O1066" t="str"/>
      <x:c r="P1066" t="n">
        <x:v>6</x:v>
      </x:c>
      <x:c r="Q1066" t="str">
        <x:f>IFERROR(XLOOKUP(E1066,Lookups!$A$5:$A$24,Lookups!$B$5:$B$24),"Other")</x:f>
        <x:v>Paid Search</x:v>
      </x:c>
      <x:c r="R1066" t="str">
        <x:f>IFERROR(XLOOKUP(F1066,Lookups!$D$5:$D$10,Lookups!$E$5:$E$10),"Unknown Product")</x:f>
        <x:v>NexaCRM Pro</x:v>
      </x:c>
      <x:c r="S1066" t="str">
        <x:f>IFERROR(XLOOKUP(F1066,Lookups!$D$5:$D$10,Lookups!$F$5:$F$10),"Unknown")</x:f>
        <x:v>CRM</x:v>
      </x:c>
      <x:c r="T1066" t="str">
        <x:f>IF(L1066&gt;=50000,"Enterprise",IF(L1066&gt;=20000,"Mid-Market","SMB"))</x:f>
        <x:v>Mid-Market</x:v>
      </x:c>
      <x:c r="U1066" t="str">
        <x:f>IF(I1066="Closed Won","Won",IF(I1066="Closed Lost","Lost","Open"))</x:f>
        <x:v>Won</x:v>
      </x:c>
      <x:c r="V1066" s="22" t="n">
        <x:f>IF(U1066="Won",L1066*(1-M1066),0)</x:f>
        <x:v>21344</x:v>
      </x:c>
      <x:c r="W1066" s="22" t="n">
        <x:f>IF(U1066="Open",L1066*N1066,0)</x:f>
        <x:v>0</x:v>
      </x:c>
      <x:c r="X1066" s="26" t="n">
        <x:f>IF(U1066="Open","",IFERROR(K1066-B1066,""))</x:f>
        <x:v>65</x:v>
      </x:c>
      <x:c r="Y1066" s="26" t="n">
        <x:f>IF(U1066="Open",Lookups!$B$2-B1066,X1066)</x:f>
        <x:v>65</x:v>
      </x:c>
      <x:c r="Z1066" t="str">
        <x:f>IF(AND(U1066="Open",Y1066&gt;30),"STALE","OK")</x:f>
        <x:v>OK</x:v>
      </x:c>
      <x:c r="AA1066" t="str">
        <x:f>TEXT(B1066,"yyyy-mm")</x:f>
        <x:v>2025-11</x:v>
      </x:c>
      <x:c r="AB1066" t="str">
        <x:f>IF(K1066="","",TEXT(K1066,"yyyy-mm"))</x:f>
        <x:v>2026-01</x:v>
      </x:c>
      <x:c r="AC1066" t="str">
        <x:f>"Q"&amp;ROUNDUP(MONTH(B1066)/3,0)&amp;"-"&amp;YEAR(B1066)</x:f>
        <x:v>Q4-2025</x:v>
      </x:c>
      <x:c r="AD1066" s="26" t="n">
        <x:f>MIN(100,IF(H1066="Enterprise",30,IF(H1066="Mid-Market",22,14))+IF(T1066="Enterprise",25,IF(T1066="Mid-Market",18,10))+IF(Q1066="Referral",25,IF(Q1066="Organic Search",20,IF(Q1066="Email",18,14)))+IF(G1066="Technology",10,5))</x:f>
        <x:v>59</x:v>
      </x:c>
      <x:c r="AE1066" t="str">
        <x:f>IF(U1066&lt;&gt;"Open",U1066,IF(N1066&gt;=0.8,"Commit",IF(N1066&gt;=0.5,"Best Case","Pipeline")))</x:f>
        <x:v>Won</x:v>
      </x:c>
    </x:row>
    <x:row r="1067">
      <x:c r="A1067" t="str">
        <x:v>L01066</x:v>
      </x:c>
      <x:c r="B1067" s="10" t="n">
        <x:v>45977</x:v>
      </x:c>
      <x:c r="C1067" t="str">
        <x:v>Duy Pham</x:v>
      </x:c>
      <x:c r="D1067" t="str">
        <x:v>South</x:v>
      </x:c>
      <x:c r="E1067" t="str">
        <x:v>linkedin</x:v>
      </x:c>
      <x:c r="F1067" t="str">
        <x:v>REV-OPS</x:v>
      </x:c>
      <x:c r="G1067" t="str">
        <x:v>Financial Services</x:v>
      </x:c>
      <x:c r="H1067" t="str">
        <x:v>SMB</x:v>
      </x:c>
      <x:c r="I1067" t="str">
        <x:v>Closed Lost</x:v>
      </x:c>
      <x:c r="J1067" s="10" t="n">
        <x:v>46016</x:v>
      </x:c>
      <x:c r="K1067" s="10" t="n">
        <x:v>46016</x:v>
      </x:c>
      <x:c r="L1067" s="22" t="n">
        <x:v>22300</x:v>
      </x:c>
      <x:c r="M1067" s="24" t="n">
        <x:v>0</x:v>
      </x:c>
      <x:c r="N1067" s="24" t="n">
        <x:v>0</x:v>
      </x:c>
      <x:c r="O1067" t="str">
        <x:v>Budget</x:v>
      </x:c>
      <x:c r="P1067" t="n">
        <x:v>5</x:v>
      </x:c>
      <x:c r="Q1067" t="str">
        <x:f>IFERROR(XLOOKUP(E1067,Lookups!$A$5:$A$24,Lookups!$B$5:$B$24),"Other")</x:f>
        <x:v>LinkedIn</x:v>
      </x:c>
      <x:c r="R1067" t="str">
        <x:f>IFERROR(XLOOKUP(F1067,Lookups!$D$5:$D$10,Lookups!$E$5:$E$10),"Unknown Product")</x:f>
        <x:v>Revenue Operations Suite</x:v>
      </x:c>
      <x:c r="S1067" t="str">
        <x:f>IFERROR(XLOOKUP(F1067,Lookups!$D$5:$D$10,Lookups!$F$5:$F$10),"Unknown")</x:f>
        <x:v>Revenue Ops</x:v>
      </x:c>
      <x:c r="T1067" t="str">
        <x:f>IF(L1067&gt;=50000,"Enterprise",IF(L1067&gt;=20000,"Mid-Market","SMB"))</x:f>
        <x:v>Mid-Market</x:v>
      </x:c>
      <x:c r="U1067" t="str">
        <x:f>IF(I1067="Closed Won","Won",IF(I1067="Closed Lost","Lost","Open"))</x:f>
        <x:v>Lost</x:v>
      </x:c>
      <x:c r="V1067" s="22" t="n">
        <x:f>IF(U1067="Won",L1067*(1-M1067),0)</x:f>
        <x:v>0</x:v>
      </x:c>
      <x:c r="W1067" s="22" t="n">
        <x:f>IF(U1067="Open",L1067*N1067,0)</x:f>
        <x:v>0</x:v>
      </x:c>
      <x:c r="X1067" s="26" t="n">
        <x:f>IF(U1067="Open","",IFERROR(K1067-B1067,""))</x:f>
        <x:v>39</x:v>
      </x:c>
      <x:c r="Y1067" s="26" t="n">
        <x:f>IF(U1067="Open",Lookups!$B$2-B1067,X1067)</x:f>
        <x:v>39</x:v>
      </x:c>
      <x:c r="Z1067" t="str">
        <x:f>IF(AND(U1067="Open",Y1067&gt;30),"STALE","OK")</x:f>
        <x:v>OK</x:v>
      </x:c>
      <x:c r="AA1067" t="str">
        <x:f>TEXT(B1067,"yyyy-mm")</x:f>
        <x:v>2025-11</x:v>
      </x:c>
      <x:c r="AB1067" t="str">
        <x:f>IF(K1067="","",TEXT(K1067,"yyyy-mm"))</x:f>
        <x:v>2025-12</x:v>
      </x:c>
      <x:c r="AC1067" t="str">
        <x:f>"Q"&amp;ROUNDUP(MONTH(B1067)/3,0)&amp;"-"&amp;YEAR(B1067)</x:f>
        <x:v>Q4-2025</x:v>
      </x:c>
      <x:c r="AD1067" s="26" t="n">
        <x:f>MIN(100,IF(H1067="Enterprise",30,IF(H1067="Mid-Market",22,14))+IF(T1067="Enterprise",25,IF(T1067="Mid-Market",18,10))+IF(Q1067="Referral",25,IF(Q1067="Organic Search",20,IF(Q1067="Email",18,14)))+IF(G1067="Technology",10,5))</x:f>
        <x:v>51</x:v>
      </x:c>
      <x:c r="AE1067" t="str">
        <x:f>IF(U1067&lt;&gt;"Open",U1067,IF(N1067&gt;=0.8,"Commit",IF(N1067&gt;=0.5,"Best Case","Pipeline")))</x:f>
        <x:v>Lost</x:v>
      </x:c>
    </x:row>
    <x:row r="1068">
      <x:c r="A1068" t="str">
        <x:v>L01067</x:v>
      </x:c>
      <x:c r="B1068" s="10" t="n">
        <x:v>45952</x:v>
      </x:c>
      <x:c r="C1068" t="str">
        <x:v>Bao Tran</x:v>
      </x:c>
      <x:c r="D1068" t="str">
        <x:v>South</x:v>
      </x:c>
      <x:c r="E1068" t="str">
        <x:v>SEO</x:v>
      </x:c>
      <x:c r="F1068" t="str">
        <x:v>MKT-AUTO</x:v>
      </x:c>
      <x:c r="G1068" t="str">
        <x:v>Education</x:v>
      </x:c>
      <x:c r="H1068" t="str">
        <x:v>Mid-Market</x:v>
      </x:c>
      <x:c r="I1068" t="str">
        <x:v>Closed Lost</x:v>
      </x:c>
      <x:c r="J1068" s="10" t="n">
        <x:v>46015</x:v>
      </x:c>
      <x:c r="K1068" s="10" t="n">
        <x:v>46015</x:v>
      </x:c>
      <x:c r="L1068" s="22" t="n">
        <x:v>29200</x:v>
      </x:c>
      <x:c r="M1068" s="24" t="n">
        <x:v>0</x:v>
      </x:c>
      <x:c r="N1068" s="24" t="n">
        <x:v>0</x:v>
      </x:c>
      <x:c r="O1068" t="str">
        <x:v>No Decision</x:v>
      </x:c>
      <x:c r="P1068" t="n">
        <x:v>2</x:v>
      </x:c>
      <x:c r="Q1068" t="str">
        <x:f>IFERROR(XLOOKUP(E1068,Lookups!$A$5:$A$24,Lookups!$B$5:$B$24),"Other")</x:f>
        <x:v>Organic Search</x:v>
      </x:c>
      <x:c r="R1068" t="str">
        <x:f>IFERROR(XLOOKUP(F1068,Lookups!$D$5:$D$10,Lookups!$E$5:$E$10),"Unknown Product")</x:f>
        <x:v>Marketing Automation</x:v>
      </x:c>
      <x:c r="S1068" t="str">
        <x:f>IFERROR(XLOOKUP(F1068,Lookups!$D$5:$D$10,Lookups!$F$5:$F$10),"Unknown")</x:f>
        <x:v>Marketing</x:v>
      </x:c>
      <x:c r="T1068" t="str">
        <x:f>IF(L1068&gt;=50000,"Enterprise",IF(L1068&gt;=20000,"Mid-Market","SMB"))</x:f>
        <x:v>Mid-Market</x:v>
      </x:c>
      <x:c r="U1068" t="str">
        <x:f>IF(I1068="Closed Won","Won",IF(I1068="Closed Lost","Lost","Open"))</x:f>
        <x:v>Lost</x:v>
      </x:c>
      <x:c r="V1068" s="22" t="n">
        <x:f>IF(U1068="Won",L1068*(1-M1068),0)</x:f>
        <x:v>0</x:v>
      </x:c>
      <x:c r="W1068" s="22" t="n">
        <x:f>IF(U1068="Open",L1068*N1068,0)</x:f>
        <x:v>0</x:v>
      </x:c>
      <x:c r="X1068" s="26" t="n">
        <x:f>IF(U1068="Open","",IFERROR(K1068-B1068,""))</x:f>
        <x:v>63</x:v>
      </x:c>
      <x:c r="Y1068" s="26" t="n">
        <x:f>IF(U1068="Open",Lookups!$B$2-B1068,X1068)</x:f>
        <x:v>63</x:v>
      </x:c>
      <x:c r="Z1068" t="str">
        <x:f>IF(AND(U1068="Open",Y1068&gt;30),"STALE","OK")</x:f>
        <x:v>OK</x:v>
      </x:c>
      <x:c r="AA1068" t="str">
        <x:f>TEXT(B1068,"yyyy-mm")</x:f>
        <x:v>2025-10</x:v>
      </x:c>
      <x:c r="AB1068" t="str">
        <x:f>IF(K1068="","",TEXT(K1068,"yyyy-mm"))</x:f>
        <x:v>2025-12</x:v>
      </x:c>
      <x:c r="AC1068" t="str">
        <x:f>"Q"&amp;ROUNDUP(MONTH(B1068)/3,0)&amp;"-"&amp;YEAR(B1068)</x:f>
        <x:v>Q4-2025</x:v>
      </x:c>
      <x:c r="AD1068" s="26" t="n">
        <x:f>MIN(100,IF(H1068="Enterprise",30,IF(H1068="Mid-Market",22,14))+IF(T1068="Enterprise",25,IF(T1068="Mid-Market",18,10))+IF(Q1068="Referral",25,IF(Q1068="Organic Search",20,IF(Q1068="Email",18,14)))+IF(G1068="Technology",10,5))</x:f>
        <x:v>65</x:v>
      </x:c>
      <x:c r="AE1068" t="str">
        <x:f>IF(U1068&lt;&gt;"Open",U1068,IF(N1068&gt;=0.8,"Commit",IF(N1068&gt;=0.5,"Best Case","Pipeline")))</x:f>
        <x:v>Lost</x:v>
      </x:c>
    </x:row>
    <x:row r="1069">
      <x:c r="A1069" t="str">
        <x:v>L01068</x:v>
      </x:c>
      <x:c r="B1069" s="10" t="n">
        <x:v>46101</x:v>
      </x:c>
      <x:c r="C1069" t="str">
        <x:v>An Nguyen</x:v>
      </x:c>
      <x:c r="D1069" t="str">
        <x:v>South</x:v>
      </x:c>
      <x:c r="E1069" t="str">
        <x:v>google cpc</x:v>
      </x:c>
      <x:c r="F1069" t="str">
        <x:v>MKT-AUTO</x:v>
      </x:c>
      <x:c r="G1069" t="str">
        <x:v>Education</x:v>
      </x:c>
      <x:c r="H1069" t="str">
        <x:v>Enterprise</x:v>
      </x:c>
      <x:c r="I1069" t="str">
        <x:v>Closed Lost</x:v>
      </x:c>
      <x:c r="J1069" s="10" t="n">
        <x:v>46161</x:v>
      </x:c>
      <x:c r="K1069" s="10" t="n">
        <x:v>46161</x:v>
      </x:c>
      <x:c r="L1069" s="22" t="n">
        <x:v>34900</x:v>
      </x:c>
      <x:c r="M1069" s="24" t="n">
        <x:v>0</x:v>
      </x:c>
      <x:c r="N1069" s="24" t="n">
        <x:v>0</x:v>
      </x:c>
      <x:c r="O1069" t="str">
        <x:v>Timing</x:v>
      </x:c>
      <x:c r="P1069" t="n">
        <x:v>5</x:v>
      </x:c>
      <x:c r="Q1069" t="str">
        <x:f>IFERROR(XLOOKUP(E1069,Lookups!$A$5:$A$24,Lookups!$B$5:$B$24),"Other")</x:f>
        <x:v>Paid Search</x:v>
      </x:c>
      <x:c r="R1069" t="str">
        <x:f>IFERROR(XLOOKUP(F1069,Lookups!$D$5:$D$10,Lookups!$E$5:$E$10),"Unknown Product")</x:f>
        <x:v>Marketing Automation</x:v>
      </x:c>
      <x:c r="S1069" t="str">
        <x:f>IFERROR(XLOOKUP(F1069,Lookups!$D$5:$D$10,Lookups!$F$5:$F$10),"Unknown")</x:f>
        <x:v>Marketing</x:v>
      </x:c>
      <x:c r="T1069" t="str">
        <x:f>IF(L1069&gt;=50000,"Enterprise",IF(L1069&gt;=20000,"Mid-Market","SMB"))</x:f>
        <x:v>Mid-Market</x:v>
      </x:c>
      <x:c r="U1069" t="str">
        <x:f>IF(I1069="Closed Won","Won",IF(I1069="Closed Lost","Lost","Open"))</x:f>
        <x:v>Lost</x:v>
      </x:c>
      <x:c r="V1069" s="22" t="n">
        <x:f>IF(U1069="Won",L1069*(1-M1069),0)</x:f>
        <x:v>0</x:v>
      </x:c>
      <x:c r="W1069" s="22" t="n">
        <x:f>IF(U1069="Open",L1069*N1069,0)</x:f>
        <x:v>0</x:v>
      </x:c>
      <x:c r="X1069" s="26" t="n">
        <x:f>IF(U1069="Open","",IFERROR(K1069-B1069,""))</x:f>
        <x:v>60</x:v>
      </x:c>
      <x:c r="Y1069" s="26" t="n">
        <x:f>IF(U1069="Open",Lookups!$B$2-B1069,X1069)</x:f>
        <x:v>60</x:v>
      </x:c>
      <x:c r="Z1069" t="str">
        <x:f>IF(AND(U1069="Open",Y1069&gt;30),"STALE","OK")</x:f>
        <x:v>OK</x:v>
      </x:c>
      <x:c r="AA1069" t="str">
        <x:f>TEXT(B1069,"yyyy-mm")</x:f>
        <x:v>2026-03</x:v>
      </x:c>
      <x:c r="AB1069" t="str">
        <x:f>IF(K1069="","",TEXT(K1069,"yyyy-mm"))</x:f>
        <x:v>2026-05</x:v>
      </x:c>
      <x:c r="AC1069" t="str">
        <x:f>"Q"&amp;ROUNDUP(MONTH(B1069)/3,0)&amp;"-"&amp;YEAR(B1069)</x:f>
        <x:v>Q1-2026</x:v>
      </x:c>
      <x:c r="AD1069" s="26" t="n">
        <x:f>MIN(100,IF(H1069="Enterprise",30,IF(H1069="Mid-Market",22,14))+IF(T1069="Enterprise",25,IF(T1069="Mid-Market",18,10))+IF(Q1069="Referral",25,IF(Q1069="Organic Search",20,IF(Q1069="Email",18,14)))+IF(G1069="Technology",10,5))</x:f>
        <x:v>67</x:v>
      </x:c>
      <x:c r="AE1069" t="str">
        <x:f>IF(U1069&lt;&gt;"Open",U1069,IF(N1069&gt;=0.8,"Commit",IF(N1069&gt;=0.5,"Best Case","Pipeline")))</x:f>
        <x:v>Lost</x:v>
      </x:c>
    </x:row>
    <x:row r="1070">
      <x:c r="A1070" t="str">
        <x:v>L01069</x:v>
      </x:c>
      <x:c r="B1070" s="10" t="n">
        <x:v>46191</x:v>
      </x:c>
      <x:c r="C1070" t="str">
        <x:v>Ha Vo</x:v>
      </x:c>
      <x:c r="D1070" t="str">
        <x:v>North</x:v>
      </x:c>
      <x:c r="E1070" t="str">
        <x:v>SEM - Google</x:v>
      </x:c>
      <x:c r="F1070" t="str">
        <x:v>CS-CLOUD</x:v>
      </x:c>
      <x:c r="G1070" t="str">
        <x:v>Retail</x:v>
      </x:c>
      <x:c r="H1070" t="str">
        <x:v>Mid-Market</x:v>
      </x:c>
      <x:c r="I1070" t="str">
        <x:v>Closed Lost</x:v>
      </x:c>
      <x:c r="J1070" s="10" t="n">
        <x:v>46254</x:v>
      </x:c>
      <x:c r="K1070" s="10" t="n">
        <x:v>46254</x:v>
      </x:c>
      <x:c r="L1070" s="22" t="n">
        <x:v>47400</x:v>
      </x:c>
      <x:c r="M1070" s="24" t="n">
        <x:v>0</x:v>
      </x:c>
      <x:c r="N1070" s="24" t="n">
        <x:v>0</x:v>
      </x:c>
      <x:c r="O1070" t="str">
        <x:v>Price</x:v>
      </x:c>
      <x:c r="P1070" t="n">
        <x:v>4</x:v>
      </x:c>
      <x:c r="Q1070" t="str">
        <x:f>IFERROR(XLOOKUP(E1070,Lookups!$A$5:$A$24,Lookups!$B$5:$B$24),"Other")</x:f>
        <x:v>Paid Search</x:v>
      </x:c>
      <x:c r="R1070" t="str">
        <x:f>IFERROR(XLOOKUP(F1070,Lookups!$D$5:$D$10,Lookups!$E$5:$E$10),"Unknown Product")</x:f>
        <x:v>Service Cloud</x:v>
      </x:c>
      <x:c r="S1070" t="str">
        <x:f>IFERROR(XLOOKUP(F1070,Lookups!$D$5:$D$10,Lookups!$F$5:$F$10),"Unknown")</x:f>
        <x:v>Customer Service</x:v>
      </x:c>
      <x:c r="T1070" t="str">
        <x:f>IF(L1070&gt;=50000,"Enterprise",IF(L1070&gt;=20000,"Mid-Market","SMB"))</x:f>
        <x:v>Mid-Market</x:v>
      </x:c>
      <x:c r="U1070" t="str">
        <x:f>IF(I1070="Closed Won","Won",IF(I1070="Closed Lost","Lost","Open"))</x:f>
        <x:v>Lost</x:v>
      </x:c>
      <x:c r="V1070" s="22" t="n">
        <x:f>IF(U1070="Won",L1070*(1-M1070),0)</x:f>
        <x:v>0</x:v>
      </x:c>
      <x:c r="W1070" s="22" t="n">
        <x:f>IF(U1070="Open",L1070*N1070,0)</x:f>
        <x:v>0</x:v>
      </x:c>
      <x:c r="X1070" s="26" t="n">
        <x:f>IF(U1070="Open","",IFERROR(K1070-B1070,""))</x:f>
        <x:v>63</x:v>
      </x:c>
      <x:c r="Y1070" s="26" t="n">
        <x:f>IF(U1070="Open",Lookups!$B$2-B1070,X1070)</x:f>
        <x:v>63</x:v>
      </x:c>
      <x:c r="Z1070" t="str">
        <x:f>IF(AND(U1070="Open",Y1070&gt;30),"STALE","OK")</x:f>
        <x:v>OK</x:v>
      </x:c>
      <x:c r="AA1070" t="str">
        <x:f>TEXT(B1070,"yyyy-mm")</x:f>
        <x:v>2026-06</x:v>
      </x:c>
      <x:c r="AB1070" t="str">
        <x:f>IF(K1070="","",TEXT(K1070,"yyyy-mm"))</x:f>
        <x:v>2026-08</x:v>
      </x:c>
      <x:c r="AC1070" t="str">
        <x:f>"Q"&amp;ROUNDUP(MONTH(B1070)/3,0)&amp;"-"&amp;YEAR(B1070)</x:f>
        <x:v>Q2-2026</x:v>
      </x:c>
      <x:c r="AD1070" s="26" t="n">
        <x:f>MIN(100,IF(H1070="Enterprise",30,IF(H1070="Mid-Market",22,14))+IF(T1070="Enterprise",25,IF(T1070="Mid-Market",18,10))+IF(Q1070="Referral",25,IF(Q1070="Organic Search",20,IF(Q1070="Email",18,14)))+IF(G1070="Technology",10,5))</x:f>
        <x:v>59</x:v>
      </x:c>
      <x:c r="AE1070" t="str">
        <x:f>IF(U1070&lt;&gt;"Open",U1070,IF(N1070&gt;=0.8,"Commit",IF(N1070&gt;=0.5,"Best Case","Pipeline")))</x:f>
        <x:v>Lost</x:v>
      </x:c>
    </x:row>
    <x:row r="1071">
      <x:c r="A1071" t="str">
        <x:v>L01070</x:v>
      </x:c>
      <x:c r="B1071" s="10" t="n">
        <x:v>45989</x:v>
      </x:c>
      <x:c r="C1071" t="str">
        <x:v>Chi Le</x:v>
      </x:c>
      <x:c r="D1071" t="str">
        <x:v>South</x:v>
      </x:c>
      <x:c r="E1071" t="str">
        <x:v>organic search</x:v>
      </x:c>
      <x:c r="F1071" t="str">
        <x:v>CRM-PRO</x:v>
      </x:c>
      <x:c r="G1071" t="str">
        <x:v>Manufacturing</x:v>
      </x:c>
      <x:c r="H1071" t="str">
        <x:v>SMB</x:v>
      </x:c>
      <x:c r="I1071" t="str">
        <x:v>Closed Lost</x:v>
      </x:c>
      <x:c r="J1071" s="10" t="n">
        <x:v>46024</x:v>
      </x:c>
      <x:c r="K1071" s="10" t="n">
        <x:v>46024</x:v>
      </x:c>
      <x:c r="L1071" s="22" t="n">
        <x:v>21300</x:v>
      </x:c>
      <x:c r="M1071" s="24" t="n">
        <x:v>0</x:v>
      </x:c>
      <x:c r="N1071" s="24" t="n">
        <x:v>0</x:v>
      </x:c>
      <x:c r="O1071" t="str">
        <x:v>No Decision</x:v>
      </x:c>
      <x:c r="P1071" t="n">
        <x:v>2</x:v>
      </x:c>
      <x:c r="Q1071" t="str">
        <x:f>IFERROR(XLOOKUP(E1071,Lookups!$A$5:$A$24,Lookups!$B$5:$B$24),"Other")</x:f>
        <x:v>Organic Search</x:v>
      </x:c>
      <x:c r="R1071" t="str">
        <x:f>IFERROR(XLOOKUP(F1071,Lookups!$D$5:$D$10,Lookups!$E$5:$E$10),"Unknown Product")</x:f>
        <x:v>NexaCRM Pro</x:v>
      </x:c>
      <x:c r="S1071" t="str">
        <x:f>IFERROR(XLOOKUP(F1071,Lookups!$D$5:$D$10,Lookups!$F$5:$F$10),"Unknown")</x:f>
        <x:v>CRM</x:v>
      </x:c>
      <x:c r="T1071" t="str">
        <x:f>IF(L1071&gt;=50000,"Enterprise",IF(L1071&gt;=20000,"Mid-Market","SMB"))</x:f>
        <x:v>Mid-Market</x:v>
      </x:c>
      <x:c r="U1071" t="str">
        <x:f>IF(I1071="Closed Won","Won",IF(I1071="Closed Lost","Lost","Open"))</x:f>
        <x:v>Lost</x:v>
      </x:c>
      <x:c r="V1071" s="22" t="n">
        <x:f>IF(U1071="Won",L1071*(1-M1071),0)</x:f>
        <x:v>0</x:v>
      </x:c>
      <x:c r="W1071" s="22" t="n">
        <x:f>IF(U1071="Open",L1071*N1071,0)</x:f>
        <x:v>0</x:v>
      </x:c>
      <x:c r="X1071" s="26" t="n">
        <x:f>IF(U1071="Open","",IFERROR(K1071-B1071,""))</x:f>
        <x:v>35</x:v>
      </x:c>
      <x:c r="Y1071" s="26" t="n">
        <x:f>IF(U1071="Open",Lookups!$B$2-B1071,X1071)</x:f>
        <x:v>35</x:v>
      </x:c>
      <x:c r="Z1071" t="str">
        <x:f>IF(AND(U1071="Open",Y1071&gt;30),"STALE","OK")</x:f>
        <x:v>OK</x:v>
      </x:c>
      <x:c r="AA1071" t="str">
        <x:f>TEXT(B1071,"yyyy-mm")</x:f>
        <x:v>2025-11</x:v>
      </x:c>
      <x:c r="AB1071" t="str">
        <x:f>IF(K1071="","",TEXT(K1071,"yyyy-mm"))</x:f>
        <x:v>2026-01</x:v>
      </x:c>
      <x:c r="AC1071" t="str">
        <x:f>"Q"&amp;ROUNDUP(MONTH(B1071)/3,0)&amp;"-"&amp;YEAR(B1071)</x:f>
        <x:v>Q4-2025</x:v>
      </x:c>
      <x:c r="AD1071" s="26" t="n">
        <x:f>MIN(100,IF(H1071="Enterprise",30,IF(H1071="Mid-Market",22,14))+IF(T1071="Enterprise",25,IF(T1071="Mid-Market",18,10))+IF(Q1071="Referral",25,IF(Q1071="Organic Search",20,IF(Q1071="Email",18,14)))+IF(G1071="Technology",10,5))</x:f>
        <x:v>57</x:v>
      </x:c>
      <x:c r="AE1071" t="str">
        <x:f>IF(U1071&lt;&gt;"Open",U1071,IF(N1071&gt;=0.8,"Commit",IF(N1071&gt;=0.5,"Best Case","Pipeline")))</x:f>
        <x:v>Lost</x:v>
      </x:c>
    </x:row>
    <x:row r="1072">
      <x:c r="A1072" t="str">
        <x:v>L01071</x:v>
      </x:c>
      <x:c r="B1072" s="10" t="n">
        <x:v>45817</x:v>
      </x:c>
      <x:c r="C1072" t="str">
        <x:v>Duy Pham</x:v>
      </x:c>
      <x:c r="D1072" t="str">
        <x:v>South</x:v>
      </x:c>
      <x:c r="E1072" t="str">
        <x:v>google cpc</x:v>
      </x:c>
      <x:c r="F1072" t="str">
        <x:v>MKT-AUTO</x:v>
      </x:c>
      <x:c r="G1072" t="str">
        <x:v>Retail</x:v>
      </x:c>
      <x:c r="H1072" t="str">
        <x:v>Mid-Market</x:v>
      </x:c>
      <x:c r="I1072" t="str">
        <x:v>Closed Lost</x:v>
      </x:c>
      <x:c r="J1072" s="10" t="n">
        <x:v>45848</x:v>
      </x:c>
      <x:c r="K1072" s="10" t="n">
        <x:v>45848</x:v>
      </x:c>
      <x:c r="L1072" s="22" t="n">
        <x:v>24200</x:v>
      </x:c>
      <x:c r="M1072" s="24" t="n">
        <x:v>0</x:v>
      </x:c>
      <x:c r="N1072" s="24" t="n">
        <x:v>0</x:v>
      </x:c>
      <x:c r="O1072" t="str">
        <x:v>Budget</x:v>
      </x:c>
      <x:c r="P1072" t="n">
        <x:v>3</x:v>
      </x:c>
      <x:c r="Q1072" t="str">
        <x:f>IFERROR(XLOOKUP(E1072,Lookups!$A$5:$A$24,Lookups!$B$5:$B$24),"Other")</x:f>
        <x:v>Paid Search</x:v>
      </x:c>
      <x:c r="R1072" t="str">
        <x:f>IFERROR(XLOOKUP(F1072,Lookups!$D$5:$D$10,Lookups!$E$5:$E$10),"Unknown Product")</x:f>
        <x:v>Marketing Automation</x:v>
      </x:c>
      <x:c r="S1072" t="str">
        <x:f>IFERROR(XLOOKUP(F1072,Lookups!$D$5:$D$10,Lookups!$F$5:$F$10),"Unknown")</x:f>
        <x:v>Marketing</x:v>
      </x:c>
      <x:c r="T1072" t="str">
        <x:f>IF(L1072&gt;=50000,"Enterprise",IF(L1072&gt;=20000,"Mid-Market","SMB"))</x:f>
        <x:v>Mid-Market</x:v>
      </x:c>
      <x:c r="U1072" t="str">
        <x:f>IF(I1072="Closed Won","Won",IF(I1072="Closed Lost","Lost","Open"))</x:f>
        <x:v>Lost</x:v>
      </x:c>
      <x:c r="V1072" s="22" t="n">
        <x:f>IF(U1072="Won",L1072*(1-M1072),0)</x:f>
        <x:v>0</x:v>
      </x:c>
      <x:c r="W1072" s="22" t="n">
        <x:f>IF(U1072="Open",L1072*N1072,0)</x:f>
        <x:v>0</x:v>
      </x:c>
      <x:c r="X1072" s="26" t="n">
        <x:f>IF(U1072="Open","",IFERROR(K1072-B1072,""))</x:f>
        <x:v>31</x:v>
      </x:c>
      <x:c r="Y1072" s="26" t="n">
        <x:f>IF(U1072="Open",Lookups!$B$2-B1072,X1072)</x:f>
        <x:v>31</x:v>
      </x:c>
      <x:c r="Z1072" t="str">
        <x:f>IF(AND(U1072="Open",Y1072&gt;30),"STALE","OK")</x:f>
        <x:v>OK</x:v>
      </x:c>
      <x:c r="AA1072" t="str">
        <x:f>TEXT(B1072,"yyyy-mm")</x:f>
        <x:v>2025-06</x:v>
      </x:c>
      <x:c r="AB1072" t="str">
        <x:f>IF(K1072="","",TEXT(K1072,"yyyy-mm"))</x:f>
        <x:v>2025-07</x:v>
      </x:c>
      <x:c r="AC1072" t="str">
        <x:f>"Q"&amp;ROUNDUP(MONTH(B1072)/3,0)&amp;"-"&amp;YEAR(B1072)</x:f>
        <x:v>Q2-2025</x:v>
      </x:c>
      <x:c r="AD1072" s="26" t="n">
        <x:f>MIN(100,IF(H1072="Enterprise",30,IF(H1072="Mid-Market",22,14))+IF(T1072="Enterprise",25,IF(T1072="Mid-Market",18,10))+IF(Q1072="Referral",25,IF(Q1072="Organic Search",20,IF(Q1072="Email",18,14)))+IF(G1072="Technology",10,5))</x:f>
        <x:v>59</x:v>
      </x:c>
      <x:c r="AE1072" t="str">
        <x:f>IF(U1072&lt;&gt;"Open",U1072,IF(N1072&gt;=0.8,"Commit",IF(N1072&gt;=0.5,"Best Case","Pipeline")))</x:f>
        <x:v>Lost</x:v>
      </x:c>
    </x:row>
    <x:row r="1073">
      <x:c r="A1073" t="str">
        <x:v>L01072</x:v>
      </x:c>
      <x:c r="B1073" s="10" t="n">
        <x:v>46167</x:v>
      </x:c>
      <x:c r="C1073" t="str">
        <x:v>Duy Pham</x:v>
      </x:c>
      <x:c r="D1073" t="str">
        <x:v>South</x:v>
      </x:c>
      <x:c r="E1073" t="str">
        <x:v>customer referral</x:v>
      </x:c>
      <x:c r="F1073" t="str">
        <x:v>CS-CLOUD</x:v>
      </x:c>
      <x:c r="G1073" t="str">
        <x:v>Healthcare</x:v>
      </x:c>
      <x:c r="H1073" t="str">
        <x:v>Enterprise</x:v>
      </x:c>
      <x:c r="I1073" t="str">
        <x:v>Closed Lost</x:v>
      </x:c>
      <x:c r="J1073" s="10" t="n">
        <x:v>46183</x:v>
      </x:c>
      <x:c r="K1073" s="10" t="n">
        <x:v>46183</x:v>
      </x:c>
      <x:c r="L1073" s="22" t="n">
        <x:v>44300</x:v>
      </x:c>
      <x:c r="M1073" s="24" t="n">
        <x:v>0</x:v>
      </x:c>
      <x:c r="N1073" s="24" t="n">
        <x:v>0</x:v>
      </x:c>
      <x:c r="O1073" t="str">
        <x:v>Price</x:v>
      </x:c>
      <x:c r="P1073" t="n">
        <x:v>2</x:v>
      </x:c>
      <x:c r="Q1073" t="str">
        <x:f>IFERROR(XLOOKUP(E1073,Lookups!$A$5:$A$24,Lookups!$B$5:$B$24),"Other")</x:f>
        <x:v>Referral</x:v>
      </x:c>
      <x:c r="R1073" t="str">
        <x:f>IFERROR(XLOOKUP(F1073,Lookups!$D$5:$D$10,Lookups!$E$5:$E$10),"Unknown Product")</x:f>
        <x:v>Service Cloud</x:v>
      </x:c>
      <x:c r="S1073" t="str">
        <x:f>IFERROR(XLOOKUP(F1073,Lookups!$D$5:$D$10,Lookups!$F$5:$F$10),"Unknown")</x:f>
        <x:v>Customer Service</x:v>
      </x:c>
      <x:c r="T1073" t="str">
        <x:f>IF(L1073&gt;=50000,"Enterprise",IF(L1073&gt;=20000,"Mid-Market","SMB"))</x:f>
        <x:v>Mid-Market</x:v>
      </x:c>
      <x:c r="U1073" t="str">
        <x:f>IF(I1073="Closed Won","Won",IF(I1073="Closed Lost","Lost","Open"))</x:f>
        <x:v>Lost</x:v>
      </x:c>
      <x:c r="V1073" s="22" t="n">
        <x:f>IF(U1073="Won",L1073*(1-M1073),0)</x:f>
        <x:v>0</x:v>
      </x:c>
      <x:c r="W1073" s="22" t="n">
        <x:f>IF(U1073="Open",L1073*N1073,0)</x:f>
        <x:v>0</x:v>
      </x:c>
      <x:c r="X1073" s="26" t="n">
        <x:f>IF(U1073="Open","",IFERROR(K1073-B1073,""))</x:f>
        <x:v>16</x:v>
      </x:c>
      <x:c r="Y1073" s="26" t="n">
        <x:f>IF(U1073="Open",Lookups!$B$2-B1073,X1073)</x:f>
        <x:v>16</x:v>
      </x:c>
      <x:c r="Z1073" t="str">
        <x:f>IF(AND(U1073="Open",Y1073&gt;30),"STALE","OK")</x:f>
        <x:v>OK</x:v>
      </x:c>
      <x:c r="AA1073" t="str">
        <x:f>TEXT(B1073,"yyyy-mm")</x:f>
        <x:v>2026-05</x:v>
      </x:c>
      <x:c r="AB1073" t="str">
        <x:f>IF(K1073="","",TEXT(K1073,"yyyy-mm"))</x:f>
        <x:v>2026-06</x:v>
      </x:c>
      <x:c r="AC1073" t="str">
        <x:f>"Q"&amp;ROUNDUP(MONTH(B1073)/3,0)&amp;"-"&amp;YEAR(B1073)</x:f>
        <x:v>Q2-2026</x:v>
      </x:c>
      <x:c r="AD1073" s="26" t="n">
        <x:f>MIN(100,IF(H1073="Enterprise",30,IF(H1073="Mid-Market",22,14))+IF(T1073="Enterprise",25,IF(T1073="Mid-Market",18,10))+IF(Q1073="Referral",25,IF(Q1073="Organic Search",20,IF(Q1073="Email",18,14)))+IF(G1073="Technology",10,5))</x:f>
        <x:v>78</x:v>
      </x:c>
      <x:c r="AE1073" t="str">
        <x:f>IF(U1073&lt;&gt;"Open",U1073,IF(N1073&gt;=0.8,"Commit",IF(N1073&gt;=0.5,"Best Case","Pipeline")))</x:f>
        <x:v>Lost</x:v>
      </x:c>
    </x:row>
    <x:row r="1074">
      <x:c r="A1074" t="str">
        <x:v>L01073</x:v>
      </x:c>
      <x:c r="B1074" s="10" t="n">
        <x:v>45958</x:v>
      </x:c>
      <x:c r="C1074" t="str">
        <x:v>Duy Pham</x:v>
      </x:c>
      <x:c r="D1074" t="str">
        <x:v>South</x:v>
      </x:c>
      <x:c r="E1074" t="str">
        <x:v>email nurture</x:v>
      </x:c>
      <x:c r="F1074" t="str">
        <x:v>CS-CLOUD</x:v>
      </x:c>
      <x:c r="G1074" t="str">
        <x:v>Education</x:v>
      </x:c>
      <x:c r="H1074" t="str">
        <x:v>Enterprise</x:v>
      </x:c>
      <x:c r="I1074" t="str">
        <x:v>Closed Won</x:v>
      </x:c>
      <x:c r="J1074" s="10" t="n">
        <x:v>45995</x:v>
      </x:c>
      <x:c r="K1074" s="10" t="n">
        <x:v>45995</x:v>
      </x:c>
      <x:c r="L1074" s="22" t="n">
        <x:v>86400</x:v>
      </x:c>
      <x:c r="M1074" s="24" t="n">
        <x:v>0.08</x:v>
      </x:c>
      <x:c r="N1074" s="24" t="n">
        <x:v>1</x:v>
      </x:c>
      <x:c r="O1074" t="str"/>
      <x:c r="P1074" t="n">
        <x:v>6</x:v>
      </x:c>
      <x:c r="Q1074" t="str">
        <x:f>IFERROR(XLOOKUP(E1074,Lookups!$A$5:$A$24,Lookups!$B$5:$B$24),"Other")</x:f>
        <x:v>Email</x:v>
      </x:c>
      <x:c r="R1074" t="str">
        <x:f>IFERROR(XLOOKUP(F1074,Lookups!$D$5:$D$10,Lookups!$E$5:$E$10),"Unknown Product")</x:f>
        <x:v>Service Cloud</x:v>
      </x:c>
      <x:c r="S1074" t="str">
        <x:f>IFERROR(XLOOKUP(F1074,Lookups!$D$5:$D$10,Lookups!$F$5:$F$10),"Unknown")</x:f>
        <x:v>Customer Service</x:v>
      </x:c>
      <x:c r="T1074" t="str">
        <x:f>IF(L1074&gt;=50000,"Enterprise",IF(L1074&gt;=20000,"Mid-Market","SMB"))</x:f>
        <x:v>Enterprise</x:v>
      </x:c>
      <x:c r="U1074" t="str">
        <x:f>IF(I1074="Closed Won","Won",IF(I1074="Closed Lost","Lost","Open"))</x:f>
        <x:v>Won</x:v>
      </x:c>
      <x:c r="V1074" s="22" t="n">
        <x:f>IF(U1074="Won",L1074*(1-M1074),0)</x:f>
        <x:v>79488</x:v>
      </x:c>
      <x:c r="W1074" s="22" t="n">
        <x:f>IF(U1074="Open",L1074*N1074,0)</x:f>
        <x:v>0</x:v>
      </x:c>
      <x:c r="X1074" s="26" t="n">
        <x:f>IF(U1074="Open","",IFERROR(K1074-B1074,""))</x:f>
        <x:v>37</x:v>
      </x:c>
      <x:c r="Y1074" s="26" t="n">
        <x:f>IF(U1074="Open",Lookups!$B$2-B1074,X1074)</x:f>
        <x:v>37</x:v>
      </x:c>
      <x:c r="Z1074" t="str">
        <x:f>IF(AND(U1074="Open",Y1074&gt;30),"STALE","OK")</x:f>
        <x:v>OK</x:v>
      </x:c>
      <x:c r="AA1074" t="str">
        <x:f>TEXT(B1074,"yyyy-mm")</x:f>
        <x:v>2025-10</x:v>
      </x:c>
      <x:c r="AB1074" t="str">
        <x:f>IF(K1074="","",TEXT(K1074,"yyyy-mm"))</x:f>
        <x:v>2025-12</x:v>
      </x:c>
      <x:c r="AC1074" t="str">
        <x:f>"Q"&amp;ROUNDUP(MONTH(B1074)/3,0)&amp;"-"&amp;YEAR(B1074)</x:f>
        <x:v>Q4-2025</x:v>
      </x:c>
      <x:c r="AD1074" s="26" t="n">
        <x:f>MIN(100,IF(H1074="Enterprise",30,IF(H1074="Mid-Market",22,14))+IF(T1074="Enterprise",25,IF(T1074="Mid-Market",18,10))+IF(Q1074="Referral",25,IF(Q1074="Organic Search",20,IF(Q1074="Email",18,14)))+IF(G1074="Technology",10,5))</x:f>
        <x:v>78</x:v>
      </x:c>
      <x:c r="AE1074" t="str">
        <x:f>IF(U1074&lt;&gt;"Open",U1074,IF(N1074&gt;=0.8,"Commit",IF(N1074&gt;=0.5,"Best Case","Pipeline")))</x:f>
        <x:v>Won</x:v>
      </x:c>
    </x:row>
    <x:row r="1075">
      <x:c r="A1075" t="str">
        <x:v>L01074</x:v>
      </x:c>
      <x:c r="B1075" s="10" t="n">
        <x:v>46003</x:v>
      </x:c>
      <x:c r="C1075" t="str">
        <x:v>Tuan Bui</x:v>
      </x:c>
      <x:c r="D1075" t="str">
        <x:v>Central</x:v>
      </x:c>
      <x:c r="E1075" t="str">
        <x:v>SDR Outreach</x:v>
      </x:c>
      <x:c r="F1075" t="str">
        <x:v>CRM-PRO</x:v>
      </x:c>
      <x:c r="G1075" t="str">
        <x:v>Technology</x:v>
      </x:c>
      <x:c r="H1075" t="str">
        <x:v>SMB</x:v>
      </x:c>
      <x:c r="I1075" t="str">
        <x:v>Closed Lost</x:v>
      </x:c>
      <x:c r="J1075" s="10" t="n">
        <x:v>46054</x:v>
      </x:c>
      <x:c r="K1075" s="10" t="n">
        <x:v>46054</x:v>
      </x:c>
      <x:c r="L1075" s="22" t="n">
        <x:v>18700</x:v>
      </x:c>
      <x:c r="M1075" s="24" t="n">
        <x:v>0</x:v>
      </x:c>
      <x:c r="N1075" s="24" t="n">
        <x:v>0</x:v>
      </x:c>
      <x:c r="O1075" t="str">
        <x:v>Price</x:v>
      </x:c>
      <x:c r="P1075" t="n">
        <x:v>4</x:v>
      </x:c>
      <x:c r="Q1075" t="str">
        <x:f>IFERROR(XLOOKUP(E1075,Lookups!$A$5:$A$24,Lookups!$B$5:$B$24),"Other")</x:f>
        <x:v>Outbound</x:v>
      </x:c>
      <x:c r="R1075" t="str">
        <x:f>IFERROR(XLOOKUP(F1075,Lookups!$D$5:$D$10,Lookups!$E$5:$E$10),"Unknown Product")</x:f>
        <x:v>NexaCRM Pro</x:v>
      </x:c>
      <x:c r="S1075" t="str">
        <x:f>IFERROR(XLOOKUP(F1075,Lookups!$D$5:$D$10,Lookups!$F$5:$F$10),"Unknown")</x:f>
        <x:v>CRM</x:v>
      </x:c>
      <x:c r="T1075" t="str">
        <x:f>IF(L1075&gt;=50000,"Enterprise",IF(L1075&gt;=20000,"Mid-Market","SMB"))</x:f>
        <x:v>SMB</x:v>
      </x:c>
      <x:c r="U1075" t="str">
        <x:f>IF(I1075="Closed Won","Won",IF(I1075="Closed Lost","Lost","Open"))</x:f>
        <x:v>Lost</x:v>
      </x:c>
      <x:c r="V1075" s="22" t="n">
        <x:f>IF(U1075="Won",L1075*(1-M1075),0)</x:f>
        <x:v>0</x:v>
      </x:c>
      <x:c r="W1075" s="22" t="n">
        <x:f>IF(U1075="Open",L1075*N1075,0)</x:f>
        <x:v>0</x:v>
      </x:c>
      <x:c r="X1075" s="26" t="n">
        <x:f>IF(U1075="Open","",IFERROR(K1075-B1075,""))</x:f>
        <x:v>51</x:v>
      </x:c>
      <x:c r="Y1075" s="26" t="n">
        <x:f>IF(U1075="Open",Lookups!$B$2-B1075,X1075)</x:f>
        <x:v>51</x:v>
      </x:c>
      <x:c r="Z1075" t="str">
        <x:f>IF(AND(U1075="Open",Y1075&gt;30),"STALE","OK")</x:f>
        <x:v>OK</x:v>
      </x:c>
      <x:c r="AA1075" t="str">
        <x:f>TEXT(B1075,"yyyy-mm")</x:f>
        <x:v>2025-12</x:v>
      </x:c>
      <x:c r="AB1075" t="str">
        <x:f>IF(K1075="","",TEXT(K1075,"yyyy-mm"))</x:f>
        <x:v>2026-02</x:v>
      </x:c>
      <x:c r="AC1075" t="str">
        <x:f>"Q"&amp;ROUNDUP(MONTH(B1075)/3,0)&amp;"-"&amp;YEAR(B1075)</x:f>
        <x:v>Q4-2025</x:v>
      </x:c>
      <x:c r="AD1075" s="26" t="n">
        <x:f>MIN(100,IF(H1075="Enterprise",30,IF(H1075="Mid-Market",22,14))+IF(T1075="Enterprise",25,IF(T1075="Mid-Market",18,10))+IF(Q1075="Referral",25,IF(Q1075="Organic Search",20,IF(Q1075="Email",18,14)))+IF(G1075="Technology",10,5))</x:f>
        <x:v>48</x:v>
      </x:c>
      <x:c r="AE1075" t="str">
        <x:f>IF(U1075&lt;&gt;"Open",U1075,IF(N1075&gt;=0.8,"Commit",IF(N1075&gt;=0.5,"Best Case","Pipeline")))</x:f>
        <x:v>Lost</x:v>
      </x:c>
    </x:row>
    <x:row r="1076">
      <x:c r="A1076" t="str">
        <x:v>L01075</x:v>
      </x:c>
      <x:c r="B1076" s="10" t="n">
        <x:v>46154</x:v>
      </x:c>
      <x:c r="C1076" t="str">
        <x:v>An Nguyen</x:v>
      </x:c>
      <x:c r="D1076" t="str">
        <x:v>South</x:v>
      </x:c>
      <x:c r="E1076" t="str">
        <x:v>Outbound</x:v>
      </x:c>
      <x:c r="F1076" t="str">
        <x:v>CS-CLOUD</x:v>
      </x:c>
      <x:c r="G1076" t="str">
        <x:v>Manufacturing</x:v>
      </x:c>
      <x:c r="H1076" t="str">
        <x:v>Mid-Market</x:v>
      </x:c>
      <x:c r="I1076" t="str">
        <x:v>Closed Lost</x:v>
      </x:c>
      <x:c r="J1076" s="10" t="n">
        <x:v>46198</x:v>
      </x:c>
      <x:c r="K1076" s="10" t="n">
        <x:v>46198</x:v>
      </x:c>
      <x:c r="L1076" s="22" t="n">
        <x:v>24100</x:v>
      </x:c>
      <x:c r="M1076" s="24" t="n">
        <x:v>0</x:v>
      </x:c>
      <x:c r="N1076" s="24" t="n">
        <x:v>0</x:v>
      </x:c>
      <x:c r="O1076" t="str">
        <x:v>Timing</x:v>
      </x:c>
      <x:c r="P1076" t="n">
        <x:v>2</x:v>
      </x:c>
      <x:c r="Q1076" t="str">
        <x:f>IFERROR(XLOOKUP(E1076,Lookups!$A$5:$A$24,Lookups!$B$5:$B$24),"Other")</x:f>
        <x:v>Outbound</x:v>
      </x:c>
      <x:c r="R1076" t="str">
        <x:f>IFERROR(XLOOKUP(F1076,Lookups!$D$5:$D$10,Lookups!$E$5:$E$10),"Unknown Product")</x:f>
        <x:v>Service Cloud</x:v>
      </x:c>
      <x:c r="S1076" t="str">
        <x:f>IFERROR(XLOOKUP(F1076,Lookups!$D$5:$D$10,Lookups!$F$5:$F$10),"Unknown")</x:f>
        <x:v>Customer Service</x:v>
      </x:c>
      <x:c r="T1076" t="str">
        <x:f>IF(L1076&gt;=50000,"Enterprise",IF(L1076&gt;=20000,"Mid-Market","SMB"))</x:f>
        <x:v>Mid-Market</x:v>
      </x:c>
      <x:c r="U1076" t="str">
        <x:f>IF(I1076="Closed Won","Won",IF(I1076="Closed Lost","Lost","Open"))</x:f>
        <x:v>Lost</x:v>
      </x:c>
      <x:c r="V1076" s="22" t="n">
        <x:f>IF(U1076="Won",L1076*(1-M1076),0)</x:f>
        <x:v>0</x:v>
      </x:c>
      <x:c r="W1076" s="22" t="n">
        <x:f>IF(U1076="Open",L1076*N1076,0)</x:f>
        <x:v>0</x:v>
      </x:c>
      <x:c r="X1076" s="26" t="n">
        <x:f>IF(U1076="Open","",IFERROR(K1076-B1076,""))</x:f>
        <x:v>44</x:v>
      </x:c>
      <x:c r="Y1076" s="26" t="n">
        <x:f>IF(U1076="Open",Lookups!$B$2-B1076,X1076)</x:f>
        <x:v>44</x:v>
      </x:c>
      <x:c r="Z1076" t="str">
        <x:f>IF(AND(U1076="Open",Y1076&gt;30),"STALE","OK")</x:f>
        <x:v>OK</x:v>
      </x:c>
      <x:c r="AA1076" t="str">
        <x:f>TEXT(B1076,"yyyy-mm")</x:f>
        <x:v>2026-05</x:v>
      </x:c>
      <x:c r="AB1076" t="str">
        <x:f>IF(K1076="","",TEXT(K1076,"yyyy-mm"))</x:f>
        <x:v>2026-06</x:v>
      </x:c>
      <x:c r="AC1076" t="str">
        <x:f>"Q"&amp;ROUNDUP(MONTH(B1076)/3,0)&amp;"-"&amp;YEAR(B1076)</x:f>
        <x:v>Q2-2026</x:v>
      </x:c>
      <x:c r="AD1076" s="26" t="n">
        <x:f>MIN(100,IF(H1076="Enterprise",30,IF(H1076="Mid-Market",22,14))+IF(T1076="Enterprise",25,IF(T1076="Mid-Market",18,10))+IF(Q1076="Referral",25,IF(Q1076="Organic Search",20,IF(Q1076="Email",18,14)))+IF(G1076="Technology",10,5))</x:f>
        <x:v>59</x:v>
      </x:c>
      <x:c r="AE1076" t="str">
        <x:f>IF(U1076&lt;&gt;"Open",U1076,IF(N1076&gt;=0.8,"Commit",IF(N1076&gt;=0.5,"Best Case","Pipeline")))</x:f>
        <x:v>Lost</x:v>
      </x:c>
    </x:row>
    <x:row r="1077">
      <x:c r="A1077" t="str">
        <x:v>L01076</x:v>
      </x:c>
      <x:c r="B1077" s="10" t="n">
        <x:v>46123</x:v>
      </x:c>
      <x:c r="C1077" t="str">
        <x:v>Quynh Vu</x:v>
      </x:c>
      <x:c r="D1077" t="str">
        <x:v>North</x:v>
      </x:c>
      <x:c r="E1077" t="str">
        <x:v>Email Campaign</x:v>
      </x:c>
      <x:c r="F1077" t="str">
        <x:v>CRM-PRO</x:v>
      </x:c>
      <x:c r="G1077" t="str">
        <x:v>Education</x:v>
      </x:c>
      <x:c r="H1077" t="str">
        <x:v>SMB</x:v>
      </x:c>
      <x:c r="I1077" t="str">
        <x:v>Closed Won</x:v>
      </x:c>
      <x:c r="J1077" s="10" t="n">
        <x:v>46204</x:v>
      </x:c>
      <x:c r="K1077" s="10" t="n">
        <x:v>46204</x:v>
      </x:c>
      <x:c r="L1077" s="22" t="n">
        <x:v>13100</x:v>
      </x:c>
      <x:c r="M1077" s="24" t="n">
        <x:v>0.03</x:v>
      </x:c>
      <x:c r="N1077" s="24" t="n">
        <x:v>1</x:v>
      </x:c>
      <x:c r="O1077" t="str"/>
      <x:c r="P1077" t="n">
        <x:v>6</x:v>
      </x:c>
      <x:c r="Q1077" t="str">
        <x:f>IFERROR(XLOOKUP(E1077,Lookups!$A$5:$A$24,Lookups!$B$5:$B$24),"Other")</x:f>
        <x:v>Email</x:v>
      </x:c>
      <x:c r="R1077" t="str">
        <x:f>IFERROR(XLOOKUP(F1077,Lookups!$D$5:$D$10,Lookups!$E$5:$E$10),"Unknown Product")</x:f>
        <x:v>NexaCRM Pro</x:v>
      </x:c>
      <x:c r="S1077" t="str">
        <x:f>IFERROR(XLOOKUP(F1077,Lookups!$D$5:$D$10,Lookups!$F$5:$F$10),"Unknown")</x:f>
        <x:v>CRM</x:v>
      </x:c>
      <x:c r="T1077" t="str">
        <x:f>IF(L1077&gt;=50000,"Enterprise",IF(L1077&gt;=20000,"Mid-Market","SMB"))</x:f>
        <x:v>SMB</x:v>
      </x:c>
      <x:c r="U1077" t="str">
        <x:f>IF(I1077="Closed Won","Won",IF(I1077="Closed Lost","Lost","Open"))</x:f>
        <x:v>Won</x:v>
      </x:c>
      <x:c r="V1077" s="22" t="n">
        <x:f>IF(U1077="Won",L1077*(1-M1077),0)</x:f>
        <x:v>12707</x:v>
      </x:c>
      <x:c r="W1077" s="22" t="n">
        <x:f>IF(U1077="Open",L1077*N1077,0)</x:f>
        <x:v>0</x:v>
      </x:c>
      <x:c r="X1077" s="26" t="n">
        <x:f>IF(U1077="Open","",IFERROR(K1077-B1077,""))</x:f>
        <x:v>81</x:v>
      </x:c>
      <x:c r="Y1077" s="26" t="n">
        <x:f>IF(U1077="Open",Lookups!$B$2-B1077,X1077)</x:f>
        <x:v>81</x:v>
      </x:c>
      <x:c r="Z1077" t="str">
        <x:f>IF(AND(U1077="Open",Y1077&gt;30),"STALE","OK")</x:f>
        <x:v>OK</x:v>
      </x:c>
      <x:c r="AA1077" t="str">
        <x:f>TEXT(B1077,"yyyy-mm")</x:f>
        <x:v>2026-04</x:v>
      </x:c>
      <x:c r="AB1077" t="str">
        <x:f>IF(K1077="","",TEXT(K1077,"yyyy-mm"))</x:f>
        <x:v>2026-07</x:v>
      </x:c>
      <x:c r="AC1077" t="str">
        <x:f>"Q"&amp;ROUNDUP(MONTH(B1077)/3,0)&amp;"-"&amp;YEAR(B1077)</x:f>
        <x:v>Q2-2026</x:v>
      </x:c>
      <x:c r="AD1077" s="26" t="n">
        <x:f>MIN(100,IF(H1077="Enterprise",30,IF(H1077="Mid-Market",22,14))+IF(T1077="Enterprise",25,IF(T1077="Mid-Market",18,10))+IF(Q1077="Referral",25,IF(Q1077="Organic Search",20,IF(Q1077="Email",18,14)))+IF(G1077="Technology",10,5))</x:f>
        <x:v>47</x:v>
      </x:c>
      <x:c r="AE1077" t="str">
        <x:f>IF(U1077&lt;&gt;"Open",U1077,IF(N1077&gt;=0.8,"Commit",IF(N1077&gt;=0.5,"Best Case","Pipeline")))</x:f>
        <x:v>Won</x:v>
      </x:c>
    </x:row>
    <x:row r="1078">
      <x:c r="A1078" t="str">
        <x:v>L01077</x:v>
      </x:c>
      <x:c r="B1078" s="10" t="n">
        <x:v>46235</x:v>
      </x:c>
      <x:c r="C1078" t="str">
        <x:v>Minh Do</x:v>
      </x:c>
      <x:c r="D1078" t="str">
        <x:v>North</x:v>
      </x:c>
      <x:c r="E1078" t="str">
        <x:v>Partner Referral</x:v>
      </x:c>
      <x:c r="F1078" t="str">
        <x:v>MKT-AUTO</x:v>
      </x:c>
      <x:c r="G1078" t="str">
        <x:v>Healthcare</x:v>
      </x:c>
      <x:c r="H1078" t="str">
        <x:v>SMB</x:v>
      </x:c>
      <x:c r="I1078" t="str">
        <x:v>Qualified</x:v>
      </x:c>
      <x:c r="J1078" s="10" t="n">
        <x:v>46247</x:v>
      </x:c>
      <x:c r="K1078" s="10"/>
      <x:c r="L1078" s="22" t="n">
        <x:v>19800</x:v>
      </x:c>
      <x:c r="M1078" s="24" t="n">
        <x:v>0</x:v>
      </x:c>
      <x:c r="N1078" s="24" t="n">
        <x:v>0.2</x:v>
      </x:c>
      <x:c r="O1078" t="str"/>
      <x:c r="P1078" t="n">
        <x:v>2</x:v>
      </x:c>
      <x:c r="Q1078" t="str">
        <x:f>IFERROR(XLOOKUP(E1078,Lookups!$A$5:$A$24,Lookups!$B$5:$B$24),"Other")</x:f>
        <x:v>Referral</x:v>
      </x:c>
      <x:c r="R1078" t="str">
        <x:f>IFERROR(XLOOKUP(F1078,Lookups!$D$5:$D$10,Lookups!$E$5:$E$10),"Unknown Product")</x:f>
        <x:v>Marketing Automation</x:v>
      </x:c>
      <x:c r="S1078" t="str">
        <x:f>IFERROR(XLOOKUP(F1078,Lookups!$D$5:$D$10,Lookups!$F$5:$F$10),"Unknown")</x:f>
        <x:v>Marketing</x:v>
      </x:c>
      <x:c r="T1078" t="str">
        <x:f>IF(L1078&gt;=50000,"Enterprise",IF(L1078&gt;=20000,"Mid-Market","SMB"))</x:f>
        <x:v>SMB</x:v>
      </x:c>
      <x:c r="U1078" t="str">
        <x:f>IF(I1078="Closed Won","Won",IF(I1078="Closed Lost","Lost","Open"))</x:f>
        <x:v>Open</x:v>
      </x:c>
      <x:c r="V1078" s="22" t="n">
        <x:f>IF(U1078="Won",L1078*(1-M1078),0)</x:f>
        <x:v>0</x:v>
      </x:c>
      <x:c r="W1078" s="22" t="n">
        <x:f>IF(U1078="Open",L1078*N1078,0)</x:f>
        <x:v>3960</x:v>
      </x:c>
      <x:c r="X1078" s="26" t="str">
        <x:f>IF(U1078="Open","",IFERROR(K1078-B1078,""))</x:f>
      </x:c>
      <x:c r="Y1078" s="26" t="n">
        <x:f>IF(U1078="Open",Lookups!$B$2-B1078,X1078)</x:f>
        <x:v>31</x:v>
      </x:c>
      <x:c r="Z1078" t="str">
        <x:f>IF(AND(U1078="Open",Y1078&gt;30),"STALE","OK")</x:f>
        <x:v>STALE</x:v>
      </x:c>
      <x:c r="AA1078" t="str">
        <x:f>TEXT(B1078,"yyyy-mm")</x:f>
        <x:v>2026-08</x:v>
      </x:c>
      <x:c r="AB1078" t="str">
        <x:f>IF(K1078="","",TEXT(K1078,"yyyy-mm"))</x:f>
      </x:c>
      <x:c r="AC1078" t="str">
        <x:f>"Q"&amp;ROUNDUP(MONTH(B1078)/3,0)&amp;"-"&amp;YEAR(B1078)</x:f>
        <x:v>Q3-2026</x:v>
      </x:c>
      <x:c r="AD1078" s="26" t="n">
        <x:f>MIN(100,IF(H1078="Enterprise",30,IF(H1078="Mid-Market",22,14))+IF(T1078="Enterprise",25,IF(T1078="Mid-Market",18,10))+IF(Q1078="Referral",25,IF(Q1078="Organic Search",20,IF(Q1078="Email",18,14)))+IF(G1078="Technology",10,5))</x:f>
        <x:v>54</x:v>
      </x:c>
      <x:c r="AE1078" t="str">
        <x:f>IF(U1078&lt;&gt;"Open",U1078,IF(N1078&gt;=0.8,"Commit",IF(N1078&gt;=0.5,"Best Case","Pipeline")))</x:f>
        <x:v>Pipeline</x:v>
      </x:c>
    </x:row>
    <x:row r="1079">
      <x:c r="A1079" t="str">
        <x:v>L01078</x:v>
      </x:c>
      <x:c r="B1079" s="10" t="n">
        <x:v>46187</x:v>
      </x:c>
      <x:c r="C1079" t="str">
        <x:v>Ha Vo</x:v>
      </x:c>
      <x:c r="D1079" t="str">
        <x:v>North</x:v>
      </x:c>
      <x:c r="E1079" t="str">
        <x:v>Conference Scan</x:v>
      </x:c>
      <x:c r="F1079" t="str">
        <x:v>CRM-PRO</x:v>
      </x:c>
      <x:c r="G1079" t="str">
        <x:v>Manufacturing</x:v>
      </x:c>
      <x:c r="H1079" t="str">
        <x:v>SMB</x:v>
      </x:c>
      <x:c r="I1079" t="str">
        <x:v>Demo / Meeting</x:v>
      </x:c>
      <x:c r="J1079" s="10" t="n">
        <x:v>46221</x:v>
      </x:c>
      <x:c r="K1079" s="10"/>
      <x:c r="L1079" s="22" t="n">
        <x:v>13100</x:v>
      </x:c>
      <x:c r="M1079" s="24" t="n">
        <x:v>0.05</x:v>
      </x:c>
      <x:c r="N1079" s="24" t="n">
        <x:v>0.4</x:v>
      </x:c>
      <x:c r="O1079" t="str"/>
      <x:c r="P1079" t="n">
        <x:v>3</x:v>
      </x:c>
      <x:c r="Q1079" t="str">
        <x:f>IFERROR(XLOOKUP(E1079,Lookups!$A$5:$A$24,Lookups!$B$5:$B$24),"Other")</x:f>
        <x:v>Other</x:v>
      </x:c>
      <x:c r="R1079" t="str">
        <x:f>IFERROR(XLOOKUP(F1079,Lookups!$D$5:$D$10,Lookups!$E$5:$E$10),"Unknown Product")</x:f>
        <x:v>NexaCRM Pro</x:v>
      </x:c>
      <x:c r="S1079" t="str">
        <x:f>IFERROR(XLOOKUP(F1079,Lookups!$D$5:$D$10,Lookups!$F$5:$F$10),"Unknown")</x:f>
        <x:v>CRM</x:v>
      </x:c>
      <x:c r="T1079" t="str">
        <x:f>IF(L1079&gt;=50000,"Enterprise",IF(L1079&gt;=20000,"Mid-Market","SMB"))</x:f>
        <x:v>SMB</x:v>
      </x:c>
      <x:c r="U1079" t="str">
        <x:f>IF(I1079="Closed Won","Won",IF(I1079="Closed Lost","Lost","Open"))</x:f>
        <x:v>Open</x:v>
      </x:c>
      <x:c r="V1079" s="22" t="n">
        <x:f>IF(U1079="Won",L1079*(1-M1079),0)</x:f>
        <x:v>0</x:v>
      </x:c>
      <x:c r="W1079" s="22" t="n">
        <x:f>IF(U1079="Open",L1079*N1079,0)</x:f>
        <x:v>5240</x:v>
      </x:c>
      <x:c r="X1079" s="26" t="str">
        <x:f>IF(U1079="Open","",IFERROR(K1079-B1079,""))</x:f>
      </x:c>
      <x:c r="Y1079" s="26" t="n">
        <x:f>IF(U1079="Open",Lookups!$B$2-B1079,X1079)</x:f>
        <x:v>79</x:v>
      </x:c>
      <x:c r="Z1079" t="str">
        <x:f>IF(AND(U1079="Open",Y1079&gt;30),"STALE","OK")</x:f>
        <x:v>STALE</x:v>
      </x:c>
      <x:c r="AA1079" t="str">
        <x:f>TEXT(B1079,"yyyy-mm")</x:f>
        <x:v>2026-06</x:v>
      </x:c>
      <x:c r="AB1079" t="str">
        <x:f>IF(K1079="","",TEXT(K1079,"yyyy-mm"))</x:f>
      </x:c>
      <x:c r="AC1079" t="str">
        <x:f>"Q"&amp;ROUNDUP(MONTH(B1079)/3,0)&amp;"-"&amp;YEAR(B1079)</x:f>
        <x:v>Q2-2026</x:v>
      </x:c>
      <x:c r="AD1079" s="26" t="n">
        <x:f>MIN(100,IF(H1079="Enterprise",30,IF(H1079="Mid-Market",22,14))+IF(T1079="Enterprise",25,IF(T1079="Mid-Market",18,10))+IF(Q1079="Referral",25,IF(Q1079="Organic Search",20,IF(Q1079="Email",18,14)))+IF(G1079="Technology",10,5))</x:f>
        <x:v>43</x:v>
      </x:c>
      <x:c r="AE1079" t="str">
        <x:f>IF(U1079&lt;&gt;"Open",U1079,IF(N1079&gt;=0.8,"Commit",IF(N1079&gt;=0.5,"Best Case","Pipeline")))</x:f>
        <x:v>Pipeline</x:v>
      </x:c>
    </x:row>
    <x:row r="1080">
      <x:c r="A1080" t="str">
        <x:v>L01079</x:v>
      </x:c>
      <x:c r="B1080" s="10" t="n">
        <x:v>45887</x:v>
      </x:c>
      <x:c r="C1080" t="str">
        <x:v>Bao Tran</x:v>
      </x:c>
      <x:c r="D1080" t="str">
        <x:v>South</x:v>
      </x:c>
      <x:c r="E1080" t="str">
        <x:v>Referral</x:v>
      </x:c>
      <x:c r="F1080" t="str">
        <x:v>CRM-CORE</x:v>
      </x:c>
      <x:c r="G1080" t="str">
        <x:v>Financial Services</x:v>
      </x:c>
      <x:c r="H1080" t="str">
        <x:v>SMB</x:v>
      </x:c>
      <x:c r="I1080" t="str">
        <x:v>Closed Lost</x:v>
      </x:c>
      <x:c r="J1080" s="10" t="n">
        <x:v>45913</x:v>
      </x:c>
      <x:c r="K1080" s="10" t="n">
        <x:v>45913</x:v>
      </x:c>
      <x:c r="L1080" s="22" t="n">
        <x:v>8500</x:v>
      </x:c>
      <x:c r="M1080" s="24" t="n">
        <x:v>0</x:v>
      </x:c>
      <x:c r="N1080" s="24" t="n">
        <x:v>0</x:v>
      </x:c>
      <x:c r="O1080" t="str">
        <x:v>Competitor</x:v>
      </x:c>
      <x:c r="P1080" t="n">
        <x:v>4</x:v>
      </x:c>
      <x:c r="Q1080" t="str">
        <x:f>IFERROR(XLOOKUP(E1080,Lookups!$A$5:$A$24,Lookups!$B$5:$B$24),"Other")</x:f>
        <x:v>Referral</x:v>
      </x:c>
      <x:c r="R1080" t="str">
        <x:f>IFERROR(XLOOKUP(F1080,Lookups!$D$5:$D$10,Lookups!$E$5:$E$10),"Unknown Product")</x:f>
        <x:v>NexaCRM Core</x:v>
      </x:c>
      <x:c r="S1080" t="str">
        <x:f>IFERROR(XLOOKUP(F1080,Lookups!$D$5:$D$10,Lookups!$F$5:$F$10),"Unknown")</x:f>
        <x:v>CRM</x:v>
      </x:c>
      <x:c r="T1080" t="str">
        <x:f>IF(L1080&gt;=50000,"Enterprise",IF(L1080&gt;=20000,"Mid-Market","SMB"))</x:f>
        <x:v>SMB</x:v>
      </x:c>
      <x:c r="U1080" t="str">
        <x:f>IF(I1080="Closed Won","Won",IF(I1080="Closed Lost","Lost","Open"))</x:f>
        <x:v>Lost</x:v>
      </x:c>
      <x:c r="V1080" s="22" t="n">
        <x:f>IF(U1080="Won",L1080*(1-M1080),0)</x:f>
        <x:v>0</x:v>
      </x:c>
      <x:c r="W1080" s="22" t="n">
        <x:f>IF(U1080="Open",L1080*N1080,0)</x:f>
        <x:v>0</x:v>
      </x:c>
      <x:c r="X1080" s="26" t="n">
        <x:f>IF(U1080="Open","",IFERROR(K1080-B1080,""))</x:f>
        <x:v>26</x:v>
      </x:c>
      <x:c r="Y1080" s="26" t="n">
        <x:f>IF(U1080="Open",Lookups!$B$2-B1080,X1080)</x:f>
        <x:v>26</x:v>
      </x:c>
      <x:c r="Z1080" t="str">
        <x:f>IF(AND(U1080="Open",Y1080&gt;30),"STALE","OK")</x:f>
        <x:v>OK</x:v>
      </x:c>
      <x:c r="AA1080" t="str">
        <x:f>TEXT(B1080,"yyyy-mm")</x:f>
        <x:v>2025-08</x:v>
      </x:c>
      <x:c r="AB1080" t="str">
        <x:f>IF(K1080="","",TEXT(K1080,"yyyy-mm"))</x:f>
        <x:v>2025-09</x:v>
      </x:c>
      <x:c r="AC1080" t="str">
        <x:f>"Q"&amp;ROUNDUP(MONTH(B1080)/3,0)&amp;"-"&amp;YEAR(B1080)</x:f>
        <x:v>Q3-2025</x:v>
      </x:c>
      <x:c r="AD1080" s="26" t="n">
        <x:f>MIN(100,IF(H1080="Enterprise",30,IF(H1080="Mid-Market",22,14))+IF(T1080="Enterprise",25,IF(T1080="Mid-Market",18,10))+IF(Q1080="Referral",25,IF(Q1080="Organic Search",20,IF(Q1080="Email",18,14)))+IF(G1080="Technology",10,5))</x:f>
        <x:v>54</x:v>
      </x:c>
      <x:c r="AE1080" t="str">
        <x:f>IF(U1080&lt;&gt;"Open",U1080,IF(N1080&gt;=0.8,"Commit",IF(N1080&gt;=0.5,"Best Case","Pipeline")))</x:f>
        <x:v>Lost</x:v>
      </x:c>
    </x:row>
    <x:row r="1081">
      <x:c r="A1081" t="str">
        <x:v>L01080</x:v>
      </x:c>
      <x:c r="B1081" s="10" t="n">
        <x:v>46149</x:v>
      </x:c>
      <x:c r="C1081" t="str">
        <x:v>Ha Vo</x:v>
      </x:c>
      <x:c r="D1081" t="str">
        <x:v>North</x:v>
      </x:c>
      <x:c r="E1081" t="str">
        <x:v>SEM - Google</x:v>
      </x:c>
      <x:c r="F1081" t="str">
        <x:v>CRM-PRO</x:v>
      </x:c>
      <x:c r="G1081" t="str">
        <x:v>Manufacturing</x:v>
      </x:c>
      <x:c r="H1081" t="str">
        <x:v>Mid-Market</x:v>
      </x:c>
      <x:c r="I1081" t="str">
        <x:v>Closed Won</x:v>
      </x:c>
      <x:c r="J1081" s="10" t="n">
        <x:v>46181</x:v>
      </x:c>
      <x:c r="K1081" s="10" t="n">
        <x:v>46181</x:v>
      </x:c>
      <x:c r="L1081" s="22" t="n">
        <x:v>26700</x:v>
      </x:c>
      <x:c r="M1081" s="24" t="n">
        <x:v>0.03</x:v>
      </x:c>
      <x:c r="N1081" s="24" t="n">
        <x:v>1</x:v>
      </x:c>
      <x:c r="O1081" t="str"/>
      <x:c r="P1081" t="n">
        <x:v>6</x:v>
      </x:c>
      <x:c r="Q1081" t="str">
        <x:f>IFERROR(XLOOKUP(E1081,Lookups!$A$5:$A$24,Lookups!$B$5:$B$24),"Other")</x:f>
        <x:v>Paid Search</x:v>
      </x:c>
      <x:c r="R1081" t="str">
        <x:f>IFERROR(XLOOKUP(F1081,Lookups!$D$5:$D$10,Lookups!$E$5:$E$10),"Unknown Product")</x:f>
        <x:v>NexaCRM Pro</x:v>
      </x:c>
      <x:c r="S1081" t="str">
        <x:f>IFERROR(XLOOKUP(F1081,Lookups!$D$5:$D$10,Lookups!$F$5:$F$10),"Unknown")</x:f>
        <x:v>CRM</x:v>
      </x:c>
      <x:c r="T1081" t="str">
        <x:f>IF(L1081&gt;=50000,"Enterprise",IF(L1081&gt;=20000,"Mid-Market","SMB"))</x:f>
        <x:v>Mid-Market</x:v>
      </x:c>
      <x:c r="U1081" t="str">
        <x:f>IF(I1081="Closed Won","Won",IF(I1081="Closed Lost","Lost","Open"))</x:f>
        <x:v>Won</x:v>
      </x:c>
      <x:c r="V1081" s="22" t="n">
        <x:f>IF(U1081="Won",L1081*(1-M1081),0)</x:f>
        <x:v>25899</x:v>
      </x:c>
      <x:c r="W1081" s="22" t="n">
        <x:f>IF(U1081="Open",L1081*N1081,0)</x:f>
        <x:v>0</x:v>
      </x:c>
      <x:c r="X1081" s="26" t="n">
        <x:f>IF(U1081="Open","",IFERROR(K1081-B1081,""))</x:f>
        <x:v>32</x:v>
      </x:c>
      <x:c r="Y1081" s="26" t="n">
        <x:f>IF(U1081="Open",Lookups!$B$2-B1081,X1081)</x:f>
        <x:v>32</x:v>
      </x:c>
      <x:c r="Z1081" t="str">
        <x:f>IF(AND(U1081="Open",Y1081&gt;30),"STALE","OK")</x:f>
        <x:v>OK</x:v>
      </x:c>
      <x:c r="AA1081" t="str">
        <x:f>TEXT(B1081,"yyyy-mm")</x:f>
        <x:v>2026-05</x:v>
      </x:c>
      <x:c r="AB1081" t="str">
        <x:f>IF(K1081="","",TEXT(K1081,"yyyy-mm"))</x:f>
        <x:v>2026-06</x:v>
      </x:c>
      <x:c r="AC1081" t="str">
        <x:f>"Q"&amp;ROUNDUP(MONTH(B1081)/3,0)&amp;"-"&amp;YEAR(B1081)</x:f>
        <x:v>Q2-2026</x:v>
      </x:c>
      <x:c r="AD1081" s="26" t="n">
        <x:f>MIN(100,IF(H1081="Enterprise",30,IF(H1081="Mid-Market",22,14))+IF(T1081="Enterprise",25,IF(T1081="Mid-Market",18,10))+IF(Q1081="Referral",25,IF(Q1081="Organic Search",20,IF(Q1081="Email",18,14)))+IF(G1081="Technology",10,5))</x:f>
        <x:v>59</x:v>
      </x:c>
      <x:c r="AE1081" t="str">
        <x:f>IF(U1081&lt;&gt;"Open",U1081,IF(N1081&gt;=0.8,"Commit",IF(N1081&gt;=0.5,"Best Case","Pipeline")))</x:f>
        <x:v>Won</x:v>
      </x:c>
    </x:row>
    <x:row r="1082">
      <x:c r="A1082" t="str">
        <x:v>L01081</x:v>
      </x:c>
      <x:c r="B1082" s="10" t="n">
        <x:v>45982</x:v>
      </x:c>
      <x:c r="C1082" t="str">
        <x:v>Duy Pham</x:v>
      </x:c>
      <x:c r="D1082" t="str">
        <x:v>South</x:v>
      </x:c>
      <x:c r="E1082" t="str">
        <x:v>newsletter</x:v>
      </x:c>
      <x:c r="F1082" t="str">
        <x:v>CRM-CORE</x:v>
      </x:c>
      <x:c r="G1082" t="str">
        <x:v>Professional Services</x:v>
      </x:c>
      <x:c r="H1082" t="str">
        <x:v>SMB</x:v>
      </x:c>
      <x:c r="I1082" t="str">
        <x:v>Closed Won</x:v>
      </x:c>
      <x:c r="J1082" s="10" t="n">
        <x:v>46022</x:v>
      </x:c>
      <x:c r="K1082" s="10" t="n">
        <x:v>46022</x:v>
      </x:c>
      <x:c r="L1082" s="22" t="n">
        <x:v>7700</x:v>
      </x:c>
      <x:c r="M1082" s="24" t="n">
        <x:v>0.05</x:v>
      </x:c>
      <x:c r="N1082" s="24" t="n">
        <x:v>1</x:v>
      </x:c>
      <x:c r="O1082" t="str"/>
      <x:c r="P1082" t="n">
        <x:v>6</x:v>
      </x:c>
      <x:c r="Q1082" t="str">
        <x:f>IFERROR(XLOOKUP(E1082,Lookups!$A$5:$A$24,Lookups!$B$5:$B$24),"Other")</x:f>
        <x:v>Email</x:v>
      </x:c>
      <x:c r="R1082" t="str">
        <x:f>IFERROR(XLOOKUP(F1082,Lookups!$D$5:$D$10,Lookups!$E$5:$E$10),"Unknown Product")</x:f>
        <x:v>NexaCRM Core</x:v>
      </x:c>
      <x:c r="S1082" t="str">
        <x:f>IFERROR(XLOOKUP(F1082,Lookups!$D$5:$D$10,Lookups!$F$5:$F$10),"Unknown")</x:f>
        <x:v>CRM</x:v>
      </x:c>
      <x:c r="T1082" t="str">
        <x:f>IF(L1082&gt;=50000,"Enterprise",IF(L1082&gt;=20000,"Mid-Market","SMB"))</x:f>
        <x:v>SMB</x:v>
      </x:c>
      <x:c r="U1082" t="str">
        <x:f>IF(I1082="Closed Won","Won",IF(I1082="Closed Lost","Lost","Open"))</x:f>
        <x:v>Won</x:v>
      </x:c>
      <x:c r="V1082" s="22" t="n">
        <x:f>IF(U1082="Won",L1082*(1-M1082),0)</x:f>
        <x:v>7315</x:v>
      </x:c>
      <x:c r="W1082" s="22" t="n">
        <x:f>IF(U1082="Open",L1082*N1082,0)</x:f>
        <x:v>0</x:v>
      </x:c>
      <x:c r="X1082" s="26" t="n">
        <x:f>IF(U1082="Open","",IFERROR(K1082-B1082,""))</x:f>
        <x:v>40</x:v>
      </x:c>
      <x:c r="Y1082" s="26" t="n">
        <x:f>IF(U1082="Open",Lookups!$B$2-B1082,X1082)</x:f>
        <x:v>40</x:v>
      </x:c>
      <x:c r="Z1082" t="str">
        <x:f>IF(AND(U1082="Open",Y1082&gt;30),"STALE","OK")</x:f>
        <x:v>OK</x:v>
      </x:c>
      <x:c r="AA1082" t="str">
        <x:f>TEXT(B1082,"yyyy-mm")</x:f>
        <x:v>2025-11</x:v>
      </x:c>
      <x:c r="AB1082" t="str">
        <x:f>IF(K1082="","",TEXT(K1082,"yyyy-mm"))</x:f>
        <x:v>2025-12</x:v>
      </x:c>
      <x:c r="AC1082" t="str">
        <x:f>"Q"&amp;ROUNDUP(MONTH(B1082)/3,0)&amp;"-"&amp;YEAR(B1082)</x:f>
        <x:v>Q4-2025</x:v>
      </x:c>
      <x:c r="AD1082" s="26" t="n">
        <x:f>MIN(100,IF(H1082="Enterprise",30,IF(H1082="Mid-Market",22,14))+IF(T1082="Enterprise",25,IF(T1082="Mid-Market",18,10))+IF(Q1082="Referral",25,IF(Q1082="Organic Search",20,IF(Q1082="Email",18,14)))+IF(G1082="Technology",10,5))</x:f>
        <x:v>47</x:v>
      </x:c>
      <x:c r="AE1082" t="str">
        <x:f>IF(U1082&lt;&gt;"Open",U1082,IF(N1082&gt;=0.8,"Commit",IF(N1082&gt;=0.5,"Best Case","Pipeline")))</x:f>
        <x:v>Won</x:v>
      </x:c>
    </x:row>
    <x:row r="1083">
      <x:c r="A1083" t="str">
        <x:v>L01082</x:v>
      </x:c>
      <x:c r="B1083" s="10" t="n">
        <x:v>45848</x:v>
      </x:c>
      <x:c r="C1083" t="str">
        <x:v>Quynh Vu</x:v>
      </x:c>
      <x:c r="D1083" t="str">
        <x:v>North</x:v>
      </x:c>
      <x:c r="E1083" t="str">
        <x:v>LinkedIn Ads</x:v>
      </x:c>
      <x:c r="F1083" t="str">
        <x:v>MKT-AUTO</x:v>
      </x:c>
      <x:c r="G1083" t="str">
        <x:v>Education</x:v>
      </x:c>
      <x:c r="H1083" t="str">
        <x:v>SMB</x:v>
      </x:c>
      <x:c r="I1083" t="str">
        <x:v>Closed Won</x:v>
      </x:c>
      <x:c r="J1083" s="10" t="n">
        <x:v>45927</x:v>
      </x:c>
      <x:c r="K1083" s="10" t="n">
        <x:v>45927</x:v>
      </x:c>
      <x:c r="L1083" s="22" t="n">
        <x:v>18500</x:v>
      </x:c>
      <x:c r="M1083" s="24" t="n">
        <x:v>0.03</x:v>
      </x:c>
      <x:c r="N1083" s="24" t="n">
        <x:v>1</x:v>
      </x:c>
      <x:c r="O1083" t="str"/>
      <x:c r="P1083" t="n">
        <x:v>6</x:v>
      </x:c>
      <x:c r="Q1083" t="str">
        <x:f>IFERROR(XLOOKUP(E1083,Lookups!$A$5:$A$24,Lookups!$B$5:$B$24),"Other")</x:f>
        <x:v>LinkedIn</x:v>
      </x:c>
      <x:c r="R1083" t="str">
        <x:f>IFERROR(XLOOKUP(F1083,Lookups!$D$5:$D$10,Lookups!$E$5:$E$10),"Unknown Product")</x:f>
        <x:v>Marketing Automation</x:v>
      </x:c>
      <x:c r="S1083" t="str">
        <x:f>IFERROR(XLOOKUP(F1083,Lookups!$D$5:$D$10,Lookups!$F$5:$F$10),"Unknown")</x:f>
        <x:v>Marketing</x:v>
      </x:c>
      <x:c r="T1083" t="str">
        <x:f>IF(L1083&gt;=50000,"Enterprise",IF(L1083&gt;=20000,"Mid-Market","SMB"))</x:f>
        <x:v>SMB</x:v>
      </x:c>
      <x:c r="U1083" t="str">
        <x:f>IF(I1083="Closed Won","Won",IF(I1083="Closed Lost","Lost","Open"))</x:f>
        <x:v>Won</x:v>
      </x:c>
      <x:c r="V1083" s="22" t="n">
        <x:f>IF(U1083="Won",L1083*(1-M1083),0)</x:f>
        <x:v>17945</x:v>
      </x:c>
      <x:c r="W1083" s="22" t="n">
        <x:f>IF(U1083="Open",L1083*N1083,0)</x:f>
        <x:v>0</x:v>
      </x:c>
      <x:c r="X1083" s="26" t="n">
        <x:f>IF(U1083="Open","",IFERROR(K1083-B1083,""))</x:f>
        <x:v>79</x:v>
      </x:c>
      <x:c r="Y1083" s="26" t="n">
        <x:f>IF(U1083="Open",Lookups!$B$2-B1083,X1083)</x:f>
        <x:v>79</x:v>
      </x:c>
      <x:c r="Z1083" t="str">
        <x:f>IF(AND(U1083="Open",Y1083&gt;30),"STALE","OK")</x:f>
        <x:v>OK</x:v>
      </x:c>
      <x:c r="AA1083" t="str">
        <x:f>TEXT(B1083,"yyyy-mm")</x:f>
        <x:v>2025-07</x:v>
      </x:c>
      <x:c r="AB1083" t="str">
        <x:f>IF(K1083="","",TEXT(K1083,"yyyy-mm"))</x:f>
        <x:v>2025-09</x:v>
      </x:c>
      <x:c r="AC1083" t="str">
        <x:f>"Q"&amp;ROUNDUP(MONTH(B1083)/3,0)&amp;"-"&amp;YEAR(B1083)</x:f>
        <x:v>Q3-2025</x:v>
      </x:c>
      <x:c r="AD1083" s="26" t="n">
        <x:f>MIN(100,IF(H1083="Enterprise",30,IF(H1083="Mid-Market",22,14))+IF(T1083="Enterprise",25,IF(T1083="Mid-Market",18,10))+IF(Q1083="Referral",25,IF(Q1083="Organic Search",20,IF(Q1083="Email",18,14)))+IF(G1083="Technology",10,5))</x:f>
        <x:v>43</x:v>
      </x:c>
      <x:c r="AE1083" t="str">
        <x:f>IF(U1083&lt;&gt;"Open",U1083,IF(N1083&gt;=0.8,"Commit",IF(N1083&gt;=0.5,"Best Case","Pipeline")))</x:f>
        <x:v>Won</x:v>
      </x:c>
    </x:row>
    <x:row r="1084">
      <x:c r="A1084" t="str">
        <x:v>L01083</x:v>
      </x:c>
      <x:c r="B1084" s="10" t="n">
        <x:v>45718</x:v>
      </x:c>
      <x:c r="C1084" t="str">
        <x:v>An Nguyen</x:v>
      </x:c>
      <x:c r="D1084" t="str">
        <x:v>South</x:v>
      </x:c>
      <x:c r="E1084" t="str">
        <x:v>Google Ads</x:v>
      </x:c>
      <x:c r="F1084" t="str">
        <x:v>MKT-AUTO</x:v>
      </x:c>
      <x:c r="G1084" t="str">
        <x:v>Professional Services</x:v>
      </x:c>
      <x:c r="H1084" t="str">
        <x:v>Mid-Market</x:v>
      </x:c>
      <x:c r="I1084" t="str">
        <x:v>Closed Lost</x:v>
      </x:c>
      <x:c r="J1084" s="10" t="n">
        <x:v>45780</x:v>
      </x:c>
      <x:c r="K1084" s="10" t="n">
        <x:v>45780</x:v>
      </x:c>
      <x:c r="L1084" s="22" t="n">
        <x:v>26000</x:v>
      </x:c>
      <x:c r="M1084" s="24" t="n">
        <x:v>0</x:v>
      </x:c>
      <x:c r="N1084" s="24" t="n">
        <x:v>0</x:v>
      </x:c>
      <x:c r="O1084" t="str">
        <x:v>Budget</x:v>
      </x:c>
      <x:c r="P1084" t="n">
        <x:v>3</x:v>
      </x:c>
      <x:c r="Q1084" t="str">
        <x:f>IFERROR(XLOOKUP(E1084,Lookups!$A$5:$A$24,Lookups!$B$5:$B$24),"Other")</x:f>
        <x:v>Paid Search</x:v>
      </x:c>
      <x:c r="R1084" t="str">
        <x:f>IFERROR(XLOOKUP(F1084,Lookups!$D$5:$D$10,Lookups!$E$5:$E$10),"Unknown Product")</x:f>
        <x:v>Marketing Automation</x:v>
      </x:c>
      <x:c r="S1084" t="str">
        <x:f>IFERROR(XLOOKUP(F1084,Lookups!$D$5:$D$10,Lookups!$F$5:$F$10),"Unknown")</x:f>
        <x:v>Marketing</x:v>
      </x:c>
      <x:c r="T1084" t="str">
        <x:f>IF(L1084&gt;=50000,"Enterprise",IF(L1084&gt;=20000,"Mid-Market","SMB"))</x:f>
        <x:v>Mid-Market</x:v>
      </x:c>
      <x:c r="U1084" t="str">
        <x:f>IF(I1084="Closed Won","Won",IF(I1084="Closed Lost","Lost","Open"))</x:f>
        <x:v>Lost</x:v>
      </x:c>
      <x:c r="V1084" s="22" t="n">
        <x:f>IF(U1084="Won",L1084*(1-M1084),0)</x:f>
        <x:v>0</x:v>
      </x:c>
      <x:c r="W1084" s="22" t="n">
        <x:f>IF(U1084="Open",L1084*N1084,0)</x:f>
        <x:v>0</x:v>
      </x:c>
      <x:c r="X1084" s="26" t="n">
        <x:f>IF(U1084="Open","",IFERROR(K1084-B1084,""))</x:f>
        <x:v>62</x:v>
      </x:c>
      <x:c r="Y1084" s="26" t="n">
        <x:f>IF(U1084="Open",Lookups!$B$2-B1084,X1084)</x:f>
        <x:v>62</x:v>
      </x:c>
      <x:c r="Z1084" t="str">
        <x:f>IF(AND(U1084="Open",Y1084&gt;30),"STALE","OK")</x:f>
        <x:v>OK</x:v>
      </x:c>
      <x:c r="AA1084" t="str">
        <x:f>TEXT(B1084,"yyyy-mm")</x:f>
        <x:v>2025-03</x:v>
      </x:c>
      <x:c r="AB1084" t="str">
        <x:f>IF(K1084="","",TEXT(K1084,"yyyy-mm"))</x:f>
        <x:v>2025-05</x:v>
      </x:c>
      <x:c r="AC1084" t="str">
        <x:f>"Q"&amp;ROUNDUP(MONTH(B1084)/3,0)&amp;"-"&amp;YEAR(B1084)</x:f>
        <x:v>Q1-2025</x:v>
      </x:c>
      <x:c r="AD1084" s="26" t="n">
        <x:f>MIN(100,IF(H1084="Enterprise",30,IF(H1084="Mid-Market",22,14))+IF(T1084="Enterprise",25,IF(T1084="Mid-Market",18,10))+IF(Q1084="Referral",25,IF(Q1084="Organic Search",20,IF(Q1084="Email",18,14)))+IF(G1084="Technology",10,5))</x:f>
        <x:v>59</x:v>
      </x:c>
      <x:c r="AE1084" t="str">
        <x:f>IF(U1084&lt;&gt;"Open",U1084,IF(N1084&gt;=0.8,"Commit",IF(N1084&gt;=0.5,"Best Case","Pipeline")))</x:f>
        <x:v>Lost</x:v>
      </x:c>
    </x:row>
    <x:row r="1085">
      <x:c r="A1085" t="str">
        <x:v>L01084</x:v>
      </x:c>
      <x:c r="B1085" s="10" t="n">
        <x:v>46227</x:v>
      </x:c>
      <x:c r="C1085" t="str">
        <x:v>Chi Le</x:v>
      </x:c>
      <x:c r="D1085" t="str">
        <x:v>South</x:v>
      </x:c>
      <x:c r="E1085" t="str">
        <x:v>linkedin</x:v>
      </x:c>
      <x:c r="F1085" t="str">
        <x:v>CS-CLOUD</x:v>
      </x:c>
      <x:c r="G1085" t="str">
        <x:v>Financial Services</x:v>
      </x:c>
      <x:c r="H1085" t="str">
        <x:v>Enterprise</x:v>
      </x:c>
      <x:c r="I1085" t="str">
        <x:v>Qualified</x:v>
      </x:c>
      <x:c r="J1085" s="10" t="n">
        <x:v>46245</x:v>
      </x:c>
      <x:c r="K1085" s="10"/>
      <x:c r="L1085" s="22" t="n">
        <x:v>68500</x:v>
      </x:c>
      <x:c r="M1085" s="24" t="n">
        <x:v>0.03</x:v>
      </x:c>
      <x:c r="N1085" s="24" t="n">
        <x:v>0.2</x:v>
      </x:c>
      <x:c r="O1085" t="str"/>
      <x:c r="P1085" t="n">
        <x:v>2</x:v>
      </x:c>
      <x:c r="Q1085" t="str">
        <x:f>IFERROR(XLOOKUP(E1085,Lookups!$A$5:$A$24,Lookups!$B$5:$B$24),"Other")</x:f>
        <x:v>LinkedIn</x:v>
      </x:c>
      <x:c r="R1085" t="str">
        <x:f>IFERROR(XLOOKUP(F1085,Lookups!$D$5:$D$10,Lookups!$E$5:$E$10),"Unknown Product")</x:f>
        <x:v>Service Cloud</x:v>
      </x:c>
      <x:c r="S1085" t="str">
        <x:f>IFERROR(XLOOKUP(F1085,Lookups!$D$5:$D$10,Lookups!$F$5:$F$10),"Unknown")</x:f>
        <x:v>Customer Service</x:v>
      </x:c>
      <x:c r="T1085" t="str">
        <x:f>IF(L1085&gt;=50000,"Enterprise",IF(L1085&gt;=20000,"Mid-Market","SMB"))</x:f>
        <x:v>Enterprise</x:v>
      </x:c>
      <x:c r="U1085" t="str">
        <x:f>IF(I1085="Closed Won","Won",IF(I1085="Closed Lost","Lost","Open"))</x:f>
        <x:v>Open</x:v>
      </x:c>
      <x:c r="V1085" s="22" t="n">
        <x:f>IF(U1085="Won",L1085*(1-M1085),0)</x:f>
        <x:v>0</x:v>
      </x:c>
      <x:c r="W1085" s="22" t="n">
        <x:f>IF(U1085="Open",L1085*N1085,0)</x:f>
        <x:v>13700</x:v>
      </x:c>
      <x:c r="X1085" s="26" t="str">
        <x:f>IF(U1085="Open","",IFERROR(K1085-B1085,""))</x:f>
      </x:c>
      <x:c r="Y1085" s="26" t="n">
        <x:f>IF(U1085="Open",Lookups!$B$2-B1085,X1085)</x:f>
        <x:v>39</x:v>
      </x:c>
      <x:c r="Z1085" t="str">
        <x:f>IF(AND(U1085="Open",Y1085&gt;30),"STALE","OK")</x:f>
        <x:v>STALE</x:v>
      </x:c>
      <x:c r="AA1085" t="str">
        <x:f>TEXT(B1085,"yyyy-mm")</x:f>
        <x:v>2026-07</x:v>
      </x:c>
      <x:c r="AB1085" t="str">
        <x:f>IF(K1085="","",TEXT(K1085,"yyyy-mm"))</x:f>
      </x:c>
      <x:c r="AC1085" t="str">
        <x:f>"Q"&amp;ROUNDUP(MONTH(B1085)/3,0)&amp;"-"&amp;YEAR(B1085)</x:f>
        <x:v>Q3-2026</x:v>
      </x:c>
      <x:c r="AD1085" s="26" t="n">
        <x:f>MIN(100,IF(H1085="Enterprise",30,IF(H1085="Mid-Market",22,14))+IF(T1085="Enterprise",25,IF(T1085="Mid-Market",18,10))+IF(Q1085="Referral",25,IF(Q1085="Organic Search",20,IF(Q1085="Email",18,14)))+IF(G1085="Technology",10,5))</x:f>
        <x:v>74</x:v>
      </x:c>
      <x:c r="AE1085" t="str">
        <x:f>IF(U1085&lt;&gt;"Open",U1085,IF(N1085&gt;=0.8,"Commit",IF(N1085&gt;=0.5,"Best Case","Pipeline")))</x:f>
        <x:v>Pipeline</x:v>
      </x:c>
    </x:row>
    <x:row r="1086">
      <x:c r="A1086" t="str">
        <x:v>L01085</x:v>
      </x:c>
      <x:c r="B1086" s="10" t="n">
        <x:v>45982</x:v>
      </x:c>
      <x:c r="C1086" t="str">
        <x:v>Quynh Vu</x:v>
      </x:c>
      <x:c r="D1086" t="str">
        <x:v>North</x:v>
      </x:c>
      <x:c r="E1086" t="str">
        <x:v>email nurture</x:v>
      </x:c>
      <x:c r="F1086" t="str">
        <x:v>CRM-PRO</x:v>
      </x:c>
      <x:c r="G1086" t="str">
        <x:v>Manufacturing</x:v>
      </x:c>
      <x:c r="H1086" t="str">
        <x:v>Mid-Market</x:v>
      </x:c>
      <x:c r="I1086" t="str">
        <x:v>Closed Won</x:v>
      </x:c>
      <x:c r="J1086" s="10" t="n">
        <x:v>46035</x:v>
      </x:c>
      <x:c r="K1086" s="10" t="n">
        <x:v>46035</x:v>
      </x:c>
      <x:c r="L1086" s="22" t="n">
        <x:v>41200</x:v>
      </x:c>
      <x:c r="M1086" s="24" t="n">
        <x:v>0.03</x:v>
      </x:c>
      <x:c r="N1086" s="24" t="n">
        <x:v>1</x:v>
      </x:c>
      <x:c r="O1086" t="str"/>
      <x:c r="P1086" t="n">
        <x:v>6</x:v>
      </x:c>
      <x:c r="Q1086" t="str">
        <x:f>IFERROR(XLOOKUP(E1086,Lookups!$A$5:$A$24,Lookups!$B$5:$B$24),"Other")</x:f>
        <x:v>Email</x:v>
      </x:c>
      <x:c r="R1086" t="str">
        <x:f>IFERROR(XLOOKUP(F1086,Lookups!$D$5:$D$10,Lookups!$E$5:$E$10),"Unknown Product")</x:f>
        <x:v>NexaCRM Pro</x:v>
      </x:c>
      <x:c r="S1086" t="str">
        <x:f>IFERROR(XLOOKUP(F1086,Lookups!$D$5:$D$10,Lookups!$F$5:$F$10),"Unknown")</x:f>
        <x:v>CRM</x:v>
      </x:c>
      <x:c r="T1086" t="str">
        <x:f>IF(L1086&gt;=50000,"Enterprise",IF(L1086&gt;=20000,"Mid-Market","SMB"))</x:f>
        <x:v>Mid-Market</x:v>
      </x:c>
      <x:c r="U1086" t="str">
        <x:f>IF(I1086="Closed Won","Won",IF(I1086="Closed Lost","Lost","Open"))</x:f>
        <x:v>Won</x:v>
      </x:c>
      <x:c r="V1086" s="22" t="n">
        <x:f>IF(U1086="Won",L1086*(1-M1086),0)</x:f>
        <x:v>39964</x:v>
      </x:c>
      <x:c r="W1086" s="22" t="n">
        <x:f>IF(U1086="Open",L1086*N1086,0)</x:f>
        <x:v>0</x:v>
      </x:c>
      <x:c r="X1086" s="26" t="n">
        <x:f>IF(U1086="Open","",IFERROR(K1086-B1086,""))</x:f>
        <x:v>53</x:v>
      </x:c>
      <x:c r="Y1086" s="26" t="n">
        <x:f>IF(U1086="Open",Lookups!$B$2-B1086,X1086)</x:f>
        <x:v>53</x:v>
      </x:c>
      <x:c r="Z1086" t="str">
        <x:f>IF(AND(U1086="Open",Y1086&gt;30),"STALE","OK")</x:f>
        <x:v>OK</x:v>
      </x:c>
      <x:c r="AA1086" t="str">
        <x:f>TEXT(B1086,"yyyy-mm")</x:f>
        <x:v>2025-11</x:v>
      </x:c>
      <x:c r="AB1086" t="str">
        <x:f>IF(K1086="","",TEXT(K1086,"yyyy-mm"))</x:f>
        <x:v>2026-01</x:v>
      </x:c>
      <x:c r="AC1086" t="str">
        <x:f>"Q"&amp;ROUNDUP(MONTH(B1086)/3,0)&amp;"-"&amp;YEAR(B1086)</x:f>
        <x:v>Q4-2025</x:v>
      </x:c>
      <x:c r="AD1086" s="26" t="n">
        <x:f>MIN(100,IF(H1086="Enterprise",30,IF(H1086="Mid-Market",22,14))+IF(T1086="Enterprise",25,IF(T1086="Mid-Market",18,10))+IF(Q1086="Referral",25,IF(Q1086="Organic Search",20,IF(Q1086="Email",18,14)))+IF(G1086="Technology",10,5))</x:f>
        <x:v>63</x:v>
      </x:c>
      <x:c r="AE1086" t="str">
        <x:f>IF(U1086&lt;&gt;"Open",U1086,IF(N1086&gt;=0.8,"Commit",IF(N1086&gt;=0.5,"Best Case","Pipeline")))</x:f>
        <x:v>Won</x:v>
      </x:c>
    </x:row>
    <x:row r="1087">
      <x:c r="A1087" t="str">
        <x:v>L01086</x:v>
      </x:c>
      <x:c r="B1087" s="10" t="n">
        <x:v>46144</x:v>
      </x:c>
      <x:c r="C1087" t="str">
        <x:v>Quynh Vu</x:v>
      </x:c>
      <x:c r="D1087" t="str">
        <x:v>North</x:v>
      </x:c>
      <x:c r="E1087" t="str">
        <x:v>customer referral</x:v>
      </x:c>
      <x:c r="F1087" t="str">
        <x:v>MKT-AUTO</x:v>
      </x:c>
      <x:c r="G1087" t="str">
        <x:v>Healthcare</x:v>
      </x:c>
      <x:c r="H1087" t="str">
        <x:v>Mid-Market</x:v>
      </x:c>
      <x:c r="I1087" t="str">
        <x:v>Closed Lost</x:v>
      </x:c>
      <x:c r="J1087" s="10" t="n">
        <x:v>46199</x:v>
      </x:c>
      <x:c r="K1087" s="10" t="n">
        <x:v>46199</x:v>
      </x:c>
      <x:c r="L1087" s="22" t="n">
        <x:v>35200</x:v>
      </x:c>
      <x:c r="M1087" s="24" t="n">
        <x:v>0</x:v>
      </x:c>
      <x:c r="N1087" s="24" t="n">
        <x:v>0</x:v>
      </x:c>
      <x:c r="O1087" t="str">
        <x:v>Price</x:v>
      </x:c>
      <x:c r="P1087" t="n">
        <x:v>3</x:v>
      </x:c>
      <x:c r="Q1087" t="str">
        <x:f>IFERROR(XLOOKUP(E1087,Lookups!$A$5:$A$24,Lookups!$B$5:$B$24),"Other")</x:f>
        <x:v>Referral</x:v>
      </x:c>
      <x:c r="R1087" t="str">
        <x:f>IFERROR(XLOOKUP(F1087,Lookups!$D$5:$D$10,Lookups!$E$5:$E$10),"Unknown Product")</x:f>
        <x:v>Marketing Automation</x:v>
      </x:c>
      <x:c r="S1087" t="str">
        <x:f>IFERROR(XLOOKUP(F1087,Lookups!$D$5:$D$10,Lookups!$F$5:$F$10),"Unknown")</x:f>
        <x:v>Marketing</x:v>
      </x:c>
      <x:c r="T1087" t="str">
        <x:f>IF(L1087&gt;=50000,"Enterprise",IF(L1087&gt;=20000,"Mid-Market","SMB"))</x:f>
        <x:v>Mid-Market</x:v>
      </x:c>
      <x:c r="U1087" t="str">
        <x:f>IF(I1087="Closed Won","Won",IF(I1087="Closed Lost","Lost","Open"))</x:f>
        <x:v>Lost</x:v>
      </x:c>
      <x:c r="V1087" s="22" t="n">
        <x:f>IF(U1087="Won",L1087*(1-M1087),0)</x:f>
        <x:v>0</x:v>
      </x:c>
      <x:c r="W1087" s="22" t="n">
        <x:f>IF(U1087="Open",L1087*N1087,0)</x:f>
        <x:v>0</x:v>
      </x:c>
      <x:c r="X1087" s="26" t="n">
        <x:f>IF(U1087="Open","",IFERROR(K1087-B1087,""))</x:f>
        <x:v>55</x:v>
      </x:c>
      <x:c r="Y1087" s="26" t="n">
        <x:f>IF(U1087="Open",Lookups!$B$2-B1087,X1087)</x:f>
        <x:v>55</x:v>
      </x:c>
      <x:c r="Z1087" t="str">
        <x:f>IF(AND(U1087="Open",Y1087&gt;30),"STALE","OK")</x:f>
        <x:v>OK</x:v>
      </x:c>
      <x:c r="AA1087" t="str">
        <x:f>TEXT(B1087,"yyyy-mm")</x:f>
        <x:v>2026-05</x:v>
      </x:c>
      <x:c r="AB1087" t="str">
        <x:f>IF(K1087="","",TEXT(K1087,"yyyy-mm"))</x:f>
        <x:v>2026-06</x:v>
      </x:c>
      <x:c r="AC1087" t="str">
        <x:f>"Q"&amp;ROUNDUP(MONTH(B1087)/3,0)&amp;"-"&amp;YEAR(B1087)</x:f>
        <x:v>Q2-2026</x:v>
      </x:c>
      <x:c r="AD1087" s="26" t="n">
        <x:f>MIN(100,IF(H1087="Enterprise",30,IF(H1087="Mid-Market",22,14))+IF(T1087="Enterprise",25,IF(T1087="Mid-Market",18,10))+IF(Q1087="Referral",25,IF(Q1087="Organic Search",20,IF(Q1087="Email",18,14)))+IF(G1087="Technology",10,5))</x:f>
        <x:v>70</x:v>
      </x:c>
      <x:c r="AE1087" t="str">
        <x:f>IF(U1087&lt;&gt;"Open",U1087,IF(N1087&gt;=0.8,"Commit",IF(N1087&gt;=0.5,"Best Case","Pipeline")))</x:f>
        <x:v>Lost</x:v>
      </x:c>
    </x:row>
    <x:row r="1088">
      <x:c r="A1088" t="str">
        <x:v>L01087</x:v>
      </x:c>
      <x:c r="B1088" s="10" t="n">
        <x:v>46242</x:v>
      </x:c>
      <x:c r="C1088" t="str">
        <x:v>Tuan Bui</x:v>
      </x:c>
      <x:c r="D1088" t="str">
        <x:v>Central</x:v>
      </x:c>
      <x:c r="E1088" t="str">
        <x:v>SEO</x:v>
      </x:c>
      <x:c r="F1088" t="str">
        <x:v>MKT-AUTO</x:v>
      </x:c>
      <x:c r="G1088" t="str">
        <x:v>Healthcare</x:v>
      </x:c>
      <x:c r="H1088" t="str">
        <x:v>Mid-Market</x:v>
      </x:c>
      <x:c r="I1088" t="str">
        <x:v>Closed Lost</x:v>
      </x:c>
      <x:c r="J1088" s="10" t="n">
        <x:v>46259</x:v>
      </x:c>
      <x:c r="K1088" s="10" t="n">
        <x:v>46259</x:v>
      </x:c>
      <x:c r="L1088" s="22" t="n">
        <x:v>19700</x:v>
      </x:c>
      <x:c r="M1088" s="24" t="n">
        <x:v>0</x:v>
      </x:c>
      <x:c r="N1088" s="24" t="n">
        <x:v>0</x:v>
      </x:c>
      <x:c r="O1088" t="str">
        <x:v>Competitor</x:v>
      </x:c>
      <x:c r="P1088" t="n">
        <x:v>3</x:v>
      </x:c>
      <x:c r="Q1088" t="str">
        <x:f>IFERROR(XLOOKUP(E1088,Lookups!$A$5:$A$24,Lookups!$B$5:$B$24),"Other")</x:f>
        <x:v>Organic Search</x:v>
      </x:c>
      <x:c r="R1088" t="str">
        <x:f>IFERROR(XLOOKUP(F1088,Lookups!$D$5:$D$10,Lookups!$E$5:$E$10),"Unknown Product")</x:f>
        <x:v>Marketing Automation</x:v>
      </x:c>
      <x:c r="S1088" t="str">
        <x:f>IFERROR(XLOOKUP(F1088,Lookups!$D$5:$D$10,Lookups!$F$5:$F$10),"Unknown")</x:f>
        <x:v>Marketing</x:v>
      </x:c>
      <x:c r="T1088" t="str">
        <x:f>IF(L1088&gt;=50000,"Enterprise",IF(L1088&gt;=20000,"Mid-Market","SMB"))</x:f>
        <x:v>SMB</x:v>
      </x:c>
      <x:c r="U1088" t="str">
        <x:f>IF(I1088="Closed Won","Won",IF(I1088="Closed Lost","Lost","Open"))</x:f>
        <x:v>Lost</x:v>
      </x:c>
      <x:c r="V1088" s="22" t="n">
        <x:f>IF(U1088="Won",L1088*(1-M1088),0)</x:f>
        <x:v>0</x:v>
      </x:c>
      <x:c r="W1088" s="22" t="n">
        <x:f>IF(U1088="Open",L1088*N1088,0)</x:f>
        <x:v>0</x:v>
      </x:c>
      <x:c r="X1088" s="26" t="n">
        <x:f>IF(U1088="Open","",IFERROR(K1088-B1088,""))</x:f>
        <x:v>17</x:v>
      </x:c>
      <x:c r="Y1088" s="26" t="n">
        <x:f>IF(U1088="Open",Lookups!$B$2-B1088,X1088)</x:f>
        <x:v>17</x:v>
      </x:c>
      <x:c r="Z1088" t="str">
        <x:f>IF(AND(U1088="Open",Y1088&gt;30),"STALE","OK")</x:f>
        <x:v>OK</x:v>
      </x:c>
      <x:c r="AA1088" t="str">
        <x:f>TEXT(B1088,"yyyy-mm")</x:f>
        <x:v>2026-08</x:v>
      </x:c>
      <x:c r="AB1088" t="str">
        <x:f>IF(K1088="","",TEXT(K1088,"yyyy-mm"))</x:f>
        <x:v>2026-08</x:v>
      </x:c>
      <x:c r="AC1088" t="str">
        <x:f>"Q"&amp;ROUNDUP(MONTH(B1088)/3,0)&amp;"-"&amp;YEAR(B1088)</x:f>
        <x:v>Q3-2026</x:v>
      </x:c>
      <x:c r="AD1088" s="26" t="n">
        <x:f>MIN(100,IF(H1088="Enterprise",30,IF(H1088="Mid-Market",22,14))+IF(T1088="Enterprise",25,IF(T1088="Mid-Market",18,10))+IF(Q1088="Referral",25,IF(Q1088="Organic Search",20,IF(Q1088="Email",18,14)))+IF(G1088="Technology",10,5))</x:f>
        <x:v>57</x:v>
      </x:c>
      <x:c r="AE1088" t="str">
        <x:f>IF(U1088&lt;&gt;"Open",U1088,IF(N1088&gt;=0.8,"Commit",IF(N1088&gt;=0.5,"Best Case","Pipeline")))</x:f>
        <x:v>Lost</x:v>
      </x:c>
    </x:row>
    <x:row r="1089">
      <x:c r="A1089" t="str">
        <x:v>L01088</x:v>
      </x:c>
      <x:c r="B1089" s="10" t="n">
        <x:v>46115</x:v>
      </x:c>
      <x:c r="C1089" t="str">
        <x:v>Duy Pham</x:v>
      </x:c>
      <x:c r="D1089" t="str">
        <x:v>South</x:v>
      </x:c>
      <x:c r="E1089" t="str">
        <x:v>Cold Email</x:v>
      </x:c>
      <x:c r="F1089" t="str">
        <x:v>CS-CLOUD</x:v>
      </x:c>
      <x:c r="G1089" t="str">
        <x:v>Education</x:v>
      </x:c>
      <x:c r="H1089" t="str">
        <x:v>Mid-Market</x:v>
      </x:c>
      <x:c r="I1089" t="str">
        <x:v>Closed Won</x:v>
      </x:c>
      <x:c r="J1089" s="10" t="n">
        <x:v>46189</x:v>
      </x:c>
      <x:c r="K1089" s="10" t="n">
        <x:v>46189</x:v>
      </x:c>
      <x:c r="L1089" s="22" t="n">
        <x:v>34600</x:v>
      </x:c>
      <x:c r="M1089" s="24" t="n">
        <x:v>0.08</x:v>
      </x:c>
      <x:c r="N1089" s="24" t="n">
        <x:v>1</x:v>
      </x:c>
      <x:c r="O1089" t="str"/>
      <x:c r="P1089" t="n">
        <x:v>6</x:v>
      </x:c>
      <x:c r="Q1089" t="str">
        <x:f>IFERROR(XLOOKUP(E1089,Lookups!$A$5:$A$24,Lookups!$B$5:$B$24),"Other")</x:f>
        <x:v>Outbound</x:v>
      </x:c>
      <x:c r="R1089" t="str">
        <x:f>IFERROR(XLOOKUP(F1089,Lookups!$D$5:$D$10,Lookups!$E$5:$E$10),"Unknown Product")</x:f>
        <x:v>Service Cloud</x:v>
      </x:c>
      <x:c r="S1089" t="str">
        <x:f>IFERROR(XLOOKUP(F1089,Lookups!$D$5:$D$10,Lookups!$F$5:$F$10),"Unknown")</x:f>
        <x:v>Customer Service</x:v>
      </x:c>
      <x:c r="T1089" t="str">
        <x:f>IF(L1089&gt;=50000,"Enterprise",IF(L1089&gt;=20000,"Mid-Market","SMB"))</x:f>
        <x:v>Mid-Market</x:v>
      </x:c>
      <x:c r="U1089" t="str">
        <x:f>IF(I1089="Closed Won","Won",IF(I1089="Closed Lost","Lost","Open"))</x:f>
        <x:v>Won</x:v>
      </x:c>
      <x:c r="V1089" s="22" t="n">
        <x:f>IF(U1089="Won",L1089*(1-M1089),0)</x:f>
        <x:v>31832</x:v>
      </x:c>
      <x:c r="W1089" s="22" t="n">
        <x:f>IF(U1089="Open",L1089*N1089,0)</x:f>
        <x:v>0</x:v>
      </x:c>
      <x:c r="X1089" s="26" t="n">
        <x:f>IF(U1089="Open","",IFERROR(K1089-B1089,""))</x:f>
        <x:v>74</x:v>
      </x:c>
      <x:c r="Y1089" s="26" t="n">
        <x:f>IF(U1089="Open",Lookups!$B$2-B1089,X1089)</x:f>
        <x:v>74</x:v>
      </x:c>
      <x:c r="Z1089" t="str">
        <x:f>IF(AND(U1089="Open",Y1089&gt;30),"STALE","OK")</x:f>
        <x:v>OK</x:v>
      </x:c>
      <x:c r="AA1089" t="str">
        <x:f>TEXT(B1089,"yyyy-mm")</x:f>
        <x:v>2026-04</x:v>
      </x:c>
      <x:c r="AB1089" t="str">
        <x:f>IF(K1089="","",TEXT(K1089,"yyyy-mm"))</x:f>
        <x:v>2026-06</x:v>
      </x:c>
      <x:c r="AC1089" t="str">
        <x:f>"Q"&amp;ROUNDUP(MONTH(B1089)/3,0)&amp;"-"&amp;YEAR(B1089)</x:f>
        <x:v>Q2-2026</x:v>
      </x:c>
      <x:c r="AD1089" s="26" t="n">
        <x:f>MIN(100,IF(H1089="Enterprise",30,IF(H1089="Mid-Market",22,14))+IF(T1089="Enterprise",25,IF(T1089="Mid-Market",18,10))+IF(Q1089="Referral",25,IF(Q1089="Organic Search",20,IF(Q1089="Email",18,14)))+IF(G1089="Technology",10,5))</x:f>
        <x:v>59</x:v>
      </x:c>
      <x:c r="AE1089" t="str">
        <x:f>IF(U1089&lt;&gt;"Open",U1089,IF(N1089&gt;=0.8,"Commit",IF(N1089&gt;=0.5,"Best Case","Pipeline")))</x:f>
        <x:v>Won</x:v>
      </x:c>
    </x:row>
    <x:row r="1090">
      <x:c r="A1090" t="str">
        <x:v>L01089</x:v>
      </x:c>
      <x:c r="B1090" s="10" t="n">
        <x:v>45807</x:v>
      </x:c>
      <x:c r="C1090" t="str">
        <x:v>Ha Vo</x:v>
      </x:c>
      <x:c r="D1090" t="str">
        <x:v>North</x:v>
      </x:c>
      <x:c r="E1090" t="str">
        <x:v>newsletter</x:v>
      </x:c>
      <x:c r="F1090" t="str">
        <x:v>CRM-CORE</x:v>
      </x:c>
      <x:c r="G1090" t="str">
        <x:v>Financial Services</x:v>
      </x:c>
      <x:c r="H1090" t="str">
        <x:v>Mid-Market</x:v>
      </x:c>
      <x:c r="I1090" t="str">
        <x:v>Closed Won</x:v>
      </x:c>
      <x:c r="J1090" s="10" t="n">
        <x:v>45859</x:v>
      </x:c>
      <x:c r="K1090" s="10" t="n">
        <x:v>45859</x:v>
      </x:c>
      <x:c r="L1090" s="22" t="n">
        <x:v>11400</x:v>
      </x:c>
      <x:c r="M1090" s="24" t="n">
        <x:v>0.1</x:v>
      </x:c>
      <x:c r="N1090" s="24" t="n">
        <x:v>1</x:v>
      </x:c>
      <x:c r="O1090" t="str"/>
      <x:c r="P1090" t="n">
        <x:v>6</x:v>
      </x:c>
      <x:c r="Q1090" t="str">
        <x:f>IFERROR(XLOOKUP(E1090,Lookups!$A$5:$A$24,Lookups!$B$5:$B$24),"Other")</x:f>
        <x:v>Email</x:v>
      </x:c>
      <x:c r="R1090" t="str">
        <x:f>IFERROR(XLOOKUP(F1090,Lookups!$D$5:$D$10,Lookups!$E$5:$E$10),"Unknown Product")</x:f>
        <x:v>NexaCRM Core</x:v>
      </x:c>
      <x:c r="S1090" t="str">
        <x:f>IFERROR(XLOOKUP(F1090,Lookups!$D$5:$D$10,Lookups!$F$5:$F$10),"Unknown")</x:f>
        <x:v>CRM</x:v>
      </x:c>
      <x:c r="T1090" t="str">
        <x:f>IF(L1090&gt;=50000,"Enterprise",IF(L1090&gt;=20000,"Mid-Market","SMB"))</x:f>
        <x:v>SMB</x:v>
      </x:c>
      <x:c r="U1090" t="str">
        <x:f>IF(I1090="Closed Won","Won",IF(I1090="Closed Lost","Lost","Open"))</x:f>
        <x:v>Won</x:v>
      </x:c>
      <x:c r="V1090" s="22" t="n">
        <x:f>IF(U1090="Won",L1090*(1-M1090),0)</x:f>
        <x:v>10260</x:v>
      </x:c>
      <x:c r="W1090" s="22" t="n">
        <x:f>IF(U1090="Open",L1090*N1090,0)</x:f>
        <x:v>0</x:v>
      </x:c>
      <x:c r="X1090" s="26" t="n">
        <x:f>IF(U1090="Open","",IFERROR(K1090-B1090,""))</x:f>
        <x:v>52</x:v>
      </x:c>
      <x:c r="Y1090" s="26" t="n">
        <x:f>IF(U1090="Open",Lookups!$B$2-B1090,X1090)</x:f>
        <x:v>52</x:v>
      </x:c>
      <x:c r="Z1090" t="str">
        <x:f>IF(AND(U1090="Open",Y1090&gt;30),"STALE","OK")</x:f>
        <x:v>OK</x:v>
      </x:c>
      <x:c r="AA1090" t="str">
        <x:f>TEXT(B1090,"yyyy-mm")</x:f>
        <x:v>2025-05</x:v>
      </x:c>
      <x:c r="AB1090" t="str">
        <x:f>IF(K1090="","",TEXT(K1090,"yyyy-mm"))</x:f>
        <x:v>2025-07</x:v>
      </x:c>
      <x:c r="AC1090" t="str">
        <x:f>"Q"&amp;ROUNDUP(MONTH(B1090)/3,0)&amp;"-"&amp;YEAR(B1090)</x:f>
        <x:v>Q2-2025</x:v>
      </x:c>
      <x:c r="AD1090" s="26" t="n">
        <x:f>MIN(100,IF(H1090="Enterprise",30,IF(H1090="Mid-Market",22,14))+IF(T1090="Enterprise",25,IF(T1090="Mid-Market",18,10))+IF(Q1090="Referral",25,IF(Q1090="Organic Search",20,IF(Q1090="Email",18,14)))+IF(G1090="Technology",10,5))</x:f>
        <x:v>55</x:v>
      </x:c>
      <x:c r="AE1090" t="str">
        <x:f>IF(U1090&lt;&gt;"Open",U1090,IF(N1090&gt;=0.8,"Commit",IF(N1090&gt;=0.5,"Best Case","Pipeline")))</x:f>
        <x:v>Won</x:v>
      </x:c>
    </x:row>
    <x:row r="1091">
      <x:c r="A1091" t="str">
        <x:v>L01090</x:v>
      </x:c>
      <x:c r="B1091" s="10" t="n">
        <x:v>46212</x:v>
      </x:c>
      <x:c r="C1091" t="str">
        <x:v>Ha Vo</x:v>
      </x:c>
      <x:c r="D1091" t="str">
        <x:v>North</x:v>
      </x:c>
      <x:c r="E1091" t="str">
        <x:v>Google Organic</x:v>
      </x:c>
      <x:c r="F1091" t="str">
        <x:v>CS-CLOUD</x:v>
      </x:c>
      <x:c r="G1091" t="str">
        <x:v>Healthcare</x:v>
      </x:c>
      <x:c r="H1091" t="str">
        <x:v>SMB</x:v>
      </x:c>
      <x:c r="I1091" t="str">
        <x:v>Closed Lost</x:v>
      </x:c>
      <x:c r="J1091" s="10" t="n">
        <x:v>46266</x:v>
      </x:c>
      <x:c r="K1091" s="10" t="n">
        <x:v>46266</x:v>
      </x:c>
      <x:c r="L1091" s="22" t="n">
        <x:v>17700</x:v>
      </x:c>
      <x:c r="M1091" s="24" t="n">
        <x:v>0</x:v>
      </x:c>
      <x:c r="N1091" s="24" t="n">
        <x:v>0</x:v>
      </x:c>
      <x:c r="O1091" t="str">
        <x:v>No Decision</x:v>
      </x:c>
      <x:c r="P1091" t="n">
        <x:v>5</x:v>
      </x:c>
      <x:c r="Q1091" t="str">
        <x:f>IFERROR(XLOOKUP(E1091,Lookups!$A$5:$A$24,Lookups!$B$5:$B$24),"Other")</x:f>
        <x:v>Organic Search</x:v>
      </x:c>
      <x:c r="R1091" t="str">
        <x:f>IFERROR(XLOOKUP(F1091,Lookups!$D$5:$D$10,Lookups!$E$5:$E$10),"Unknown Product")</x:f>
        <x:v>Service Cloud</x:v>
      </x:c>
      <x:c r="S1091" t="str">
        <x:f>IFERROR(XLOOKUP(F1091,Lookups!$D$5:$D$10,Lookups!$F$5:$F$10),"Unknown")</x:f>
        <x:v>Customer Service</x:v>
      </x:c>
      <x:c r="T1091" t="str">
        <x:f>IF(L1091&gt;=50000,"Enterprise",IF(L1091&gt;=20000,"Mid-Market","SMB"))</x:f>
        <x:v>SMB</x:v>
      </x:c>
      <x:c r="U1091" t="str">
        <x:f>IF(I1091="Closed Won","Won",IF(I1091="Closed Lost","Lost","Open"))</x:f>
        <x:v>Lost</x:v>
      </x:c>
      <x:c r="V1091" s="22" t="n">
        <x:f>IF(U1091="Won",L1091*(1-M1091),0)</x:f>
        <x:v>0</x:v>
      </x:c>
      <x:c r="W1091" s="22" t="n">
        <x:f>IF(U1091="Open",L1091*N1091,0)</x:f>
        <x:v>0</x:v>
      </x:c>
      <x:c r="X1091" s="26" t="n">
        <x:f>IF(U1091="Open","",IFERROR(K1091-B1091,""))</x:f>
        <x:v>54</x:v>
      </x:c>
      <x:c r="Y1091" s="26" t="n">
        <x:f>IF(U1091="Open",Lookups!$B$2-B1091,X1091)</x:f>
        <x:v>54</x:v>
      </x:c>
      <x:c r="Z1091" t="str">
        <x:f>IF(AND(U1091="Open",Y1091&gt;30),"STALE","OK")</x:f>
        <x:v>OK</x:v>
      </x:c>
      <x:c r="AA1091" t="str">
        <x:f>TEXT(B1091,"yyyy-mm")</x:f>
        <x:v>2026-07</x:v>
      </x:c>
      <x:c r="AB1091" t="str">
        <x:f>IF(K1091="","",TEXT(K1091,"yyyy-mm"))</x:f>
        <x:v>2026-09</x:v>
      </x:c>
      <x:c r="AC1091" t="str">
        <x:f>"Q"&amp;ROUNDUP(MONTH(B1091)/3,0)&amp;"-"&amp;YEAR(B1091)</x:f>
        <x:v>Q3-2026</x:v>
      </x:c>
      <x:c r="AD1091" s="26" t="n">
        <x:f>MIN(100,IF(H1091="Enterprise",30,IF(H1091="Mid-Market",22,14))+IF(T1091="Enterprise",25,IF(T1091="Mid-Market",18,10))+IF(Q1091="Referral",25,IF(Q1091="Organic Search",20,IF(Q1091="Email",18,14)))+IF(G1091="Technology",10,5))</x:f>
        <x:v>49</x:v>
      </x:c>
      <x:c r="AE1091" t="str">
        <x:f>IF(U1091&lt;&gt;"Open",U1091,IF(N1091&gt;=0.8,"Commit",IF(N1091&gt;=0.5,"Best Case","Pipeline")))</x:f>
        <x:v>Lost</x:v>
      </x:c>
    </x:row>
    <x:row r="1092">
      <x:c r="A1092" t="str">
        <x:v>L01091</x:v>
      </x:c>
      <x:c r="B1092" s="10" t="n">
        <x:v>45687</x:v>
      </x:c>
      <x:c r="C1092" t="str">
        <x:v>Duy Pham</x:v>
      </x:c>
      <x:c r="D1092" t="str">
        <x:v>South</x:v>
      </x:c>
      <x:c r="E1092" t="str">
        <x:v>LI Ads</x:v>
      </x:c>
      <x:c r="F1092" t="str">
        <x:v>REV-OPS</x:v>
      </x:c>
      <x:c r="G1092" t="str">
        <x:v>Manufacturing</x:v>
      </x:c>
      <x:c r="H1092" t="str">
        <x:v>Mid-Market</x:v>
      </x:c>
      <x:c r="I1092" t="str">
        <x:v>Closed Lost</x:v>
      </x:c>
      <x:c r="J1092" s="10" t="n">
        <x:v>45749</x:v>
      </x:c>
      <x:c r="K1092" s="10" t="n">
        <x:v>45749</x:v>
      </x:c>
      <x:c r="L1092" s="22" t="n">
        <x:v>71600</x:v>
      </x:c>
      <x:c r="M1092" s="24" t="n">
        <x:v>0</x:v>
      </x:c>
      <x:c r="N1092" s="24" t="n">
        <x:v>0</x:v>
      </x:c>
      <x:c r="O1092" t="str">
        <x:v>Feature Gap</x:v>
      </x:c>
      <x:c r="P1092" t="n">
        <x:v>5</x:v>
      </x:c>
      <x:c r="Q1092" t="str">
        <x:f>IFERROR(XLOOKUP(E1092,Lookups!$A$5:$A$24,Lookups!$B$5:$B$24),"Other")</x:f>
        <x:v>LinkedIn</x:v>
      </x:c>
      <x:c r="R1092" t="str">
        <x:f>IFERROR(XLOOKUP(F1092,Lookups!$D$5:$D$10,Lookups!$E$5:$E$10),"Unknown Product")</x:f>
        <x:v>Revenue Operations Suite</x:v>
      </x:c>
      <x:c r="S1092" t="str">
        <x:f>IFERROR(XLOOKUP(F1092,Lookups!$D$5:$D$10,Lookups!$F$5:$F$10),"Unknown")</x:f>
        <x:v>Revenue Ops</x:v>
      </x:c>
      <x:c r="T1092" t="str">
        <x:f>IF(L1092&gt;=50000,"Enterprise",IF(L1092&gt;=20000,"Mid-Market","SMB"))</x:f>
        <x:v>Enterprise</x:v>
      </x:c>
      <x:c r="U1092" t="str">
        <x:f>IF(I1092="Closed Won","Won",IF(I1092="Closed Lost","Lost","Open"))</x:f>
        <x:v>Lost</x:v>
      </x:c>
      <x:c r="V1092" s="22" t="n">
        <x:f>IF(U1092="Won",L1092*(1-M1092),0)</x:f>
        <x:v>0</x:v>
      </x:c>
      <x:c r="W1092" s="22" t="n">
        <x:f>IF(U1092="Open",L1092*N1092,0)</x:f>
        <x:v>0</x:v>
      </x:c>
      <x:c r="X1092" s="26" t="n">
        <x:f>IF(U1092="Open","",IFERROR(K1092-B1092,""))</x:f>
        <x:v>62</x:v>
      </x:c>
      <x:c r="Y1092" s="26" t="n">
        <x:f>IF(U1092="Open",Lookups!$B$2-B1092,X1092)</x:f>
        <x:v>62</x:v>
      </x:c>
      <x:c r="Z1092" t="str">
        <x:f>IF(AND(U1092="Open",Y1092&gt;30),"STALE","OK")</x:f>
        <x:v>OK</x:v>
      </x:c>
      <x:c r="AA1092" t="str">
        <x:f>TEXT(B1092,"yyyy-mm")</x:f>
        <x:v>2025-01</x:v>
      </x:c>
      <x:c r="AB1092" t="str">
        <x:f>IF(K1092="","",TEXT(K1092,"yyyy-mm"))</x:f>
        <x:v>2025-04</x:v>
      </x:c>
      <x:c r="AC1092" t="str">
        <x:f>"Q"&amp;ROUNDUP(MONTH(B1092)/3,0)&amp;"-"&amp;YEAR(B1092)</x:f>
        <x:v>Q1-2025</x:v>
      </x:c>
      <x:c r="AD1092" s="26" t="n">
        <x:f>MIN(100,IF(H1092="Enterprise",30,IF(H1092="Mid-Market",22,14))+IF(T1092="Enterprise",25,IF(T1092="Mid-Market",18,10))+IF(Q1092="Referral",25,IF(Q1092="Organic Search",20,IF(Q1092="Email",18,14)))+IF(G1092="Technology",10,5))</x:f>
        <x:v>66</x:v>
      </x:c>
      <x:c r="AE1092" t="str">
        <x:f>IF(U1092&lt;&gt;"Open",U1092,IF(N1092&gt;=0.8,"Commit",IF(N1092&gt;=0.5,"Best Case","Pipeline")))</x:f>
        <x:v>Lost</x:v>
      </x:c>
    </x:row>
    <x:row r="1093">
      <x:c r="A1093" t="str">
        <x:v>L01092</x:v>
      </x:c>
      <x:c r="B1093" s="10" t="n">
        <x:v>45761</x:v>
      </x:c>
      <x:c r="C1093" t="str">
        <x:v>Duy Pham</x:v>
      </x:c>
      <x:c r="D1093" t="str">
        <x:v>South</x:v>
      </x:c>
      <x:c r="E1093" t="str">
        <x:v>Google Ads</x:v>
      </x:c>
      <x:c r="F1093" t="str">
        <x:v>CRM-CORE</x:v>
      </x:c>
      <x:c r="G1093" t="str">
        <x:v>Professional Services</x:v>
      </x:c>
      <x:c r="H1093" t="str">
        <x:v>SMB</x:v>
      </x:c>
      <x:c r="I1093" t="str">
        <x:v>Closed Lost</x:v>
      </x:c>
      <x:c r="J1093" s="10" t="n">
        <x:v>45853</x:v>
      </x:c>
      <x:c r="K1093" s="10" t="n">
        <x:v>45853</x:v>
      </x:c>
      <x:c r="L1093" s="22" t="n">
        <x:v>5400</x:v>
      </x:c>
      <x:c r="M1093" s="24" t="n">
        <x:v>0</x:v>
      </x:c>
      <x:c r="N1093" s="24" t="n">
        <x:v>0</x:v>
      </x:c>
      <x:c r="O1093" t="str">
        <x:v>No Decision</x:v>
      </x:c>
      <x:c r="P1093" t="n">
        <x:v>3</x:v>
      </x:c>
      <x:c r="Q1093" t="str">
        <x:f>IFERROR(XLOOKUP(E1093,Lookups!$A$5:$A$24,Lookups!$B$5:$B$24),"Other")</x:f>
        <x:v>Paid Search</x:v>
      </x:c>
      <x:c r="R1093" t="str">
        <x:f>IFERROR(XLOOKUP(F1093,Lookups!$D$5:$D$10,Lookups!$E$5:$E$10),"Unknown Product")</x:f>
        <x:v>NexaCRM Core</x:v>
      </x:c>
      <x:c r="S1093" t="str">
        <x:f>IFERROR(XLOOKUP(F1093,Lookups!$D$5:$D$10,Lookups!$F$5:$F$10),"Unknown")</x:f>
        <x:v>CRM</x:v>
      </x:c>
      <x:c r="T1093" t="str">
        <x:f>IF(L1093&gt;=50000,"Enterprise",IF(L1093&gt;=20000,"Mid-Market","SMB"))</x:f>
        <x:v>SMB</x:v>
      </x:c>
      <x:c r="U1093" t="str">
        <x:f>IF(I1093="Closed Won","Won",IF(I1093="Closed Lost","Lost","Open"))</x:f>
        <x:v>Lost</x:v>
      </x:c>
      <x:c r="V1093" s="22" t="n">
        <x:f>IF(U1093="Won",L1093*(1-M1093),0)</x:f>
        <x:v>0</x:v>
      </x:c>
      <x:c r="W1093" s="22" t="n">
        <x:f>IF(U1093="Open",L1093*N1093,0)</x:f>
        <x:v>0</x:v>
      </x:c>
      <x:c r="X1093" s="26" t="n">
        <x:f>IF(U1093="Open","",IFERROR(K1093-B1093,""))</x:f>
        <x:v>92</x:v>
      </x:c>
      <x:c r="Y1093" s="26" t="n">
        <x:f>IF(U1093="Open",Lookups!$B$2-B1093,X1093)</x:f>
        <x:v>92</x:v>
      </x:c>
      <x:c r="Z1093" t="str">
        <x:f>IF(AND(U1093="Open",Y1093&gt;30),"STALE","OK")</x:f>
        <x:v>OK</x:v>
      </x:c>
      <x:c r="AA1093" t="str">
        <x:f>TEXT(B1093,"yyyy-mm")</x:f>
        <x:v>2025-04</x:v>
      </x:c>
      <x:c r="AB1093" t="str">
        <x:f>IF(K1093="","",TEXT(K1093,"yyyy-mm"))</x:f>
        <x:v>2025-07</x:v>
      </x:c>
      <x:c r="AC1093" t="str">
        <x:f>"Q"&amp;ROUNDUP(MONTH(B1093)/3,0)&amp;"-"&amp;YEAR(B1093)</x:f>
        <x:v>Q2-2025</x:v>
      </x:c>
      <x:c r="AD1093" s="26" t="n">
        <x:f>MIN(100,IF(H1093="Enterprise",30,IF(H1093="Mid-Market",22,14))+IF(T1093="Enterprise",25,IF(T1093="Mid-Market",18,10))+IF(Q1093="Referral",25,IF(Q1093="Organic Search",20,IF(Q1093="Email",18,14)))+IF(G1093="Technology",10,5))</x:f>
        <x:v>43</x:v>
      </x:c>
      <x:c r="AE1093" t="str">
        <x:f>IF(U1093&lt;&gt;"Open",U1093,IF(N1093&gt;=0.8,"Commit",IF(N1093&gt;=0.5,"Best Case","Pipeline")))</x:f>
        <x:v>Lost</x:v>
      </x:c>
    </x:row>
    <x:row r="1094">
      <x:c r="A1094" t="str">
        <x:v>L01093</x:v>
      </x:c>
      <x:c r="B1094" s="10" t="n">
        <x:v>46162</x:v>
      </x:c>
      <x:c r="C1094" t="str">
        <x:v>An Nguyen</x:v>
      </x:c>
      <x:c r="D1094" t="str">
        <x:v>South</x:v>
      </x:c>
      <x:c r="E1094" t="str">
        <x:v>LI Ads</x:v>
      </x:c>
      <x:c r="F1094" t="str">
        <x:v>BI-PLUS</x:v>
      </x:c>
      <x:c r="G1094" t="str">
        <x:v>Education</x:v>
      </x:c>
      <x:c r="H1094" t="str">
        <x:v>Mid-Market</x:v>
      </x:c>
      <x:c r="I1094" t="str">
        <x:v>Demo / Meeting</x:v>
      </x:c>
      <x:c r="J1094" s="10" t="n">
        <x:v>46237</x:v>
      </x:c>
      <x:c r="K1094" s="10"/>
      <x:c r="L1094" s="22" t="n">
        <x:v>33600</x:v>
      </x:c>
      <x:c r="M1094" s="24" t="n">
        <x:v>0</x:v>
      </x:c>
      <x:c r="N1094" s="24" t="n">
        <x:v>0.4</x:v>
      </x:c>
      <x:c r="O1094" t="str"/>
      <x:c r="P1094" t="n">
        <x:v>3</x:v>
      </x:c>
      <x:c r="Q1094" t="str">
        <x:f>IFERROR(XLOOKUP(E1094,Lookups!$A$5:$A$24,Lookups!$B$5:$B$24),"Other")</x:f>
        <x:v>LinkedIn</x:v>
      </x:c>
      <x:c r="R1094" t="str">
        <x:f>IFERROR(XLOOKUP(F1094,Lookups!$D$5:$D$10,Lookups!$E$5:$E$10),"Unknown Product")</x:f>
        <x:v>Analytics Plus</x:v>
      </x:c>
      <x:c r="S1094" t="str">
        <x:f>IFERROR(XLOOKUP(F1094,Lookups!$D$5:$D$10,Lookups!$F$5:$F$10),"Unknown")</x:f>
        <x:v>Analytics</x:v>
      </x:c>
      <x:c r="T1094" t="str">
        <x:f>IF(L1094&gt;=50000,"Enterprise",IF(L1094&gt;=20000,"Mid-Market","SMB"))</x:f>
        <x:v>Mid-Market</x:v>
      </x:c>
      <x:c r="U1094" t="str">
        <x:f>IF(I1094="Closed Won","Won",IF(I1094="Closed Lost","Lost","Open"))</x:f>
        <x:v>Open</x:v>
      </x:c>
      <x:c r="V1094" s="22" t="n">
        <x:f>IF(U1094="Won",L1094*(1-M1094),0)</x:f>
        <x:v>0</x:v>
      </x:c>
      <x:c r="W1094" s="22" t="n">
        <x:f>IF(U1094="Open",L1094*N1094,0)</x:f>
        <x:v>13440</x:v>
      </x:c>
      <x:c r="X1094" s="26" t="str">
        <x:f>IF(U1094="Open","",IFERROR(K1094-B1094,""))</x:f>
      </x:c>
      <x:c r="Y1094" s="26" t="n">
        <x:f>IF(U1094="Open",Lookups!$B$2-B1094,X1094)</x:f>
        <x:v>104</x:v>
      </x:c>
      <x:c r="Z1094" t="str">
        <x:f>IF(AND(U1094="Open",Y1094&gt;30),"STALE","OK")</x:f>
        <x:v>STALE</x:v>
      </x:c>
      <x:c r="AA1094" t="str">
        <x:f>TEXT(B1094,"yyyy-mm")</x:f>
        <x:v>2026-05</x:v>
      </x:c>
      <x:c r="AB1094" t="str">
        <x:f>IF(K1094="","",TEXT(K1094,"yyyy-mm"))</x:f>
      </x:c>
      <x:c r="AC1094" t="str">
        <x:f>"Q"&amp;ROUNDUP(MONTH(B1094)/3,0)&amp;"-"&amp;YEAR(B1094)</x:f>
        <x:v>Q2-2026</x:v>
      </x:c>
      <x:c r="AD1094" s="26" t="n">
        <x:f>MIN(100,IF(H1094="Enterprise",30,IF(H1094="Mid-Market",22,14))+IF(T1094="Enterprise",25,IF(T1094="Mid-Market",18,10))+IF(Q1094="Referral",25,IF(Q1094="Organic Search",20,IF(Q1094="Email",18,14)))+IF(G1094="Technology",10,5))</x:f>
        <x:v>59</x:v>
      </x:c>
      <x:c r="AE1094" t="str">
        <x:f>IF(U1094&lt;&gt;"Open",U1094,IF(N1094&gt;=0.8,"Commit",IF(N1094&gt;=0.5,"Best Case","Pipeline")))</x:f>
        <x:v>Pipeline</x:v>
      </x:c>
    </x:row>
    <x:row r="1095">
      <x:c r="A1095" t="str">
        <x:v>L01094</x:v>
      </x:c>
      <x:c r="B1095" s="10" t="n">
        <x:v>45944</x:v>
      </x:c>
      <x:c r="C1095" t="str">
        <x:v>Minh Do</x:v>
      </x:c>
      <x:c r="D1095" t="str">
        <x:v>North</x:v>
      </x:c>
      <x:c r="E1095" t="str">
        <x:v>SEO</x:v>
      </x:c>
      <x:c r="F1095" t="str">
        <x:v>CRM-PRO</x:v>
      </x:c>
      <x:c r="G1095" t="str">
        <x:v>Technology</x:v>
      </x:c>
      <x:c r="H1095" t="str">
        <x:v>Mid-Market</x:v>
      </x:c>
      <x:c r="I1095" t="str">
        <x:v>Closed Lost</x:v>
      </x:c>
      <x:c r="J1095" s="10" t="n">
        <x:v>45997</x:v>
      </x:c>
      <x:c r="K1095" s="10" t="n">
        <x:v>45997</x:v>
      </x:c>
      <x:c r="L1095" s="22" t="n">
        <x:v>33400</x:v>
      </x:c>
      <x:c r="M1095" s="24" t="n">
        <x:v>0</x:v>
      </x:c>
      <x:c r="N1095" s="24" t="n">
        <x:v>0</x:v>
      </x:c>
      <x:c r="O1095" t="str">
        <x:v>Price</x:v>
      </x:c>
      <x:c r="P1095" t="n">
        <x:v>3</x:v>
      </x:c>
      <x:c r="Q1095" t="str">
        <x:f>IFERROR(XLOOKUP(E1095,Lookups!$A$5:$A$24,Lookups!$B$5:$B$24),"Other")</x:f>
        <x:v>Organic Search</x:v>
      </x:c>
      <x:c r="R1095" t="str">
        <x:f>IFERROR(XLOOKUP(F1095,Lookups!$D$5:$D$10,Lookups!$E$5:$E$10),"Unknown Product")</x:f>
        <x:v>NexaCRM Pro</x:v>
      </x:c>
      <x:c r="S1095" t="str">
        <x:f>IFERROR(XLOOKUP(F1095,Lookups!$D$5:$D$10,Lookups!$F$5:$F$10),"Unknown")</x:f>
        <x:v>CRM</x:v>
      </x:c>
      <x:c r="T1095" t="str">
        <x:f>IF(L1095&gt;=50000,"Enterprise",IF(L1095&gt;=20000,"Mid-Market","SMB"))</x:f>
        <x:v>Mid-Market</x:v>
      </x:c>
      <x:c r="U1095" t="str">
        <x:f>IF(I1095="Closed Won","Won",IF(I1095="Closed Lost","Lost","Open"))</x:f>
        <x:v>Lost</x:v>
      </x:c>
      <x:c r="V1095" s="22" t="n">
        <x:f>IF(U1095="Won",L1095*(1-M1095),0)</x:f>
        <x:v>0</x:v>
      </x:c>
      <x:c r="W1095" s="22" t="n">
        <x:f>IF(U1095="Open",L1095*N1095,0)</x:f>
        <x:v>0</x:v>
      </x:c>
      <x:c r="X1095" s="26" t="n">
        <x:f>IF(U1095="Open","",IFERROR(K1095-B1095,""))</x:f>
        <x:v>53</x:v>
      </x:c>
      <x:c r="Y1095" s="26" t="n">
        <x:f>IF(U1095="Open",Lookups!$B$2-B1095,X1095)</x:f>
        <x:v>53</x:v>
      </x:c>
      <x:c r="Z1095" t="str">
        <x:f>IF(AND(U1095="Open",Y1095&gt;30),"STALE","OK")</x:f>
        <x:v>OK</x:v>
      </x:c>
      <x:c r="AA1095" t="str">
        <x:f>TEXT(B1095,"yyyy-mm")</x:f>
        <x:v>2025-10</x:v>
      </x:c>
      <x:c r="AB1095" t="str">
        <x:f>IF(K1095="","",TEXT(K1095,"yyyy-mm"))</x:f>
        <x:v>2025-12</x:v>
      </x:c>
      <x:c r="AC1095" t="str">
        <x:f>"Q"&amp;ROUNDUP(MONTH(B1095)/3,0)&amp;"-"&amp;YEAR(B1095)</x:f>
        <x:v>Q4-2025</x:v>
      </x:c>
      <x:c r="AD1095" s="26" t="n">
        <x:f>MIN(100,IF(H1095="Enterprise",30,IF(H1095="Mid-Market",22,14))+IF(T1095="Enterprise",25,IF(T1095="Mid-Market",18,10))+IF(Q1095="Referral",25,IF(Q1095="Organic Search",20,IF(Q1095="Email",18,14)))+IF(G1095="Technology",10,5))</x:f>
        <x:v>70</x:v>
      </x:c>
      <x:c r="AE1095" t="str">
        <x:f>IF(U1095&lt;&gt;"Open",U1095,IF(N1095&gt;=0.8,"Commit",IF(N1095&gt;=0.5,"Best Case","Pipeline")))</x:f>
        <x:v>Lost</x:v>
      </x:c>
    </x:row>
    <x:row r="1096">
      <x:c r="A1096" t="str">
        <x:v>L01095</x:v>
      </x:c>
      <x:c r="B1096" s="10" t="n">
        <x:v>45923</x:v>
      </x:c>
      <x:c r="C1096" t="str">
        <x:v>An Nguyen</x:v>
      </x:c>
      <x:c r="D1096" t="str">
        <x:v>South</x:v>
      </x:c>
      <x:c r="E1096" t="str">
        <x:v>Outbound</x:v>
      </x:c>
      <x:c r="F1096" t="str">
        <x:v>REV-OPS</x:v>
      </x:c>
      <x:c r="G1096" t="str">
        <x:v>Professional Services</x:v>
      </x:c>
      <x:c r="H1096" t="str">
        <x:v>Enterprise</x:v>
      </x:c>
      <x:c r="I1096" t="str">
        <x:v>Closed Lost</x:v>
      </x:c>
      <x:c r="J1096" s="10" t="n">
        <x:v>45970</x:v>
      </x:c>
      <x:c r="K1096" s="10" t="n">
        <x:v>45970</x:v>
      </x:c>
      <x:c r="L1096" s="22" t="n">
        <x:v>88400</x:v>
      </x:c>
      <x:c r="M1096" s="24" t="n">
        <x:v>0</x:v>
      </x:c>
      <x:c r="N1096" s="24" t="n">
        <x:v>0</x:v>
      </x:c>
      <x:c r="O1096" t="str">
        <x:v>Budget</x:v>
      </x:c>
      <x:c r="P1096" t="n">
        <x:v>4</x:v>
      </x:c>
      <x:c r="Q1096" t="str">
        <x:f>IFERROR(XLOOKUP(E1096,Lookups!$A$5:$A$24,Lookups!$B$5:$B$24),"Other")</x:f>
        <x:v>Outbound</x:v>
      </x:c>
      <x:c r="R1096" t="str">
        <x:f>IFERROR(XLOOKUP(F1096,Lookups!$D$5:$D$10,Lookups!$E$5:$E$10),"Unknown Product")</x:f>
        <x:v>Revenue Operations Suite</x:v>
      </x:c>
      <x:c r="S1096" t="str">
        <x:f>IFERROR(XLOOKUP(F1096,Lookups!$D$5:$D$10,Lookups!$F$5:$F$10),"Unknown")</x:f>
        <x:v>Revenue Ops</x:v>
      </x:c>
      <x:c r="T1096" t="str">
        <x:f>IF(L1096&gt;=50000,"Enterprise",IF(L1096&gt;=20000,"Mid-Market","SMB"))</x:f>
        <x:v>Enterprise</x:v>
      </x:c>
      <x:c r="U1096" t="str">
        <x:f>IF(I1096="Closed Won","Won",IF(I1096="Closed Lost","Lost","Open"))</x:f>
        <x:v>Lost</x:v>
      </x:c>
      <x:c r="V1096" s="22" t="n">
        <x:f>IF(U1096="Won",L1096*(1-M1096),0)</x:f>
        <x:v>0</x:v>
      </x:c>
      <x:c r="W1096" s="22" t="n">
        <x:f>IF(U1096="Open",L1096*N1096,0)</x:f>
        <x:v>0</x:v>
      </x:c>
      <x:c r="X1096" s="26" t="n">
        <x:f>IF(U1096="Open","",IFERROR(K1096-B1096,""))</x:f>
        <x:v>47</x:v>
      </x:c>
      <x:c r="Y1096" s="26" t="n">
        <x:f>IF(U1096="Open",Lookups!$B$2-B1096,X1096)</x:f>
        <x:v>47</x:v>
      </x:c>
      <x:c r="Z1096" t="str">
        <x:f>IF(AND(U1096="Open",Y1096&gt;30),"STALE","OK")</x:f>
        <x:v>OK</x:v>
      </x:c>
      <x:c r="AA1096" t="str">
        <x:f>TEXT(B1096,"yyyy-mm")</x:f>
        <x:v>2025-09</x:v>
      </x:c>
      <x:c r="AB1096" t="str">
        <x:f>IF(K1096="","",TEXT(K1096,"yyyy-mm"))</x:f>
        <x:v>2025-11</x:v>
      </x:c>
      <x:c r="AC1096" t="str">
        <x:f>"Q"&amp;ROUNDUP(MONTH(B1096)/3,0)&amp;"-"&amp;YEAR(B1096)</x:f>
        <x:v>Q3-2025</x:v>
      </x:c>
      <x:c r="AD1096" s="26" t="n">
        <x:f>MIN(100,IF(H1096="Enterprise",30,IF(H1096="Mid-Market",22,14))+IF(T1096="Enterprise",25,IF(T1096="Mid-Market",18,10))+IF(Q1096="Referral",25,IF(Q1096="Organic Search",20,IF(Q1096="Email",18,14)))+IF(G1096="Technology",10,5))</x:f>
        <x:v>74</x:v>
      </x:c>
      <x:c r="AE1096" t="str">
        <x:f>IF(U1096&lt;&gt;"Open",U1096,IF(N1096&gt;=0.8,"Commit",IF(N1096&gt;=0.5,"Best Case","Pipeline")))</x:f>
        <x:v>Lost</x:v>
      </x:c>
    </x:row>
    <x:row r="1097">
      <x:c r="A1097" t="str">
        <x:v>L01096</x:v>
      </x:c>
      <x:c r="B1097" s="10" t="n">
        <x:v>46092</x:v>
      </x:c>
      <x:c r="C1097" t="str">
        <x:v>Tuan Bui</x:v>
      </x:c>
      <x:c r="D1097" t="str">
        <x:v>Central</x:v>
      </x:c>
      <x:c r="E1097" t="str">
        <x:v>SEM - Google</x:v>
      </x:c>
      <x:c r="F1097" t="str">
        <x:v>MKT-AUTO</x:v>
      </x:c>
      <x:c r="G1097" t="str">
        <x:v>Manufacturing</x:v>
      </x:c>
      <x:c r="H1097" t="str">
        <x:v>SMB</x:v>
      </x:c>
      <x:c r="I1097" t="str">
        <x:v>Closed Won</x:v>
      </x:c>
      <x:c r="J1097" s="10" t="n">
        <x:v>46120</x:v>
      </x:c>
      <x:c r="K1097" s="10" t="n">
        <x:v>46120</x:v>
      </x:c>
      <x:c r="L1097" s="22" t="n">
        <x:v>19500</x:v>
      </x:c>
      <x:c r="M1097" s="24" t="n">
        <x:v>0</x:v>
      </x:c>
      <x:c r="N1097" s="24" t="n">
        <x:v>1</x:v>
      </x:c>
      <x:c r="O1097" t="str"/>
      <x:c r="P1097" t="n">
        <x:v>6</x:v>
      </x:c>
      <x:c r="Q1097" t="str">
        <x:f>IFERROR(XLOOKUP(E1097,Lookups!$A$5:$A$24,Lookups!$B$5:$B$24),"Other")</x:f>
        <x:v>Paid Search</x:v>
      </x:c>
      <x:c r="R1097" t="str">
        <x:f>IFERROR(XLOOKUP(F1097,Lookups!$D$5:$D$10,Lookups!$E$5:$E$10),"Unknown Product")</x:f>
        <x:v>Marketing Automation</x:v>
      </x:c>
      <x:c r="S1097" t="str">
        <x:f>IFERROR(XLOOKUP(F1097,Lookups!$D$5:$D$10,Lookups!$F$5:$F$10),"Unknown")</x:f>
        <x:v>Marketing</x:v>
      </x:c>
      <x:c r="T1097" t="str">
        <x:f>IF(L1097&gt;=50000,"Enterprise",IF(L1097&gt;=20000,"Mid-Market","SMB"))</x:f>
        <x:v>SMB</x:v>
      </x:c>
      <x:c r="U1097" t="str">
        <x:f>IF(I1097="Closed Won","Won",IF(I1097="Closed Lost","Lost","Open"))</x:f>
        <x:v>Won</x:v>
      </x:c>
      <x:c r="V1097" s="22" t="n">
        <x:f>IF(U1097="Won",L1097*(1-M1097),0)</x:f>
        <x:v>19500</x:v>
      </x:c>
      <x:c r="W1097" s="22" t="n">
        <x:f>IF(U1097="Open",L1097*N1097,0)</x:f>
        <x:v>0</x:v>
      </x:c>
      <x:c r="X1097" s="26" t="n">
        <x:f>IF(U1097="Open","",IFERROR(K1097-B1097,""))</x:f>
        <x:v>28</x:v>
      </x:c>
      <x:c r="Y1097" s="26" t="n">
        <x:f>IF(U1097="Open",Lookups!$B$2-B1097,X1097)</x:f>
        <x:v>28</x:v>
      </x:c>
      <x:c r="Z1097" t="str">
        <x:f>IF(AND(U1097="Open",Y1097&gt;30),"STALE","OK")</x:f>
        <x:v>OK</x:v>
      </x:c>
      <x:c r="AA1097" t="str">
        <x:f>TEXT(B1097,"yyyy-mm")</x:f>
        <x:v>2026-03</x:v>
      </x:c>
      <x:c r="AB1097" t="str">
        <x:f>IF(K1097="","",TEXT(K1097,"yyyy-mm"))</x:f>
        <x:v>2026-04</x:v>
      </x:c>
      <x:c r="AC1097" t="str">
        <x:f>"Q"&amp;ROUNDUP(MONTH(B1097)/3,0)&amp;"-"&amp;YEAR(B1097)</x:f>
        <x:v>Q1-2026</x:v>
      </x:c>
      <x:c r="AD1097" s="26" t="n">
        <x:f>MIN(100,IF(H1097="Enterprise",30,IF(H1097="Mid-Market",22,14))+IF(T1097="Enterprise",25,IF(T1097="Mid-Market",18,10))+IF(Q1097="Referral",25,IF(Q1097="Organic Search",20,IF(Q1097="Email",18,14)))+IF(G1097="Technology",10,5))</x:f>
        <x:v>43</x:v>
      </x:c>
      <x:c r="AE1097" t="str">
        <x:f>IF(U1097&lt;&gt;"Open",U1097,IF(N1097&gt;=0.8,"Commit",IF(N1097&gt;=0.5,"Best Case","Pipeline")))</x:f>
        <x:v>Won</x:v>
      </x:c>
    </x:row>
    <x:row r="1098">
      <x:c r="A1098" t="str">
        <x:v>L01097</x:v>
      </x:c>
      <x:c r="B1098" s="10" t="n">
        <x:v>46134</x:v>
      </x:c>
      <x:c r="C1098" t="str">
        <x:v>Ha Vo</x:v>
      </x:c>
      <x:c r="D1098" t="str">
        <x:v>North</x:v>
      </x:c>
      <x:c r="E1098" t="str">
        <x:v>google cpc</x:v>
      </x:c>
      <x:c r="F1098" t="str">
        <x:v>BI-PLUS</x:v>
      </x:c>
      <x:c r="G1098" t="str">
        <x:v>Healthcare</x:v>
      </x:c>
      <x:c r="H1098" t="str">
        <x:v>SMB</x:v>
      </x:c>
      <x:c r="I1098" t="str">
        <x:v>Closed Lost</x:v>
      </x:c>
      <x:c r="J1098" s="10" t="n">
        <x:v>46201</x:v>
      </x:c>
      <x:c r="K1098" s="10" t="n">
        <x:v>46201</x:v>
      </x:c>
      <x:c r="L1098" s="22" t="n">
        <x:v>28000</x:v>
      </x:c>
      <x:c r="M1098" s="24" t="n">
        <x:v>0</x:v>
      </x:c>
      <x:c r="N1098" s="24" t="n">
        <x:v>0</x:v>
      </x:c>
      <x:c r="O1098" t="str">
        <x:v>Timing</x:v>
      </x:c>
      <x:c r="P1098" t="n">
        <x:v>3</x:v>
      </x:c>
      <x:c r="Q1098" t="str">
        <x:f>IFERROR(XLOOKUP(E1098,Lookups!$A$5:$A$24,Lookups!$B$5:$B$24),"Other")</x:f>
        <x:v>Paid Search</x:v>
      </x:c>
      <x:c r="R1098" t="str">
        <x:f>IFERROR(XLOOKUP(F1098,Lookups!$D$5:$D$10,Lookups!$E$5:$E$10),"Unknown Product")</x:f>
        <x:v>Analytics Plus</x:v>
      </x:c>
      <x:c r="S1098" t="str">
        <x:f>IFERROR(XLOOKUP(F1098,Lookups!$D$5:$D$10,Lookups!$F$5:$F$10),"Unknown")</x:f>
        <x:v>Analytics</x:v>
      </x:c>
      <x:c r="T1098" t="str">
        <x:f>IF(L1098&gt;=50000,"Enterprise",IF(L1098&gt;=20000,"Mid-Market","SMB"))</x:f>
        <x:v>Mid-Market</x:v>
      </x:c>
      <x:c r="U1098" t="str">
        <x:f>IF(I1098="Closed Won","Won",IF(I1098="Closed Lost","Lost","Open"))</x:f>
        <x:v>Lost</x:v>
      </x:c>
      <x:c r="V1098" s="22" t="n">
        <x:f>IF(U1098="Won",L1098*(1-M1098),0)</x:f>
        <x:v>0</x:v>
      </x:c>
      <x:c r="W1098" s="22" t="n">
        <x:f>IF(U1098="Open",L1098*N1098,0)</x:f>
        <x:v>0</x:v>
      </x:c>
      <x:c r="X1098" s="26" t="n">
        <x:f>IF(U1098="Open","",IFERROR(K1098-B1098,""))</x:f>
        <x:v>67</x:v>
      </x:c>
      <x:c r="Y1098" s="26" t="n">
        <x:f>IF(U1098="Open",Lookups!$B$2-B1098,X1098)</x:f>
        <x:v>67</x:v>
      </x:c>
      <x:c r="Z1098" t="str">
        <x:f>IF(AND(U1098="Open",Y1098&gt;30),"STALE","OK")</x:f>
        <x:v>OK</x:v>
      </x:c>
      <x:c r="AA1098" t="str">
        <x:f>TEXT(B1098,"yyyy-mm")</x:f>
        <x:v>2026-04</x:v>
      </x:c>
      <x:c r="AB1098" t="str">
        <x:f>IF(K1098="","",TEXT(K1098,"yyyy-mm"))</x:f>
        <x:v>2026-06</x:v>
      </x:c>
      <x:c r="AC1098" t="str">
        <x:f>"Q"&amp;ROUNDUP(MONTH(B1098)/3,0)&amp;"-"&amp;YEAR(B1098)</x:f>
        <x:v>Q2-2026</x:v>
      </x:c>
      <x:c r="AD1098" s="26" t="n">
        <x:f>MIN(100,IF(H1098="Enterprise",30,IF(H1098="Mid-Market",22,14))+IF(T1098="Enterprise",25,IF(T1098="Mid-Market",18,10))+IF(Q1098="Referral",25,IF(Q1098="Organic Search",20,IF(Q1098="Email",18,14)))+IF(G1098="Technology",10,5))</x:f>
        <x:v>51</x:v>
      </x:c>
      <x:c r="AE1098" t="str">
        <x:f>IF(U1098&lt;&gt;"Open",U1098,IF(N1098&gt;=0.8,"Commit",IF(N1098&gt;=0.5,"Best Case","Pipeline")))</x:f>
        <x:v>Lost</x:v>
      </x:c>
    </x:row>
    <x:row r="1099">
      <x:c r="A1099" t="str">
        <x:v>L01098</x:v>
      </x:c>
      <x:c r="B1099" s="10" t="n">
        <x:v>45862</x:v>
      </x:c>
      <x:c r="C1099" t="str">
        <x:v>Quynh Vu</x:v>
      </x:c>
      <x:c r="D1099" t="str">
        <x:v>North</x:v>
      </x:c>
      <x:c r="E1099" t="str">
        <x:v>Email Campaign</x:v>
      </x:c>
      <x:c r="F1099" t="str">
        <x:v>BI-PLUS</x:v>
      </x:c>
      <x:c r="G1099" t="str">
        <x:v>Manufacturing</x:v>
      </x:c>
      <x:c r="H1099" t="str">
        <x:v>Mid-Market</x:v>
      </x:c>
      <x:c r="I1099" t="str">
        <x:v>Closed Lost</x:v>
      </x:c>
      <x:c r="J1099" s="10" t="n">
        <x:v>45872</x:v>
      </x:c>
      <x:c r="K1099" s="10" t="n">
        <x:v>45872</x:v>
      </x:c>
      <x:c r="L1099" s="22" t="n">
        <x:v>26900</x:v>
      </x:c>
      <x:c r="M1099" s="24" t="n">
        <x:v>0</x:v>
      </x:c>
      <x:c r="N1099" s="24" t="n">
        <x:v>0</x:v>
      </x:c>
      <x:c r="O1099" t="str">
        <x:v>Budget</x:v>
      </x:c>
      <x:c r="P1099" t="n">
        <x:v>2</x:v>
      </x:c>
      <x:c r="Q1099" t="str">
        <x:f>IFERROR(XLOOKUP(E1099,Lookups!$A$5:$A$24,Lookups!$B$5:$B$24),"Other")</x:f>
        <x:v>Email</x:v>
      </x:c>
      <x:c r="R1099" t="str">
        <x:f>IFERROR(XLOOKUP(F1099,Lookups!$D$5:$D$10,Lookups!$E$5:$E$10),"Unknown Product")</x:f>
        <x:v>Analytics Plus</x:v>
      </x:c>
      <x:c r="S1099" t="str">
        <x:f>IFERROR(XLOOKUP(F1099,Lookups!$D$5:$D$10,Lookups!$F$5:$F$10),"Unknown")</x:f>
        <x:v>Analytics</x:v>
      </x:c>
      <x:c r="T1099" t="str">
        <x:f>IF(L1099&gt;=50000,"Enterprise",IF(L1099&gt;=20000,"Mid-Market","SMB"))</x:f>
        <x:v>Mid-Market</x:v>
      </x:c>
      <x:c r="U1099" t="str">
        <x:f>IF(I1099="Closed Won","Won",IF(I1099="Closed Lost","Lost","Open"))</x:f>
        <x:v>Lost</x:v>
      </x:c>
      <x:c r="V1099" s="22" t="n">
        <x:f>IF(U1099="Won",L1099*(1-M1099),0)</x:f>
        <x:v>0</x:v>
      </x:c>
      <x:c r="W1099" s="22" t="n">
        <x:f>IF(U1099="Open",L1099*N1099,0)</x:f>
        <x:v>0</x:v>
      </x:c>
      <x:c r="X1099" s="26" t="n">
        <x:f>IF(U1099="Open","",IFERROR(K1099-B1099,""))</x:f>
        <x:v>10</x:v>
      </x:c>
      <x:c r="Y1099" s="26" t="n">
        <x:f>IF(U1099="Open",Lookups!$B$2-B1099,X1099)</x:f>
        <x:v>10</x:v>
      </x:c>
      <x:c r="Z1099" t="str">
        <x:f>IF(AND(U1099="Open",Y1099&gt;30),"STALE","OK")</x:f>
        <x:v>OK</x:v>
      </x:c>
      <x:c r="AA1099" t="str">
        <x:f>TEXT(B1099,"yyyy-mm")</x:f>
        <x:v>2025-07</x:v>
      </x:c>
      <x:c r="AB1099" t="str">
        <x:f>IF(K1099="","",TEXT(K1099,"yyyy-mm"))</x:f>
        <x:v>2025-08</x:v>
      </x:c>
      <x:c r="AC1099" t="str">
        <x:f>"Q"&amp;ROUNDUP(MONTH(B1099)/3,0)&amp;"-"&amp;YEAR(B1099)</x:f>
        <x:v>Q3-2025</x:v>
      </x:c>
      <x:c r="AD1099" s="26" t="n">
        <x:f>MIN(100,IF(H1099="Enterprise",30,IF(H1099="Mid-Market",22,14))+IF(T1099="Enterprise",25,IF(T1099="Mid-Market",18,10))+IF(Q1099="Referral",25,IF(Q1099="Organic Search",20,IF(Q1099="Email",18,14)))+IF(G1099="Technology",10,5))</x:f>
        <x:v>63</x:v>
      </x:c>
      <x:c r="AE1099" t="str">
        <x:f>IF(U1099&lt;&gt;"Open",U1099,IF(N1099&gt;=0.8,"Commit",IF(N1099&gt;=0.5,"Best Case","Pipeline")))</x:f>
        <x:v>Lost</x:v>
      </x:c>
    </x:row>
    <x:row r="1100">
      <x:c r="A1100" t="str">
        <x:v>L01099</x:v>
      </x:c>
      <x:c r="B1100" s="10" t="n">
        <x:v>46204</x:v>
      </x:c>
      <x:c r="C1100" t="str">
        <x:v>Chi Le</x:v>
      </x:c>
      <x:c r="D1100" t="str">
        <x:v>South</x:v>
      </x:c>
      <x:c r="E1100" t="str">
        <x:v>linkedin</x:v>
      </x:c>
      <x:c r="F1100" t="str">
        <x:v>CRM-PRO</x:v>
      </x:c>
      <x:c r="G1100" t="str">
        <x:v>Manufacturing</x:v>
      </x:c>
      <x:c r="H1100" t="str">
        <x:v>Mid-Market</x:v>
      </x:c>
      <x:c r="I1100" t="str">
        <x:v>Closed Won</x:v>
      </x:c>
      <x:c r="J1100" s="10" t="n">
        <x:v>46265</x:v>
      </x:c>
      <x:c r="K1100" s="10" t="n">
        <x:v>46265</x:v>
      </x:c>
      <x:c r="L1100" s="22" t="n">
        <x:v>44000</x:v>
      </x:c>
      <x:c r="M1100" s="24" t="n">
        <x:v>0</x:v>
      </x:c>
      <x:c r="N1100" s="24" t="n">
        <x:v>1</x:v>
      </x:c>
      <x:c r="O1100" t="str"/>
      <x:c r="P1100" t="n">
        <x:v>6</x:v>
      </x:c>
      <x:c r="Q1100" t="str">
        <x:f>IFERROR(XLOOKUP(E1100,Lookups!$A$5:$A$24,Lookups!$B$5:$B$24),"Other")</x:f>
        <x:v>LinkedIn</x:v>
      </x:c>
      <x:c r="R1100" t="str">
        <x:f>IFERROR(XLOOKUP(F1100,Lookups!$D$5:$D$10,Lookups!$E$5:$E$10),"Unknown Product")</x:f>
        <x:v>NexaCRM Pro</x:v>
      </x:c>
      <x:c r="S1100" t="str">
        <x:f>IFERROR(XLOOKUP(F1100,Lookups!$D$5:$D$10,Lookups!$F$5:$F$10),"Unknown")</x:f>
        <x:v>CRM</x:v>
      </x:c>
      <x:c r="T1100" t="str">
        <x:f>IF(L1100&gt;=50000,"Enterprise",IF(L1100&gt;=20000,"Mid-Market","SMB"))</x:f>
        <x:v>Mid-Market</x:v>
      </x:c>
      <x:c r="U1100" t="str">
        <x:f>IF(I1100="Closed Won","Won",IF(I1100="Closed Lost","Lost","Open"))</x:f>
        <x:v>Won</x:v>
      </x:c>
      <x:c r="V1100" s="22" t="n">
        <x:f>IF(U1100="Won",L1100*(1-M1100),0)</x:f>
        <x:v>44000</x:v>
      </x:c>
      <x:c r="W1100" s="22" t="n">
        <x:f>IF(U1100="Open",L1100*N1100,0)</x:f>
        <x:v>0</x:v>
      </x:c>
      <x:c r="X1100" s="26" t="n">
        <x:f>IF(U1100="Open","",IFERROR(K1100-B1100,""))</x:f>
        <x:v>61</x:v>
      </x:c>
      <x:c r="Y1100" s="26" t="n">
        <x:f>IF(U1100="Open",Lookups!$B$2-B1100,X1100)</x:f>
        <x:v>61</x:v>
      </x:c>
      <x:c r="Z1100" t="str">
        <x:f>IF(AND(U1100="Open",Y1100&gt;30),"STALE","OK")</x:f>
        <x:v>OK</x:v>
      </x:c>
      <x:c r="AA1100" t="str">
        <x:f>TEXT(B1100,"yyyy-mm")</x:f>
        <x:v>2026-07</x:v>
      </x:c>
      <x:c r="AB1100" t="str">
        <x:f>IF(K1100="","",TEXT(K1100,"yyyy-mm"))</x:f>
        <x:v>2026-08</x:v>
      </x:c>
      <x:c r="AC1100" t="str">
        <x:f>"Q"&amp;ROUNDUP(MONTH(B1100)/3,0)&amp;"-"&amp;YEAR(B1100)</x:f>
        <x:v>Q3-2026</x:v>
      </x:c>
      <x:c r="AD1100" s="26" t="n">
        <x:f>MIN(100,IF(H1100="Enterprise",30,IF(H1100="Mid-Market",22,14))+IF(T1100="Enterprise",25,IF(T1100="Mid-Market",18,10))+IF(Q1100="Referral",25,IF(Q1100="Organic Search",20,IF(Q1100="Email",18,14)))+IF(G1100="Technology",10,5))</x:f>
        <x:v>59</x:v>
      </x:c>
      <x:c r="AE1100" t="str">
        <x:f>IF(U1100&lt;&gt;"Open",U1100,IF(N1100&gt;=0.8,"Commit",IF(N1100&gt;=0.5,"Best Case","Pipeline")))</x:f>
        <x:v>Won</x:v>
      </x:c>
    </x:row>
    <x:row r="1101">
      <x:c r="A1101" t="str">
        <x:v>L01100</x:v>
      </x:c>
      <x:c r="B1101" s="10" t="n">
        <x:v>46224</x:v>
      </x:c>
      <x:c r="C1101" t="str">
        <x:v>Quynh Vu</x:v>
      </x:c>
      <x:c r="D1101" t="str">
        <x:v>North</x:v>
      </x:c>
      <x:c r="E1101" t="str">
        <x:v>customer referral</x:v>
      </x:c>
      <x:c r="F1101" t="str">
        <x:v>BI-PLUS</x:v>
      </x:c>
      <x:c r="G1101" t="str">
        <x:v>Healthcare</x:v>
      </x:c>
      <x:c r="H1101" t="str">
        <x:v>Mid-Market</x:v>
      </x:c>
      <x:c r="I1101" t="str">
        <x:v>Closed Lost</x:v>
      </x:c>
      <x:c r="J1101" s="10" t="n">
        <x:v>46232</x:v>
      </x:c>
      <x:c r="K1101" s="10" t="n">
        <x:v>46232</x:v>
      </x:c>
      <x:c r="L1101" s="22" t="n">
        <x:v>36200</x:v>
      </x:c>
      <x:c r="M1101" s="24" t="n">
        <x:v>0</x:v>
      </x:c>
      <x:c r="N1101" s="24" t="n">
        <x:v>0</x:v>
      </x:c>
      <x:c r="O1101" t="str">
        <x:v>Timing</x:v>
      </x:c>
      <x:c r="P1101" t="n">
        <x:v>4</x:v>
      </x:c>
      <x:c r="Q1101" t="str">
        <x:f>IFERROR(XLOOKUP(E1101,Lookups!$A$5:$A$24,Lookups!$B$5:$B$24),"Other")</x:f>
        <x:v>Referral</x:v>
      </x:c>
      <x:c r="R1101" t="str">
        <x:f>IFERROR(XLOOKUP(F1101,Lookups!$D$5:$D$10,Lookups!$E$5:$E$10),"Unknown Product")</x:f>
        <x:v>Analytics Plus</x:v>
      </x:c>
      <x:c r="S1101" t="str">
        <x:f>IFERROR(XLOOKUP(F1101,Lookups!$D$5:$D$10,Lookups!$F$5:$F$10),"Unknown")</x:f>
        <x:v>Analytics</x:v>
      </x:c>
      <x:c r="T1101" t="str">
        <x:f>IF(L1101&gt;=50000,"Enterprise",IF(L1101&gt;=20000,"Mid-Market","SMB"))</x:f>
        <x:v>Mid-Market</x:v>
      </x:c>
      <x:c r="U1101" t="str">
        <x:f>IF(I1101="Closed Won","Won",IF(I1101="Closed Lost","Lost","Open"))</x:f>
        <x:v>Lost</x:v>
      </x:c>
      <x:c r="V1101" s="22" t="n">
        <x:f>IF(U1101="Won",L1101*(1-M1101),0)</x:f>
        <x:v>0</x:v>
      </x:c>
      <x:c r="W1101" s="22" t="n">
        <x:f>IF(U1101="Open",L1101*N1101,0)</x:f>
        <x:v>0</x:v>
      </x:c>
      <x:c r="X1101" s="26" t="n">
        <x:f>IF(U1101="Open","",IFERROR(K1101-B1101,""))</x:f>
        <x:v>8</x:v>
      </x:c>
      <x:c r="Y1101" s="26" t="n">
        <x:f>IF(U1101="Open",Lookups!$B$2-B1101,X1101)</x:f>
        <x:v>8</x:v>
      </x:c>
      <x:c r="Z1101" t="str">
        <x:f>IF(AND(U1101="Open",Y1101&gt;30),"STALE","OK")</x:f>
        <x:v>OK</x:v>
      </x:c>
      <x:c r="AA1101" t="str">
        <x:f>TEXT(B1101,"yyyy-mm")</x:f>
        <x:v>2026-07</x:v>
      </x:c>
      <x:c r="AB1101" t="str">
        <x:f>IF(K1101="","",TEXT(K1101,"yyyy-mm"))</x:f>
        <x:v>2026-07</x:v>
      </x:c>
      <x:c r="AC1101" t="str">
        <x:f>"Q"&amp;ROUNDUP(MONTH(B1101)/3,0)&amp;"-"&amp;YEAR(B1101)</x:f>
        <x:v>Q3-2026</x:v>
      </x:c>
      <x:c r="AD1101" s="26" t="n">
        <x:f>MIN(100,IF(H1101="Enterprise",30,IF(H1101="Mid-Market",22,14))+IF(T1101="Enterprise",25,IF(T1101="Mid-Market",18,10))+IF(Q1101="Referral",25,IF(Q1101="Organic Search",20,IF(Q1101="Email",18,14)))+IF(G1101="Technology",10,5))</x:f>
        <x:v>70</x:v>
      </x:c>
      <x:c r="AE1101" t="str">
        <x:f>IF(U1101&lt;&gt;"Open",U1101,IF(N1101&gt;=0.8,"Commit",IF(N1101&gt;=0.5,"Best Case","Pipeline")))</x:f>
        <x:v>Lost</x:v>
      </x:c>
    </x:row>
    <x:row r="1102">
      <x:c r="A1102" t="str">
        <x:v>L01101</x:v>
      </x:c>
      <x:c r="B1102" s="10" t="n">
        <x:v>45803</x:v>
      </x:c>
      <x:c r="C1102" t="str">
        <x:v>Tuan Bui</x:v>
      </x:c>
      <x:c r="D1102" t="str">
        <x:v>Central</x:v>
      </x:c>
      <x:c r="E1102" t="str">
        <x:v>SEO</x:v>
      </x:c>
      <x:c r="F1102" t="str">
        <x:v>MKT-AUTO</x:v>
      </x:c>
      <x:c r="G1102" t="str">
        <x:v>Retail</x:v>
      </x:c>
      <x:c r="H1102" t="str">
        <x:v>Enterprise</x:v>
      </x:c>
      <x:c r="I1102" t="str">
        <x:v>Closed Won</x:v>
      </x:c>
      <x:c r="J1102" s="10" t="n">
        <x:v>45909</x:v>
      </x:c>
      <x:c r="K1102" s="10" t="n">
        <x:v>45909</x:v>
      </x:c>
      <x:c r="L1102" s="22" t="n">
        <x:v>39200</x:v>
      </x:c>
      <x:c r="M1102" s="24" t="n">
        <x:v>0.12</x:v>
      </x:c>
      <x:c r="N1102" s="24" t="n">
        <x:v>1</x:v>
      </x:c>
      <x:c r="O1102" t="str"/>
      <x:c r="P1102" t="n">
        <x:v>6</x:v>
      </x:c>
      <x:c r="Q1102" t="str">
        <x:f>IFERROR(XLOOKUP(E1102,Lookups!$A$5:$A$24,Lookups!$B$5:$B$24),"Other")</x:f>
        <x:v>Organic Search</x:v>
      </x:c>
      <x:c r="R1102" t="str">
        <x:f>IFERROR(XLOOKUP(F1102,Lookups!$D$5:$D$10,Lookups!$E$5:$E$10),"Unknown Product")</x:f>
        <x:v>Marketing Automation</x:v>
      </x:c>
      <x:c r="S1102" t="str">
        <x:f>IFERROR(XLOOKUP(F1102,Lookups!$D$5:$D$10,Lookups!$F$5:$F$10),"Unknown")</x:f>
        <x:v>Marketing</x:v>
      </x:c>
      <x:c r="T1102" t="str">
        <x:f>IF(L1102&gt;=50000,"Enterprise",IF(L1102&gt;=20000,"Mid-Market","SMB"))</x:f>
        <x:v>Mid-Market</x:v>
      </x:c>
      <x:c r="U1102" t="str">
        <x:f>IF(I1102="Closed Won","Won",IF(I1102="Closed Lost","Lost","Open"))</x:f>
        <x:v>Won</x:v>
      </x:c>
      <x:c r="V1102" s="22" t="n">
        <x:f>IF(U1102="Won",L1102*(1-M1102),0)</x:f>
        <x:v>34496</x:v>
      </x:c>
      <x:c r="W1102" s="22" t="n">
        <x:f>IF(U1102="Open",L1102*N1102,0)</x:f>
        <x:v>0</x:v>
      </x:c>
      <x:c r="X1102" s="26" t="n">
        <x:f>IF(U1102="Open","",IFERROR(K1102-B1102,""))</x:f>
        <x:v>106</x:v>
      </x:c>
      <x:c r="Y1102" s="26" t="n">
        <x:f>IF(U1102="Open",Lookups!$B$2-B1102,X1102)</x:f>
        <x:v>106</x:v>
      </x:c>
      <x:c r="Z1102" t="str">
        <x:f>IF(AND(U1102="Open",Y1102&gt;30),"STALE","OK")</x:f>
        <x:v>OK</x:v>
      </x:c>
      <x:c r="AA1102" t="str">
        <x:f>TEXT(B1102,"yyyy-mm")</x:f>
        <x:v>2025-05</x:v>
      </x:c>
      <x:c r="AB1102" t="str">
        <x:f>IF(K1102="","",TEXT(K1102,"yyyy-mm"))</x:f>
        <x:v>2025-09</x:v>
      </x:c>
      <x:c r="AC1102" t="str">
        <x:f>"Q"&amp;ROUNDUP(MONTH(B1102)/3,0)&amp;"-"&amp;YEAR(B1102)</x:f>
        <x:v>Q2-2025</x:v>
      </x:c>
      <x:c r="AD1102" s="26" t="n">
        <x:f>MIN(100,IF(H1102="Enterprise",30,IF(H1102="Mid-Market",22,14))+IF(T1102="Enterprise",25,IF(T1102="Mid-Market",18,10))+IF(Q1102="Referral",25,IF(Q1102="Organic Search",20,IF(Q1102="Email",18,14)))+IF(G1102="Technology",10,5))</x:f>
        <x:v>73</x:v>
      </x:c>
      <x:c r="AE1102" t="str">
        <x:f>IF(U1102&lt;&gt;"Open",U1102,IF(N1102&gt;=0.8,"Commit",IF(N1102&gt;=0.5,"Best Case","Pipeline")))</x:f>
        <x:v>Won</x:v>
      </x:c>
    </x:row>
    <x:row r="1103">
      <x:c r="A1103" t="str">
        <x:v>L01102</x:v>
      </x:c>
      <x:c r="B1103" s="10" t="n">
        <x:v>45958</x:v>
      </x:c>
      <x:c r="C1103" t="str">
        <x:v>Ha Vo</x:v>
      </x:c>
      <x:c r="D1103" t="str">
        <x:v>North</x:v>
      </x:c>
      <x:c r="E1103" t="str">
        <x:v>SDR Outreach</x:v>
      </x:c>
      <x:c r="F1103" t="str">
        <x:v>CS-CLOUD</x:v>
      </x:c>
      <x:c r="G1103" t="str">
        <x:v>Financial Services</x:v>
      </x:c>
      <x:c r="H1103" t="str">
        <x:v>Enterprise</x:v>
      </x:c>
      <x:c r="I1103" t="str">
        <x:v>Closed Lost</x:v>
      </x:c>
      <x:c r="J1103" s="10" t="n">
        <x:v>46014</x:v>
      </x:c>
      <x:c r="K1103" s="10" t="n">
        <x:v>46014</x:v>
      </x:c>
      <x:c r="L1103" s="22" t="n">
        <x:v>81200</x:v>
      </x:c>
      <x:c r="M1103" s="24" t="n">
        <x:v>0</x:v>
      </x:c>
      <x:c r="N1103" s="24" t="n">
        <x:v>0</x:v>
      </x:c>
      <x:c r="O1103" t="str">
        <x:v>No Decision</x:v>
      </x:c>
      <x:c r="P1103" t="n">
        <x:v>2</x:v>
      </x:c>
      <x:c r="Q1103" t="str">
        <x:f>IFERROR(XLOOKUP(E1103,Lookups!$A$5:$A$24,Lookups!$B$5:$B$24),"Other")</x:f>
        <x:v>Outbound</x:v>
      </x:c>
      <x:c r="R1103" t="str">
        <x:f>IFERROR(XLOOKUP(F1103,Lookups!$D$5:$D$10,Lookups!$E$5:$E$10),"Unknown Product")</x:f>
        <x:v>Service Cloud</x:v>
      </x:c>
      <x:c r="S1103" t="str">
        <x:f>IFERROR(XLOOKUP(F1103,Lookups!$D$5:$D$10,Lookups!$F$5:$F$10),"Unknown")</x:f>
        <x:v>Customer Service</x:v>
      </x:c>
      <x:c r="T1103" t="str">
        <x:f>IF(L1103&gt;=50000,"Enterprise",IF(L1103&gt;=20000,"Mid-Market","SMB"))</x:f>
        <x:v>Enterprise</x:v>
      </x:c>
      <x:c r="U1103" t="str">
        <x:f>IF(I1103="Closed Won","Won",IF(I1103="Closed Lost","Lost","Open"))</x:f>
        <x:v>Lost</x:v>
      </x:c>
      <x:c r="V1103" s="22" t="n">
        <x:f>IF(U1103="Won",L1103*(1-M1103),0)</x:f>
        <x:v>0</x:v>
      </x:c>
      <x:c r="W1103" s="22" t="n">
        <x:f>IF(U1103="Open",L1103*N1103,0)</x:f>
        <x:v>0</x:v>
      </x:c>
      <x:c r="X1103" s="26" t="n">
        <x:f>IF(U1103="Open","",IFERROR(K1103-B1103,""))</x:f>
        <x:v>56</x:v>
      </x:c>
      <x:c r="Y1103" s="26" t="n">
        <x:f>IF(U1103="Open",Lookups!$B$2-B1103,X1103)</x:f>
        <x:v>56</x:v>
      </x:c>
      <x:c r="Z1103" t="str">
        <x:f>IF(AND(U1103="Open",Y1103&gt;30),"STALE","OK")</x:f>
        <x:v>OK</x:v>
      </x:c>
      <x:c r="AA1103" t="str">
        <x:f>TEXT(B1103,"yyyy-mm")</x:f>
        <x:v>2025-10</x:v>
      </x:c>
      <x:c r="AB1103" t="str">
        <x:f>IF(K1103="","",TEXT(K1103,"yyyy-mm"))</x:f>
        <x:v>2025-12</x:v>
      </x:c>
      <x:c r="AC1103" t="str">
        <x:f>"Q"&amp;ROUNDUP(MONTH(B1103)/3,0)&amp;"-"&amp;YEAR(B1103)</x:f>
        <x:v>Q4-2025</x:v>
      </x:c>
      <x:c r="AD1103" s="26" t="n">
        <x:f>MIN(100,IF(H1103="Enterprise",30,IF(H1103="Mid-Market",22,14))+IF(T1103="Enterprise",25,IF(T1103="Mid-Market",18,10))+IF(Q1103="Referral",25,IF(Q1103="Organic Search",20,IF(Q1103="Email",18,14)))+IF(G1103="Technology",10,5))</x:f>
        <x:v>74</x:v>
      </x:c>
      <x:c r="AE1103" t="str">
        <x:f>IF(U1103&lt;&gt;"Open",U1103,IF(N1103&gt;=0.8,"Commit",IF(N1103&gt;=0.5,"Best Case","Pipeline")))</x:f>
        <x:v>Lost</x:v>
      </x:c>
    </x:row>
    <x:row r="1104">
      <x:c r="A1104" t="str">
        <x:v>L01103</x:v>
      </x:c>
      <x:c r="B1104" s="10" t="n">
        <x:v>45723</x:v>
      </x:c>
      <x:c r="C1104" t="str">
        <x:v>Chi Le</x:v>
      </x:c>
      <x:c r="D1104" t="str">
        <x:v>South</x:v>
      </x:c>
      <x:c r="E1104" t="str">
        <x:v>Google Ads</x:v>
      </x:c>
      <x:c r="F1104" t="str">
        <x:v>REV-OPS</x:v>
      </x:c>
      <x:c r="G1104" t="str">
        <x:v>Manufacturing</x:v>
      </x:c>
      <x:c r="H1104" t="str">
        <x:v>SMB</x:v>
      </x:c>
      <x:c r="I1104" t="str">
        <x:v>Closed Won</x:v>
      </x:c>
      <x:c r="J1104" s="10" t="n">
        <x:v>45770</x:v>
      </x:c>
      <x:c r="K1104" s="10" t="n">
        <x:v>45770</x:v>
      </x:c>
      <x:c r="L1104" s="22" t="n">
        <x:v>45100</x:v>
      </x:c>
      <x:c r="M1104" s="24" t="n">
        <x:v>0</x:v>
      </x:c>
      <x:c r="N1104" s="24" t="n">
        <x:v>1</x:v>
      </x:c>
      <x:c r="O1104" t="str"/>
      <x:c r="P1104" t="n">
        <x:v>6</x:v>
      </x:c>
      <x:c r="Q1104" t="str">
        <x:f>IFERROR(XLOOKUP(E1104,Lookups!$A$5:$A$24,Lookups!$B$5:$B$24),"Other")</x:f>
        <x:v>Paid Search</x:v>
      </x:c>
      <x:c r="R1104" t="str">
        <x:f>IFERROR(XLOOKUP(F1104,Lookups!$D$5:$D$10,Lookups!$E$5:$E$10),"Unknown Product")</x:f>
        <x:v>Revenue Operations Suite</x:v>
      </x:c>
      <x:c r="S1104" t="str">
        <x:f>IFERROR(XLOOKUP(F1104,Lookups!$D$5:$D$10,Lookups!$F$5:$F$10),"Unknown")</x:f>
        <x:v>Revenue Ops</x:v>
      </x:c>
      <x:c r="T1104" t="str">
        <x:f>IF(L1104&gt;=50000,"Enterprise",IF(L1104&gt;=20000,"Mid-Market","SMB"))</x:f>
        <x:v>Mid-Market</x:v>
      </x:c>
      <x:c r="U1104" t="str">
        <x:f>IF(I1104="Closed Won","Won",IF(I1104="Closed Lost","Lost","Open"))</x:f>
        <x:v>Won</x:v>
      </x:c>
      <x:c r="V1104" s="22" t="n">
        <x:f>IF(U1104="Won",L1104*(1-M1104),0)</x:f>
        <x:v>45100</x:v>
      </x:c>
      <x:c r="W1104" s="22" t="n">
        <x:f>IF(U1104="Open",L1104*N1104,0)</x:f>
        <x:v>0</x:v>
      </x:c>
      <x:c r="X1104" s="26" t="n">
        <x:f>IF(U1104="Open","",IFERROR(K1104-B1104,""))</x:f>
        <x:v>47</x:v>
      </x:c>
      <x:c r="Y1104" s="26" t="n">
        <x:f>IF(U1104="Open",Lookups!$B$2-B1104,X1104)</x:f>
        <x:v>47</x:v>
      </x:c>
      <x:c r="Z1104" t="str">
        <x:f>IF(AND(U1104="Open",Y1104&gt;30),"STALE","OK")</x:f>
        <x:v>OK</x:v>
      </x:c>
      <x:c r="AA1104" t="str">
        <x:f>TEXT(B1104,"yyyy-mm")</x:f>
        <x:v>2025-03</x:v>
      </x:c>
      <x:c r="AB1104" t="str">
        <x:f>IF(K1104="","",TEXT(K1104,"yyyy-mm"))</x:f>
        <x:v>2025-04</x:v>
      </x:c>
      <x:c r="AC1104" t="str">
        <x:f>"Q"&amp;ROUNDUP(MONTH(B1104)/3,0)&amp;"-"&amp;YEAR(B1104)</x:f>
        <x:v>Q1-2025</x:v>
      </x:c>
      <x:c r="AD1104" s="26" t="n">
        <x:f>MIN(100,IF(H1104="Enterprise",30,IF(H1104="Mid-Market",22,14))+IF(T1104="Enterprise",25,IF(T1104="Mid-Market",18,10))+IF(Q1104="Referral",25,IF(Q1104="Organic Search",20,IF(Q1104="Email",18,14)))+IF(G1104="Technology",10,5))</x:f>
        <x:v>51</x:v>
      </x:c>
      <x:c r="AE1104" t="str">
        <x:f>IF(U1104&lt;&gt;"Open",U1104,IF(N1104&gt;=0.8,"Commit",IF(N1104&gt;=0.5,"Best Case","Pipeline")))</x:f>
        <x:v>Won</x:v>
      </x:c>
    </x:row>
    <x:row r="1105">
      <x:c r="A1105" t="str">
        <x:v>L01104</x:v>
      </x:c>
      <x:c r="B1105" s="10" t="n">
        <x:v>46092</x:v>
      </x:c>
      <x:c r="C1105" t="str">
        <x:v>An Nguyen</x:v>
      </x:c>
      <x:c r="D1105" t="str">
        <x:v>South</x:v>
      </x:c>
      <x:c r="E1105" t="str">
        <x:v>email nurture</x:v>
      </x:c>
      <x:c r="F1105" t="str">
        <x:v>CRM-CORE</x:v>
      </x:c>
      <x:c r="G1105" t="str">
        <x:v>Technology</x:v>
      </x:c>
      <x:c r="H1105" t="str">
        <x:v>Mid-Market</x:v>
      </x:c>
      <x:c r="I1105" t="str">
        <x:v>Closed Lost</x:v>
      </x:c>
      <x:c r="J1105" s="10" t="n">
        <x:v>46187</x:v>
      </x:c>
      <x:c r="K1105" s="10" t="n">
        <x:v>46187</x:v>
      </x:c>
      <x:c r="L1105" s="22" t="n">
        <x:v>18600</x:v>
      </x:c>
      <x:c r="M1105" s="24" t="n">
        <x:v>0</x:v>
      </x:c>
      <x:c r="N1105" s="24" t="n">
        <x:v>0</x:v>
      </x:c>
      <x:c r="O1105" t="str">
        <x:v>Competitor</x:v>
      </x:c>
      <x:c r="P1105" t="n">
        <x:v>4</x:v>
      </x:c>
      <x:c r="Q1105" t="str">
        <x:f>IFERROR(XLOOKUP(E1105,Lookups!$A$5:$A$24,Lookups!$B$5:$B$24),"Other")</x:f>
        <x:v>Email</x:v>
      </x:c>
      <x:c r="R1105" t="str">
        <x:f>IFERROR(XLOOKUP(F1105,Lookups!$D$5:$D$10,Lookups!$E$5:$E$10),"Unknown Product")</x:f>
        <x:v>NexaCRM Core</x:v>
      </x:c>
      <x:c r="S1105" t="str">
        <x:f>IFERROR(XLOOKUP(F1105,Lookups!$D$5:$D$10,Lookups!$F$5:$F$10),"Unknown")</x:f>
        <x:v>CRM</x:v>
      </x:c>
      <x:c r="T1105" t="str">
        <x:f>IF(L1105&gt;=50000,"Enterprise",IF(L1105&gt;=20000,"Mid-Market","SMB"))</x:f>
        <x:v>SMB</x:v>
      </x:c>
      <x:c r="U1105" t="str">
        <x:f>IF(I1105="Closed Won","Won",IF(I1105="Closed Lost","Lost","Open"))</x:f>
        <x:v>Lost</x:v>
      </x:c>
      <x:c r="V1105" s="22" t="n">
        <x:f>IF(U1105="Won",L1105*(1-M1105),0)</x:f>
        <x:v>0</x:v>
      </x:c>
      <x:c r="W1105" s="22" t="n">
        <x:f>IF(U1105="Open",L1105*N1105,0)</x:f>
        <x:v>0</x:v>
      </x:c>
      <x:c r="X1105" s="26" t="n">
        <x:f>IF(U1105="Open","",IFERROR(K1105-B1105,""))</x:f>
        <x:v>95</x:v>
      </x:c>
      <x:c r="Y1105" s="26" t="n">
        <x:f>IF(U1105="Open",Lookups!$B$2-B1105,X1105)</x:f>
        <x:v>95</x:v>
      </x:c>
      <x:c r="Z1105" t="str">
        <x:f>IF(AND(U1105="Open",Y1105&gt;30),"STALE","OK")</x:f>
        <x:v>OK</x:v>
      </x:c>
      <x:c r="AA1105" t="str">
        <x:f>TEXT(B1105,"yyyy-mm")</x:f>
        <x:v>2026-03</x:v>
      </x:c>
      <x:c r="AB1105" t="str">
        <x:f>IF(K1105="","",TEXT(K1105,"yyyy-mm"))</x:f>
        <x:v>2026-06</x:v>
      </x:c>
      <x:c r="AC1105" t="str">
        <x:f>"Q"&amp;ROUNDUP(MONTH(B1105)/3,0)&amp;"-"&amp;YEAR(B1105)</x:f>
        <x:v>Q1-2026</x:v>
      </x:c>
      <x:c r="AD1105" s="26" t="n">
        <x:f>MIN(100,IF(H1105="Enterprise",30,IF(H1105="Mid-Market",22,14))+IF(T1105="Enterprise",25,IF(T1105="Mid-Market",18,10))+IF(Q1105="Referral",25,IF(Q1105="Organic Search",20,IF(Q1105="Email",18,14)))+IF(G1105="Technology",10,5))</x:f>
        <x:v>60</x:v>
      </x:c>
      <x:c r="AE1105" t="str">
        <x:f>IF(U1105&lt;&gt;"Open",U1105,IF(N1105&gt;=0.8,"Commit",IF(N1105&gt;=0.5,"Best Case","Pipeline")))</x:f>
        <x:v>Lost</x:v>
      </x:c>
    </x:row>
    <x:row r="1106">
      <x:c r="A1106" t="str">
        <x:v>L01105</x:v>
      </x:c>
      <x:c r="B1106" s="10" t="n">
        <x:v>45874</x:v>
      </x:c>
      <x:c r="C1106" t="str">
        <x:v>Ha Vo</x:v>
      </x:c>
      <x:c r="D1106" t="str">
        <x:v>North</x:v>
      </x:c>
      <x:c r="E1106" t="str">
        <x:v>SEO</x:v>
      </x:c>
      <x:c r="F1106" t="str">
        <x:v>MKT-AUTO</x:v>
      </x:c>
      <x:c r="G1106" t="str">
        <x:v>Retail</x:v>
      </x:c>
      <x:c r="H1106" t="str">
        <x:v>SMB</x:v>
      </x:c>
      <x:c r="I1106" t="str">
        <x:v>Closed Lost</x:v>
      </x:c>
      <x:c r="J1106" s="10" t="n">
        <x:v>45913</x:v>
      </x:c>
      <x:c r="K1106" s="10" t="n">
        <x:v>45913</x:v>
      </x:c>
      <x:c r="L1106" s="22" t="n">
        <x:v>18100</x:v>
      </x:c>
      <x:c r="M1106" s="24" t="n">
        <x:v>0</x:v>
      </x:c>
      <x:c r="N1106" s="24" t="n">
        <x:v>0</x:v>
      </x:c>
      <x:c r="O1106" t="str">
        <x:v>Price</x:v>
      </x:c>
      <x:c r="P1106" t="n">
        <x:v>4</x:v>
      </x:c>
      <x:c r="Q1106" t="str">
        <x:f>IFERROR(XLOOKUP(E1106,Lookups!$A$5:$A$24,Lookups!$B$5:$B$24),"Other")</x:f>
        <x:v>Organic Search</x:v>
      </x:c>
      <x:c r="R1106" t="str">
        <x:f>IFERROR(XLOOKUP(F1106,Lookups!$D$5:$D$10,Lookups!$E$5:$E$10),"Unknown Product")</x:f>
        <x:v>Marketing Automation</x:v>
      </x:c>
      <x:c r="S1106" t="str">
        <x:f>IFERROR(XLOOKUP(F1106,Lookups!$D$5:$D$10,Lookups!$F$5:$F$10),"Unknown")</x:f>
        <x:v>Marketing</x:v>
      </x:c>
      <x:c r="T1106" t="str">
        <x:f>IF(L1106&gt;=50000,"Enterprise",IF(L1106&gt;=20000,"Mid-Market","SMB"))</x:f>
        <x:v>SMB</x:v>
      </x:c>
      <x:c r="U1106" t="str">
        <x:f>IF(I1106="Closed Won","Won",IF(I1106="Closed Lost","Lost","Open"))</x:f>
        <x:v>Lost</x:v>
      </x:c>
      <x:c r="V1106" s="22" t="n">
        <x:f>IF(U1106="Won",L1106*(1-M1106),0)</x:f>
        <x:v>0</x:v>
      </x:c>
      <x:c r="W1106" s="22" t="n">
        <x:f>IF(U1106="Open",L1106*N1106,0)</x:f>
        <x:v>0</x:v>
      </x:c>
      <x:c r="X1106" s="26" t="n">
        <x:f>IF(U1106="Open","",IFERROR(K1106-B1106,""))</x:f>
        <x:v>39</x:v>
      </x:c>
      <x:c r="Y1106" s="26" t="n">
        <x:f>IF(U1106="Open",Lookups!$B$2-B1106,X1106)</x:f>
        <x:v>39</x:v>
      </x:c>
      <x:c r="Z1106" t="str">
        <x:f>IF(AND(U1106="Open",Y1106&gt;30),"STALE","OK")</x:f>
        <x:v>OK</x:v>
      </x:c>
      <x:c r="AA1106" t="str">
        <x:f>TEXT(B1106,"yyyy-mm")</x:f>
        <x:v>2025-08</x:v>
      </x:c>
      <x:c r="AB1106" t="str">
        <x:f>IF(K1106="","",TEXT(K1106,"yyyy-mm"))</x:f>
        <x:v>2025-09</x:v>
      </x:c>
      <x:c r="AC1106" t="str">
        <x:f>"Q"&amp;ROUNDUP(MONTH(B1106)/3,0)&amp;"-"&amp;YEAR(B1106)</x:f>
        <x:v>Q3-2025</x:v>
      </x:c>
      <x:c r="AD1106" s="26" t="n">
        <x:f>MIN(100,IF(H1106="Enterprise",30,IF(H1106="Mid-Market",22,14))+IF(T1106="Enterprise",25,IF(T1106="Mid-Market",18,10))+IF(Q1106="Referral",25,IF(Q1106="Organic Search",20,IF(Q1106="Email",18,14)))+IF(G1106="Technology",10,5))</x:f>
        <x:v>49</x:v>
      </x:c>
      <x:c r="AE1106" t="str">
        <x:f>IF(U1106&lt;&gt;"Open",U1106,IF(N1106&gt;=0.8,"Commit",IF(N1106&gt;=0.5,"Best Case","Pipeline")))</x:f>
        <x:v>Lost</x:v>
      </x:c>
    </x:row>
    <x:row r="1107">
      <x:c r="A1107" t="str">
        <x:v>L01106</x:v>
      </x:c>
      <x:c r="B1107" s="10" t="n">
        <x:v>46217</x:v>
      </x:c>
      <x:c r="C1107" t="str">
        <x:v>Ha Vo</x:v>
      </x:c>
      <x:c r="D1107" t="str">
        <x:v>North</x:v>
      </x:c>
      <x:c r="E1107" t="str">
        <x:v>Partner Referral</x:v>
      </x:c>
      <x:c r="F1107" t="str">
        <x:v>BI-PLUS</x:v>
      </x:c>
      <x:c r="G1107" t="str">
        <x:v>Manufacturing</x:v>
      </x:c>
      <x:c r="H1107" t="str">
        <x:v>Mid-Market</x:v>
      </x:c>
      <x:c r="I1107" t="str">
        <x:v>Closed Lost</x:v>
      </x:c>
      <x:c r="J1107" s="10" t="n">
        <x:v>46266</x:v>
      </x:c>
      <x:c r="K1107" s="10" t="n">
        <x:v>46266</x:v>
      </x:c>
      <x:c r="L1107" s="22" t="n">
        <x:v>24600</x:v>
      </x:c>
      <x:c r="M1107" s="24" t="n">
        <x:v>0</x:v>
      </x:c>
      <x:c r="N1107" s="24" t="n">
        <x:v>0</x:v>
      </x:c>
      <x:c r="O1107" t="str">
        <x:v>Feature Gap</x:v>
      </x:c>
      <x:c r="P1107" t="n">
        <x:v>2</x:v>
      </x:c>
      <x:c r="Q1107" t="str">
        <x:f>IFERROR(XLOOKUP(E1107,Lookups!$A$5:$A$24,Lookups!$B$5:$B$24),"Other")</x:f>
        <x:v>Referral</x:v>
      </x:c>
      <x:c r="R1107" t="str">
        <x:f>IFERROR(XLOOKUP(F1107,Lookups!$D$5:$D$10,Lookups!$E$5:$E$10),"Unknown Product")</x:f>
        <x:v>Analytics Plus</x:v>
      </x:c>
      <x:c r="S1107" t="str">
        <x:f>IFERROR(XLOOKUP(F1107,Lookups!$D$5:$D$10,Lookups!$F$5:$F$10),"Unknown")</x:f>
        <x:v>Analytics</x:v>
      </x:c>
      <x:c r="T1107" t="str">
        <x:f>IF(L1107&gt;=50000,"Enterprise",IF(L1107&gt;=20000,"Mid-Market","SMB"))</x:f>
        <x:v>Mid-Market</x:v>
      </x:c>
      <x:c r="U1107" t="str">
        <x:f>IF(I1107="Closed Won","Won",IF(I1107="Closed Lost","Lost","Open"))</x:f>
        <x:v>Lost</x:v>
      </x:c>
      <x:c r="V1107" s="22" t="n">
        <x:f>IF(U1107="Won",L1107*(1-M1107),0)</x:f>
        <x:v>0</x:v>
      </x:c>
      <x:c r="W1107" s="22" t="n">
        <x:f>IF(U1107="Open",L1107*N1107,0)</x:f>
        <x:v>0</x:v>
      </x:c>
      <x:c r="X1107" s="26" t="n">
        <x:f>IF(U1107="Open","",IFERROR(K1107-B1107,""))</x:f>
        <x:v>49</x:v>
      </x:c>
      <x:c r="Y1107" s="26" t="n">
        <x:f>IF(U1107="Open",Lookups!$B$2-B1107,X1107)</x:f>
        <x:v>49</x:v>
      </x:c>
      <x:c r="Z1107" t="str">
        <x:f>IF(AND(U1107="Open",Y1107&gt;30),"STALE","OK")</x:f>
        <x:v>OK</x:v>
      </x:c>
      <x:c r="AA1107" t="str">
        <x:f>TEXT(B1107,"yyyy-mm")</x:f>
        <x:v>2026-07</x:v>
      </x:c>
      <x:c r="AB1107" t="str">
        <x:f>IF(K1107="","",TEXT(K1107,"yyyy-mm"))</x:f>
        <x:v>2026-09</x:v>
      </x:c>
      <x:c r="AC1107" t="str">
        <x:f>"Q"&amp;ROUNDUP(MONTH(B1107)/3,0)&amp;"-"&amp;YEAR(B1107)</x:f>
        <x:v>Q3-2026</x:v>
      </x:c>
      <x:c r="AD1107" s="26" t="n">
        <x:f>MIN(100,IF(H1107="Enterprise",30,IF(H1107="Mid-Market",22,14))+IF(T1107="Enterprise",25,IF(T1107="Mid-Market",18,10))+IF(Q1107="Referral",25,IF(Q1107="Organic Search",20,IF(Q1107="Email",18,14)))+IF(G1107="Technology",10,5))</x:f>
        <x:v>70</x:v>
      </x:c>
      <x:c r="AE1107" t="str">
        <x:f>IF(U1107&lt;&gt;"Open",U1107,IF(N1107&gt;=0.8,"Commit",IF(N1107&gt;=0.5,"Best Case","Pipeline")))</x:f>
        <x:v>Lost</x:v>
      </x:c>
    </x:row>
    <x:row r="1108">
      <x:c r="A1108" t="str">
        <x:v>L01107</x:v>
      </x:c>
      <x:c r="B1108" s="10" t="n">
        <x:v>46114</x:v>
      </x:c>
      <x:c r="C1108" t="str">
        <x:v>Bao Tran</x:v>
      </x:c>
      <x:c r="D1108" t="str">
        <x:v>South</x:v>
      </x:c>
      <x:c r="E1108" t="str">
        <x:v>customer referral</x:v>
      </x:c>
      <x:c r="F1108" t="str">
        <x:v>CRM-PRO</x:v>
      </x:c>
      <x:c r="G1108" t="str">
        <x:v>Manufacturing</x:v>
      </x:c>
      <x:c r="H1108" t="str">
        <x:v>SMB</x:v>
      </x:c>
      <x:c r="I1108" t="str">
        <x:v>Closed Lost</x:v>
      </x:c>
      <x:c r="J1108" s="10" t="n">
        <x:v>46182</x:v>
      </x:c>
      <x:c r="K1108" s="10" t="n">
        <x:v>46182</x:v>
      </x:c>
      <x:c r="L1108" s="22" t="n">
        <x:v>14600</x:v>
      </x:c>
      <x:c r="M1108" s="24" t="n">
        <x:v>0</x:v>
      </x:c>
      <x:c r="N1108" s="24" t="n">
        <x:v>0</x:v>
      </x:c>
      <x:c r="O1108" t="str">
        <x:v>Budget</x:v>
      </x:c>
      <x:c r="P1108" t="n">
        <x:v>3</x:v>
      </x:c>
      <x:c r="Q1108" t="str">
        <x:f>IFERROR(XLOOKUP(E1108,Lookups!$A$5:$A$24,Lookups!$B$5:$B$24),"Other")</x:f>
        <x:v>Referral</x:v>
      </x:c>
      <x:c r="R1108" t="str">
        <x:f>IFERROR(XLOOKUP(F1108,Lookups!$D$5:$D$10,Lookups!$E$5:$E$10),"Unknown Product")</x:f>
        <x:v>NexaCRM Pro</x:v>
      </x:c>
      <x:c r="S1108" t="str">
        <x:f>IFERROR(XLOOKUP(F1108,Lookups!$D$5:$D$10,Lookups!$F$5:$F$10),"Unknown")</x:f>
        <x:v>CRM</x:v>
      </x:c>
      <x:c r="T1108" t="str">
        <x:f>IF(L1108&gt;=50000,"Enterprise",IF(L1108&gt;=20000,"Mid-Market","SMB"))</x:f>
        <x:v>SMB</x:v>
      </x:c>
      <x:c r="U1108" t="str">
        <x:f>IF(I1108="Closed Won","Won",IF(I1108="Closed Lost","Lost","Open"))</x:f>
        <x:v>Lost</x:v>
      </x:c>
      <x:c r="V1108" s="22" t="n">
        <x:f>IF(U1108="Won",L1108*(1-M1108),0)</x:f>
        <x:v>0</x:v>
      </x:c>
      <x:c r="W1108" s="22" t="n">
        <x:f>IF(U1108="Open",L1108*N1108,0)</x:f>
        <x:v>0</x:v>
      </x:c>
      <x:c r="X1108" s="26" t="n">
        <x:f>IF(U1108="Open","",IFERROR(K1108-B1108,""))</x:f>
        <x:v>68</x:v>
      </x:c>
      <x:c r="Y1108" s="26" t="n">
        <x:f>IF(U1108="Open",Lookups!$B$2-B1108,X1108)</x:f>
        <x:v>68</x:v>
      </x:c>
      <x:c r="Z1108" t="str">
        <x:f>IF(AND(U1108="Open",Y1108&gt;30),"STALE","OK")</x:f>
        <x:v>OK</x:v>
      </x:c>
      <x:c r="AA1108" t="str">
        <x:f>TEXT(B1108,"yyyy-mm")</x:f>
        <x:v>2026-04</x:v>
      </x:c>
      <x:c r="AB1108" t="str">
        <x:f>IF(K1108="","",TEXT(K1108,"yyyy-mm"))</x:f>
        <x:v>2026-06</x:v>
      </x:c>
      <x:c r="AC1108" t="str">
        <x:f>"Q"&amp;ROUNDUP(MONTH(B1108)/3,0)&amp;"-"&amp;YEAR(B1108)</x:f>
        <x:v>Q2-2026</x:v>
      </x:c>
      <x:c r="AD1108" s="26" t="n">
        <x:f>MIN(100,IF(H1108="Enterprise",30,IF(H1108="Mid-Market",22,14))+IF(T1108="Enterprise",25,IF(T1108="Mid-Market",18,10))+IF(Q1108="Referral",25,IF(Q1108="Organic Search",20,IF(Q1108="Email",18,14)))+IF(G1108="Technology",10,5))</x:f>
        <x:v>54</x:v>
      </x:c>
      <x:c r="AE1108" t="str">
        <x:f>IF(U1108&lt;&gt;"Open",U1108,IF(N1108&gt;=0.8,"Commit",IF(N1108&gt;=0.5,"Best Case","Pipeline")))</x:f>
        <x:v>Lost</x:v>
      </x:c>
    </x:row>
    <x:row r="1109">
      <x:c r="A1109" t="str">
        <x:v>L01108</x:v>
      </x:c>
      <x:c r="B1109" s="10" t="n">
        <x:v>45672</x:v>
      </x:c>
      <x:c r="C1109" t="str">
        <x:v>Minh Do</x:v>
      </x:c>
      <x:c r="D1109" t="str">
        <x:v>North</x:v>
      </x:c>
      <x:c r="E1109" t="str">
        <x:v>SEM - Google</x:v>
      </x:c>
      <x:c r="F1109" t="str">
        <x:v>CRM-PRO</x:v>
      </x:c>
      <x:c r="G1109" t="str">
        <x:v>Technology</x:v>
      </x:c>
      <x:c r="H1109" t="str">
        <x:v>Enterprise</x:v>
      </x:c>
      <x:c r="I1109" t="str">
        <x:v>Closed Won</x:v>
      </x:c>
      <x:c r="J1109" s="10" t="n">
        <x:v>45767</x:v>
      </x:c>
      <x:c r="K1109" s="10" t="n">
        <x:v>45767</x:v>
      </x:c>
      <x:c r="L1109" s="22" t="n">
        <x:v>88600</x:v>
      </x:c>
      <x:c r="M1109" s="24" t="n">
        <x:v>0.1</x:v>
      </x:c>
      <x:c r="N1109" s="24" t="n">
        <x:v>1</x:v>
      </x:c>
      <x:c r="O1109" t="str"/>
      <x:c r="P1109" t="n">
        <x:v>6</x:v>
      </x:c>
      <x:c r="Q1109" t="str">
        <x:f>IFERROR(XLOOKUP(E1109,Lookups!$A$5:$A$24,Lookups!$B$5:$B$24),"Other")</x:f>
        <x:v>Paid Search</x:v>
      </x:c>
      <x:c r="R1109" t="str">
        <x:f>IFERROR(XLOOKUP(F1109,Lookups!$D$5:$D$10,Lookups!$E$5:$E$10),"Unknown Product")</x:f>
        <x:v>NexaCRM Pro</x:v>
      </x:c>
      <x:c r="S1109" t="str">
        <x:f>IFERROR(XLOOKUP(F1109,Lookups!$D$5:$D$10,Lookups!$F$5:$F$10),"Unknown")</x:f>
        <x:v>CRM</x:v>
      </x:c>
      <x:c r="T1109" t="str">
        <x:f>IF(L1109&gt;=50000,"Enterprise",IF(L1109&gt;=20000,"Mid-Market","SMB"))</x:f>
        <x:v>Enterprise</x:v>
      </x:c>
      <x:c r="U1109" t="str">
        <x:f>IF(I1109="Closed Won","Won",IF(I1109="Closed Lost","Lost","Open"))</x:f>
        <x:v>Won</x:v>
      </x:c>
      <x:c r="V1109" s="22" t="n">
        <x:f>IF(U1109="Won",L1109*(1-M1109),0)</x:f>
        <x:v>79740</x:v>
      </x:c>
      <x:c r="W1109" s="22" t="n">
        <x:f>IF(U1109="Open",L1109*N1109,0)</x:f>
        <x:v>0</x:v>
      </x:c>
      <x:c r="X1109" s="26" t="n">
        <x:f>IF(U1109="Open","",IFERROR(K1109-B1109,""))</x:f>
        <x:v>95</x:v>
      </x:c>
      <x:c r="Y1109" s="26" t="n">
        <x:f>IF(U1109="Open",Lookups!$B$2-B1109,X1109)</x:f>
        <x:v>95</x:v>
      </x:c>
      <x:c r="Z1109" t="str">
        <x:f>IF(AND(U1109="Open",Y1109&gt;30),"STALE","OK")</x:f>
        <x:v>OK</x:v>
      </x:c>
      <x:c r="AA1109" t="str">
        <x:f>TEXT(B1109,"yyyy-mm")</x:f>
        <x:v>2025-01</x:v>
      </x:c>
      <x:c r="AB1109" t="str">
        <x:f>IF(K1109="","",TEXT(K1109,"yyyy-mm"))</x:f>
        <x:v>2025-04</x:v>
      </x:c>
      <x:c r="AC1109" t="str">
        <x:f>"Q"&amp;ROUNDUP(MONTH(B1109)/3,0)&amp;"-"&amp;YEAR(B1109)</x:f>
        <x:v>Q1-2025</x:v>
      </x:c>
      <x:c r="AD1109" s="26" t="n">
        <x:f>MIN(100,IF(H1109="Enterprise",30,IF(H1109="Mid-Market",22,14))+IF(T1109="Enterprise",25,IF(T1109="Mid-Market",18,10))+IF(Q1109="Referral",25,IF(Q1109="Organic Search",20,IF(Q1109="Email",18,14)))+IF(G1109="Technology",10,5))</x:f>
        <x:v>79</x:v>
      </x:c>
      <x:c r="AE1109" t="str">
        <x:f>IF(U1109&lt;&gt;"Open",U1109,IF(N1109&gt;=0.8,"Commit",IF(N1109&gt;=0.5,"Best Case","Pipeline")))</x:f>
        <x:v>Won</x:v>
      </x:c>
    </x:row>
    <x:row r="1110">
      <x:c r="A1110" t="str">
        <x:v>L01109</x:v>
      </x:c>
      <x:c r="B1110" s="10" t="n">
        <x:v>46247</x:v>
      </x:c>
      <x:c r="C1110" t="str">
        <x:v>Quynh Vu</x:v>
      </x:c>
      <x:c r="D1110" t="str">
        <x:v>North</x:v>
      </x:c>
      <x:c r="E1110" t="str">
        <x:v>Partner Referral</x:v>
      </x:c>
      <x:c r="F1110" t="str">
        <x:v>MKT-AUTO</x:v>
      </x:c>
      <x:c r="G1110" t="str">
        <x:v>Professional Services</x:v>
      </x:c>
      <x:c r="H1110" t="str">
        <x:v>SMB</x:v>
      </x:c>
      <x:c r="I1110" t="str">
        <x:v>Qualified</x:v>
      </x:c>
      <x:c r="J1110" s="10" t="n">
        <x:v>46257</x:v>
      </x:c>
      <x:c r="K1110" s="10"/>
      <x:c r="L1110" s="22" t="n">
        <x:v>9700</x:v>
      </x:c>
      <x:c r="M1110" s="24" t="n">
        <x:v>0.05</x:v>
      </x:c>
      <x:c r="N1110" s="24" t="n">
        <x:v>0.2</x:v>
      </x:c>
      <x:c r="O1110" t="str"/>
      <x:c r="P1110" t="n">
        <x:v>2</x:v>
      </x:c>
      <x:c r="Q1110" t="str">
        <x:f>IFERROR(XLOOKUP(E1110,Lookups!$A$5:$A$24,Lookups!$B$5:$B$24),"Other")</x:f>
        <x:v>Referral</x:v>
      </x:c>
      <x:c r="R1110" t="str">
        <x:f>IFERROR(XLOOKUP(F1110,Lookups!$D$5:$D$10,Lookups!$E$5:$E$10),"Unknown Product")</x:f>
        <x:v>Marketing Automation</x:v>
      </x:c>
      <x:c r="S1110" t="str">
        <x:f>IFERROR(XLOOKUP(F1110,Lookups!$D$5:$D$10,Lookups!$F$5:$F$10),"Unknown")</x:f>
        <x:v>Marketing</x:v>
      </x:c>
      <x:c r="T1110" t="str">
        <x:f>IF(L1110&gt;=50000,"Enterprise",IF(L1110&gt;=20000,"Mid-Market","SMB"))</x:f>
        <x:v>SMB</x:v>
      </x:c>
      <x:c r="U1110" t="str">
        <x:f>IF(I1110="Closed Won","Won",IF(I1110="Closed Lost","Lost","Open"))</x:f>
        <x:v>Open</x:v>
      </x:c>
      <x:c r="V1110" s="22" t="n">
        <x:f>IF(U1110="Won",L1110*(1-M1110),0)</x:f>
        <x:v>0</x:v>
      </x:c>
      <x:c r="W1110" s="22" t="n">
        <x:f>IF(U1110="Open",L1110*N1110,0)</x:f>
        <x:v>1940</x:v>
      </x:c>
      <x:c r="X1110" s="26" t="str">
        <x:f>IF(U1110="Open","",IFERROR(K1110-B1110,""))</x:f>
      </x:c>
      <x:c r="Y1110" s="26" t="n">
        <x:f>IF(U1110="Open",Lookups!$B$2-B1110,X1110)</x:f>
        <x:v>19</x:v>
      </x:c>
      <x:c r="Z1110" t="str">
        <x:f>IF(AND(U1110="Open",Y1110&gt;30),"STALE","OK")</x:f>
        <x:v>OK</x:v>
      </x:c>
      <x:c r="AA1110" t="str">
        <x:f>TEXT(B1110,"yyyy-mm")</x:f>
        <x:v>2026-08</x:v>
      </x:c>
      <x:c r="AB1110" t="str">
        <x:f>IF(K1110="","",TEXT(K1110,"yyyy-mm"))</x:f>
      </x:c>
      <x:c r="AC1110" t="str">
        <x:f>"Q"&amp;ROUNDUP(MONTH(B1110)/3,0)&amp;"-"&amp;YEAR(B1110)</x:f>
        <x:v>Q3-2026</x:v>
      </x:c>
      <x:c r="AD1110" s="26" t="n">
        <x:f>MIN(100,IF(H1110="Enterprise",30,IF(H1110="Mid-Market",22,14))+IF(T1110="Enterprise",25,IF(T1110="Mid-Market",18,10))+IF(Q1110="Referral",25,IF(Q1110="Organic Search",20,IF(Q1110="Email",18,14)))+IF(G1110="Technology",10,5))</x:f>
        <x:v>54</x:v>
      </x:c>
      <x:c r="AE1110" t="str">
        <x:f>IF(U1110&lt;&gt;"Open",U1110,IF(N1110&gt;=0.8,"Commit",IF(N1110&gt;=0.5,"Best Case","Pipeline")))</x:f>
        <x:v>Pipeline</x:v>
      </x:c>
    </x:row>
    <x:row r="1111">
      <x:c r="A1111" t="str">
        <x:v>L01110</x:v>
      </x:c>
      <x:c r="B1111" s="10" t="n">
        <x:v>45900</x:v>
      </x:c>
      <x:c r="C1111" t="str">
        <x:v>Ha Vo</x:v>
      </x:c>
      <x:c r="D1111" t="str">
        <x:v>North</x:v>
      </x:c>
      <x:c r="E1111" t="str">
        <x:v>Google Ads</x:v>
      </x:c>
      <x:c r="F1111" t="str">
        <x:v>CRM-CORE</x:v>
      </x:c>
      <x:c r="G1111" t="str">
        <x:v>Manufacturing</x:v>
      </x:c>
      <x:c r="H1111" t="str">
        <x:v>Enterprise</x:v>
      </x:c>
      <x:c r="I1111" t="str">
        <x:v>Negotiation</x:v>
      </x:c>
      <x:c r="J1111" s="10" t="n">
        <x:v>46107</x:v>
      </x:c>
      <x:c r="K1111" s="10"/>
      <x:c r="L1111" s="22" t="n">
        <x:v>25700</x:v>
      </x:c>
      <x:c r="M1111" s="24" t="n">
        <x:v>0</x:v>
      </x:c>
      <x:c r="N1111" s="24" t="n">
        <x:v>0.85</x:v>
      </x:c>
      <x:c r="O1111" t="str"/>
      <x:c r="P1111" t="n">
        <x:v>5</x:v>
      </x:c>
      <x:c r="Q1111" t="str">
        <x:f>IFERROR(XLOOKUP(E1111,Lookups!$A$5:$A$24,Lookups!$B$5:$B$24),"Other")</x:f>
        <x:v>Paid Search</x:v>
      </x:c>
      <x:c r="R1111" t="str">
        <x:f>IFERROR(XLOOKUP(F1111,Lookups!$D$5:$D$10,Lookups!$E$5:$E$10),"Unknown Product")</x:f>
        <x:v>NexaCRM Core</x:v>
      </x:c>
      <x:c r="S1111" t="str">
        <x:f>IFERROR(XLOOKUP(F1111,Lookups!$D$5:$D$10,Lookups!$F$5:$F$10),"Unknown")</x:f>
        <x:v>CRM</x:v>
      </x:c>
      <x:c r="T1111" t="str">
        <x:f>IF(L1111&gt;=50000,"Enterprise",IF(L1111&gt;=20000,"Mid-Market","SMB"))</x:f>
        <x:v>Mid-Market</x:v>
      </x:c>
      <x:c r="U1111" t="str">
        <x:f>IF(I1111="Closed Won","Won",IF(I1111="Closed Lost","Lost","Open"))</x:f>
        <x:v>Open</x:v>
      </x:c>
      <x:c r="V1111" s="22" t="n">
        <x:f>IF(U1111="Won",L1111*(1-M1111),0)</x:f>
        <x:v>0</x:v>
      </x:c>
      <x:c r="W1111" s="22" t="n">
        <x:f>IF(U1111="Open",L1111*N1111,0)</x:f>
        <x:v>21845</x:v>
      </x:c>
      <x:c r="X1111" s="26" t="str">
        <x:f>IF(U1111="Open","",IFERROR(K1111-B1111,""))</x:f>
      </x:c>
      <x:c r="Y1111" s="26" t="n">
        <x:f>IF(U1111="Open",Lookups!$B$2-B1111,X1111)</x:f>
        <x:v>366</x:v>
      </x:c>
      <x:c r="Z1111" t="str">
        <x:f>IF(AND(U1111="Open",Y1111&gt;30),"STALE","OK")</x:f>
        <x:v>STALE</x:v>
      </x:c>
      <x:c r="AA1111" t="str">
        <x:f>TEXT(B1111,"yyyy-mm")</x:f>
        <x:v>2025-08</x:v>
      </x:c>
      <x:c r="AB1111" t="str">
        <x:f>IF(K1111="","",TEXT(K1111,"yyyy-mm"))</x:f>
      </x:c>
      <x:c r="AC1111" t="str">
        <x:f>"Q"&amp;ROUNDUP(MONTH(B1111)/3,0)&amp;"-"&amp;YEAR(B1111)</x:f>
        <x:v>Q3-2025</x:v>
      </x:c>
      <x:c r="AD1111" s="26" t="n">
        <x:f>MIN(100,IF(H1111="Enterprise",30,IF(H1111="Mid-Market",22,14))+IF(T1111="Enterprise",25,IF(T1111="Mid-Market",18,10))+IF(Q1111="Referral",25,IF(Q1111="Organic Search",20,IF(Q1111="Email",18,14)))+IF(G1111="Technology",10,5))</x:f>
        <x:v>67</x:v>
      </x:c>
      <x:c r="AE1111" t="str">
        <x:f>IF(U1111&lt;&gt;"Open",U1111,IF(N1111&gt;=0.8,"Commit",IF(N1111&gt;=0.5,"Best Case","Pipeline")))</x:f>
        <x:v>Commit</x:v>
      </x:c>
    </x:row>
    <x:row r="1112">
      <x:c r="A1112" t="str">
        <x:v>L01111</x:v>
      </x:c>
      <x:c r="B1112" s="10" t="n">
        <x:v>45756</x:v>
      </x:c>
      <x:c r="C1112" t="str">
        <x:v>Bao Tran</x:v>
      </x:c>
      <x:c r="D1112" t="str">
        <x:v>South</x:v>
      </x:c>
      <x:c r="E1112" t="str">
        <x:v>SEO</x:v>
      </x:c>
      <x:c r="F1112" t="str">
        <x:v>REV-OPS</x:v>
      </x:c>
      <x:c r="G1112" t="str">
        <x:v>Education</x:v>
      </x:c>
      <x:c r="H1112" t="str">
        <x:v>Mid-Market</x:v>
      </x:c>
      <x:c r="I1112" t="str">
        <x:v>Closed Won</x:v>
      </x:c>
      <x:c r="J1112" s="10" t="n">
        <x:v>45831</x:v>
      </x:c>
      <x:c r="K1112" s="10" t="n">
        <x:v>45831</x:v>
      </x:c>
      <x:c r="L1112" s="22" t="n">
        <x:v>73900</x:v>
      </x:c>
      <x:c r="M1112" s="24" t="n">
        <x:v>0</x:v>
      </x:c>
      <x:c r="N1112" s="24" t="n">
        <x:v>1</x:v>
      </x:c>
      <x:c r="O1112" t="str"/>
      <x:c r="P1112" t="n">
        <x:v>6</x:v>
      </x:c>
      <x:c r="Q1112" t="str">
        <x:f>IFERROR(XLOOKUP(E1112,Lookups!$A$5:$A$24,Lookups!$B$5:$B$24),"Other")</x:f>
        <x:v>Organic Search</x:v>
      </x:c>
      <x:c r="R1112" t="str">
        <x:f>IFERROR(XLOOKUP(F1112,Lookups!$D$5:$D$10,Lookups!$E$5:$E$10),"Unknown Product")</x:f>
        <x:v>Revenue Operations Suite</x:v>
      </x:c>
      <x:c r="S1112" t="str">
        <x:f>IFERROR(XLOOKUP(F1112,Lookups!$D$5:$D$10,Lookups!$F$5:$F$10),"Unknown")</x:f>
        <x:v>Revenue Ops</x:v>
      </x:c>
      <x:c r="T1112" t="str">
        <x:f>IF(L1112&gt;=50000,"Enterprise",IF(L1112&gt;=20000,"Mid-Market","SMB"))</x:f>
        <x:v>Enterprise</x:v>
      </x:c>
      <x:c r="U1112" t="str">
        <x:f>IF(I1112="Closed Won","Won",IF(I1112="Closed Lost","Lost","Open"))</x:f>
        <x:v>Won</x:v>
      </x:c>
      <x:c r="V1112" s="22" t="n">
        <x:f>IF(U1112="Won",L1112*(1-M1112),0)</x:f>
        <x:v>73900</x:v>
      </x:c>
      <x:c r="W1112" s="22" t="n">
        <x:f>IF(U1112="Open",L1112*N1112,0)</x:f>
        <x:v>0</x:v>
      </x:c>
      <x:c r="X1112" s="26" t="n">
        <x:f>IF(U1112="Open","",IFERROR(K1112-B1112,""))</x:f>
        <x:v>75</x:v>
      </x:c>
      <x:c r="Y1112" s="26" t="n">
        <x:f>IF(U1112="Open",Lookups!$B$2-B1112,X1112)</x:f>
        <x:v>75</x:v>
      </x:c>
      <x:c r="Z1112" t="str">
        <x:f>IF(AND(U1112="Open",Y1112&gt;30),"STALE","OK")</x:f>
        <x:v>OK</x:v>
      </x:c>
      <x:c r="AA1112" t="str">
        <x:f>TEXT(B1112,"yyyy-mm")</x:f>
        <x:v>2025-04</x:v>
      </x:c>
      <x:c r="AB1112" t="str">
        <x:f>IF(K1112="","",TEXT(K1112,"yyyy-mm"))</x:f>
        <x:v>2025-06</x:v>
      </x:c>
      <x:c r="AC1112" t="str">
        <x:f>"Q"&amp;ROUNDUP(MONTH(B1112)/3,0)&amp;"-"&amp;YEAR(B1112)</x:f>
        <x:v>Q2-2025</x:v>
      </x:c>
      <x:c r="AD1112" s="26" t="n">
        <x:f>MIN(100,IF(H1112="Enterprise",30,IF(H1112="Mid-Market",22,14))+IF(T1112="Enterprise",25,IF(T1112="Mid-Market",18,10))+IF(Q1112="Referral",25,IF(Q1112="Organic Search",20,IF(Q1112="Email",18,14)))+IF(G1112="Technology",10,5))</x:f>
        <x:v>72</x:v>
      </x:c>
      <x:c r="AE1112" t="str">
        <x:f>IF(U1112&lt;&gt;"Open",U1112,IF(N1112&gt;=0.8,"Commit",IF(N1112&gt;=0.5,"Best Case","Pipeline")))</x:f>
        <x:v>Won</x:v>
      </x:c>
    </x:row>
    <x:row r="1113">
      <x:c r="A1113" t="str">
        <x:v>L01112</x:v>
      </x:c>
      <x:c r="B1113" s="10" t="n">
        <x:v>46094</x:v>
      </x:c>
      <x:c r="C1113" t="str">
        <x:v>Tuan Bui</x:v>
      </x:c>
      <x:c r="D1113" t="str">
        <x:v>Central</x:v>
      </x:c>
      <x:c r="E1113" t="str">
        <x:v>Referral</x:v>
      </x:c>
      <x:c r="F1113" t="str">
        <x:v>CS-CLOUD</x:v>
      </x:c>
      <x:c r="G1113" t="str">
        <x:v>Professional Services</x:v>
      </x:c>
      <x:c r="H1113" t="str">
        <x:v>SMB</x:v>
      </x:c>
      <x:c r="I1113" t="str">
        <x:v>Closed Lost</x:v>
      </x:c>
      <x:c r="J1113" s="10" t="n">
        <x:v>46102</x:v>
      </x:c>
      <x:c r="K1113" s="10" t="n">
        <x:v>46102</x:v>
      </x:c>
      <x:c r="L1113" s="22" t="n">
        <x:v>19000</x:v>
      </x:c>
      <x:c r="M1113" s="24" t="n">
        <x:v>0</x:v>
      </x:c>
      <x:c r="N1113" s="24" t="n">
        <x:v>0</x:v>
      </x:c>
      <x:c r="O1113" t="str">
        <x:v>Budget</x:v>
      </x:c>
      <x:c r="P1113" t="n">
        <x:v>4</x:v>
      </x:c>
      <x:c r="Q1113" t="str">
        <x:f>IFERROR(XLOOKUP(E1113,Lookups!$A$5:$A$24,Lookups!$B$5:$B$24),"Other")</x:f>
        <x:v>Referral</x:v>
      </x:c>
      <x:c r="R1113" t="str">
        <x:f>IFERROR(XLOOKUP(F1113,Lookups!$D$5:$D$10,Lookups!$E$5:$E$10),"Unknown Product")</x:f>
        <x:v>Service Cloud</x:v>
      </x:c>
      <x:c r="S1113" t="str">
        <x:f>IFERROR(XLOOKUP(F1113,Lookups!$D$5:$D$10,Lookups!$F$5:$F$10),"Unknown")</x:f>
        <x:v>Customer Service</x:v>
      </x:c>
      <x:c r="T1113" t="str">
        <x:f>IF(L1113&gt;=50000,"Enterprise",IF(L1113&gt;=20000,"Mid-Market","SMB"))</x:f>
        <x:v>SMB</x:v>
      </x:c>
      <x:c r="U1113" t="str">
        <x:f>IF(I1113="Closed Won","Won",IF(I1113="Closed Lost","Lost","Open"))</x:f>
        <x:v>Lost</x:v>
      </x:c>
      <x:c r="V1113" s="22" t="n">
        <x:f>IF(U1113="Won",L1113*(1-M1113),0)</x:f>
        <x:v>0</x:v>
      </x:c>
      <x:c r="W1113" s="22" t="n">
        <x:f>IF(U1113="Open",L1113*N1113,0)</x:f>
        <x:v>0</x:v>
      </x:c>
      <x:c r="X1113" s="26" t="n">
        <x:f>IF(U1113="Open","",IFERROR(K1113-B1113,""))</x:f>
        <x:v>8</x:v>
      </x:c>
      <x:c r="Y1113" s="26" t="n">
        <x:f>IF(U1113="Open",Lookups!$B$2-B1113,X1113)</x:f>
        <x:v>8</x:v>
      </x:c>
      <x:c r="Z1113" t="str">
        <x:f>IF(AND(U1113="Open",Y1113&gt;30),"STALE","OK")</x:f>
        <x:v>OK</x:v>
      </x:c>
      <x:c r="AA1113" t="str">
        <x:f>TEXT(B1113,"yyyy-mm")</x:f>
        <x:v>2026-03</x:v>
      </x:c>
      <x:c r="AB1113" t="str">
        <x:f>IF(K1113="","",TEXT(K1113,"yyyy-mm"))</x:f>
        <x:v>2026-03</x:v>
      </x:c>
      <x:c r="AC1113" t="str">
        <x:f>"Q"&amp;ROUNDUP(MONTH(B1113)/3,0)&amp;"-"&amp;YEAR(B1113)</x:f>
        <x:v>Q1-2026</x:v>
      </x:c>
      <x:c r="AD1113" s="26" t="n">
        <x:f>MIN(100,IF(H1113="Enterprise",30,IF(H1113="Mid-Market",22,14))+IF(T1113="Enterprise",25,IF(T1113="Mid-Market",18,10))+IF(Q1113="Referral",25,IF(Q1113="Organic Search",20,IF(Q1113="Email",18,14)))+IF(G1113="Technology",10,5))</x:f>
        <x:v>54</x:v>
      </x:c>
      <x:c r="AE1113" t="str">
        <x:f>IF(U1113&lt;&gt;"Open",U1113,IF(N1113&gt;=0.8,"Commit",IF(N1113&gt;=0.5,"Best Case","Pipeline")))</x:f>
        <x:v>Lost</x:v>
      </x:c>
    </x:row>
    <x:row r="1114">
      <x:c r="A1114" t="str">
        <x:v>L01113</x:v>
      </x:c>
      <x:c r="B1114" s="10" t="n">
        <x:v>45682</x:v>
      </x:c>
      <x:c r="C1114" t="str">
        <x:v>Tuan Bui</x:v>
      </x:c>
      <x:c r="D1114" t="str">
        <x:v>Central</x:v>
      </x:c>
      <x:c r="E1114" t="str">
        <x:v>Google Organic</x:v>
      </x:c>
      <x:c r="F1114" t="str">
        <x:v>CRM-PRO</x:v>
      </x:c>
      <x:c r="G1114" t="str">
        <x:v>Education</x:v>
      </x:c>
      <x:c r="H1114" t="str">
        <x:v>Mid-Market</x:v>
      </x:c>
      <x:c r="I1114" t="str">
        <x:v>Closed Won</x:v>
      </x:c>
      <x:c r="J1114" s="10" t="n">
        <x:v>45739</x:v>
      </x:c>
      <x:c r="K1114" s="10" t="n">
        <x:v>45739</x:v>
      </x:c>
      <x:c r="L1114" s="22" t="n">
        <x:v>38900</x:v>
      </x:c>
      <x:c r="M1114" s="24" t="n">
        <x:v>0.05</x:v>
      </x:c>
      <x:c r="N1114" s="24" t="n">
        <x:v>1</x:v>
      </x:c>
      <x:c r="O1114" t="str"/>
      <x:c r="P1114" t="n">
        <x:v>6</x:v>
      </x:c>
      <x:c r="Q1114" t="str">
        <x:f>IFERROR(XLOOKUP(E1114,Lookups!$A$5:$A$24,Lookups!$B$5:$B$24),"Other")</x:f>
        <x:v>Organic Search</x:v>
      </x:c>
      <x:c r="R1114" t="str">
        <x:f>IFERROR(XLOOKUP(F1114,Lookups!$D$5:$D$10,Lookups!$E$5:$E$10),"Unknown Product")</x:f>
        <x:v>NexaCRM Pro</x:v>
      </x:c>
      <x:c r="S1114" t="str">
        <x:f>IFERROR(XLOOKUP(F1114,Lookups!$D$5:$D$10,Lookups!$F$5:$F$10),"Unknown")</x:f>
        <x:v>CRM</x:v>
      </x:c>
      <x:c r="T1114" t="str">
        <x:f>IF(L1114&gt;=50000,"Enterprise",IF(L1114&gt;=20000,"Mid-Market","SMB"))</x:f>
        <x:v>Mid-Market</x:v>
      </x:c>
      <x:c r="U1114" t="str">
        <x:f>IF(I1114="Closed Won","Won",IF(I1114="Closed Lost","Lost","Open"))</x:f>
        <x:v>Won</x:v>
      </x:c>
      <x:c r="V1114" s="22" t="n">
        <x:f>IF(U1114="Won",L1114*(1-M1114),0)</x:f>
        <x:v>36955</x:v>
      </x:c>
      <x:c r="W1114" s="22" t="n">
        <x:f>IF(U1114="Open",L1114*N1114,0)</x:f>
        <x:v>0</x:v>
      </x:c>
      <x:c r="X1114" s="26" t="n">
        <x:f>IF(U1114="Open","",IFERROR(K1114-B1114,""))</x:f>
        <x:v>57</x:v>
      </x:c>
      <x:c r="Y1114" s="26" t="n">
        <x:f>IF(U1114="Open",Lookups!$B$2-B1114,X1114)</x:f>
        <x:v>57</x:v>
      </x:c>
      <x:c r="Z1114" t="str">
        <x:f>IF(AND(U1114="Open",Y1114&gt;30),"STALE","OK")</x:f>
        <x:v>OK</x:v>
      </x:c>
      <x:c r="AA1114" t="str">
        <x:f>TEXT(B1114,"yyyy-mm")</x:f>
        <x:v>2025-01</x:v>
      </x:c>
      <x:c r="AB1114" t="str">
        <x:f>IF(K1114="","",TEXT(K1114,"yyyy-mm"))</x:f>
        <x:v>2025-03</x:v>
      </x:c>
      <x:c r="AC1114" t="str">
        <x:f>"Q"&amp;ROUNDUP(MONTH(B1114)/3,0)&amp;"-"&amp;YEAR(B1114)</x:f>
        <x:v>Q1-2025</x:v>
      </x:c>
      <x:c r="AD1114" s="26" t="n">
        <x:f>MIN(100,IF(H1114="Enterprise",30,IF(H1114="Mid-Market",22,14))+IF(T1114="Enterprise",25,IF(T1114="Mid-Market",18,10))+IF(Q1114="Referral",25,IF(Q1114="Organic Search",20,IF(Q1114="Email",18,14)))+IF(G1114="Technology",10,5))</x:f>
        <x:v>65</x:v>
      </x:c>
      <x:c r="AE1114" t="str">
        <x:f>IF(U1114&lt;&gt;"Open",U1114,IF(N1114&gt;=0.8,"Commit",IF(N1114&gt;=0.5,"Best Case","Pipeline")))</x:f>
        <x:v>Won</x:v>
      </x:c>
    </x:row>
    <x:row r="1115">
      <x:c r="A1115" t="str">
        <x:v>L01114</x:v>
      </x:c>
      <x:c r="B1115" s="10" t="n">
        <x:v>46217</x:v>
      </x:c>
      <x:c r="C1115" t="str">
        <x:v>Tuan Bui</x:v>
      </x:c>
      <x:c r="D1115" t="str">
        <x:v>Central</x:v>
      </x:c>
      <x:c r="E1115" t="str">
        <x:v>Email Campaign</x:v>
      </x:c>
      <x:c r="F1115" t="str">
        <x:v>BI-PLUS</x:v>
      </x:c>
      <x:c r="G1115" t="str">
        <x:v>Professional Services</x:v>
      </x:c>
      <x:c r="H1115" t="str">
        <x:v>Mid-Market</x:v>
      </x:c>
      <x:c r="I1115" t="str">
        <x:v>Closed Lost</x:v>
      </x:c>
      <x:c r="J1115" s="10" t="n">
        <x:v>46260</x:v>
      </x:c>
      <x:c r="K1115" s="10" t="n">
        <x:v>46260</x:v>
      </x:c>
      <x:c r="L1115" s="22" t="n">
        <x:v>42400</x:v>
      </x:c>
      <x:c r="M1115" s="24" t="n">
        <x:v>0</x:v>
      </x:c>
      <x:c r="N1115" s="24" t="n">
        <x:v>0</x:v>
      </x:c>
      <x:c r="O1115" t="str">
        <x:v>Feature Gap</x:v>
      </x:c>
      <x:c r="P1115" t="n">
        <x:v>3</x:v>
      </x:c>
      <x:c r="Q1115" t="str">
        <x:f>IFERROR(XLOOKUP(E1115,Lookups!$A$5:$A$24,Lookups!$B$5:$B$24),"Other")</x:f>
        <x:v>Email</x:v>
      </x:c>
      <x:c r="R1115" t="str">
        <x:f>IFERROR(XLOOKUP(F1115,Lookups!$D$5:$D$10,Lookups!$E$5:$E$10),"Unknown Product")</x:f>
        <x:v>Analytics Plus</x:v>
      </x:c>
      <x:c r="S1115" t="str">
        <x:f>IFERROR(XLOOKUP(F1115,Lookups!$D$5:$D$10,Lookups!$F$5:$F$10),"Unknown")</x:f>
        <x:v>Analytics</x:v>
      </x:c>
      <x:c r="T1115" t="str">
        <x:f>IF(L1115&gt;=50000,"Enterprise",IF(L1115&gt;=20000,"Mid-Market","SMB"))</x:f>
        <x:v>Mid-Market</x:v>
      </x:c>
      <x:c r="U1115" t="str">
        <x:f>IF(I1115="Closed Won","Won",IF(I1115="Closed Lost","Lost","Open"))</x:f>
        <x:v>Lost</x:v>
      </x:c>
      <x:c r="V1115" s="22" t="n">
        <x:f>IF(U1115="Won",L1115*(1-M1115),0)</x:f>
        <x:v>0</x:v>
      </x:c>
      <x:c r="W1115" s="22" t="n">
        <x:f>IF(U1115="Open",L1115*N1115,0)</x:f>
        <x:v>0</x:v>
      </x:c>
      <x:c r="X1115" s="26" t="n">
        <x:f>IF(U1115="Open","",IFERROR(K1115-B1115,""))</x:f>
        <x:v>43</x:v>
      </x:c>
      <x:c r="Y1115" s="26" t="n">
        <x:f>IF(U1115="Open",Lookups!$B$2-B1115,X1115)</x:f>
        <x:v>43</x:v>
      </x:c>
      <x:c r="Z1115" t="str">
        <x:f>IF(AND(U1115="Open",Y1115&gt;30),"STALE","OK")</x:f>
        <x:v>OK</x:v>
      </x:c>
      <x:c r="AA1115" t="str">
        <x:f>TEXT(B1115,"yyyy-mm")</x:f>
        <x:v>2026-07</x:v>
      </x:c>
      <x:c r="AB1115" t="str">
        <x:f>IF(K1115="","",TEXT(K1115,"yyyy-mm"))</x:f>
        <x:v>2026-08</x:v>
      </x:c>
      <x:c r="AC1115" t="str">
        <x:f>"Q"&amp;ROUNDUP(MONTH(B1115)/3,0)&amp;"-"&amp;YEAR(B1115)</x:f>
        <x:v>Q3-2026</x:v>
      </x:c>
      <x:c r="AD1115" s="26" t="n">
        <x:f>MIN(100,IF(H1115="Enterprise",30,IF(H1115="Mid-Market",22,14))+IF(T1115="Enterprise",25,IF(T1115="Mid-Market",18,10))+IF(Q1115="Referral",25,IF(Q1115="Organic Search",20,IF(Q1115="Email",18,14)))+IF(G1115="Technology",10,5))</x:f>
        <x:v>63</x:v>
      </x:c>
      <x:c r="AE1115" t="str">
        <x:f>IF(U1115&lt;&gt;"Open",U1115,IF(N1115&gt;=0.8,"Commit",IF(N1115&gt;=0.5,"Best Case","Pipeline")))</x:f>
        <x:v>Lost</x:v>
      </x:c>
    </x:row>
    <x:row r="1116">
      <x:c r="A1116" t="str">
        <x:v>L01115</x:v>
      </x:c>
      <x:c r="B1116" s="10" t="n">
        <x:v>46012</x:v>
      </x:c>
      <x:c r="C1116" t="str">
        <x:v>Ha Vo</x:v>
      </x:c>
      <x:c r="D1116" t="str">
        <x:v>North</x:v>
      </x:c>
      <x:c r="E1116" t="str">
        <x:v>Google Ads</x:v>
      </x:c>
      <x:c r="F1116" t="str">
        <x:v>CS-CLOUD</x:v>
      </x:c>
      <x:c r="G1116" t="str">
        <x:v>Financial Services</x:v>
      </x:c>
      <x:c r="H1116" t="str">
        <x:v>Mid-Market</x:v>
      </x:c>
      <x:c r="I1116" t="str">
        <x:v>Closed Lost</x:v>
      </x:c>
      <x:c r="J1116" s="10" t="n">
        <x:v>46043</x:v>
      </x:c>
      <x:c r="K1116" s="10" t="n">
        <x:v>46043</x:v>
      </x:c>
      <x:c r="L1116" s="22" t="n">
        <x:v>33100</x:v>
      </x:c>
      <x:c r="M1116" s="24" t="n">
        <x:v>0</x:v>
      </x:c>
      <x:c r="N1116" s="24" t="n">
        <x:v>0</x:v>
      </x:c>
      <x:c r="O1116" t="str">
        <x:v>No Decision</x:v>
      </x:c>
      <x:c r="P1116" t="n">
        <x:v>5</x:v>
      </x:c>
      <x:c r="Q1116" t="str">
        <x:f>IFERROR(XLOOKUP(E1116,Lookups!$A$5:$A$24,Lookups!$B$5:$B$24),"Other")</x:f>
        <x:v>Paid Search</x:v>
      </x:c>
      <x:c r="R1116" t="str">
        <x:f>IFERROR(XLOOKUP(F1116,Lookups!$D$5:$D$10,Lookups!$E$5:$E$10),"Unknown Product")</x:f>
        <x:v>Service Cloud</x:v>
      </x:c>
      <x:c r="S1116" t="str">
        <x:f>IFERROR(XLOOKUP(F1116,Lookups!$D$5:$D$10,Lookups!$F$5:$F$10),"Unknown")</x:f>
        <x:v>Customer Service</x:v>
      </x:c>
      <x:c r="T1116" t="str">
        <x:f>IF(L1116&gt;=50000,"Enterprise",IF(L1116&gt;=20000,"Mid-Market","SMB"))</x:f>
        <x:v>Mid-Market</x:v>
      </x:c>
      <x:c r="U1116" t="str">
        <x:f>IF(I1116="Closed Won","Won",IF(I1116="Closed Lost","Lost","Open"))</x:f>
        <x:v>Lost</x:v>
      </x:c>
      <x:c r="V1116" s="22" t="n">
        <x:f>IF(U1116="Won",L1116*(1-M1116),0)</x:f>
        <x:v>0</x:v>
      </x:c>
      <x:c r="W1116" s="22" t="n">
        <x:f>IF(U1116="Open",L1116*N1116,0)</x:f>
        <x:v>0</x:v>
      </x:c>
      <x:c r="X1116" s="26" t="n">
        <x:f>IF(U1116="Open","",IFERROR(K1116-B1116,""))</x:f>
        <x:v>31</x:v>
      </x:c>
      <x:c r="Y1116" s="26" t="n">
        <x:f>IF(U1116="Open",Lookups!$B$2-B1116,X1116)</x:f>
        <x:v>31</x:v>
      </x:c>
      <x:c r="Z1116" t="str">
        <x:f>IF(AND(U1116="Open",Y1116&gt;30),"STALE","OK")</x:f>
        <x:v>OK</x:v>
      </x:c>
      <x:c r="AA1116" t="str">
        <x:f>TEXT(B1116,"yyyy-mm")</x:f>
        <x:v>2025-12</x:v>
      </x:c>
      <x:c r="AB1116" t="str">
        <x:f>IF(K1116="","",TEXT(K1116,"yyyy-mm"))</x:f>
        <x:v>2026-01</x:v>
      </x:c>
      <x:c r="AC1116" t="str">
        <x:f>"Q"&amp;ROUNDUP(MONTH(B1116)/3,0)&amp;"-"&amp;YEAR(B1116)</x:f>
        <x:v>Q4-2025</x:v>
      </x:c>
      <x:c r="AD1116" s="26" t="n">
        <x:f>MIN(100,IF(H1116="Enterprise",30,IF(H1116="Mid-Market",22,14))+IF(T1116="Enterprise",25,IF(T1116="Mid-Market",18,10))+IF(Q1116="Referral",25,IF(Q1116="Organic Search",20,IF(Q1116="Email",18,14)))+IF(G1116="Technology",10,5))</x:f>
        <x:v>59</x:v>
      </x:c>
      <x:c r="AE1116" t="str">
        <x:f>IF(U1116&lt;&gt;"Open",U1116,IF(N1116&gt;=0.8,"Commit",IF(N1116&gt;=0.5,"Best Case","Pipeline")))</x:f>
        <x:v>Lost</x:v>
      </x:c>
    </x:row>
    <x:row r="1117">
      <x:c r="A1117" t="str">
        <x:v>L01116</x:v>
      </x:c>
      <x:c r="B1117" s="10" t="n">
        <x:v>45917</x:v>
      </x:c>
      <x:c r="C1117" t="str">
        <x:v>Ha Vo</x:v>
      </x:c>
      <x:c r="D1117" t="str">
        <x:v>North</x:v>
      </x:c>
      <x:c r="E1117" t="str">
        <x:v>LI Ads</x:v>
      </x:c>
      <x:c r="F1117" t="str">
        <x:v>CRM-PRO</x:v>
      </x:c>
      <x:c r="G1117" t="str">
        <x:v>Technology</x:v>
      </x:c>
      <x:c r="H1117" t="str">
        <x:v>Mid-Market</x:v>
      </x:c>
      <x:c r="I1117" t="str">
        <x:v>Closed Won</x:v>
      </x:c>
      <x:c r="J1117" s="10" t="n">
        <x:v>45987</x:v>
      </x:c>
      <x:c r="K1117" s="10" t="n">
        <x:v>45987</x:v>
      </x:c>
      <x:c r="L1117" s="22" t="n">
        <x:v>34300</x:v>
      </x:c>
      <x:c r="M1117" s="24" t="n">
        <x:v>0.05</x:v>
      </x:c>
      <x:c r="N1117" s="24" t="n">
        <x:v>1</x:v>
      </x:c>
      <x:c r="O1117" t="str"/>
      <x:c r="P1117" t="n">
        <x:v>6</x:v>
      </x:c>
      <x:c r="Q1117" t="str">
        <x:f>IFERROR(XLOOKUP(E1117,Lookups!$A$5:$A$24,Lookups!$B$5:$B$24),"Other")</x:f>
        <x:v>LinkedIn</x:v>
      </x:c>
      <x:c r="R1117" t="str">
        <x:f>IFERROR(XLOOKUP(F1117,Lookups!$D$5:$D$10,Lookups!$E$5:$E$10),"Unknown Product")</x:f>
        <x:v>NexaCRM Pro</x:v>
      </x:c>
      <x:c r="S1117" t="str">
        <x:f>IFERROR(XLOOKUP(F1117,Lookups!$D$5:$D$10,Lookups!$F$5:$F$10),"Unknown")</x:f>
        <x:v>CRM</x:v>
      </x:c>
      <x:c r="T1117" t="str">
        <x:f>IF(L1117&gt;=50000,"Enterprise",IF(L1117&gt;=20000,"Mid-Market","SMB"))</x:f>
        <x:v>Mid-Market</x:v>
      </x:c>
      <x:c r="U1117" t="str">
        <x:f>IF(I1117="Closed Won","Won",IF(I1117="Closed Lost","Lost","Open"))</x:f>
        <x:v>Won</x:v>
      </x:c>
      <x:c r="V1117" s="22" t="n">
        <x:f>IF(U1117="Won",L1117*(1-M1117),0)</x:f>
        <x:v>32585</x:v>
      </x:c>
      <x:c r="W1117" s="22" t="n">
        <x:f>IF(U1117="Open",L1117*N1117,0)</x:f>
        <x:v>0</x:v>
      </x:c>
      <x:c r="X1117" s="26" t="n">
        <x:f>IF(U1117="Open","",IFERROR(K1117-B1117,""))</x:f>
        <x:v>70</x:v>
      </x:c>
      <x:c r="Y1117" s="26" t="n">
        <x:f>IF(U1117="Open",Lookups!$B$2-B1117,X1117)</x:f>
        <x:v>70</x:v>
      </x:c>
      <x:c r="Z1117" t="str">
        <x:f>IF(AND(U1117="Open",Y1117&gt;30),"STALE","OK")</x:f>
        <x:v>OK</x:v>
      </x:c>
      <x:c r="AA1117" t="str">
        <x:f>TEXT(B1117,"yyyy-mm")</x:f>
        <x:v>2025-09</x:v>
      </x:c>
      <x:c r="AB1117" t="str">
        <x:f>IF(K1117="","",TEXT(K1117,"yyyy-mm"))</x:f>
        <x:v>2025-11</x:v>
      </x:c>
      <x:c r="AC1117" t="str">
        <x:f>"Q"&amp;ROUNDUP(MONTH(B1117)/3,0)&amp;"-"&amp;YEAR(B1117)</x:f>
        <x:v>Q3-2025</x:v>
      </x:c>
      <x:c r="AD1117" s="26" t="n">
        <x:f>MIN(100,IF(H1117="Enterprise",30,IF(H1117="Mid-Market",22,14))+IF(T1117="Enterprise",25,IF(T1117="Mid-Market",18,10))+IF(Q1117="Referral",25,IF(Q1117="Organic Search",20,IF(Q1117="Email",18,14)))+IF(G1117="Technology",10,5))</x:f>
        <x:v>64</x:v>
      </x:c>
      <x:c r="AE1117" t="str">
        <x:f>IF(U1117&lt;&gt;"Open",U1117,IF(N1117&gt;=0.8,"Commit",IF(N1117&gt;=0.5,"Best Case","Pipeline")))</x:f>
        <x:v>Won</x:v>
      </x:c>
    </x:row>
    <x:row r="1118">
      <x:c r="A1118" t="str">
        <x:v>L01117</x:v>
      </x:c>
      <x:c r="B1118" s="10" t="n">
        <x:v>45894</x:v>
      </x:c>
      <x:c r="C1118" t="str">
        <x:v>Quynh Vu</x:v>
      </x:c>
      <x:c r="D1118" t="str">
        <x:v>North</x:v>
      </x:c>
      <x:c r="E1118" t="str">
        <x:v>SEO</x:v>
      </x:c>
      <x:c r="F1118" t="str">
        <x:v>MKT-AUTO</x:v>
      </x:c>
      <x:c r="G1118" t="str">
        <x:v>Healthcare</x:v>
      </x:c>
      <x:c r="H1118" t="str">
        <x:v>Enterprise</x:v>
      </x:c>
      <x:c r="I1118" t="str">
        <x:v>Closed Won</x:v>
      </x:c>
      <x:c r="J1118" s="10" t="n">
        <x:v>45960</x:v>
      </x:c>
      <x:c r="K1118" s="10" t="n">
        <x:v>45960</x:v>
      </x:c>
      <x:c r="L1118" s="22" t="n">
        <x:v>64400</x:v>
      </x:c>
      <x:c r="M1118" s="24" t="n">
        <x:v>0.03</x:v>
      </x:c>
      <x:c r="N1118" s="24" t="n">
        <x:v>1</x:v>
      </x:c>
      <x:c r="O1118" t="str"/>
      <x:c r="P1118" t="n">
        <x:v>6</x:v>
      </x:c>
      <x:c r="Q1118" t="str">
        <x:f>IFERROR(XLOOKUP(E1118,Lookups!$A$5:$A$24,Lookups!$B$5:$B$24),"Other")</x:f>
        <x:v>Organic Search</x:v>
      </x:c>
      <x:c r="R1118" t="str">
        <x:f>IFERROR(XLOOKUP(F1118,Lookups!$D$5:$D$10,Lookups!$E$5:$E$10),"Unknown Product")</x:f>
        <x:v>Marketing Automation</x:v>
      </x:c>
      <x:c r="S1118" t="str">
        <x:f>IFERROR(XLOOKUP(F1118,Lookups!$D$5:$D$10,Lookups!$F$5:$F$10),"Unknown")</x:f>
        <x:v>Marketing</x:v>
      </x:c>
      <x:c r="T1118" t="str">
        <x:f>IF(L1118&gt;=50000,"Enterprise",IF(L1118&gt;=20000,"Mid-Market","SMB"))</x:f>
        <x:v>Enterprise</x:v>
      </x:c>
      <x:c r="U1118" t="str">
        <x:f>IF(I1118="Closed Won","Won",IF(I1118="Closed Lost","Lost","Open"))</x:f>
        <x:v>Won</x:v>
      </x:c>
      <x:c r="V1118" s="22" t="n">
        <x:f>IF(U1118="Won",L1118*(1-M1118),0)</x:f>
        <x:v>62468</x:v>
      </x:c>
      <x:c r="W1118" s="22" t="n">
        <x:f>IF(U1118="Open",L1118*N1118,0)</x:f>
        <x:v>0</x:v>
      </x:c>
      <x:c r="X1118" s="26" t="n">
        <x:f>IF(U1118="Open","",IFERROR(K1118-B1118,""))</x:f>
        <x:v>66</x:v>
      </x:c>
      <x:c r="Y1118" s="26" t="n">
        <x:f>IF(U1118="Open",Lookups!$B$2-B1118,X1118)</x:f>
        <x:v>66</x:v>
      </x:c>
      <x:c r="Z1118" t="str">
        <x:f>IF(AND(U1118="Open",Y1118&gt;30),"STALE","OK")</x:f>
        <x:v>OK</x:v>
      </x:c>
      <x:c r="AA1118" t="str">
        <x:f>TEXT(B1118,"yyyy-mm")</x:f>
        <x:v>2025-08</x:v>
      </x:c>
      <x:c r="AB1118" t="str">
        <x:f>IF(K1118="","",TEXT(K1118,"yyyy-mm"))</x:f>
        <x:v>2025-10</x:v>
      </x:c>
      <x:c r="AC1118" t="str">
        <x:f>"Q"&amp;ROUNDUP(MONTH(B1118)/3,0)&amp;"-"&amp;YEAR(B1118)</x:f>
        <x:v>Q3-2025</x:v>
      </x:c>
      <x:c r="AD1118" s="26" t="n">
        <x:f>MIN(100,IF(H1118="Enterprise",30,IF(H1118="Mid-Market",22,14))+IF(T1118="Enterprise",25,IF(T1118="Mid-Market",18,10))+IF(Q1118="Referral",25,IF(Q1118="Organic Search",20,IF(Q1118="Email",18,14)))+IF(G1118="Technology",10,5))</x:f>
        <x:v>80</x:v>
      </x:c>
      <x:c r="AE1118" t="str">
        <x:f>IF(U1118&lt;&gt;"Open",U1118,IF(N1118&gt;=0.8,"Commit",IF(N1118&gt;=0.5,"Best Case","Pipeline")))</x:f>
        <x:v>Won</x:v>
      </x:c>
    </x:row>
    <x:row r="1119">
      <x:c r="A1119" t="str">
        <x:v>L01118</x:v>
      </x:c>
      <x:c r="B1119" s="10" t="n">
        <x:v>45784</x:v>
      </x:c>
      <x:c r="C1119" t="str">
        <x:v>Ha Vo</x:v>
      </x:c>
      <x:c r="D1119" t="str">
        <x:v>North</x:v>
      </x:c>
      <x:c r="E1119" t="str">
        <x:v>SEO</x:v>
      </x:c>
      <x:c r="F1119" t="str">
        <x:v>CS-CLOUD</x:v>
      </x:c>
      <x:c r="G1119" t="str">
        <x:v>Education</x:v>
      </x:c>
      <x:c r="H1119" t="str">
        <x:v>Mid-Market</x:v>
      </x:c>
      <x:c r="I1119" t="str">
        <x:v>Closed Won</x:v>
      </x:c>
      <x:c r="J1119" s="10" t="n">
        <x:v>45813</x:v>
      </x:c>
      <x:c r="K1119" s="10" t="n">
        <x:v>45813</x:v>
      </x:c>
      <x:c r="L1119" s="22" t="n">
        <x:v>37400</x:v>
      </x:c>
      <x:c r="M1119" s="24" t="n">
        <x:v>0.08</x:v>
      </x:c>
      <x:c r="N1119" s="24" t="n">
        <x:v>1</x:v>
      </x:c>
      <x:c r="O1119" t="str"/>
      <x:c r="P1119" t="n">
        <x:v>6</x:v>
      </x:c>
      <x:c r="Q1119" t="str">
        <x:f>IFERROR(XLOOKUP(E1119,Lookups!$A$5:$A$24,Lookups!$B$5:$B$24),"Other")</x:f>
        <x:v>Organic Search</x:v>
      </x:c>
      <x:c r="R1119" t="str">
        <x:f>IFERROR(XLOOKUP(F1119,Lookups!$D$5:$D$10,Lookups!$E$5:$E$10),"Unknown Product")</x:f>
        <x:v>Service Cloud</x:v>
      </x:c>
      <x:c r="S1119" t="str">
        <x:f>IFERROR(XLOOKUP(F1119,Lookups!$D$5:$D$10,Lookups!$F$5:$F$10),"Unknown")</x:f>
        <x:v>Customer Service</x:v>
      </x:c>
      <x:c r="T1119" t="str">
        <x:f>IF(L1119&gt;=50000,"Enterprise",IF(L1119&gt;=20000,"Mid-Market","SMB"))</x:f>
        <x:v>Mid-Market</x:v>
      </x:c>
      <x:c r="U1119" t="str">
        <x:f>IF(I1119="Closed Won","Won",IF(I1119="Closed Lost","Lost","Open"))</x:f>
        <x:v>Won</x:v>
      </x:c>
      <x:c r="V1119" s="22" t="n">
        <x:f>IF(U1119="Won",L1119*(1-M1119),0)</x:f>
        <x:v>34408</x:v>
      </x:c>
      <x:c r="W1119" s="22" t="n">
        <x:f>IF(U1119="Open",L1119*N1119,0)</x:f>
        <x:v>0</x:v>
      </x:c>
      <x:c r="X1119" s="26" t="n">
        <x:f>IF(U1119="Open","",IFERROR(K1119-B1119,""))</x:f>
        <x:v>29</x:v>
      </x:c>
      <x:c r="Y1119" s="26" t="n">
        <x:f>IF(U1119="Open",Lookups!$B$2-B1119,X1119)</x:f>
        <x:v>29</x:v>
      </x:c>
      <x:c r="Z1119" t="str">
        <x:f>IF(AND(U1119="Open",Y1119&gt;30),"STALE","OK")</x:f>
        <x:v>OK</x:v>
      </x:c>
      <x:c r="AA1119" t="str">
        <x:f>TEXT(B1119,"yyyy-mm")</x:f>
        <x:v>2025-05</x:v>
      </x:c>
      <x:c r="AB1119" t="str">
        <x:f>IF(K1119="","",TEXT(K1119,"yyyy-mm"))</x:f>
        <x:v>2025-06</x:v>
      </x:c>
      <x:c r="AC1119" t="str">
        <x:f>"Q"&amp;ROUNDUP(MONTH(B1119)/3,0)&amp;"-"&amp;YEAR(B1119)</x:f>
        <x:v>Q2-2025</x:v>
      </x:c>
      <x:c r="AD1119" s="26" t="n">
        <x:f>MIN(100,IF(H1119="Enterprise",30,IF(H1119="Mid-Market",22,14))+IF(T1119="Enterprise",25,IF(T1119="Mid-Market",18,10))+IF(Q1119="Referral",25,IF(Q1119="Organic Search",20,IF(Q1119="Email",18,14)))+IF(G1119="Technology",10,5))</x:f>
        <x:v>65</x:v>
      </x:c>
      <x:c r="AE1119" t="str">
        <x:f>IF(U1119&lt;&gt;"Open",U1119,IF(N1119&gt;=0.8,"Commit",IF(N1119&gt;=0.5,"Best Case","Pipeline")))</x:f>
        <x:v>Won</x:v>
      </x:c>
    </x:row>
    <x:row r="1120">
      <x:c r="A1120" t="str">
        <x:v>L01119</x:v>
      </x:c>
      <x:c r="B1120" s="10" t="n">
        <x:v>45909</x:v>
      </x:c>
      <x:c r="C1120" t="str">
        <x:v>Ha Vo</x:v>
      </x:c>
      <x:c r="D1120" t="str">
        <x:v>North</x:v>
      </x:c>
      <x:c r="E1120" t="str">
        <x:v>Referral</x:v>
      </x:c>
      <x:c r="F1120" t="str">
        <x:v>REV-OPS</x:v>
      </x:c>
      <x:c r="G1120" t="str">
        <x:v>Retail</x:v>
      </x:c>
      <x:c r="H1120" t="str">
        <x:v>Mid-Market</x:v>
      </x:c>
      <x:c r="I1120" t="str">
        <x:v>Closed Lost</x:v>
      </x:c>
      <x:c r="J1120" s="10" t="n">
        <x:v>45934</x:v>
      </x:c>
      <x:c r="K1120" s="10" t="n">
        <x:v>45934</x:v>
      </x:c>
      <x:c r="L1120" s="22" t="n">
        <x:v>84000</x:v>
      </x:c>
      <x:c r="M1120" s="24" t="n">
        <x:v>0</x:v>
      </x:c>
      <x:c r="N1120" s="24" t="n">
        <x:v>0</x:v>
      </x:c>
      <x:c r="O1120" t="str">
        <x:v>Price</x:v>
      </x:c>
      <x:c r="P1120" t="n">
        <x:v>2</x:v>
      </x:c>
      <x:c r="Q1120" t="str">
        <x:f>IFERROR(XLOOKUP(E1120,Lookups!$A$5:$A$24,Lookups!$B$5:$B$24),"Other")</x:f>
        <x:v>Referral</x:v>
      </x:c>
      <x:c r="R1120" t="str">
        <x:f>IFERROR(XLOOKUP(F1120,Lookups!$D$5:$D$10,Lookups!$E$5:$E$10),"Unknown Product")</x:f>
        <x:v>Revenue Operations Suite</x:v>
      </x:c>
      <x:c r="S1120" t="str">
        <x:f>IFERROR(XLOOKUP(F1120,Lookups!$D$5:$D$10,Lookups!$F$5:$F$10),"Unknown")</x:f>
        <x:v>Revenue Ops</x:v>
      </x:c>
      <x:c r="T1120" t="str">
        <x:f>IF(L1120&gt;=50000,"Enterprise",IF(L1120&gt;=20000,"Mid-Market","SMB"))</x:f>
        <x:v>Enterprise</x:v>
      </x:c>
      <x:c r="U1120" t="str">
        <x:f>IF(I1120="Closed Won","Won",IF(I1120="Closed Lost","Lost","Open"))</x:f>
        <x:v>Lost</x:v>
      </x:c>
      <x:c r="V1120" s="22" t="n">
        <x:f>IF(U1120="Won",L1120*(1-M1120),0)</x:f>
        <x:v>0</x:v>
      </x:c>
      <x:c r="W1120" s="22" t="n">
        <x:f>IF(U1120="Open",L1120*N1120,0)</x:f>
        <x:v>0</x:v>
      </x:c>
      <x:c r="X1120" s="26" t="n">
        <x:f>IF(U1120="Open","",IFERROR(K1120-B1120,""))</x:f>
        <x:v>25</x:v>
      </x:c>
      <x:c r="Y1120" s="26" t="n">
        <x:f>IF(U1120="Open",Lookups!$B$2-B1120,X1120)</x:f>
        <x:v>25</x:v>
      </x:c>
      <x:c r="Z1120" t="str">
        <x:f>IF(AND(U1120="Open",Y1120&gt;30),"STALE","OK")</x:f>
        <x:v>OK</x:v>
      </x:c>
      <x:c r="AA1120" t="str">
        <x:f>TEXT(B1120,"yyyy-mm")</x:f>
        <x:v>2025-09</x:v>
      </x:c>
      <x:c r="AB1120" t="str">
        <x:f>IF(K1120="","",TEXT(K1120,"yyyy-mm"))</x:f>
        <x:v>2025-10</x:v>
      </x:c>
      <x:c r="AC1120" t="str">
        <x:f>"Q"&amp;ROUNDUP(MONTH(B1120)/3,0)&amp;"-"&amp;YEAR(B1120)</x:f>
        <x:v>Q3-2025</x:v>
      </x:c>
      <x:c r="AD1120" s="26" t="n">
        <x:f>MIN(100,IF(H1120="Enterprise",30,IF(H1120="Mid-Market",22,14))+IF(T1120="Enterprise",25,IF(T1120="Mid-Market",18,10))+IF(Q1120="Referral",25,IF(Q1120="Organic Search",20,IF(Q1120="Email",18,14)))+IF(G1120="Technology",10,5))</x:f>
        <x:v>77</x:v>
      </x:c>
      <x:c r="AE1120" t="str">
        <x:f>IF(U1120&lt;&gt;"Open",U1120,IF(N1120&gt;=0.8,"Commit",IF(N1120&gt;=0.5,"Best Case","Pipeline")))</x:f>
        <x:v>Lost</x:v>
      </x:c>
    </x:row>
    <x:row r="1121">
      <x:c r="A1121" t="str">
        <x:v>L01120</x:v>
      </x:c>
      <x:c r="B1121" s="10" t="n">
        <x:v>46078</x:v>
      </x:c>
      <x:c r="C1121" t="str">
        <x:v>Ha Vo</x:v>
      </x:c>
      <x:c r="D1121" t="str">
        <x:v>North</x:v>
      </x:c>
      <x:c r="E1121" t="str">
        <x:v>customer referral</x:v>
      </x:c>
      <x:c r="F1121" t="str">
        <x:v>CS-CLOUD</x:v>
      </x:c>
      <x:c r="G1121" t="str">
        <x:v>Education</x:v>
      </x:c>
      <x:c r="H1121" t="str">
        <x:v>Enterprise</x:v>
      </x:c>
      <x:c r="I1121" t="str">
        <x:v>Negotiation</x:v>
      </x:c>
      <x:c r="J1121" s="10" t="n">
        <x:v>46229</x:v>
      </x:c>
      <x:c r="K1121" s="10"/>
      <x:c r="L1121" s="22" t="n">
        <x:v>59600</x:v>
      </x:c>
      <x:c r="M1121" s="24" t="n">
        <x:v>0.05</x:v>
      </x:c>
      <x:c r="N1121" s="24" t="n">
        <x:v>0.85</x:v>
      </x:c>
      <x:c r="O1121" t="str"/>
      <x:c r="P1121" t="n">
        <x:v>5</x:v>
      </x:c>
      <x:c r="Q1121" t="str">
        <x:f>IFERROR(XLOOKUP(E1121,Lookups!$A$5:$A$24,Lookups!$B$5:$B$24),"Other")</x:f>
        <x:v>Referral</x:v>
      </x:c>
      <x:c r="R1121" t="str">
        <x:f>IFERROR(XLOOKUP(F1121,Lookups!$D$5:$D$10,Lookups!$E$5:$E$10),"Unknown Product")</x:f>
        <x:v>Service Cloud</x:v>
      </x:c>
      <x:c r="S1121" t="str">
        <x:f>IFERROR(XLOOKUP(F1121,Lookups!$D$5:$D$10,Lookups!$F$5:$F$10),"Unknown")</x:f>
        <x:v>Customer Service</x:v>
      </x:c>
      <x:c r="T1121" t="str">
        <x:f>IF(L1121&gt;=50000,"Enterprise",IF(L1121&gt;=20000,"Mid-Market","SMB"))</x:f>
        <x:v>Enterprise</x:v>
      </x:c>
      <x:c r="U1121" t="str">
        <x:f>IF(I1121="Closed Won","Won",IF(I1121="Closed Lost","Lost","Open"))</x:f>
        <x:v>Open</x:v>
      </x:c>
      <x:c r="V1121" s="22" t="n">
        <x:f>IF(U1121="Won",L1121*(1-M1121),0)</x:f>
        <x:v>0</x:v>
      </x:c>
      <x:c r="W1121" s="22" t="n">
        <x:f>IF(U1121="Open",L1121*N1121,0)</x:f>
        <x:v>50660</x:v>
      </x:c>
      <x:c r="X1121" s="26" t="str">
        <x:f>IF(U1121="Open","",IFERROR(K1121-B1121,""))</x:f>
      </x:c>
      <x:c r="Y1121" s="26" t="n">
        <x:f>IF(U1121="Open",Lookups!$B$2-B1121,X1121)</x:f>
        <x:v>188</x:v>
      </x:c>
      <x:c r="Z1121" t="str">
        <x:f>IF(AND(U1121="Open",Y1121&gt;30),"STALE","OK")</x:f>
        <x:v>STALE</x:v>
      </x:c>
      <x:c r="AA1121" t="str">
        <x:f>TEXT(B1121,"yyyy-mm")</x:f>
        <x:v>2026-02</x:v>
      </x:c>
      <x:c r="AB1121" t="str">
        <x:f>IF(K1121="","",TEXT(K1121,"yyyy-mm"))</x:f>
      </x:c>
      <x:c r="AC1121" t="str">
        <x:f>"Q"&amp;ROUNDUP(MONTH(B1121)/3,0)&amp;"-"&amp;YEAR(B1121)</x:f>
        <x:v>Q1-2026</x:v>
      </x:c>
      <x:c r="AD1121" s="26" t="n">
        <x:f>MIN(100,IF(H1121="Enterprise",30,IF(H1121="Mid-Market",22,14))+IF(T1121="Enterprise",25,IF(T1121="Mid-Market",18,10))+IF(Q1121="Referral",25,IF(Q1121="Organic Search",20,IF(Q1121="Email",18,14)))+IF(G1121="Technology",10,5))</x:f>
        <x:v>85</x:v>
      </x:c>
      <x:c r="AE1121" t="str">
        <x:f>IF(U1121&lt;&gt;"Open",U1121,IF(N1121&gt;=0.8,"Commit",IF(N1121&gt;=0.5,"Best Case","Pipeline")))</x:f>
        <x:v>Commit</x:v>
      </x:c>
    </x:row>
    <x:row r="1122">
      <x:c r="A1122" t="str">
        <x:v>L01121</x:v>
      </x:c>
      <x:c r="B1122" s="10" t="n">
        <x:v>45704</x:v>
      </x:c>
      <x:c r="C1122" t="str">
        <x:v>Quynh Vu</x:v>
      </x:c>
      <x:c r="D1122" t="str">
        <x:v>North</x:v>
      </x:c>
      <x:c r="E1122" t="str">
        <x:v>virtual event</x:v>
      </x:c>
      <x:c r="F1122" t="str">
        <x:v>CS-CLOUD</x:v>
      </x:c>
      <x:c r="G1122" t="str">
        <x:v>Manufacturing</x:v>
      </x:c>
      <x:c r="H1122" t="str">
        <x:v>Enterprise</x:v>
      </x:c>
      <x:c r="I1122" t="str">
        <x:v>Closed Lost</x:v>
      </x:c>
      <x:c r="J1122" s="10" t="n">
        <x:v>45759</x:v>
      </x:c>
      <x:c r="K1122" s="10" t="n">
        <x:v>45759</x:v>
      </x:c>
      <x:c r="L1122" s="22" t="n">
        <x:v>67200</x:v>
      </x:c>
      <x:c r="M1122" s="24" t="n">
        <x:v>0</x:v>
      </x:c>
      <x:c r="N1122" s="24" t="n">
        <x:v>0</x:v>
      </x:c>
      <x:c r="O1122" t="str">
        <x:v>No Decision</x:v>
      </x:c>
      <x:c r="P1122" t="n">
        <x:v>5</x:v>
      </x:c>
      <x:c r="Q1122" t="str">
        <x:f>IFERROR(XLOOKUP(E1122,Lookups!$A$5:$A$24,Lookups!$B$5:$B$24),"Other")</x:f>
        <x:v>Webinar</x:v>
      </x:c>
      <x:c r="R1122" t="str">
        <x:f>IFERROR(XLOOKUP(F1122,Lookups!$D$5:$D$10,Lookups!$E$5:$E$10),"Unknown Product")</x:f>
        <x:v>Service Cloud</x:v>
      </x:c>
      <x:c r="S1122" t="str">
        <x:f>IFERROR(XLOOKUP(F1122,Lookups!$D$5:$D$10,Lookups!$F$5:$F$10),"Unknown")</x:f>
        <x:v>Customer Service</x:v>
      </x:c>
      <x:c r="T1122" t="str">
        <x:f>IF(L1122&gt;=50000,"Enterprise",IF(L1122&gt;=20000,"Mid-Market","SMB"))</x:f>
        <x:v>Enterprise</x:v>
      </x:c>
      <x:c r="U1122" t="str">
        <x:f>IF(I1122="Closed Won","Won",IF(I1122="Closed Lost","Lost","Open"))</x:f>
        <x:v>Lost</x:v>
      </x:c>
      <x:c r="V1122" s="22" t="n">
        <x:f>IF(U1122="Won",L1122*(1-M1122),0)</x:f>
        <x:v>0</x:v>
      </x:c>
      <x:c r="W1122" s="22" t="n">
        <x:f>IF(U1122="Open",L1122*N1122,0)</x:f>
        <x:v>0</x:v>
      </x:c>
      <x:c r="X1122" s="26" t="n">
        <x:f>IF(U1122="Open","",IFERROR(K1122-B1122,""))</x:f>
        <x:v>55</x:v>
      </x:c>
      <x:c r="Y1122" s="26" t="n">
        <x:f>IF(U1122="Open",Lookups!$B$2-B1122,X1122)</x:f>
        <x:v>55</x:v>
      </x:c>
      <x:c r="Z1122" t="str">
        <x:f>IF(AND(U1122="Open",Y1122&gt;30),"STALE","OK")</x:f>
        <x:v>OK</x:v>
      </x:c>
      <x:c r="AA1122" t="str">
        <x:f>TEXT(B1122,"yyyy-mm")</x:f>
        <x:v>2025-02</x:v>
      </x:c>
      <x:c r="AB1122" t="str">
        <x:f>IF(K1122="","",TEXT(K1122,"yyyy-mm"))</x:f>
        <x:v>2025-04</x:v>
      </x:c>
      <x:c r="AC1122" t="str">
        <x:f>"Q"&amp;ROUNDUP(MONTH(B1122)/3,0)&amp;"-"&amp;YEAR(B1122)</x:f>
        <x:v>Q1-2025</x:v>
      </x:c>
      <x:c r="AD1122" s="26" t="n">
        <x:f>MIN(100,IF(H1122="Enterprise",30,IF(H1122="Mid-Market",22,14))+IF(T1122="Enterprise",25,IF(T1122="Mid-Market",18,10))+IF(Q1122="Referral",25,IF(Q1122="Organic Search",20,IF(Q1122="Email",18,14)))+IF(G1122="Technology",10,5))</x:f>
        <x:v>74</x:v>
      </x:c>
      <x:c r="AE1122" t="str">
        <x:f>IF(U1122&lt;&gt;"Open",U1122,IF(N1122&gt;=0.8,"Commit",IF(N1122&gt;=0.5,"Best Case","Pipeline")))</x:f>
        <x:v>Lost</x:v>
      </x:c>
    </x:row>
    <x:row r="1123">
      <x:c r="A1123" t="str">
        <x:v>L01122</x:v>
      </x:c>
      <x:c r="B1123" s="10" t="n">
        <x:v>45913</x:v>
      </x:c>
      <x:c r="C1123" t="str">
        <x:v>Minh Do</x:v>
      </x:c>
      <x:c r="D1123" t="str">
        <x:v>North</x:v>
      </x:c>
      <x:c r="E1123" t="str">
        <x:v>organic search</x:v>
      </x:c>
      <x:c r="F1123" t="str">
        <x:v>CS-CLOUD</x:v>
      </x:c>
      <x:c r="G1123" t="str">
        <x:v>Professional Services</x:v>
      </x:c>
      <x:c r="H1123" t="str">
        <x:v>Mid-Market</x:v>
      </x:c>
      <x:c r="I1123" t="str">
        <x:v>Closed Lost</x:v>
      </x:c>
      <x:c r="J1123" s="10" t="n">
        <x:v>45970</x:v>
      </x:c>
      <x:c r="K1123" s="10" t="n">
        <x:v>45970</x:v>
      </x:c>
      <x:c r="L1123" s="22" t="n">
        <x:v>32800</x:v>
      </x:c>
      <x:c r="M1123" s="24" t="n">
        <x:v>0</x:v>
      </x:c>
      <x:c r="N1123" s="24" t="n">
        <x:v>0</x:v>
      </x:c>
      <x:c r="O1123" t="str">
        <x:v>Price</x:v>
      </x:c>
      <x:c r="P1123" t="n">
        <x:v>4</x:v>
      </x:c>
      <x:c r="Q1123" t="str">
        <x:f>IFERROR(XLOOKUP(E1123,Lookups!$A$5:$A$24,Lookups!$B$5:$B$24),"Other")</x:f>
        <x:v>Organic Search</x:v>
      </x:c>
      <x:c r="R1123" t="str">
        <x:f>IFERROR(XLOOKUP(F1123,Lookups!$D$5:$D$10,Lookups!$E$5:$E$10),"Unknown Product")</x:f>
        <x:v>Service Cloud</x:v>
      </x:c>
      <x:c r="S1123" t="str">
        <x:f>IFERROR(XLOOKUP(F1123,Lookups!$D$5:$D$10,Lookups!$F$5:$F$10),"Unknown")</x:f>
        <x:v>Customer Service</x:v>
      </x:c>
      <x:c r="T1123" t="str">
        <x:f>IF(L1123&gt;=50000,"Enterprise",IF(L1123&gt;=20000,"Mid-Market","SMB"))</x:f>
        <x:v>Mid-Market</x:v>
      </x:c>
      <x:c r="U1123" t="str">
        <x:f>IF(I1123="Closed Won","Won",IF(I1123="Closed Lost","Lost","Open"))</x:f>
        <x:v>Lost</x:v>
      </x:c>
      <x:c r="V1123" s="22" t="n">
        <x:f>IF(U1123="Won",L1123*(1-M1123),0)</x:f>
        <x:v>0</x:v>
      </x:c>
      <x:c r="W1123" s="22" t="n">
        <x:f>IF(U1123="Open",L1123*N1123,0)</x:f>
        <x:v>0</x:v>
      </x:c>
      <x:c r="X1123" s="26" t="n">
        <x:f>IF(U1123="Open","",IFERROR(K1123-B1123,""))</x:f>
        <x:v>57</x:v>
      </x:c>
      <x:c r="Y1123" s="26" t="n">
        <x:f>IF(U1123="Open",Lookups!$B$2-B1123,X1123)</x:f>
        <x:v>57</x:v>
      </x:c>
      <x:c r="Z1123" t="str">
        <x:f>IF(AND(U1123="Open",Y1123&gt;30),"STALE","OK")</x:f>
        <x:v>OK</x:v>
      </x:c>
      <x:c r="AA1123" t="str">
        <x:f>TEXT(B1123,"yyyy-mm")</x:f>
        <x:v>2025-09</x:v>
      </x:c>
      <x:c r="AB1123" t="str">
        <x:f>IF(K1123="","",TEXT(K1123,"yyyy-mm"))</x:f>
        <x:v>2025-11</x:v>
      </x:c>
      <x:c r="AC1123" t="str">
        <x:f>"Q"&amp;ROUNDUP(MONTH(B1123)/3,0)&amp;"-"&amp;YEAR(B1123)</x:f>
        <x:v>Q3-2025</x:v>
      </x:c>
      <x:c r="AD1123" s="26" t="n">
        <x:f>MIN(100,IF(H1123="Enterprise",30,IF(H1123="Mid-Market",22,14))+IF(T1123="Enterprise",25,IF(T1123="Mid-Market",18,10))+IF(Q1123="Referral",25,IF(Q1123="Organic Search",20,IF(Q1123="Email",18,14)))+IF(G1123="Technology",10,5))</x:f>
        <x:v>65</x:v>
      </x:c>
      <x:c r="AE1123" t="str">
        <x:f>IF(U1123&lt;&gt;"Open",U1123,IF(N1123&gt;=0.8,"Commit",IF(N1123&gt;=0.5,"Best Case","Pipeline")))</x:f>
        <x:v>Lost</x:v>
      </x:c>
    </x:row>
    <x:row r="1124">
      <x:c r="A1124" t="str">
        <x:v>L01123</x:v>
      </x:c>
      <x:c r="B1124" s="10" t="n">
        <x:v>45934</x:v>
      </x:c>
      <x:c r="C1124" t="str">
        <x:v>Duy Pham</x:v>
      </x:c>
      <x:c r="D1124" t="str">
        <x:v>South</x:v>
      </x:c>
      <x:c r="E1124" t="str">
        <x:v>virtual event</x:v>
      </x:c>
      <x:c r="F1124" t="str">
        <x:v>CS-CLOUD</x:v>
      </x:c>
      <x:c r="G1124" t="str">
        <x:v>Education</x:v>
      </x:c>
      <x:c r="H1124" t="str">
        <x:v>SMB</x:v>
      </x:c>
      <x:c r="I1124" t="str">
        <x:v>Closed Won</x:v>
      </x:c>
      <x:c r="J1124" s="10" t="n">
        <x:v>45994</x:v>
      </x:c>
      <x:c r="K1124" s="10" t="n">
        <x:v>45994</x:v>
      </x:c>
      <x:c r="L1124" s="22" t="n">
        <x:v>18500</x:v>
      </x:c>
      <x:c r="M1124" s="24" t="n">
        <x:v>0</x:v>
      </x:c>
      <x:c r="N1124" s="24" t="n">
        <x:v>1</x:v>
      </x:c>
      <x:c r="O1124" t="str"/>
      <x:c r="P1124" t="n">
        <x:v>6</x:v>
      </x:c>
      <x:c r="Q1124" t="str">
        <x:f>IFERROR(XLOOKUP(E1124,Lookups!$A$5:$A$24,Lookups!$B$5:$B$24),"Other")</x:f>
        <x:v>Webinar</x:v>
      </x:c>
      <x:c r="R1124" t="str">
        <x:f>IFERROR(XLOOKUP(F1124,Lookups!$D$5:$D$10,Lookups!$E$5:$E$10),"Unknown Product")</x:f>
        <x:v>Service Cloud</x:v>
      </x:c>
      <x:c r="S1124" t="str">
        <x:f>IFERROR(XLOOKUP(F1124,Lookups!$D$5:$D$10,Lookups!$F$5:$F$10),"Unknown")</x:f>
        <x:v>Customer Service</x:v>
      </x:c>
      <x:c r="T1124" t="str">
        <x:f>IF(L1124&gt;=50000,"Enterprise",IF(L1124&gt;=20000,"Mid-Market","SMB"))</x:f>
        <x:v>SMB</x:v>
      </x:c>
      <x:c r="U1124" t="str">
        <x:f>IF(I1124="Closed Won","Won",IF(I1124="Closed Lost","Lost","Open"))</x:f>
        <x:v>Won</x:v>
      </x:c>
      <x:c r="V1124" s="22" t="n">
        <x:f>IF(U1124="Won",L1124*(1-M1124),0)</x:f>
        <x:v>18500</x:v>
      </x:c>
      <x:c r="W1124" s="22" t="n">
        <x:f>IF(U1124="Open",L1124*N1124,0)</x:f>
        <x:v>0</x:v>
      </x:c>
      <x:c r="X1124" s="26" t="n">
        <x:f>IF(U1124="Open","",IFERROR(K1124-B1124,""))</x:f>
        <x:v>60</x:v>
      </x:c>
      <x:c r="Y1124" s="26" t="n">
        <x:f>IF(U1124="Open",Lookups!$B$2-B1124,X1124)</x:f>
        <x:v>60</x:v>
      </x:c>
      <x:c r="Z1124" t="str">
        <x:f>IF(AND(U1124="Open",Y1124&gt;30),"STALE","OK")</x:f>
        <x:v>OK</x:v>
      </x:c>
      <x:c r="AA1124" t="str">
        <x:f>TEXT(B1124,"yyyy-mm")</x:f>
        <x:v>2025-10</x:v>
      </x:c>
      <x:c r="AB1124" t="str">
        <x:f>IF(K1124="","",TEXT(K1124,"yyyy-mm"))</x:f>
        <x:v>2025-12</x:v>
      </x:c>
      <x:c r="AC1124" t="str">
        <x:f>"Q"&amp;ROUNDUP(MONTH(B1124)/3,0)&amp;"-"&amp;YEAR(B1124)</x:f>
        <x:v>Q4-2025</x:v>
      </x:c>
      <x:c r="AD1124" s="26" t="n">
        <x:f>MIN(100,IF(H1124="Enterprise",30,IF(H1124="Mid-Market",22,14))+IF(T1124="Enterprise",25,IF(T1124="Mid-Market",18,10))+IF(Q1124="Referral",25,IF(Q1124="Organic Search",20,IF(Q1124="Email",18,14)))+IF(G1124="Technology",10,5))</x:f>
        <x:v>43</x:v>
      </x:c>
      <x:c r="AE1124" t="str">
        <x:f>IF(U1124&lt;&gt;"Open",U1124,IF(N1124&gt;=0.8,"Commit",IF(N1124&gt;=0.5,"Best Case","Pipeline")))</x:f>
        <x:v>Won</x:v>
      </x:c>
    </x:row>
    <x:row r="1125">
      <x:c r="A1125" t="str">
        <x:v>L01124</x:v>
      </x:c>
      <x:c r="B1125" s="10" t="n">
        <x:v>46163</x:v>
      </x:c>
      <x:c r="C1125" t="str">
        <x:v>Quynh Vu</x:v>
      </x:c>
      <x:c r="D1125" t="str">
        <x:v>North</x:v>
      </x:c>
      <x:c r="E1125" t="str">
        <x:v>Google Organic</x:v>
      </x:c>
      <x:c r="F1125" t="str">
        <x:v>CS-CLOUD</x:v>
      </x:c>
      <x:c r="G1125" t="str">
        <x:v>Professional Services</x:v>
      </x:c>
      <x:c r="H1125" t="str">
        <x:v>Enterprise</x:v>
      </x:c>
      <x:c r="I1125" t="str">
        <x:v>Proposal</x:v>
      </x:c>
      <x:c r="J1125" s="10" t="n">
        <x:v>46224</x:v>
      </x:c>
      <x:c r="K1125" s="10"/>
      <x:c r="L1125" s="22" t="n">
        <x:v>42400</x:v>
      </x:c>
      <x:c r="M1125" s="24" t="n">
        <x:v>0.05</x:v>
      </x:c>
      <x:c r="N1125" s="24" t="n">
        <x:v>0.65</x:v>
      </x:c>
      <x:c r="O1125" t="str"/>
      <x:c r="P1125" t="n">
        <x:v>4</x:v>
      </x:c>
      <x:c r="Q1125" t="str">
        <x:f>IFERROR(XLOOKUP(E1125,Lookups!$A$5:$A$24,Lookups!$B$5:$B$24),"Other")</x:f>
        <x:v>Organic Search</x:v>
      </x:c>
      <x:c r="R1125" t="str">
        <x:f>IFERROR(XLOOKUP(F1125,Lookups!$D$5:$D$10,Lookups!$E$5:$E$10),"Unknown Product")</x:f>
        <x:v>Service Cloud</x:v>
      </x:c>
      <x:c r="S1125" t="str">
        <x:f>IFERROR(XLOOKUP(F1125,Lookups!$D$5:$D$10,Lookups!$F$5:$F$10),"Unknown")</x:f>
        <x:v>Customer Service</x:v>
      </x:c>
      <x:c r="T1125" t="str">
        <x:f>IF(L1125&gt;=50000,"Enterprise",IF(L1125&gt;=20000,"Mid-Market","SMB"))</x:f>
        <x:v>Mid-Market</x:v>
      </x:c>
      <x:c r="U1125" t="str">
        <x:f>IF(I1125="Closed Won","Won",IF(I1125="Closed Lost","Lost","Open"))</x:f>
        <x:v>Open</x:v>
      </x:c>
      <x:c r="V1125" s="22" t="n">
        <x:f>IF(U1125="Won",L1125*(1-M1125),0)</x:f>
        <x:v>0</x:v>
      </x:c>
      <x:c r="W1125" s="22" t="n">
        <x:f>IF(U1125="Open",L1125*N1125,0)</x:f>
        <x:v>27560</x:v>
      </x:c>
      <x:c r="X1125" s="26" t="str">
        <x:f>IF(U1125="Open","",IFERROR(K1125-B1125,""))</x:f>
      </x:c>
      <x:c r="Y1125" s="26" t="n">
        <x:f>IF(U1125="Open",Lookups!$B$2-B1125,X1125)</x:f>
        <x:v>103</x:v>
      </x:c>
      <x:c r="Z1125" t="str">
        <x:f>IF(AND(U1125="Open",Y1125&gt;30),"STALE","OK")</x:f>
        <x:v>STALE</x:v>
      </x:c>
      <x:c r="AA1125" t="str">
        <x:f>TEXT(B1125,"yyyy-mm")</x:f>
        <x:v>2026-05</x:v>
      </x:c>
      <x:c r="AB1125" t="str">
        <x:f>IF(K1125="","",TEXT(K1125,"yyyy-mm"))</x:f>
      </x:c>
      <x:c r="AC1125" t="str">
        <x:f>"Q"&amp;ROUNDUP(MONTH(B1125)/3,0)&amp;"-"&amp;YEAR(B1125)</x:f>
        <x:v>Q2-2026</x:v>
      </x:c>
      <x:c r="AD1125" s="26" t="n">
        <x:f>MIN(100,IF(H1125="Enterprise",30,IF(H1125="Mid-Market",22,14))+IF(T1125="Enterprise",25,IF(T1125="Mid-Market",18,10))+IF(Q1125="Referral",25,IF(Q1125="Organic Search",20,IF(Q1125="Email",18,14)))+IF(G1125="Technology",10,5))</x:f>
        <x:v>73</x:v>
      </x:c>
      <x:c r="AE1125" t="str">
        <x:f>IF(U1125&lt;&gt;"Open",U1125,IF(N1125&gt;=0.8,"Commit",IF(N1125&gt;=0.5,"Best Case","Pipeline")))</x:f>
        <x:v>Best Case</x:v>
      </x:c>
    </x:row>
    <x:row r="1126">
      <x:c r="A1126" t="str">
        <x:v>L01125</x:v>
      </x:c>
      <x:c r="B1126" s="10" t="n">
        <x:v>45970</x:v>
      </x:c>
      <x:c r="C1126" t="str">
        <x:v>Minh Do</x:v>
      </x:c>
      <x:c r="D1126" t="str">
        <x:v>North</x:v>
      </x:c>
      <x:c r="E1126" t="str">
        <x:v>linkedin</x:v>
      </x:c>
      <x:c r="F1126" t="str">
        <x:v>CRM-CORE</x:v>
      </x:c>
      <x:c r="G1126" t="str">
        <x:v>Education</x:v>
      </x:c>
      <x:c r="H1126" t="str">
        <x:v>Mid-Market</x:v>
      </x:c>
      <x:c r="I1126" t="str">
        <x:v>Closed Lost</x:v>
      </x:c>
      <x:c r="J1126" s="10" t="n">
        <x:v>45979</x:v>
      </x:c>
      <x:c r="K1126" s="10" t="n">
        <x:v>45979</x:v>
      </x:c>
      <x:c r="L1126" s="22" t="n">
        <x:v>14900</x:v>
      </x:c>
      <x:c r="M1126" s="24" t="n">
        <x:v>0</x:v>
      </x:c>
      <x:c r="N1126" s="24" t="n">
        <x:v>0</x:v>
      </x:c>
      <x:c r="O1126" t="str">
        <x:v>Price</x:v>
      </x:c>
      <x:c r="P1126" t="n">
        <x:v>2</x:v>
      </x:c>
      <x:c r="Q1126" t="str">
        <x:f>IFERROR(XLOOKUP(E1126,Lookups!$A$5:$A$24,Lookups!$B$5:$B$24),"Other")</x:f>
        <x:v>LinkedIn</x:v>
      </x:c>
      <x:c r="R1126" t="str">
        <x:f>IFERROR(XLOOKUP(F1126,Lookups!$D$5:$D$10,Lookups!$E$5:$E$10),"Unknown Product")</x:f>
        <x:v>NexaCRM Core</x:v>
      </x:c>
      <x:c r="S1126" t="str">
        <x:f>IFERROR(XLOOKUP(F1126,Lookups!$D$5:$D$10,Lookups!$F$5:$F$10),"Unknown")</x:f>
        <x:v>CRM</x:v>
      </x:c>
      <x:c r="T1126" t="str">
        <x:f>IF(L1126&gt;=50000,"Enterprise",IF(L1126&gt;=20000,"Mid-Market","SMB"))</x:f>
        <x:v>SMB</x:v>
      </x:c>
      <x:c r="U1126" t="str">
        <x:f>IF(I1126="Closed Won","Won",IF(I1126="Closed Lost","Lost","Open"))</x:f>
        <x:v>Lost</x:v>
      </x:c>
      <x:c r="V1126" s="22" t="n">
        <x:f>IF(U1126="Won",L1126*(1-M1126),0)</x:f>
        <x:v>0</x:v>
      </x:c>
      <x:c r="W1126" s="22" t="n">
        <x:f>IF(U1126="Open",L1126*N1126,0)</x:f>
        <x:v>0</x:v>
      </x:c>
      <x:c r="X1126" s="26" t="n">
        <x:f>IF(U1126="Open","",IFERROR(K1126-B1126,""))</x:f>
        <x:v>9</x:v>
      </x:c>
      <x:c r="Y1126" s="26" t="n">
        <x:f>IF(U1126="Open",Lookups!$B$2-B1126,X1126)</x:f>
        <x:v>9</x:v>
      </x:c>
      <x:c r="Z1126" t="str">
        <x:f>IF(AND(U1126="Open",Y1126&gt;30),"STALE","OK")</x:f>
        <x:v>OK</x:v>
      </x:c>
      <x:c r="AA1126" t="str">
        <x:f>TEXT(B1126,"yyyy-mm")</x:f>
        <x:v>2025-11</x:v>
      </x:c>
      <x:c r="AB1126" t="str">
        <x:f>IF(K1126="","",TEXT(K1126,"yyyy-mm"))</x:f>
        <x:v>2025-11</x:v>
      </x:c>
      <x:c r="AC1126" t="str">
        <x:f>"Q"&amp;ROUNDUP(MONTH(B1126)/3,0)&amp;"-"&amp;YEAR(B1126)</x:f>
        <x:v>Q4-2025</x:v>
      </x:c>
      <x:c r="AD1126" s="26" t="n">
        <x:f>MIN(100,IF(H1126="Enterprise",30,IF(H1126="Mid-Market",22,14))+IF(T1126="Enterprise",25,IF(T1126="Mid-Market",18,10))+IF(Q1126="Referral",25,IF(Q1126="Organic Search",20,IF(Q1126="Email",18,14)))+IF(G1126="Technology",10,5))</x:f>
        <x:v>51</x:v>
      </x:c>
      <x:c r="AE1126" t="str">
        <x:f>IF(U1126&lt;&gt;"Open",U1126,IF(N1126&gt;=0.8,"Commit",IF(N1126&gt;=0.5,"Best Case","Pipeline")))</x:f>
        <x:v>Lost</x:v>
      </x:c>
    </x:row>
    <x:row r="1127">
      <x:c r="A1127" t="str">
        <x:v>L01126</x:v>
      </x:c>
      <x:c r="B1127" s="10" t="n">
        <x:v>46191</x:v>
      </x:c>
      <x:c r="C1127" t="str">
        <x:v>An Nguyen</x:v>
      </x:c>
      <x:c r="D1127" t="str">
        <x:v>South</x:v>
      </x:c>
      <x:c r="E1127" t="str">
        <x:v>Outbound</x:v>
      </x:c>
      <x:c r="F1127" t="str">
        <x:v>MKT-AUTO</x:v>
      </x:c>
      <x:c r="G1127" t="str">
        <x:v>Education</x:v>
      </x:c>
      <x:c r="H1127" t="str">
        <x:v>Mid-Market</x:v>
      </x:c>
      <x:c r="I1127" t="str">
        <x:v>Qualified</x:v>
      </x:c>
      <x:c r="J1127" s="10" t="n">
        <x:v>46247</x:v>
      </x:c>
      <x:c r="K1127" s="10"/>
      <x:c r="L1127" s="22" t="n">
        <x:v>25100</x:v>
      </x:c>
      <x:c r="M1127" s="24" t="n">
        <x:v>0.03</x:v>
      </x:c>
      <x:c r="N1127" s="24" t="n">
        <x:v>0.2</x:v>
      </x:c>
      <x:c r="O1127" t="str"/>
      <x:c r="P1127" t="n">
        <x:v>2</x:v>
      </x:c>
      <x:c r="Q1127" t="str">
        <x:f>IFERROR(XLOOKUP(E1127,Lookups!$A$5:$A$24,Lookups!$B$5:$B$24),"Other")</x:f>
        <x:v>Outbound</x:v>
      </x:c>
      <x:c r="R1127" t="str">
        <x:f>IFERROR(XLOOKUP(F1127,Lookups!$D$5:$D$10,Lookups!$E$5:$E$10),"Unknown Product")</x:f>
        <x:v>Marketing Automation</x:v>
      </x:c>
      <x:c r="S1127" t="str">
        <x:f>IFERROR(XLOOKUP(F1127,Lookups!$D$5:$D$10,Lookups!$F$5:$F$10),"Unknown")</x:f>
        <x:v>Marketing</x:v>
      </x:c>
      <x:c r="T1127" t="str">
        <x:f>IF(L1127&gt;=50000,"Enterprise",IF(L1127&gt;=20000,"Mid-Market","SMB"))</x:f>
        <x:v>Mid-Market</x:v>
      </x:c>
      <x:c r="U1127" t="str">
        <x:f>IF(I1127="Closed Won","Won",IF(I1127="Closed Lost","Lost","Open"))</x:f>
        <x:v>Open</x:v>
      </x:c>
      <x:c r="V1127" s="22" t="n">
        <x:f>IF(U1127="Won",L1127*(1-M1127),0)</x:f>
        <x:v>0</x:v>
      </x:c>
      <x:c r="W1127" s="22" t="n">
        <x:f>IF(U1127="Open",L1127*N1127,0)</x:f>
        <x:v>5020</x:v>
      </x:c>
      <x:c r="X1127" s="26" t="str">
        <x:f>IF(U1127="Open","",IFERROR(K1127-B1127,""))</x:f>
      </x:c>
      <x:c r="Y1127" s="26" t="n">
        <x:f>IF(U1127="Open",Lookups!$B$2-B1127,X1127)</x:f>
        <x:v>75</x:v>
      </x:c>
      <x:c r="Z1127" t="str">
        <x:f>IF(AND(U1127="Open",Y1127&gt;30),"STALE","OK")</x:f>
        <x:v>STALE</x:v>
      </x:c>
      <x:c r="AA1127" t="str">
        <x:f>TEXT(B1127,"yyyy-mm")</x:f>
        <x:v>2026-06</x:v>
      </x:c>
      <x:c r="AB1127" t="str">
        <x:f>IF(K1127="","",TEXT(K1127,"yyyy-mm"))</x:f>
      </x:c>
      <x:c r="AC1127" t="str">
        <x:f>"Q"&amp;ROUNDUP(MONTH(B1127)/3,0)&amp;"-"&amp;YEAR(B1127)</x:f>
        <x:v>Q2-2026</x:v>
      </x:c>
      <x:c r="AD1127" s="26" t="n">
        <x:f>MIN(100,IF(H1127="Enterprise",30,IF(H1127="Mid-Market",22,14))+IF(T1127="Enterprise",25,IF(T1127="Mid-Market",18,10))+IF(Q1127="Referral",25,IF(Q1127="Organic Search",20,IF(Q1127="Email",18,14)))+IF(G1127="Technology",10,5))</x:f>
        <x:v>59</x:v>
      </x:c>
      <x:c r="AE1127" t="str">
        <x:f>IF(U1127&lt;&gt;"Open",U1127,IF(N1127&gt;=0.8,"Commit",IF(N1127&gt;=0.5,"Best Case","Pipeline")))</x:f>
        <x:v>Pipeline</x:v>
      </x:c>
    </x:row>
    <x:row r="1128">
      <x:c r="A1128" t="str">
        <x:v>L01127</x:v>
      </x:c>
      <x:c r="B1128" s="10" t="n">
        <x:v>46191</x:v>
      </x:c>
      <x:c r="C1128" t="str">
        <x:v>Chi Le</x:v>
      </x:c>
      <x:c r="D1128" t="str">
        <x:v>South</x:v>
      </x:c>
      <x:c r="E1128" t="str">
        <x:v>google cpc</x:v>
      </x:c>
      <x:c r="F1128" t="str">
        <x:v>MKT-AUTO</x:v>
      </x:c>
      <x:c r="G1128" t="str">
        <x:v>Professional Services</x:v>
      </x:c>
      <x:c r="H1128" t="str">
        <x:v>SMB</x:v>
      </x:c>
      <x:c r="I1128" t="str">
        <x:v>Demo / Meeting</x:v>
      </x:c>
      <x:c r="J1128" s="10" t="n">
        <x:v>46249</x:v>
      </x:c>
      <x:c r="K1128" s="10"/>
      <x:c r="L1128" s="22" t="n">
        <x:v>18000</x:v>
      </x:c>
      <x:c r="M1128" s="24" t="n">
        <x:v>0.05</x:v>
      </x:c>
      <x:c r="N1128" s="24" t="n">
        <x:v>0.4</x:v>
      </x:c>
      <x:c r="O1128" t="str"/>
      <x:c r="P1128" t="n">
        <x:v>3</x:v>
      </x:c>
      <x:c r="Q1128" t="str">
        <x:f>IFERROR(XLOOKUP(E1128,Lookups!$A$5:$A$24,Lookups!$B$5:$B$24),"Other")</x:f>
        <x:v>Paid Search</x:v>
      </x:c>
      <x:c r="R1128" t="str">
        <x:f>IFERROR(XLOOKUP(F1128,Lookups!$D$5:$D$10,Lookups!$E$5:$E$10),"Unknown Product")</x:f>
        <x:v>Marketing Automation</x:v>
      </x:c>
      <x:c r="S1128" t="str">
        <x:f>IFERROR(XLOOKUP(F1128,Lookups!$D$5:$D$10,Lookups!$F$5:$F$10),"Unknown")</x:f>
        <x:v>Marketing</x:v>
      </x:c>
      <x:c r="T1128" t="str">
        <x:f>IF(L1128&gt;=50000,"Enterprise",IF(L1128&gt;=20000,"Mid-Market","SMB"))</x:f>
        <x:v>SMB</x:v>
      </x:c>
      <x:c r="U1128" t="str">
        <x:f>IF(I1128="Closed Won","Won",IF(I1128="Closed Lost","Lost","Open"))</x:f>
        <x:v>Open</x:v>
      </x:c>
      <x:c r="V1128" s="22" t="n">
        <x:f>IF(U1128="Won",L1128*(1-M1128),0)</x:f>
        <x:v>0</x:v>
      </x:c>
      <x:c r="W1128" s="22" t="n">
        <x:f>IF(U1128="Open",L1128*N1128,0)</x:f>
        <x:v>7200</x:v>
      </x:c>
      <x:c r="X1128" s="26" t="str">
        <x:f>IF(U1128="Open","",IFERROR(K1128-B1128,""))</x:f>
      </x:c>
      <x:c r="Y1128" s="26" t="n">
        <x:f>IF(U1128="Open",Lookups!$B$2-B1128,X1128)</x:f>
        <x:v>75</x:v>
      </x:c>
      <x:c r="Z1128" t="str">
        <x:f>IF(AND(U1128="Open",Y1128&gt;30),"STALE","OK")</x:f>
        <x:v>STALE</x:v>
      </x:c>
      <x:c r="AA1128" t="str">
        <x:f>TEXT(B1128,"yyyy-mm")</x:f>
        <x:v>2026-06</x:v>
      </x:c>
      <x:c r="AB1128" t="str">
        <x:f>IF(K1128="","",TEXT(K1128,"yyyy-mm"))</x:f>
      </x:c>
      <x:c r="AC1128" t="str">
        <x:f>"Q"&amp;ROUNDUP(MONTH(B1128)/3,0)&amp;"-"&amp;YEAR(B1128)</x:f>
        <x:v>Q2-2026</x:v>
      </x:c>
      <x:c r="AD1128" s="26" t="n">
        <x:f>MIN(100,IF(H1128="Enterprise",30,IF(H1128="Mid-Market",22,14))+IF(T1128="Enterprise",25,IF(T1128="Mid-Market",18,10))+IF(Q1128="Referral",25,IF(Q1128="Organic Search",20,IF(Q1128="Email",18,14)))+IF(G1128="Technology",10,5))</x:f>
        <x:v>43</x:v>
      </x:c>
      <x:c r="AE1128" t="str">
        <x:f>IF(U1128&lt;&gt;"Open",U1128,IF(N1128&gt;=0.8,"Commit",IF(N1128&gt;=0.5,"Best Case","Pipeline")))</x:f>
        <x:v>Pipeline</x:v>
      </x:c>
    </x:row>
    <x:row r="1129">
      <x:c r="A1129" t="str">
        <x:v>L01128</x:v>
      </x:c>
      <x:c r="B1129" s="10" t="n">
        <x:v>46182</x:v>
      </x:c>
      <x:c r="C1129" t="str">
        <x:v>Quynh Vu</x:v>
      </x:c>
      <x:c r="D1129" t="str">
        <x:v>North</x:v>
      </x:c>
      <x:c r="E1129" t="str">
        <x:v>newsletter</x:v>
      </x:c>
      <x:c r="F1129" t="str">
        <x:v>CS-CLOUD</x:v>
      </x:c>
      <x:c r="G1129" t="str">
        <x:v>Healthcare</x:v>
      </x:c>
      <x:c r="H1129" t="str">
        <x:v>Mid-Market</x:v>
      </x:c>
      <x:c r="I1129" t="str">
        <x:v>Demo / Meeting</x:v>
      </x:c>
      <x:c r="J1129" s="10" t="n">
        <x:v>46212</x:v>
      </x:c>
      <x:c r="K1129" s="10"/>
      <x:c r="L1129" s="22" t="n">
        <x:v>22700</x:v>
      </x:c>
      <x:c r="M1129" s="24" t="n">
        <x:v>0.05</x:v>
      </x:c>
      <x:c r="N1129" s="24" t="n">
        <x:v>0.4</x:v>
      </x:c>
      <x:c r="O1129" t="str"/>
      <x:c r="P1129" t="n">
        <x:v>3</x:v>
      </x:c>
      <x:c r="Q1129" t="str">
        <x:f>IFERROR(XLOOKUP(E1129,Lookups!$A$5:$A$24,Lookups!$B$5:$B$24),"Other")</x:f>
        <x:v>Email</x:v>
      </x:c>
      <x:c r="R1129" t="str">
        <x:f>IFERROR(XLOOKUP(F1129,Lookups!$D$5:$D$10,Lookups!$E$5:$E$10),"Unknown Product")</x:f>
        <x:v>Service Cloud</x:v>
      </x:c>
      <x:c r="S1129" t="str">
        <x:f>IFERROR(XLOOKUP(F1129,Lookups!$D$5:$D$10,Lookups!$F$5:$F$10),"Unknown")</x:f>
        <x:v>Customer Service</x:v>
      </x:c>
      <x:c r="T1129" t="str">
        <x:f>IF(L1129&gt;=50000,"Enterprise",IF(L1129&gt;=20000,"Mid-Market","SMB"))</x:f>
        <x:v>Mid-Market</x:v>
      </x:c>
      <x:c r="U1129" t="str">
        <x:f>IF(I1129="Closed Won","Won",IF(I1129="Closed Lost","Lost","Open"))</x:f>
        <x:v>Open</x:v>
      </x:c>
      <x:c r="V1129" s="22" t="n">
        <x:f>IF(U1129="Won",L1129*(1-M1129),0)</x:f>
        <x:v>0</x:v>
      </x:c>
      <x:c r="W1129" s="22" t="n">
        <x:f>IF(U1129="Open",L1129*N1129,0)</x:f>
        <x:v>9080</x:v>
      </x:c>
      <x:c r="X1129" s="26" t="str">
        <x:f>IF(U1129="Open","",IFERROR(K1129-B1129,""))</x:f>
      </x:c>
      <x:c r="Y1129" s="26" t="n">
        <x:f>IF(U1129="Open",Lookups!$B$2-B1129,X1129)</x:f>
        <x:v>84</x:v>
      </x:c>
      <x:c r="Z1129" t="str">
        <x:f>IF(AND(U1129="Open",Y1129&gt;30),"STALE","OK")</x:f>
        <x:v>STALE</x:v>
      </x:c>
      <x:c r="AA1129" t="str">
        <x:f>TEXT(B1129,"yyyy-mm")</x:f>
        <x:v>2026-06</x:v>
      </x:c>
      <x:c r="AB1129" t="str">
        <x:f>IF(K1129="","",TEXT(K1129,"yyyy-mm"))</x:f>
      </x:c>
      <x:c r="AC1129" t="str">
        <x:f>"Q"&amp;ROUNDUP(MONTH(B1129)/3,0)&amp;"-"&amp;YEAR(B1129)</x:f>
        <x:v>Q2-2026</x:v>
      </x:c>
      <x:c r="AD1129" s="26" t="n">
        <x:f>MIN(100,IF(H1129="Enterprise",30,IF(H1129="Mid-Market",22,14))+IF(T1129="Enterprise",25,IF(T1129="Mid-Market",18,10))+IF(Q1129="Referral",25,IF(Q1129="Organic Search",20,IF(Q1129="Email",18,14)))+IF(G1129="Technology",10,5))</x:f>
        <x:v>63</x:v>
      </x:c>
      <x:c r="AE1129" t="str">
        <x:f>IF(U1129&lt;&gt;"Open",U1129,IF(N1129&gt;=0.8,"Commit",IF(N1129&gt;=0.5,"Best Case","Pipeline")))</x:f>
        <x:v>Pipeline</x:v>
      </x:c>
    </x:row>
    <x:row r="1130">
      <x:c r="A1130" t="str">
        <x:v>L01129</x:v>
      </x:c>
      <x:c r="B1130" s="10" t="n">
        <x:v>45920</x:v>
      </x:c>
      <x:c r="C1130" t="str">
        <x:v>Ha Vo</x:v>
      </x:c>
      <x:c r="D1130" t="str">
        <x:v>North</x:v>
      </x:c>
      <x:c r="E1130" t="str">
        <x:v>google cpc</x:v>
      </x:c>
      <x:c r="F1130" t="str">
        <x:v>CS-CLOUD</x:v>
      </x:c>
      <x:c r="G1130" t="str">
        <x:v>Retail</x:v>
      </x:c>
      <x:c r="H1130" t="str">
        <x:v>SMB</x:v>
      </x:c>
      <x:c r="I1130" t="str">
        <x:v>Negotiation</x:v>
      </x:c>
      <x:c r="J1130" s="10" t="n">
        <x:v>46199</x:v>
      </x:c>
      <x:c r="K1130" s="10"/>
      <x:c r="L1130" s="22" t="n">
        <x:v>13500</x:v>
      </x:c>
      <x:c r="M1130" s="24" t="n">
        <x:v>0.05</x:v>
      </x:c>
      <x:c r="N1130" s="24" t="n">
        <x:v>0.85</x:v>
      </x:c>
      <x:c r="O1130" t="str"/>
      <x:c r="P1130" t="n">
        <x:v>5</x:v>
      </x:c>
      <x:c r="Q1130" t="str">
        <x:f>IFERROR(XLOOKUP(E1130,Lookups!$A$5:$A$24,Lookups!$B$5:$B$24),"Other")</x:f>
        <x:v>Paid Search</x:v>
      </x:c>
      <x:c r="R1130" t="str">
        <x:f>IFERROR(XLOOKUP(F1130,Lookups!$D$5:$D$10,Lookups!$E$5:$E$10),"Unknown Product")</x:f>
        <x:v>Service Cloud</x:v>
      </x:c>
      <x:c r="S1130" t="str">
        <x:f>IFERROR(XLOOKUP(F1130,Lookups!$D$5:$D$10,Lookups!$F$5:$F$10),"Unknown")</x:f>
        <x:v>Customer Service</x:v>
      </x:c>
      <x:c r="T1130" t="str">
        <x:f>IF(L1130&gt;=50000,"Enterprise",IF(L1130&gt;=20000,"Mid-Market","SMB"))</x:f>
        <x:v>SMB</x:v>
      </x:c>
      <x:c r="U1130" t="str">
        <x:f>IF(I1130="Closed Won","Won",IF(I1130="Closed Lost","Lost","Open"))</x:f>
        <x:v>Open</x:v>
      </x:c>
      <x:c r="V1130" s="22" t="n">
        <x:f>IF(U1130="Won",L1130*(1-M1130),0)</x:f>
        <x:v>0</x:v>
      </x:c>
      <x:c r="W1130" s="22" t="n">
        <x:f>IF(U1130="Open",L1130*N1130,0)</x:f>
        <x:v>11475</x:v>
      </x:c>
      <x:c r="X1130" s="26" t="str">
        <x:f>IF(U1130="Open","",IFERROR(K1130-B1130,""))</x:f>
      </x:c>
      <x:c r="Y1130" s="26" t="n">
        <x:f>IF(U1130="Open",Lookups!$B$2-B1130,X1130)</x:f>
        <x:v>346</x:v>
      </x:c>
      <x:c r="Z1130" t="str">
        <x:f>IF(AND(U1130="Open",Y1130&gt;30),"STALE","OK")</x:f>
        <x:v>STALE</x:v>
      </x:c>
      <x:c r="AA1130" t="str">
        <x:f>TEXT(B1130,"yyyy-mm")</x:f>
        <x:v>2025-09</x:v>
      </x:c>
      <x:c r="AB1130" t="str">
        <x:f>IF(K1130="","",TEXT(K1130,"yyyy-mm"))</x:f>
      </x:c>
      <x:c r="AC1130" t="str">
        <x:f>"Q"&amp;ROUNDUP(MONTH(B1130)/3,0)&amp;"-"&amp;YEAR(B1130)</x:f>
        <x:v>Q3-2025</x:v>
      </x:c>
      <x:c r="AD1130" s="26" t="n">
        <x:f>MIN(100,IF(H1130="Enterprise",30,IF(H1130="Mid-Market",22,14))+IF(T1130="Enterprise",25,IF(T1130="Mid-Market",18,10))+IF(Q1130="Referral",25,IF(Q1130="Organic Search",20,IF(Q1130="Email",18,14)))+IF(G1130="Technology",10,5))</x:f>
        <x:v>43</x:v>
      </x:c>
      <x:c r="AE1130" t="str">
        <x:f>IF(U1130&lt;&gt;"Open",U1130,IF(N1130&gt;=0.8,"Commit",IF(N1130&gt;=0.5,"Best Case","Pipeline")))</x:f>
        <x:v>Commit</x:v>
      </x:c>
    </x:row>
    <x:row r="1131">
      <x:c r="A1131" t="str">
        <x:v>L01130</x:v>
      </x:c>
      <x:c r="B1131" s="10" t="n">
        <x:v>46207</x:v>
      </x:c>
      <x:c r="C1131" t="str">
        <x:v>Quynh Vu</x:v>
      </x:c>
      <x:c r="D1131" t="str">
        <x:v>North</x:v>
      </x:c>
      <x:c r="E1131" t="str">
        <x:v>SEO</x:v>
      </x:c>
      <x:c r="F1131" t="str">
        <x:v>REV-OPS</x:v>
      </x:c>
      <x:c r="G1131" t="str">
        <x:v>Education</x:v>
      </x:c>
      <x:c r="H1131" t="str">
        <x:v>SMB</x:v>
      </x:c>
      <x:c r="I1131" t="str">
        <x:v>Closed Won</x:v>
      </x:c>
      <x:c r="J1131" s="10" t="n">
        <x:v>46253</x:v>
      </x:c>
      <x:c r="K1131" s="10" t="n">
        <x:v>46253</x:v>
      </x:c>
      <x:c r="L1131" s="22" t="n">
        <x:v>25000</x:v>
      </x:c>
      <x:c r="M1131" s="24" t="n">
        <x:v>0.12</x:v>
      </x:c>
      <x:c r="N1131" s="24" t="n">
        <x:v>1</x:v>
      </x:c>
      <x:c r="O1131" t="str"/>
      <x:c r="P1131" t="n">
        <x:v>6</x:v>
      </x:c>
      <x:c r="Q1131" t="str">
        <x:f>IFERROR(XLOOKUP(E1131,Lookups!$A$5:$A$24,Lookups!$B$5:$B$24),"Other")</x:f>
        <x:v>Organic Search</x:v>
      </x:c>
      <x:c r="R1131" t="str">
        <x:f>IFERROR(XLOOKUP(F1131,Lookups!$D$5:$D$10,Lookups!$E$5:$E$10),"Unknown Product")</x:f>
        <x:v>Revenue Operations Suite</x:v>
      </x:c>
      <x:c r="S1131" t="str">
        <x:f>IFERROR(XLOOKUP(F1131,Lookups!$D$5:$D$10,Lookups!$F$5:$F$10),"Unknown")</x:f>
        <x:v>Revenue Ops</x:v>
      </x:c>
      <x:c r="T1131" t="str">
        <x:f>IF(L1131&gt;=50000,"Enterprise",IF(L1131&gt;=20000,"Mid-Market","SMB"))</x:f>
        <x:v>Mid-Market</x:v>
      </x:c>
      <x:c r="U1131" t="str">
        <x:f>IF(I1131="Closed Won","Won",IF(I1131="Closed Lost","Lost","Open"))</x:f>
        <x:v>Won</x:v>
      </x:c>
      <x:c r="V1131" s="22" t="n">
        <x:f>IF(U1131="Won",L1131*(1-M1131),0)</x:f>
        <x:v>22000</x:v>
      </x:c>
      <x:c r="W1131" s="22" t="n">
        <x:f>IF(U1131="Open",L1131*N1131,0)</x:f>
        <x:v>0</x:v>
      </x:c>
      <x:c r="X1131" s="26" t="n">
        <x:f>IF(U1131="Open","",IFERROR(K1131-B1131,""))</x:f>
        <x:v>46</x:v>
      </x:c>
      <x:c r="Y1131" s="26" t="n">
        <x:f>IF(U1131="Open",Lookups!$B$2-B1131,X1131)</x:f>
        <x:v>46</x:v>
      </x:c>
      <x:c r="Z1131" t="str">
        <x:f>IF(AND(U1131="Open",Y1131&gt;30),"STALE","OK")</x:f>
        <x:v>OK</x:v>
      </x:c>
      <x:c r="AA1131" t="str">
        <x:f>TEXT(B1131,"yyyy-mm")</x:f>
        <x:v>2026-07</x:v>
      </x:c>
      <x:c r="AB1131" t="str">
        <x:f>IF(K1131="","",TEXT(K1131,"yyyy-mm"))</x:f>
        <x:v>2026-08</x:v>
      </x:c>
      <x:c r="AC1131" t="str">
        <x:f>"Q"&amp;ROUNDUP(MONTH(B1131)/3,0)&amp;"-"&amp;YEAR(B1131)</x:f>
        <x:v>Q3-2026</x:v>
      </x:c>
      <x:c r="AD1131" s="26" t="n">
        <x:f>MIN(100,IF(H1131="Enterprise",30,IF(H1131="Mid-Market",22,14))+IF(T1131="Enterprise",25,IF(T1131="Mid-Market",18,10))+IF(Q1131="Referral",25,IF(Q1131="Organic Search",20,IF(Q1131="Email",18,14)))+IF(G1131="Technology",10,5))</x:f>
        <x:v>57</x:v>
      </x:c>
      <x:c r="AE1131" t="str">
        <x:f>IF(U1131&lt;&gt;"Open",U1131,IF(N1131&gt;=0.8,"Commit",IF(N1131&gt;=0.5,"Best Case","Pipeline")))</x:f>
        <x:v>Won</x:v>
      </x:c>
    </x:row>
    <x:row r="1132">
      <x:c r="A1132" t="str">
        <x:v>L01131</x:v>
      </x:c>
      <x:c r="B1132" s="10" t="n">
        <x:v>46040</x:v>
      </x:c>
      <x:c r="C1132" t="str">
        <x:v>Duy Pham</x:v>
      </x:c>
      <x:c r="D1132" t="str">
        <x:v>South</x:v>
      </x:c>
      <x:c r="E1132" t="str">
        <x:v>Email Campaign</x:v>
      </x:c>
      <x:c r="F1132" t="str">
        <x:v>CS-CLOUD</x:v>
      </x:c>
      <x:c r="G1132" t="str">
        <x:v>Manufacturing</x:v>
      </x:c>
      <x:c r="H1132" t="str">
        <x:v>Enterprise</x:v>
      </x:c>
      <x:c r="I1132" t="str">
        <x:v>Negotiation</x:v>
      </x:c>
      <x:c r="J1132" s="10" t="n">
        <x:v>46216</x:v>
      </x:c>
      <x:c r="K1132" s="10"/>
      <x:c r="L1132" s="22" t="n">
        <x:v>79500</x:v>
      </x:c>
      <x:c r="M1132" s="24" t="n">
        <x:v>0.05</x:v>
      </x:c>
      <x:c r="N1132" s="24" t="n">
        <x:v>0.85</x:v>
      </x:c>
      <x:c r="O1132" t="str"/>
      <x:c r="P1132" t="n">
        <x:v>5</x:v>
      </x:c>
      <x:c r="Q1132" t="str">
        <x:f>IFERROR(XLOOKUP(E1132,Lookups!$A$5:$A$24,Lookups!$B$5:$B$24),"Other")</x:f>
        <x:v>Email</x:v>
      </x:c>
      <x:c r="R1132" t="str">
        <x:f>IFERROR(XLOOKUP(F1132,Lookups!$D$5:$D$10,Lookups!$E$5:$E$10),"Unknown Product")</x:f>
        <x:v>Service Cloud</x:v>
      </x:c>
      <x:c r="S1132" t="str">
        <x:f>IFERROR(XLOOKUP(F1132,Lookups!$D$5:$D$10,Lookups!$F$5:$F$10),"Unknown")</x:f>
        <x:v>Customer Service</x:v>
      </x:c>
      <x:c r="T1132" t="str">
        <x:f>IF(L1132&gt;=50000,"Enterprise",IF(L1132&gt;=20000,"Mid-Market","SMB"))</x:f>
        <x:v>Enterprise</x:v>
      </x:c>
      <x:c r="U1132" t="str">
        <x:f>IF(I1132="Closed Won","Won",IF(I1132="Closed Lost","Lost","Open"))</x:f>
        <x:v>Open</x:v>
      </x:c>
      <x:c r="V1132" s="22" t="n">
        <x:f>IF(U1132="Won",L1132*(1-M1132),0)</x:f>
        <x:v>0</x:v>
      </x:c>
      <x:c r="W1132" s="22" t="n">
        <x:f>IF(U1132="Open",L1132*N1132,0)</x:f>
        <x:v>67575</x:v>
      </x:c>
      <x:c r="X1132" s="26" t="str">
        <x:f>IF(U1132="Open","",IFERROR(K1132-B1132,""))</x:f>
      </x:c>
      <x:c r="Y1132" s="26" t="n">
        <x:f>IF(U1132="Open",Lookups!$B$2-B1132,X1132)</x:f>
        <x:v>226</x:v>
      </x:c>
      <x:c r="Z1132" t="str">
        <x:f>IF(AND(U1132="Open",Y1132&gt;30),"STALE","OK")</x:f>
        <x:v>STALE</x:v>
      </x:c>
      <x:c r="AA1132" t="str">
        <x:f>TEXT(B1132,"yyyy-mm")</x:f>
        <x:v>2026-01</x:v>
      </x:c>
      <x:c r="AB1132" t="str">
        <x:f>IF(K1132="","",TEXT(K1132,"yyyy-mm"))</x:f>
      </x:c>
      <x:c r="AC1132" t="str">
        <x:f>"Q"&amp;ROUNDUP(MONTH(B1132)/3,0)&amp;"-"&amp;YEAR(B1132)</x:f>
        <x:v>Q1-2026</x:v>
      </x:c>
      <x:c r="AD1132" s="26" t="n">
        <x:f>MIN(100,IF(H1132="Enterprise",30,IF(H1132="Mid-Market",22,14))+IF(T1132="Enterprise",25,IF(T1132="Mid-Market",18,10))+IF(Q1132="Referral",25,IF(Q1132="Organic Search",20,IF(Q1132="Email",18,14)))+IF(G1132="Technology",10,5))</x:f>
        <x:v>78</x:v>
      </x:c>
      <x:c r="AE1132" t="str">
        <x:f>IF(U1132&lt;&gt;"Open",U1132,IF(N1132&gt;=0.8,"Commit",IF(N1132&gt;=0.5,"Best Case","Pipeline")))</x:f>
        <x:v>Commit</x:v>
      </x:c>
    </x:row>
    <x:row r="1133">
      <x:c r="A1133" t="str">
        <x:v>L01132</x:v>
      </x:c>
      <x:c r="B1133" s="10" t="n">
        <x:v>45934</x:v>
      </x:c>
      <x:c r="C1133" t="str">
        <x:v>An Nguyen</x:v>
      </x:c>
      <x:c r="D1133" t="str">
        <x:v>South</x:v>
      </x:c>
      <x:c r="E1133" t="str">
        <x:v>SEM - Google</x:v>
      </x:c>
      <x:c r="F1133" t="str">
        <x:v>CRM-PRO</x:v>
      </x:c>
      <x:c r="G1133" t="str">
        <x:v>Manufacturing</x:v>
      </x:c>
      <x:c r="H1133" t="str">
        <x:v>Mid-Market</x:v>
      </x:c>
      <x:c r="I1133" t="str">
        <x:v>Closed Lost</x:v>
      </x:c>
      <x:c r="J1133" s="10" t="n">
        <x:v>45961</x:v>
      </x:c>
      <x:c r="K1133" s="10" t="n">
        <x:v>45961</x:v>
      </x:c>
      <x:c r="L1133" s="22" t="n">
        <x:v>45600</x:v>
      </x:c>
      <x:c r="M1133" s="24" t="n">
        <x:v>0</x:v>
      </x:c>
      <x:c r="N1133" s="24" t="n">
        <x:v>0</x:v>
      </x:c>
      <x:c r="O1133" t="str">
        <x:v>Price</x:v>
      </x:c>
      <x:c r="P1133" t="n">
        <x:v>4</x:v>
      </x:c>
      <x:c r="Q1133" t="str">
        <x:f>IFERROR(XLOOKUP(E1133,Lookups!$A$5:$A$24,Lookups!$B$5:$B$24),"Other")</x:f>
        <x:v>Paid Search</x:v>
      </x:c>
      <x:c r="R1133" t="str">
        <x:f>IFERROR(XLOOKUP(F1133,Lookups!$D$5:$D$10,Lookups!$E$5:$E$10),"Unknown Product")</x:f>
        <x:v>NexaCRM Pro</x:v>
      </x:c>
      <x:c r="S1133" t="str">
        <x:f>IFERROR(XLOOKUP(F1133,Lookups!$D$5:$D$10,Lookups!$F$5:$F$10),"Unknown")</x:f>
        <x:v>CRM</x:v>
      </x:c>
      <x:c r="T1133" t="str">
        <x:f>IF(L1133&gt;=50000,"Enterprise",IF(L1133&gt;=20000,"Mid-Market","SMB"))</x:f>
        <x:v>Mid-Market</x:v>
      </x:c>
      <x:c r="U1133" t="str">
        <x:f>IF(I1133="Closed Won","Won",IF(I1133="Closed Lost","Lost","Open"))</x:f>
        <x:v>Lost</x:v>
      </x:c>
      <x:c r="V1133" s="22" t="n">
        <x:f>IF(U1133="Won",L1133*(1-M1133),0)</x:f>
        <x:v>0</x:v>
      </x:c>
      <x:c r="W1133" s="22" t="n">
        <x:f>IF(U1133="Open",L1133*N1133,0)</x:f>
        <x:v>0</x:v>
      </x:c>
      <x:c r="X1133" s="26" t="n">
        <x:f>IF(U1133="Open","",IFERROR(K1133-B1133,""))</x:f>
        <x:v>27</x:v>
      </x:c>
      <x:c r="Y1133" s="26" t="n">
        <x:f>IF(U1133="Open",Lookups!$B$2-B1133,X1133)</x:f>
        <x:v>27</x:v>
      </x:c>
      <x:c r="Z1133" t="str">
        <x:f>IF(AND(U1133="Open",Y1133&gt;30),"STALE","OK")</x:f>
        <x:v>OK</x:v>
      </x:c>
      <x:c r="AA1133" t="str">
        <x:f>TEXT(B1133,"yyyy-mm")</x:f>
        <x:v>2025-10</x:v>
      </x:c>
      <x:c r="AB1133" t="str">
        <x:f>IF(K1133="","",TEXT(K1133,"yyyy-mm"))</x:f>
        <x:v>2025-10</x:v>
      </x:c>
      <x:c r="AC1133" t="str">
        <x:f>"Q"&amp;ROUNDUP(MONTH(B1133)/3,0)&amp;"-"&amp;YEAR(B1133)</x:f>
        <x:v>Q4-2025</x:v>
      </x:c>
      <x:c r="AD1133" s="26" t="n">
        <x:f>MIN(100,IF(H1133="Enterprise",30,IF(H1133="Mid-Market",22,14))+IF(T1133="Enterprise",25,IF(T1133="Mid-Market",18,10))+IF(Q1133="Referral",25,IF(Q1133="Organic Search",20,IF(Q1133="Email",18,14)))+IF(G1133="Technology",10,5))</x:f>
        <x:v>59</x:v>
      </x:c>
      <x:c r="AE1133" t="str">
        <x:f>IF(U1133&lt;&gt;"Open",U1133,IF(N1133&gt;=0.8,"Commit",IF(N1133&gt;=0.5,"Best Case","Pipeline")))</x:f>
        <x:v>Lost</x:v>
      </x:c>
    </x:row>
    <x:row r="1134">
      <x:c r="A1134" t="str">
        <x:v>L01133</x:v>
      </x:c>
      <x:c r="B1134" s="10" t="n">
        <x:v>46214</x:v>
      </x:c>
      <x:c r="C1134" t="str">
        <x:v>Bao Tran</x:v>
      </x:c>
      <x:c r="D1134" t="str">
        <x:v>South</x:v>
      </x:c>
      <x:c r="E1134" t="str">
        <x:v>Referral</x:v>
      </x:c>
      <x:c r="F1134" t="str">
        <x:v>CRM-CORE</x:v>
      </x:c>
      <x:c r="G1134" t="str">
        <x:v>Education</x:v>
      </x:c>
      <x:c r="H1134" t="str">
        <x:v>Enterprise</x:v>
      </x:c>
      <x:c r="I1134" t="str">
        <x:v>Demo / Meeting</x:v>
      </x:c>
      <x:c r="J1134" s="10" t="n">
        <x:v>46240</x:v>
      </x:c>
      <x:c r="K1134" s="10"/>
      <x:c r="L1134" s="22" t="n">
        <x:v>25300</x:v>
      </x:c>
      <x:c r="M1134" s="24" t="n">
        <x:v>0</x:v>
      </x:c>
      <x:c r="N1134" s="24" t="n">
        <x:v>0.4</x:v>
      </x:c>
      <x:c r="O1134" t="str"/>
      <x:c r="P1134" t="n">
        <x:v>3</x:v>
      </x:c>
      <x:c r="Q1134" t="str">
        <x:f>IFERROR(XLOOKUP(E1134,Lookups!$A$5:$A$24,Lookups!$B$5:$B$24),"Other")</x:f>
        <x:v>Referral</x:v>
      </x:c>
      <x:c r="R1134" t="str">
        <x:f>IFERROR(XLOOKUP(F1134,Lookups!$D$5:$D$10,Lookups!$E$5:$E$10),"Unknown Product")</x:f>
        <x:v>NexaCRM Core</x:v>
      </x:c>
      <x:c r="S1134" t="str">
        <x:f>IFERROR(XLOOKUP(F1134,Lookups!$D$5:$D$10,Lookups!$F$5:$F$10),"Unknown")</x:f>
        <x:v>CRM</x:v>
      </x:c>
      <x:c r="T1134" t="str">
        <x:f>IF(L1134&gt;=50000,"Enterprise",IF(L1134&gt;=20000,"Mid-Market","SMB"))</x:f>
        <x:v>Mid-Market</x:v>
      </x:c>
      <x:c r="U1134" t="str">
        <x:f>IF(I1134="Closed Won","Won",IF(I1134="Closed Lost","Lost","Open"))</x:f>
        <x:v>Open</x:v>
      </x:c>
      <x:c r="V1134" s="22" t="n">
        <x:f>IF(U1134="Won",L1134*(1-M1134),0)</x:f>
        <x:v>0</x:v>
      </x:c>
      <x:c r="W1134" s="22" t="n">
        <x:f>IF(U1134="Open",L1134*N1134,0)</x:f>
        <x:v>10120</x:v>
      </x:c>
      <x:c r="X1134" s="26" t="str">
        <x:f>IF(U1134="Open","",IFERROR(K1134-B1134,""))</x:f>
      </x:c>
      <x:c r="Y1134" s="26" t="n">
        <x:f>IF(U1134="Open",Lookups!$B$2-B1134,X1134)</x:f>
        <x:v>52</x:v>
      </x:c>
      <x:c r="Z1134" t="str">
        <x:f>IF(AND(U1134="Open",Y1134&gt;30),"STALE","OK")</x:f>
        <x:v>STALE</x:v>
      </x:c>
      <x:c r="AA1134" t="str">
        <x:f>TEXT(B1134,"yyyy-mm")</x:f>
        <x:v>2026-07</x:v>
      </x:c>
      <x:c r="AB1134" t="str">
        <x:f>IF(K1134="","",TEXT(K1134,"yyyy-mm"))</x:f>
      </x:c>
      <x:c r="AC1134" t="str">
        <x:f>"Q"&amp;ROUNDUP(MONTH(B1134)/3,0)&amp;"-"&amp;YEAR(B1134)</x:f>
        <x:v>Q3-2026</x:v>
      </x:c>
      <x:c r="AD1134" s="26" t="n">
        <x:f>MIN(100,IF(H1134="Enterprise",30,IF(H1134="Mid-Market",22,14))+IF(T1134="Enterprise",25,IF(T1134="Mid-Market",18,10))+IF(Q1134="Referral",25,IF(Q1134="Organic Search",20,IF(Q1134="Email",18,14)))+IF(G1134="Technology",10,5))</x:f>
        <x:v>78</x:v>
      </x:c>
      <x:c r="AE1134" t="str">
        <x:f>IF(U1134&lt;&gt;"Open",U1134,IF(N1134&gt;=0.8,"Commit",IF(N1134&gt;=0.5,"Best Case","Pipeline")))</x:f>
        <x:v>Pipeline</x:v>
      </x:c>
    </x:row>
    <x:row r="1135">
      <x:c r="A1135" t="str">
        <x:v>L01134</x:v>
      </x:c>
      <x:c r="B1135" s="10" t="n">
        <x:v>45786</x:v>
      </x:c>
      <x:c r="C1135" t="str">
        <x:v>Minh Do</x:v>
      </x:c>
      <x:c r="D1135" t="str">
        <x:v>North</x:v>
      </x:c>
      <x:c r="E1135" t="str">
        <x:v>Conference Scan</x:v>
      </x:c>
      <x:c r="F1135" t="str">
        <x:v>CRM-CORE</x:v>
      </x:c>
      <x:c r="G1135" t="str">
        <x:v>Manufacturing</x:v>
      </x:c>
      <x:c r="H1135" t="str">
        <x:v>Enterprise</x:v>
      </x:c>
      <x:c r="I1135" t="str">
        <x:v>Closed Lost</x:v>
      </x:c>
      <x:c r="J1135" s="10" t="n">
        <x:v>45794</x:v>
      </x:c>
      <x:c r="K1135" s="10" t="n">
        <x:v>45794</x:v>
      </x:c>
      <x:c r="L1135" s="22" t="n">
        <x:v>25300</x:v>
      </x:c>
      <x:c r="M1135" s="24" t="n">
        <x:v>0</x:v>
      </x:c>
      <x:c r="N1135" s="24" t="n">
        <x:v>0</x:v>
      </x:c>
      <x:c r="O1135" t="str">
        <x:v>Competitor</x:v>
      </x:c>
      <x:c r="P1135" t="n">
        <x:v>3</x:v>
      </x:c>
      <x:c r="Q1135" t="str">
        <x:f>IFERROR(XLOOKUP(E1135,Lookups!$A$5:$A$24,Lookups!$B$5:$B$24),"Other")</x:f>
        <x:v>Other</x:v>
      </x:c>
      <x:c r="R1135" t="str">
        <x:f>IFERROR(XLOOKUP(F1135,Lookups!$D$5:$D$10,Lookups!$E$5:$E$10),"Unknown Product")</x:f>
        <x:v>NexaCRM Core</x:v>
      </x:c>
      <x:c r="S1135" t="str">
        <x:f>IFERROR(XLOOKUP(F1135,Lookups!$D$5:$D$10,Lookups!$F$5:$F$10),"Unknown")</x:f>
        <x:v>CRM</x:v>
      </x:c>
      <x:c r="T1135" t="str">
        <x:f>IF(L1135&gt;=50000,"Enterprise",IF(L1135&gt;=20000,"Mid-Market","SMB"))</x:f>
        <x:v>Mid-Market</x:v>
      </x:c>
      <x:c r="U1135" t="str">
        <x:f>IF(I1135="Closed Won","Won",IF(I1135="Closed Lost","Lost","Open"))</x:f>
        <x:v>Lost</x:v>
      </x:c>
      <x:c r="V1135" s="22" t="n">
        <x:f>IF(U1135="Won",L1135*(1-M1135),0)</x:f>
        <x:v>0</x:v>
      </x:c>
      <x:c r="W1135" s="22" t="n">
        <x:f>IF(U1135="Open",L1135*N1135,0)</x:f>
        <x:v>0</x:v>
      </x:c>
      <x:c r="X1135" s="26" t="n">
        <x:f>IF(U1135="Open","",IFERROR(K1135-B1135,""))</x:f>
        <x:v>8</x:v>
      </x:c>
      <x:c r="Y1135" s="26" t="n">
        <x:f>IF(U1135="Open",Lookups!$B$2-B1135,X1135)</x:f>
        <x:v>8</x:v>
      </x:c>
      <x:c r="Z1135" t="str">
        <x:f>IF(AND(U1135="Open",Y1135&gt;30),"STALE","OK")</x:f>
        <x:v>OK</x:v>
      </x:c>
      <x:c r="AA1135" t="str">
        <x:f>TEXT(B1135,"yyyy-mm")</x:f>
        <x:v>2025-05</x:v>
      </x:c>
      <x:c r="AB1135" t="str">
        <x:f>IF(K1135="","",TEXT(K1135,"yyyy-mm"))</x:f>
        <x:v>2025-05</x:v>
      </x:c>
      <x:c r="AC1135" t="str">
        <x:f>"Q"&amp;ROUNDUP(MONTH(B1135)/3,0)&amp;"-"&amp;YEAR(B1135)</x:f>
        <x:v>Q2-2025</x:v>
      </x:c>
      <x:c r="AD1135" s="26" t="n">
        <x:f>MIN(100,IF(H1135="Enterprise",30,IF(H1135="Mid-Market",22,14))+IF(T1135="Enterprise",25,IF(T1135="Mid-Market",18,10))+IF(Q1135="Referral",25,IF(Q1135="Organic Search",20,IF(Q1135="Email",18,14)))+IF(G1135="Technology",10,5))</x:f>
        <x:v>67</x:v>
      </x:c>
      <x:c r="AE1135" t="str">
        <x:f>IF(U1135&lt;&gt;"Open",U1135,IF(N1135&gt;=0.8,"Commit",IF(N1135&gt;=0.5,"Best Case","Pipeline")))</x:f>
        <x:v>Lost</x:v>
      </x:c>
    </x:row>
    <x:row r="1136">
      <x:c r="A1136" t="str">
        <x:v>L01135</x:v>
      </x:c>
      <x:c r="B1136" s="10" t="n">
        <x:v>46170</x:v>
      </x:c>
      <x:c r="C1136" t="str">
        <x:v>Ha Vo</x:v>
      </x:c>
      <x:c r="D1136" t="str">
        <x:v>North</x:v>
      </x:c>
      <x:c r="E1136" t="str">
        <x:v>Google Organic</x:v>
      </x:c>
      <x:c r="F1136" t="str">
        <x:v>CRM-CORE</x:v>
      </x:c>
      <x:c r="G1136" t="str">
        <x:v>Healthcare</x:v>
      </x:c>
      <x:c r="H1136" t="str">
        <x:v>Mid-Market</x:v>
      </x:c>
      <x:c r="I1136" t="str">
        <x:v>Closed Lost</x:v>
      </x:c>
      <x:c r="J1136" s="10" t="n">
        <x:v>46199</x:v>
      </x:c>
      <x:c r="K1136" s="10" t="n">
        <x:v>46199</x:v>
      </x:c>
      <x:c r="L1136" s="22" t="n">
        <x:v>17100</x:v>
      </x:c>
      <x:c r="M1136" s="24" t="n">
        <x:v>0</x:v>
      </x:c>
      <x:c r="N1136" s="24" t="n">
        <x:v>0</x:v>
      </x:c>
      <x:c r="O1136" t="str">
        <x:v>Competitor</x:v>
      </x:c>
      <x:c r="P1136" t="n">
        <x:v>4</x:v>
      </x:c>
      <x:c r="Q1136" t="str">
        <x:f>IFERROR(XLOOKUP(E1136,Lookups!$A$5:$A$24,Lookups!$B$5:$B$24),"Other")</x:f>
        <x:v>Organic Search</x:v>
      </x:c>
      <x:c r="R1136" t="str">
        <x:f>IFERROR(XLOOKUP(F1136,Lookups!$D$5:$D$10,Lookups!$E$5:$E$10),"Unknown Product")</x:f>
        <x:v>NexaCRM Core</x:v>
      </x:c>
      <x:c r="S1136" t="str">
        <x:f>IFERROR(XLOOKUP(F1136,Lookups!$D$5:$D$10,Lookups!$F$5:$F$10),"Unknown")</x:f>
        <x:v>CRM</x:v>
      </x:c>
      <x:c r="T1136" t="str">
        <x:f>IF(L1136&gt;=50000,"Enterprise",IF(L1136&gt;=20000,"Mid-Market","SMB"))</x:f>
        <x:v>SMB</x:v>
      </x:c>
      <x:c r="U1136" t="str">
        <x:f>IF(I1136="Closed Won","Won",IF(I1136="Closed Lost","Lost","Open"))</x:f>
        <x:v>Lost</x:v>
      </x:c>
      <x:c r="V1136" s="22" t="n">
        <x:f>IF(U1136="Won",L1136*(1-M1136),0)</x:f>
        <x:v>0</x:v>
      </x:c>
      <x:c r="W1136" s="22" t="n">
        <x:f>IF(U1136="Open",L1136*N1136,0)</x:f>
        <x:v>0</x:v>
      </x:c>
      <x:c r="X1136" s="26" t="n">
        <x:f>IF(U1136="Open","",IFERROR(K1136-B1136,""))</x:f>
        <x:v>29</x:v>
      </x:c>
      <x:c r="Y1136" s="26" t="n">
        <x:f>IF(U1136="Open",Lookups!$B$2-B1136,X1136)</x:f>
        <x:v>29</x:v>
      </x:c>
      <x:c r="Z1136" t="str">
        <x:f>IF(AND(U1136="Open",Y1136&gt;30),"STALE","OK")</x:f>
        <x:v>OK</x:v>
      </x:c>
      <x:c r="AA1136" t="str">
        <x:f>TEXT(B1136,"yyyy-mm")</x:f>
        <x:v>2026-05</x:v>
      </x:c>
      <x:c r="AB1136" t="str">
        <x:f>IF(K1136="","",TEXT(K1136,"yyyy-mm"))</x:f>
        <x:v>2026-06</x:v>
      </x:c>
      <x:c r="AC1136" t="str">
        <x:f>"Q"&amp;ROUNDUP(MONTH(B1136)/3,0)&amp;"-"&amp;YEAR(B1136)</x:f>
        <x:v>Q2-2026</x:v>
      </x:c>
      <x:c r="AD1136" s="26" t="n">
        <x:f>MIN(100,IF(H1136="Enterprise",30,IF(H1136="Mid-Market",22,14))+IF(T1136="Enterprise",25,IF(T1136="Mid-Market",18,10))+IF(Q1136="Referral",25,IF(Q1136="Organic Search",20,IF(Q1136="Email",18,14)))+IF(G1136="Technology",10,5))</x:f>
        <x:v>57</x:v>
      </x:c>
      <x:c r="AE1136" t="str">
        <x:f>IF(U1136&lt;&gt;"Open",U1136,IF(N1136&gt;=0.8,"Commit",IF(N1136&gt;=0.5,"Best Case","Pipeline")))</x:f>
        <x:v>Lost</x:v>
      </x:c>
    </x:row>
    <x:row r="1137">
      <x:c r="A1137" t="str">
        <x:v>L01136</x:v>
      </x:c>
      <x:c r="B1137" s="10" t="n">
        <x:v>45926</x:v>
      </x:c>
      <x:c r="C1137" t="str">
        <x:v>Bao Tran</x:v>
      </x:c>
      <x:c r="D1137" t="str">
        <x:v>South</x:v>
      </x:c>
      <x:c r="E1137" t="str">
        <x:v>email nurture</x:v>
      </x:c>
      <x:c r="F1137" t="str">
        <x:v>CRM-CORE</x:v>
      </x:c>
      <x:c r="G1137" t="str">
        <x:v>Technology</x:v>
      </x:c>
      <x:c r="H1137" t="str">
        <x:v>Enterprise</x:v>
      </x:c>
      <x:c r="I1137" t="str">
        <x:v>Negotiation</x:v>
      </x:c>
      <x:c r="J1137" s="10" t="n">
        <x:v>46206</x:v>
      </x:c>
      <x:c r="K1137" s="10"/>
      <x:c r="L1137" s="22" t="n">
        <x:v>24900</x:v>
      </x:c>
      <x:c r="M1137" s="24" t="n">
        <x:v>0</x:v>
      </x:c>
      <x:c r="N1137" s="24" t="n">
        <x:v>0.85</x:v>
      </x:c>
      <x:c r="O1137" t="str"/>
      <x:c r="P1137" t="n">
        <x:v>5</x:v>
      </x:c>
      <x:c r="Q1137" t="str">
        <x:f>IFERROR(XLOOKUP(E1137,Lookups!$A$5:$A$24,Lookups!$B$5:$B$24),"Other")</x:f>
        <x:v>Email</x:v>
      </x:c>
      <x:c r="R1137" t="str">
        <x:f>IFERROR(XLOOKUP(F1137,Lookups!$D$5:$D$10,Lookups!$E$5:$E$10),"Unknown Product")</x:f>
        <x:v>NexaCRM Core</x:v>
      </x:c>
      <x:c r="S1137" t="str">
        <x:f>IFERROR(XLOOKUP(F1137,Lookups!$D$5:$D$10,Lookups!$F$5:$F$10),"Unknown")</x:f>
        <x:v>CRM</x:v>
      </x:c>
      <x:c r="T1137" t="str">
        <x:f>IF(L1137&gt;=50000,"Enterprise",IF(L1137&gt;=20000,"Mid-Market","SMB"))</x:f>
        <x:v>Mid-Market</x:v>
      </x:c>
      <x:c r="U1137" t="str">
        <x:f>IF(I1137="Closed Won","Won",IF(I1137="Closed Lost","Lost","Open"))</x:f>
        <x:v>Open</x:v>
      </x:c>
      <x:c r="V1137" s="22" t="n">
        <x:f>IF(U1137="Won",L1137*(1-M1137),0)</x:f>
        <x:v>0</x:v>
      </x:c>
      <x:c r="W1137" s="22" t="n">
        <x:f>IF(U1137="Open",L1137*N1137,0)</x:f>
        <x:v>21165</x:v>
      </x:c>
      <x:c r="X1137" s="26" t="str">
        <x:f>IF(U1137="Open","",IFERROR(K1137-B1137,""))</x:f>
      </x:c>
      <x:c r="Y1137" s="26" t="n">
        <x:f>IF(U1137="Open",Lookups!$B$2-B1137,X1137)</x:f>
        <x:v>340</x:v>
      </x:c>
      <x:c r="Z1137" t="str">
        <x:f>IF(AND(U1137="Open",Y1137&gt;30),"STALE","OK")</x:f>
        <x:v>STALE</x:v>
      </x:c>
      <x:c r="AA1137" t="str">
        <x:f>TEXT(B1137,"yyyy-mm")</x:f>
        <x:v>2025-09</x:v>
      </x:c>
      <x:c r="AB1137" t="str">
        <x:f>IF(K1137="","",TEXT(K1137,"yyyy-mm"))</x:f>
      </x:c>
      <x:c r="AC1137" t="str">
        <x:f>"Q"&amp;ROUNDUP(MONTH(B1137)/3,0)&amp;"-"&amp;YEAR(B1137)</x:f>
        <x:v>Q3-2025</x:v>
      </x:c>
      <x:c r="AD1137" s="26" t="n">
        <x:f>MIN(100,IF(H1137="Enterprise",30,IF(H1137="Mid-Market",22,14))+IF(T1137="Enterprise",25,IF(T1137="Mid-Market",18,10))+IF(Q1137="Referral",25,IF(Q1137="Organic Search",20,IF(Q1137="Email",18,14)))+IF(G1137="Technology",10,5))</x:f>
        <x:v>76</x:v>
      </x:c>
      <x:c r="AE1137" t="str">
        <x:f>IF(U1137&lt;&gt;"Open",U1137,IF(N1137&gt;=0.8,"Commit",IF(N1137&gt;=0.5,"Best Case","Pipeline")))</x:f>
        <x:v>Commit</x:v>
      </x:c>
    </x:row>
    <x:row r="1138">
      <x:c r="A1138" t="str">
        <x:v>L01137</x:v>
      </x:c>
      <x:c r="B1138" s="10" t="n">
        <x:v>45720</x:v>
      </x:c>
      <x:c r="C1138" t="str">
        <x:v>Tuan Bui</x:v>
      </x:c>
      <x:c r="D1138" t="str">
        <x:v>Central</x:v>
      </x:c>
      <x:c r="E1138" t="str">
        <x:v>organic search</x:v>
      </x:c>
      <x:c r="F1138" t="str">
        <x:v>BI-PLUS</x:v>
      </x:c>
      <x:c r="G1138" t="str">
        <x:v>Retail</x:v>
      </x:c>
      <x:c r="H1138" t="str">
        <x:v>Mid-Market</x:v>
      </x:c>
      <x:c r="I1138" t="str">
        <x:v>Closed Won</x:v>
      </x:c>
      <x:c r="J1138" s="10" t="n">
        <x:v>45785</x:v>
      </x:c>
      <x:c r="K1138" s="10" t="n">
        <x:v>45785</x:v>
      </x:c>
      <x:c r="L1138" s="22" t="n">
        <x:v>44900</x:v>
      </x:c>
      <x:c r="M1138" s="24" t="n">
        <x:v>0</x:v>
      </x:c>
      <x:c r="N1138" s="24" t="n">
        <x:v>1</x:v>
      </x:c>
      <x:c r="O1138" t="str"/>
      <x:c r="P1138" t="n">
        <x:v>6</x:v>
      </x:c>
      <x:c r="Q1138" t="str">
        <x:f>IFERROR(XLOOKUP(E1138,Lookups!$A$5:$A$24,Lookups!$B$5:$B$24),"Other")</x:f>
        <x:v>Organic Search</x:v>
      </x:c>
      <x:c r="R1138" t="str">
        <x:f>IFERROR(XLOOKUP(F1138,Lookups!$D$5:$D$10,Lookups!$E$5:$E$10),"Unknown Product")</x:f>
        <x:v>Analytics Plus</x:v>
      </x:c>
      <x:c r="S1138" t="str">
        <x:f>IFERROR(XLOOKUP(F1138,Lookups!$D$5:$D$10,Lookups!$F$5:$F$10),"Unknown")</x:f>
        <x:v>Analytics</x:v>
      </x:c>
      <x:c r="T1138" t="str">
        <x:f>IF(L1138&gt;=50000,"Enterprise",IF(L1138&gt;=20000,"Mid-Market","SMB"))</x:f>
        <x:v>Mid-Market</x:v>
      </x:c>
      <x:c r="U1138" t="str">
        <x:f>IF(I1138="Closed Won","Won",IF(I1138="Closed Lost","Lost","Open"))</x:f>
        <x:v>Won</x:v>
      </x:c>
      <x:c r="V1138" s="22" t="n">
        <x:f>IF(U1138="Won",L1138*(1-M1138),0)</x:f>
        <x:v>44900</x:v>
      </x:c>
      <x:c r="W1138" s="22" t="n">
        <x:f>IF(U1138="Open",L1138*N1138,0)</x:f>
        <x:v>0</x:v>
      </x:c>
      <x:c r="X1138" s="26" t="n">
        <x:f>IF(U1138="Open","",IFERROR(K1138-B1138,""))</x:f>
        <x:v>65</x:v>
      </x:c>
      <x:c r="Y1138" s="26" t="n">
        <x:f>IF(U1138="Open",Lookups!$B$2-B1138,X1138)</x:f>
        <x:v>65</x:v>
      </x:c>
      <x:c r="Z1138" t="str">
        <x:f>IF(AND(U1138="Open",Y1138&gt;30),"STALE","OK")</x:f>
        <x:v>OK</x:v>
      </x:c>
      <x:c r="AA1138" t="str">
        <x:f>TEXT(B1138,"yyyy-mm")</x:f>
        <x:v>2025-03</x:v>
      </x:c>
      <x:c r="AB1138" t="str">
        <x:f>IF(K1138="","",TEXT(K1138,"yyyy-mm"))</x:f>
        <x:v>2025-05</x:v>
      </x:c>
      <x:c r="AC1138" t="str">
        <x:f>"Q"&amp;ROUNDUP(MONTH(B1138)/3,0)&amp;"-"&amp;YEAR(B1138)</x:f>
        <x:v>Q1-2025</x:v>
      </x:c>
      <x:c r="AD1138" s="26" t="n">
        <x:f>MIN(100,IF(H1138="Enterprise",30,IF(H1138="Mid-Market",22,14))+IF(T1138="Enterprise",25,IF(T1138="Mid-Market",18,10))+IF(Q1138="Referral",25,IF(Q1138="Organic Search",20,IF(Q1138="Email",18,14)))+IF(G1138="Technology",10,5))</x:f>
        <x:v>65</x:v>
      </x:c>
      <x:c r="AE1138" t="str">
        <x:f>IF(U1138&lt;&gt;"Open",U1138,IF(N1138&gt;=0.8,"Commit",IF(N1138&gt;=0.5,"Best Case","Pipeline")))</x:f>
        <x:v>Won</x:v>
      </x:c>
    </x:row>
    <x:row r="1139">
      <x:c r="A1139" t="str">
        <x:v>L01138</x:v>
      </x:c>
      <x:c r="B1139" s="10" t="n">
        <x:v>45826</x:v>
      </x:c>
      <x:c r="C1139" t="str">
        <x:v>An Nguyen</x:v>
      </x:c>
      <x:c r="D1139" t="str">
        <x:v>South</x:v>
      </x:c>
      <x:c r="E1139" t="str">
        <x:v>linkedin</x:v>
      </x:c>
      <x:c r="F1139" t="str">
        <x:v>CRM-CORE</x:v>
      </x:c>
      <x:c r="G1139" t="str">
        <x:v>Retail</x:v>
      </x:c>
      <x:c r="H1139" t="str">
        <x:v>SMB</x:v>
      </x:c>
      <x:c r="I1139" t="str">
        <x:v>Closed Lost</x:v>
      </x:c>
      <x:c r="J1139" s="10" t="n">
        <x:v>45869</x:v>
      </x:c>
      <x:c r="K1139" s="10" t="n">
        <x:v>45869</x:v>
      </x:c>
      <x:c r="L1139" s="22" t="n">
        <x:v>4900</x:v>
      </x:c>
      <x:c r="M1139" s="24" t="n">
        <x:v>0</x:v>
      </x:c>
      <x:c r="N1139" s="24" t="n">
        <x:v>0</x:v>
      </x:c>
      <x:c r="O1139" t="str">
        <x:v>Price</x:v>
      </x:c>
      <x:c r="P1139" t="n">
        <x:v>3</x:v>
      </x:c>
      <x:c r="Q1139" t="str">
        <x:f>IFERROR(XLOOKUP(E1139,Lookups!$A$5:$A$24,Lookups!$B$5:$B$24),"Other")</x:f>
        <x:v>LinkedIn</x:v>
      </x:c>
      <x:c r="R1139" t="str">
        <x:f>IFERROR(XLOOKUP(F1139,Lookups!$D$5:$D$10,Lookups!$E$5:$E$10),"Unknown Product")</x:f>
        <x:v>NexaCRM Core</x:v>
      </x:c>
      <x:c r="S1139" t="str">
        <x:f>IFERROR(XLOOKUP(F1139,Lookups!$D$5:$D$10,Lookups!$F$5:$F$10),"Unknown")</x:f>
        <x:v>CRM</x:v>
      </x:c>
      <x:c r="T1139" t="str">
        <x:f>IF(L1139&gt;=50000,"Enterprise",IF(L1139&gt;=20000,"Mid-Market","SMB"))</x:f>
        <x:v>SMB</x:v>
      </x:c>
      <x:c r="U1139" t="str">
        <x:f>IF(I1139="Closed Won","Won",IF(I1139="Closed Lost","Lost","Open"))</x:f>
        <x:v>Lost</x:v>
      </x:c>
      <x:c r="V1139" s="22" t="n">
        <x:f>IF(U1139="Won",L1139*(1-M1139),0)</x:f>
        <x:v>0</x:v>
      </x:c>
      <x:c r="W1139" s="22" t="n">
        <x:f>IF(U1139="Open",L1139*N1139,0)</x:f>
        <x:v>0</x:v>
      </x:c>
      <x:c r="X1139" s="26" t="n">
        <x:f>IF(U1139="Open","",IFERROR(K1139-B1139,""))</x:f>
        <x:v>43</x:v>
      </x:c>
      <x:c r="Y1139" s="26" t="n">
        <x:f>IF(U1139="Open",Lookups!$B$2-B1139,X1139)</x:f>
        <x:v>43</x:v>
      </x:c>
      <x:c r="Z1139" t="str">
        <x:f>IF(AND(U1139="Open",Y1139&gt;30),"STALE","OK")</x:f>
        <x:v>OK</x:v>
      </x:c>
      <x:c r="AA1139" t="str">
        <x:f>TEXT(B1139,"yyyy-mm")</x:f>
        <x:v>2025-06</x:v>
      </x:c>
      <x:c r="AB1139" t="str">
        <x:f>IF(K1139="","",TEXT(K1139,"yyyy-mm"))</x:f>
        <x:v>2025-07</x:v>
      </x:c>
      <x:c r="AC1139" t="str">
        <x:f>"Q"&amp;ROUNDUP(MONTH(B1139)/3,0)&amp;"-"&amp;YEAR(B1139)</x:f>
        <x:v>Q2-2025</x:v>
      </x:c>
      <x:c r="AD1139" s="26" t="n">
        <x:f>MIN(100,IF(H1139="Enterprise",30,IF(H1139="Mid-Market",22,14))+IF(T1139="Enterprise",25,IF(T1139="Mid-Market",18,10))+IF(Q1139="Referral",25,IF(Q1139="Organic Search",20,IF(Q1139="Email",18,14)))+IF(G1139="Technology",10,5))</x:f>
        <x:v>43</x:v>
      </x:c>
      <x:c r="AE1139" t="str">
        <x:f>IF(U1139&lt;&gt;"Open",U1139,IF(N1139&gt;=0.8,"Commit",IF(N1139&gt;=0.5,"Best Case","Pipeline")))</x:f>
        <x:v>Lost</x:v>
      </x:c>
    </x:row>
    <x:row r="1140">
      <x:c r="A1140" t="str">
        <x:v>L01139</x:v>
      </x:c>
      <x:c r="B1140" s="10" t="n">
        <x:v>45927</x:v>
      </x:c>
      <x:c r="C1140" t="str">
        <x:v>Duy Pham</x:v>
      </x:c>
      <x:c r="D1140" t="str">
        <x:v>South</x:v>
      </x:c>
      <x:c r="E1140" t="str">
        <x:v>Google Ads</x:v>
      </x:c>
      <x:c r="F1140" t="str">
        <x:v>MKT-AUTO</x:v>
      </x:c>
      <x:c r="G1140" t="str">
        <x:v>Manufacturing</x:v>
      </x:c>
      <x:c r="H1140" t="str">
        <x:v>Mid-Market</x:v>
      </x:c>
      <x:c r="I1140" t="str">
        <x:v>Closed Lost</x:v>
      </x:c>
      <x:c r="J1140" s="10" t="n">
        <x:v>46010</x:v>
      </x:c>
      <x:c r="K1140" s="10" t="n">
        <x:v>46010</x:v>
      </x:c>
      <x:c r="L1140" s="22" t="n">
        <x:v>27400</x:v>
      </x:c>
      <x:c r="M1140" s="24" t="n">
        <x:v>0</x:v>
      </x:c>
      <x:c r="N1140" s="24" t="n">
        <x:v>0</x:v>
      </x:c>
      <x:c r="O1140" t="str">
        <x:v>Timing</x:v>
      </x:c>
      <x:c r="P1140" t="n">
        <x:v>3</x:v>
      </x:c>
      <x:c r="Q1140" t="str">
        <x:f>IFERROR(XLOOKUP(E1140,Lookups!$A$5:$A$24,Lookups!$B$5:$B$24),"Other")</x:f>
        <x:v>Paid Search</x:v>
      </x:c>
      <x:c r="R1140" t="str">
        <x:f>IFERROR(XLOOKUP(F1140,Lookups!$D$5:$D$10,Lookups!$E$5:$E$10),"Unknown Product")</x:f>
        <x:v>Marketing Automation</x:v>
      </x:c>
      <x:c r="S1140" t="str">
        <x:f>IFERROR(XLOOKUP(F1140,Lookups!$D$5:$D$10,Lookups!$F$5:$F$10),"Unknown")</x:f>
        <x:v>Marketing</x:v>
      </x:c>
      <x:c r="T1140" t="str">
        <x:f>IF(L1140&gt;=50000,"Enterprise",IF(L1140&gt;=20000,"Mid-Market","SMB"))</x:f>
        <x:v>Mid-Market</x:v>
      </x:c>
      <x:c r="U1140" t="str">
        <x:f>IF(I1140="Closed Won","Won",IF(I1140="Closed Lost","Lost","Open"))</x:f>
        <x:v>Lost</x:v>
      </x:c>
      <x:c r="V1140" s="22" t="n">
        <x:f>IF(U1140="Won",L1140*(1-M1140),0)</x:f>
        <x:v>0</x:v>
      </x:c>
      <x:c r="W1140" s="22" t="n">
        <x:f>IF(U1140="Open",L1140*N1140,0)</x:f>
        <x:v>0</x:v>
      </x:c>
      <x:c r="X1140" s="26" t="n">
        <x:f>IF(U1140="Open","",IFERROR(K1140-B1140,""))</x:f>
        <x:v>83</x:v>
      </x:c>
      <x:c r="Y1140" s="26" t="n">
        <x:f>IF(U1140="Open",Lookups!$B$2-B1140,X1140)</x:f>
        <x:v>83</x:v>
      </x:c>
      <x:c r="Z1140" t="str">
        <x:f>IF(AND(U1140="Open",Y1140&gt;30),"STALE","OK")</x:f>
        <x:v>OK</x:v>
      </x:c>
      <x:c r="AA1140" t="str">
        <x:f>TEXT(B1140,"yyyy-mm")</x:f>
        <x:v>2025-09</x:v>
      </x:c>
      <x:c r="AB1140" t="str">
        <x:f>IF(K1140="","",TEXT(K1140,"yyyy-mm"))</x:f>
        <x:v>2025-12</x:v>
      </x:c>
      <x:c r="AC1140" t="str">
        <x:f>"Q"&amp;ROUNDUP(MONTH(B1140)/3,0)&amp;"-"&amp;YEAR(B1140)</x:f>
        <x:v>Q3-2025</x:v>
      </x:c>
      <x:c r="AD1140" s="26" t="n">
        <x:f>MIN(100,IF(H1140="Enterprise",30,IF(H1140="Mid-Market",22,14))+IF(T1140="Enterprise",25,IF(T1140="Mid-Market",18,10))+IF(Q1140="Referral",25,IF(Q1140="Organic Search",20,IF(Q1140="Email",18,14)))+IF(G1140="Technology",10,5))</x:f>
        <x:v>59</x:v>
      </x:c>
      <x:c r="AE1140" t="str">
        <x:f>IF(U1140&lt;&gt;"Open",U1140,IF(N1140&gt;=0.8,"Commit",IF(N1140&gt;=0.5,"Best Case","Pipeline")))</x:f>
        <x:v>Lost</x:v>
      </x:c>
    </x:row>
    <x:row r="1141">
      <x:c r="A1141" t="str">
        <x:v>L01140</x:v>
      </x:c>
      <x:c r="B1141" s="10" t="n">
        <x:v>45889</x:v>
      </x:c>
      <x:c r="C1141" t="str">
        <x:v>Bao Tran</x:v>
      </x:c>
      <x:c r="D1141" t="str">
        <x:v>South</x:v>
      </x:c>
      <x:c r="E1141" t="str">
        <x:v>Google Organic</x:v>
      </x:c>
      <x:c r="F1141" t="str">
        <x:v>CRM-PRO</x:v>
      </x:c>
      <x:c r="G1141" t="str">
        <x:v>Financial Services</x:v>
      </x:c>
      <x:c r="H1141" t="str">
        <x:v>Mid-Market</x:v>
      </x:c>
      <x:c r="I1141" t="str">
        <x:v>Closed Won</x:v>
      </x:c>
      <x:c r="J1141" s="10" t="n">
        <x:v>45991</x:v>
      </x:c>
      <x:c r="K1141" s="10" t="n">
        <x:v>45991</x:v>
      </x:c>
      <x:c r="L1141" s="22" t="n">
        <x:v>21600</x:v>
      </x:c>
      <x:c r="M1141" s="24" t="n">
        <x:v>0.1</x:v>
      </x:c>
      <x:c r="N1141" s="24" t="n">
        <x:v>1</x:v>
      </x:c>
      <x:c r="O1141" t="str"/>
      <x:c r="P1141" t="n">
        <x:v>6</x:v>
      </x:c>
      <x:c r="Q1141" t="str">
        <x:f>IFERROR(XLOOKUP(E1141,Lookups!$A$5:$A$24,Lookups!$B$5:$B$24),"Other")</x:f>
        <x:v>Organic Search</x:v>
      </x:c>
      <x:c r="R1141" t="str">
        <x:f>IFERROR(XLOOKUP(F1141,Lookups!$D$5:$D$10,Lookups!$E$5:$E$10),"Unknown Product")</x:f>
        <x:v>NexaCRM Pro</x:v>
      </x:c>
      <x:c r="S1141" t="str">
        <x:f>IFERROR(XLOOKUP(F1141,Lookups!$D$5:$D$10,Lookups!$F$5:$F$10),"Unknown")</x:f>
        <x:v>CRM</x:v>
      </x:c>
      <x:c r="T1141" t="str">
        <x:f>IF(L1141&gt;=50000,"Enterprise",IF(L1141&gt;=20000,"Mid-Market","SMB"))</x:f>
        <x:v>Mid-Market</x:v>
      </x:c>
      <x:c r="U1141" t="str">
        <x:f>IF(I1141="Closed Won","Won",IF(I1141="Closed Lost","Lost","Open"))</x:f>
        <x:v>Won</x:v>
      </x:c>
      <x:c r="V1141" s="22" t="n">
        <x:f>IF(U1141="Won",L1141*(1-M1141),0)</x:f>
        <x:v>19440</x:v>
      </x:c>
      <x:c r="W1141" s="22" t="n">
        <x:f>IF(U1141="Open",L1141*N1141,0)</x:f>
        <x:v>0</x:v>
      </x:c>
      <x:c r="X1141" s="26" t="n">
        <x:f>IF(U1141="Open","",IFERROR(K1141-B1141,""))</x:f>
        <x:v>102</x:v>
      </x:c>
      <x:c r="Y1141" s="26" t="n">
        <x:f>IF(U1141="Open",Lookups!$B$2-B1141,X1141)</x:f>
        <x:v>102</x:v>
      </x:c>
      <x:c r="Z1141" t="str">
        <x:f>IF(AND(U1141="Open",Y1141&gt;30),"STALE","OK")</x:f>
        <x:v>OK</x:v>
      </x:c>
      <x:c r="AA1141" t="str">
        <x:f>TEXT(B1141,"yyyy-mm")</x:f>
        <x:v>2025-08</x:v>
      </x:c>
      <x:c r="AB1141" t="str">
        <x:f>IF(K1141="","",TEXT(K1141,"yyyy-mm"))</x:f>
        <x:v>2025-11</x:v>
      </x:c>
      <x:c r="AC1141" t="str">
        <x:f>"Q"&amp;ROUNDUP(MONTH(B1141)/3,0)&amp;"-"&amp;YEAR(B1141)</x:f>
        <x:v>Q3-2025</x:v>
      </x:c>
      <x:c r="AD1141" s="26" t="n">
        <x:f>MIN(100,IF(H1141="Enterprise",30,IF(H1141="Mid-Market",22,14))+IF(T1141="Enterprise",25,IF(T1141="Mid-Market",18,10))+IF(Q1141="Referral",25,IF(Q1141="Organic Search",20,IF(Q1141="Email",18,14)))+IF(G1141="Technology",10,5))</x:f>
        <x:v>65</x:v>
      </x:c>
      <x:c r="AE1141" t="str">
        <x:f>IF(U1141&lt;&gt;"Open",U1141,IF(N1141&gt;=0.8,"Commit",IF(N1141&gt;=0.5,"Best Case","Pipeline")))</x:f>
        <x:v>Won</x:v>
      </x:c>
    </x:row>
    <x:row r="1142">
      <x:c r="A1142" t="str">
        <x:v>L01141</x:v>
      </x:c>
      <x:c r="B1142" s="10" t="n">
        <x:v>45712</x:v>
      </x:c>
      <x:c r="C1142" t="str">
        <x:v>Ha Vo</x:v>
      </x:c>
      <x:c r="D1142" t="str">
        <x:v>North</x:v>
      </x:c>
      <x:c r="E1142" t="str">
        <x:v>LI Ads</x:v>
      </x:c>
      <x:c r="F1142" t="str">
        <x:v>CS-CLOUD</x:v>
      </x:c>
      <x:c r="G1142" t="str">
        <x:v>Healthcare</x:v>
      </x:c>
      <x:c r="H1142" t="str">
        <x:v>SMB</x:v>
      </x:c>
      <x:c r="I1142" t="str">
        <x:v>Closed Lost</x:v>
      </x:c>
      <x:c r="J1142" s="10" t="n">
        <x:v>45755</x:v>
      </x:c>
      <x:c r="K1142" s="10" t="n">
        <x:v>45755</x:v>
      </x:c>
      <x:c r="L1142" s="22" t="n">
        <x:v>14100</x:v>
      </x:c>
      <x:c r="M1142" s="24" t="n">
        <x:v>0</x:v>
      </x:c>
      <x:c r="N1142" s="24" t="n">
        <x:v>0</x:v>
      </x:c>
      <x:c r="O1142" t="str">
        <x:v>Timing</x:v>
      </x:c>
      <x:c r="P1142" t="n">
        <x:v>2</x:v>
      </x:c>
      <x:c r="Q1142" t="str">
        <x:f>IFERROR(XLOOKUP(E1142,Lookups!$A$5:$A$24,Lookups!$B$5:$B$24),"Other")</x:f>
        <x:v>LinkedIn</x:v>
      </x:c>
      <x:c r="R1142" t="str">
        <x:f>IFERROR(XLOOKUP(F1142,Lookups!$D$5:$D$10,Lookups!$E$5:$E$10),"Unknown Product")</x:f>
        <x:v>Service Cloud</x:v>
      </x:c>
      <x:c r="S1142" t="str">
        <x:f>IFERROR(XLOOKUP(F1142,Lookups!$D$5:$D$10,Lookups!$F$5:$F$10),"Unknown")</x:f>
        <x:v>Customer Service</x:v>
      </x:c>
      <x:c r="T1142" t="str">
        <x:f>IF(L1142&gt;=50000,"Enterprise",IF(L1142&gt;=20000,"Mid-Market","SMB"))</x:f>
        <x:v>SMB</x:v>
      </x:c>
      <x:c r="U1142" t="str">
        <x:f>IF(I1142="Closed Won","Won",IF(I1142="Closed Lost","Lost","Open"))</x:f>
        <x:v>Lost</x:v>
      </x:c>
      <x:c r="V1142" s="22" t="n">
        <x:f>IF(U1142="Won",L1142*(1-M1142),0)</x:f>
        <x:v>0</x:v>
      </x:c>
      <x:c r="W1142" s="22" t="n">
        <x:f>IF(U1142="Open",L1142*N1142,0)</x:f>
        <x:v>0</x:v>
      </x:c>
      <x:c r="X1142" s="26" t="n">
        <x:f>IF(U1142="Open","",IFERROR(K1142-B1142,""))</x:f>
        <x:v>43</x:v>
      </x:c>
      <x:c r="Y1142" s="26" t="n">
        <x:f>IF(U1142="Open",Lookups!$B$2-B1142,X1142)</x:f>
        <x:v>43</x:v>
      </x:c>
      <x:c r="Z1142" t="str">
        <x:f>IF(AND(U1142="Open",Y1142&gt;30),"STALE","OK")</x:f>
        <x:v>OK</x:v>
      </x:c>
      <x:c r="AA1142" t="str">
        <x:f>TEXT(B1142,"yyyy-mm")</x:f>
        <x:v>2025-02</x:v>
      </x:c>
      <x:c r="AB1142" t="str">
        <x:f>IF(K1142="","",TEXT(K1142,"yyyy-mm"))</x:f>
        <x:v>2025-04</x:v>
      </x:c>
      <x:c r="AC1142" t="str">
        <x:f>"Q"&amp;ROUNDUP(MONTH(B1142)/3,0)&amp;"-"&amp;YEAR(B1142)</x:f>
        <x:v>Q1-2025</x:v>
      </x:c>
      <x:c r="AD1142" s="26" t="n">
        <x:f>MIN(100,IF(H1142="Enterprise",30,IF(H1142="Mid-Market",22,14))+IF(T1142="Enterprise",25,IF(T1142="Mid-Market",18,10))+IF(Q1142="Referral",25,IF(Q1142="Organic Search",20,IF(Q1142="Email",18,14)))+IF(G1142="Technology",10,5))</x:f>
        <x:v>43</x:v>
      </x:c>
      <x:c r="AE1142" t="str">
        <x:f>IF(U1142&lt;&gt;"Open",U1142,IF(N1142&gt;=0.8,"Commit",IF(N1142&gt;=0.5,"Best Case","Pipeline")))</x:f>
        <x:v>Lost</x:v>
      </x:c>
    </x:row>
    <x:row r="1143">
      <x:c r="A1143" t="str">
        <x:v>L01142</x:v>
      </x:c>
      <x:c r="B1143" s="10" t="n">
        <x:v>46037</x:v>
      </x:c>
      <x:c r="C1143" t="str">
        <x:v>Chi Le</x:v>
      </x:c>
      <x:c r="D1143" t="str">
        <x:v>South</x:v>
      </x:c>
      <x:c r="E1143" t="str">
        <x:v>Partner Referral</x:v>
      </x:c>
      <x:c r="F1143" t="str">
        <x:v>REV-OPS</x:v>
      </x:c>
      <x:c r="G1143" t="str">
        <x:v>Retail</x:v>
      </x:c>
      <x:c r="H1143" t="str">
        <x:v>Mid-Market</x:v>
      </x:c>
      <x:c r="I1143" t="str">
        <x:v>Closed Lost</x:v>
      </x:c>
      <x:c r="J1143" s="10" t="n">
        <x:v>46086</x:v>
      </x:c>
      <x:c r="K1143" s="10" t="n">
        <x:v>46086</x:v>
      </x:c>
      <x:c r="L1143" s="22" t="n">
        <x:v>83100</x:v>
      </x:c>
      <x:c r="M1143" s="24" t="n">
        <x:v>0</x:v>
      </x:c>
      <x:c r="N1143" s="24" t="n">
        <x:v>0</x:v>
      </x:c>
      <x:c r="O1143" t="str">
        <x:v>Feature Gap</x:v>
      </x:c>
      <x:c r="P1143" t="n">
        <x:v>5</x:v>
      </x:c>
      <x:c r="Q1143" t="str">
        <x:f>IFERROR(XLOOKUP(E1143,Lookups!$A$5:$A$24,Lookups!$B$5:$B$24),"Other")</x:f>
        <x:v>Referral</x:v>
      </x:c>
      <x:c r="R1143" t="str">
        <x:f>IFERROR(XLOOKUP(F1143,Lookups!$D$5:$D$10,Lookups!$E$5:$E$10),"Unknown Product")</x:f>
        <x:v>Revenue Operations Suite</x:v>
      </x:c>
      <x:c r="S1143" t="str">
        <x:f>IFERROR(XLOOKUP(F1143,Lookups!$D$5:$D$10,Lookups!$F$5:$F$10),"Unknown")</x:f>
        <x:v>Revenue Ops</x:v>
      </x:c>
      <x:c r="T1143" t="str">
        <x:f>IF(L1143&gt;=50000,"Enterprise",IF(L1143&gt;=20000,"Mid-Market","SMB"))</x:f>
        <x:v>Enterprise</x:v>
      </x:c>
      <x:c r="U1143" t="str">
        <x:f>IF(I1143="Closed Won","Won",IF(I1143="Closed Lost","Lost","Open"))</x:f>
        <x:v>Lost</x:v>
      </x:c>
      <x:c r="V1143" s="22" t="n">
        <x:f>IF(U1143="Won",L1143*(1-M1143),0)</x:f>
        <x:v>0</x:v>
      </x:c>
      <x:c r="W1143" s="22" t="n">
        <x:f>IF(U1143="Open",L1143*N1143,0)</x:f>
        <x:v>0</x:v>
      </x:c>
      <x:c r="X1143" s="26" t="n">
        <x:f>IF(U1143="Open","",IFERROR(K1143-B1143,""))</x:f>
        <x:v>49</x:v>
      </x:c>
      <x:c r="Y1143" s="26" t="n">
        <x:f>IF(U1143="Open",Lookups!$B$2-B1143,X1143)</x:f>
        <x:v>49</x:v>
      </x:c>
      <x:c r="Z1143" t="str">
        <x:f>IF(AND(U1143="Open",Y1143&gt;30),"STALE","OK")</x:f>
        <x:v>OK</x:v>
      </x:c>
      <x:c r="AA1143" t="str">
        <x:f>TEXT(B1143,"yyyy-mm")</x:f>
        <x:v>2026-01</x:v>
      </x:c>
      <x:c r="AB1143" t="str">
        <x:f>IF(K1143="","",TEXT(K1143,"yyyy-mm"))</x:f>
        <x:v>2026-03</x:v>
      </x:c>
      <x:c r="AC1143" t="str">
        <x:f>"Q"&amp;ROUNDUP(MONTH(B1143)/3,0)&amp;"-"&amp;YEAR(B1143)</x:f>
        <x:v>Q1-2026</x:v>
      </x:c>
      <x:c r="AD1143" s="26" t="n">
        <x:f>MIN(100,IF(H1143="Enterprise",30,IF(H1143="Mid-Market",22,14))+IF(T1143="Enterprise",25,IF(T1143="Mid-Market",18,10))+IF(Q1143="Referral",25,IF(Q1143="Organic Search",20,IF(Q1143="Email",18,14)))+IF(G1143="Technology",10,5))</x:f>
        <x:v>77</x:v>
      </x:c>
      <x:c r="AE1143" t="str">
        <x:f>IF(U1143&lt;&gt;"Open",U1143,IF(N1143&gt;=0.8,"Commit",IF(N1143&gt;=0.5,"Best Case","Pipeline")))</x:f>
        <x:v>Lost</x:v>
      </x:c>
    </x:row>
    <x:row r="1144">
      <x:c r="A1144" t="str">
        <x:v>L01143</x:v>
      </x:c>
      <x:c r="B1144" s="10" t="n">
        <x:v>45805</x:v>
      </x:c>
      <x:c r="C1144" t="str">
        <x:v>Ha Vo</x:v>
      </x:c>
      <x:c r="D1144" t="str">
        <x:v>North</x:v>
      </x:c>
      <x:c r="E1144" t="str">
        <x:v>google cpc</x:v>
      </x:c>
      <x:c r="F1144" t="str">
        <x:v>CS-CLOUD</x:v>
      </x:c>
      <x:c r="G1144" t="str">
        <x:v>Manufacturing</x:v>
      </x:c>
      <x:c r="H1144" t="str">
        <x:v>Enterprise</x:v>
      </x:c>
      <x:c r="I1144" t="str">
        <x:v>Closed Lost</x:v>
      </x:c>
      <x:c r="J1144" s="10" t="n">
        <x:v>45835</x:v>
      </x:c>
      <x:c r="K1144" s="10" t="n">
        <x:v>45835</x:v>
      </x:c>
      <x:c r="L1144" s="22" t="n">
        <x:v>92200</x:v>
      </x:c>
      <x:c r="M1144" s="24" t="n">
        <x:v>0</x:v>
      </x:c>
      <x:c r="N1144" s="24" t="n">
        <x:v>0</x:v>
      </x:c>
      <x:c r="O1144" t="str">
        <x:v>Budget</x:v>
      </x:c>
      <x:c r="P1144" t="n">
        <x:v>3</x:v>
      </x:c>
      <x:c r="Q1144" t="str">
        <x:f>IFERROR(XLOOKUP(E1144,Lookups!$A$5:$A$24,Lookups!$B$5:$B$24),"Other")</x:f>
        <x:v>Paid Search</x:v>
      </x:c>
      <x:c r="R1144" t="str">
        <x:f>IFERROR(XLOOKUP(F1144,Lookups!$D$5:$D$10,Lookups!$E$5:$E$10),"Unknown Product")</x:f>
        <x:v>Service Cloud</x:v>
      </x:c>
      <x:c r="S1144" t="str">
        <x:f>IFERROR(XLOOKUP(F1144,Lookups!$D$5:$D$10,Lookups!$F$5:$F$10),"Unknown")</x:f>
        <x:v>Customer Service</x:v>
      </x:c>
      <x:c r="T1144" t="str">
        <x:f>IF(L1144&gt;=50000,"Enterprise",IF(L1144&gt;=20000,"Mid-Market","SMB"))</x:f>
        <x:v>Enterprise</x:v>
      </x:c>
      <x:c r="U1144" t="str">
        <x:f>IF(I1144="Closed Won","Won",IF(I1144="Closed Lost","Lost","Open"))</x:f>
        <x:v>Lost</x:v>
      </x:c>
      <x:c r="V1144" s="22" t="n">
        <x:f>IF(U1144="Won",L1144*(1-M1144),0)</x:f>
        <x:v>0</x:v>
      </x:c>
      <x:c r="W1144" s="22" t="n">
        <x:f>IF(U1144="Open",L1144*N1144,0)</x:f>
        <x:v>0</x:v>
      </x:c>
      <x:c r="X1144" s="26" t="n">
        <x:f>IF(U1144="Open","",IFERROR(K1144-B1144,""))</x:f>
        <x:v>30</x:v>
      </x:c>
      <x:c r="Y1144" s="26" t="n">
        <x:f>IF(U1144="Open",Lookups!$B$2-B1144,X1144)</x:f>
        <x:v>30</x:v>
      </x:c>
      <x:c r="Z1144" t="str">
        <x:f>IF(AND(U1144="Open",Y1144&gt;30),"STALE","OK")</x:f>
        <x:v>OK</x:v>
      </x:c>
      <x:c r="AA1144" t="str">
        <x:f>TEXT(B1144,"yyyy-mm")</x:f>
        <x:v>2025-05</x:v>
      </x:c>
      <x:c r="AB1144" t="str">
        <x:f>IF(K1144="","",TEXT(K1144,"yyyy-mm"))</x:f>
        <x:v>2025-06</x:v>
      </x:c>
      <x:c r="AC1144" t="str">
        <x:f>"Q"&amp;ROUNDUP(MONTH(B1144)/3,0)&amp;"-"&amp;YEAR(B1144)</x:f>
        <x:v>Q2-2025</x:v>
      </x:c>
      <x:c r="AD1144" s="26" t="n">
        <x:f>MIN(100,IF(H1144="Enterprise",30,IF(H1144="Mid-Market",22,14))+IF(T1144="Enterprise",25,IF(T1144="Mid-Market",18,10))+IF(Q1144="Referral",25,IF(Q1144="Organic Search",20,IF(Q1144="Email",18,14)))+IF(G1144="Technology",10,5))</x:f>
        <x:v>74</x:v>
      </x:c>
      <x:c r="AE1144" t="str">
        <x:f>IF(U1144&lt;&gt;"Open",U1144,IF(N1144&gt;=0.8,"Commit",IF(N1144&gt;=0.5,"Best Case","Pipeline")))</x:f>
        <x:v>Lost</x:v>
      </x:c>
    </x:row>
    <x:row r="1145">
      <x:c r="A1145" t="str">
        <x:v>L01144</x:v>
      </x:c>
      <x:c r="B1145" s="10" t="n">
        <x:v>45663</x:v>
      </x:c>
      <x:c r="C1145" t="str">
        <x:v>Minh Do</x:v>
      </x:c>
      <x:c r="D1145" t="str">
        <x:v>North</x:v>
      </x:c>
      <x:c r="E1145" t="str">
        <x:v>customer referral</x:v>
      </x:c>
      <x:c r="F1145" t="str">
        <x:v>CRM-PRO</x:v>
      </x:c>
      <x:c r="G1145" t="str">
        <x:v>Manufacturing</x:v>
      </x:c>
      <x:c r="H1145" t="str">
        <x:v>SMB</x:v>
      </x:c>
      <x:c r="I1145" t="str">
        <x:v>Closed Won</x:v>
      </x:c>
      <x:c r="J1145" s="10" t="n">
        <x:v>45732</x:v>
      </x:c>
      <x:c r="K1145" s="10" t="n">
        <x:v>45732</x:v>
      </x:c>
      <x:c r="L1145" s="22" t="n">
        <x:v>23000</x:v>
      </x:c>
      <x:c r="M1145" s="24" t="n">
        <x:v>0.1</x:v>
      </x:c>
      <x:c r="N1145" s="24" t="n">
        <x:v>1</x:v>
      </x:c>
      <x:c r="O1145" t="str"/>
      <x:c r="P1145" t="n">
        <x:v>6</x:v>
      </x:c>
      <x:c r="Q1145" t="str">
        <x:f>IFERROR(XLOOKUP(E1145,Lookups!$A$5:$A$24,Lookups!$B$5:$B$24),"Other")</x:f>
        <x:v>Referral</x:v>
      </x:c>
      <x:c r="R1145" t="str">
        <x:f>IFERROR(XLOOKUP(F1145,Lookups!$D$5:$D$10,Lookups!$E$5:$E$10),"Unknown Product")</x:f>
        <x:v>NexaCRM Pro</x:v>
      </x:c>
      <x:c r="S1145" t="str">
        <x:f>IFERROR(XLOOKUP(F1145,Lookups!$D$5:$D$10,Lookups!$F$5:$F$10),"Unknown")</x:f>
        <x:v>CRM</x:v>
      </x:c>
      <x:c r="T1145" t="str">
        <x:f>IF(L1145&gt;=50000,"Enterprise",IF(L1145&gt;=20000,"Mid-Market","SMB"))</x:f>
        <x:v>Mid-Market</x:v>
      </x:c>
      <x:c r="U1145" t="str">
        <x:f>IF(I1145="Closed Won","Won",IF(I1145="Closed Lost","Lost","Open"))</x:f>
        <x:v>Won</x:v>
      </x:c>
      <x:c r="V1145" s="22" t="n">
        <x:f>IF(U1145="Won",L1145*(1-M1145),0)</x:f>
        <x:v>20700</x:v>
      </x:c>
      <x:c r="W1145" s="22" t="n">
        <x:f>IF(U1145="Open",L1145*N1145,0)</x:f>
        <x:v>0</x:v>
      </x:c>
      <x:c r="X1145" s="26" t="n">
        <x:f>IF(U1145="Open","",IFERROR(K1145-B1145,""))</x:f>
        <x:v>69</x:v>
      </x:c>
      <x:c r="Y1145" s="26" t="n">
        <x:f>IF(U1145="Open",Lookups!$B$2-B1145,X1145)</x:f>
        <x:v>69</x:v>
      </x:c>
      <x:c r="Z1145" t="str">
        <x:f>IF(AND(U1145="Open",Y1145&gt;30),"STALE","OK")</x:f>
        <x:v>OK</x:v>
      </x:c>
      <x:c r="AA1145" t="str">
        <x:f>TEXT(B1145,"yyyy-mm")</x:f>
        <x:v>2025-01</x:v>
      </x:c>
      <x:c r="AB1145" t="str">
        <x:f>IF(K1145="","",TEXT(K1145,"yyyy-mm"))</x:f>
        <x:v>2025-03</x:v>
      </x:c>
      <x:c r="AC1145" t="str">
        <x:f>"Q"&amp;ROUNDUP(MONTH(B1145)/3,0)&amp;"-"&amp;YEAR(B1145)</x:f>
        <x:v>Q1-2025</x:v>
      </x:c>
      <x:c r="AD1145" s="26" t="n">
        <x:f>MIN(100,IF(H1145="Enterprise",30,IF(H1145="Mid-Market",22,14))+IF(T1145="Enterprise",25,IF(T1145="Mid-Market",18,10))+IF(Q1145="Referral",25,IF(Q1145="Organic Search",20,IF(Q1145="Email",18,14)))+IF(G1145="Technology",10,5))</x:f>
        <x:v>62</x:v>
      </x:c>
      <x:c r="AE1145" t="str">
        <x:f>IF(U1145&lt;&gt;"Open",U1145,IF(N1145&gt;=0.8,"Commit",IF(N1145&gt;=0.5,"Best Case","Pipeline")))</x:f>
        <x:v>Won</x:v>
      </x:c>
    </x:row>
    <x:row r="1146">
      <x:c r="A1146" t="str">
        <x:v>L01145</x:v>
      </x:c>
      <x:c r="B1146" s="10" t="n">
        <x:v>45802</x:v>
      </x:c>
      <x:c r="C1146" t="str">
        <x:v>Ha Vo</x:v>
      </x:c>
      <x:c r="D1146" t="str">
        <x:v>North</x:v>
      </x:c>
      <x:c r="E1146" t="str">
        <x:v>LinkedIn Ads</x:v>
      </x:c>
      <x:c r="F1146" t="str">
        <x:v>MKT-AUTO</x:v>
      </x:c>
      <x:c r="G1146" t="str">
        <x:v>Manufacturing</x:v>
      </x:c>
      <x:c r="H1146" t="str">
        <x:v>SMB</x:v>
      </x:c>
      <x:c r="I1146" t="str">
        <x:v>Closed Lost</x:v>
      </x:c>
      <x:c r="J1146" s="10" t="n">
        <x:v>45886</x:v>
      </x:c>
      <x:c r="K1146" s="10" t="n">
        <x:v>45886</x:v>
      </x:c>
      <x:c r="L1146" s="22" t="n">
        <x:v>9600</x:v>
      </x:c>
      <x:c r="M1146" s="24" t="n">
        <x:v>0</x:v>
      </x:c>
      <x:c r="N1146" s="24" t="n">
        <x:v>0</x:v>
      </x:c>
      <x:c r="O1146" t="str">
        <x:v>Timing</x:v>
      </x:c>
      <x:c r="P1146" t="n">
        <x:v>5</x:v>
      </x:c>
      <x:c r="Q1146" t="str">
        <x:f>IFERROR(XLOOKUP(E1146,Lookups!$A$5:$A$24,Lookups!$B$5:$B$24),"Other")</x:f>
        <x:v>LinkedIn</x:v>
      </x:c>
      <x:c r="R1146" t="str">
        <x:f>IFERROR(XLOOKUP(F1146,Lookups!$D$5:$D$10,Lookups!$E$5:$E$10),"Unknown Product")</x:f>
        <x:v>Marketing Automation</x:v>
      </x:c>
      <x:c r="S1146" t="str">
        <x:f>IFERROR(XLOOKUP(F1146,Lookups!$D$5:$D$10,Lookups!$F$5:$F$10),"Unknown")</x:f>
        <x:v>Marketing</x:v>
      </x:c>
      <x:c r="T1146" t="str">
        <x:f>IF(L1146&gt;=50000,"Enterprise",IF(L1146&gt;=20000,"Mid-Market","SMB"))</x:f>
        <x:v>SMB</x:v>
      </x:c>
      <x:c r="U1146" t="str">
        <x:f>IF(I1146="Closed Won","Won",IF(I1146="Closed Lost","Lost","Open"))</x:f>
        <x:v>Lost</x:v>
      </x:c>
      <x:c r="V1146" s="22" t="n">
        <x:f>IF(U1146="Won",L1146*(1-M1146),0)</x:f>
        <x:v>0</x:v>
      </x:c>
      <x:c r="W1146" s="22" t="n">
        <x:f>IF(U1146="Open",L1146*N1146,0)</x:f>
        <x:v>0</x:v>
      </x:c>
      <x:c r="X1146" s="26" t="n">
        <x:f>IF(U1146="Open","",IFERROR(K1146-B1146,""))</x:f>
        <x:v>84</x:v>
      </x:c>
      <x:c r="Y1146" s="26" t="n">
        <x:f>IF(U1146="Open",Lookups!$B$2-B1146,X1146)</x:f>
        <x:v>84</x:v>
      </x:c>
      <x:c r="Z1146" t="str">
        <x:f>IF(AND(U1146="Open",Y1146&gt;30),"STALE","OK")</x:f>
        <x:v>OK</x:v>
      </x:c>
      <x:c r="AA1146" t="str">
        <x:f>TEXT(B1146,"yyyy-mm")</x:f>
        <x:v>2025-05</x:v>
      </x:c>
      <x:c r="AB1146" t="str">
        <x:f>IF(K1146="","",TEXT(K1146,"yyyy-mm"))</x:f>
        <x:v>2025-08</x:v>
      </x:c>
      <x:c r="AC1146" t="str">
        <x:f>"Q"&amp;ROUNDUP(MONTH(B1146)/3,0)&amp;"-"&amp;YEAR(B1146)</x:f>
        <x:v>Q2-2025</x:v>
      </x:c>
      <x:c r="AD1146" s="26" t="n">
        <x:f>MIN(100,IF(H1146="Enterprise",30,IF(H1146="Mid-Market",22,14))+IF(T1146="Enterprise",25,IF(T1146="Mid-Market",18,10))+IF(Q1146="Referral",25,IF(Q1146="Organic Search",20,IF(Q1146="Email",18,14)))+IF(G1146="Technology",10,5))</x:f>
        <x:v>43</x:v>
      </x:c>
      <x:c r="AE1146" t="str">
        <x:f>IF(U1146&lt;&gt;"Open",U1146,IF(N1146&gt;=0.8,"Commit",IF(N1146&gt;=0.5,"Best Case","Pipeline")))</x:f>
        <x:v>Lost</x:v>
      </x:c>
    </x:row>
    <x:row r="1147">
      <x:c r="A1147" t="str">
        <x:v>L01146</x:v>
      </x:c>
      <x:c r="B1147" s="10" t="n">
        <x:v>45789</x:v>
      </x:c>
      <x:c r="C1147" t="str">
        <x:v>Duy Pham</x:v>
      </x:c>
      <x:c r="D1147" t="str">
        <x:v>South</x:v>
      </x:c>
      <x:c r="E1147" t="str">
        <x:v>LinkedIn Ads</x:v>
      </x:c>
      <x:c r="F1147" t="str">
        <x:v>BI-PLUS</x:v>
      </x:c>
      <x:c r="G1147" t="str">
        <x:v>Education</x:v>
      </x:c>
      <x:c r="H1147" t="str">
        <x:v>SMB</x:v>
      </x:c>
      <x:c r="I1147" t="str">
        <x:v>Closed Lost</x:v>
      </x:c>
      <x:c r="J1147" s="10" t="n">
        <x:v>45846</x:v>
      </x:c>
      <x:c r="K1147" s="10" t="n">
        <x:v>45846</x:v>
      </x:c>
      <x:c r="L1147" s="22" t="n">
        <x:v>17800</x:v>
      </x:c>
      <x:c r="M1147" s="24" t="n">
        <x:v>0</x:v>
      </x:c>
      <x:c r="N1147" s="24" t="n">
        <x:v>0</x:v>
      </x:c>
      <x:c r="O1147" t="str">
        <x:v>Price</x:v>
      </x:c>
      <x:c r="P1147" t="n">
        <x:v>4</x:v>
      </x:c>
      <x:c r="Q1147" t="str">
        <x:f>IFERROR(XLOOKUP(E1147,Lookups!$A$5:$A$24,Lookups!$B$5:$B$24),"Other")</x:f>
        <x:v>LinkedIn</x:v>
      </x:c>
      <x:c r="R1147" t="str">
        <x:f>IFERROR(XLOOKUP(F1147,Lookups!$D$5:$D$10,Lookups!$E$5:$E$10),"Unknown Product")</x:f>
        <x:v>Analytics Plus</x:v>
      </x:c>
      <x:c r="S1147" t="str">
        <x:f>IFERROR(XLOOKUP(F1147,Lookups!$D$5:$D$10,Lookups!$F$5:$F$10),"Unknown")</x:f>
        <x:v>Analytics</x:v>
      </x:c>
      <x:c r="T1147" t="str">
        <x:f>IF(L1147&gt;=50000,"Enterprise",IF(L1147&gt;=20000,"Mid-Market","SMB"))</x:f>
        <x:v>SMB</x:v>
      </x:c>
      <x:c r="U1147" t="str">
        <x:f>IF(I1147="Closed Won","Won",IF(I1147="Closed Lost","Lost","Open"))</x:f>
        <x:v>Lost</x:v>
      </x:c>
      <x:c r="V1147" s="22" t="n">
        <x:f>IF(U1147="Won",L1147*(1-M1147),0)</x:f>
        <x:v>0</x:v>
      </x:c>
      <x:c r="W1147" s="22" t="n">
        <x:f>IF(U1147="Open",L1147*N1147,0)</x:f>
        <x:v>0</x:v>
      </x:c>
      <x:c r="X1147" s="26" t="n">
        <x:f>IF(U1147="Open","",IFERROR(K1147-B1147,""))</x:f>
        <x:v>57</x:v>
      </x:c>
      <x:c r="Y1147" s="26" t="n">
        <x:f>IF(U1147="Open",Lookups!$B$2-B1147,X1147)</x:f>
        <x:v>57</x:v>
      </x:c>
      <x:c r="Z1147" t="str">
        <x:f>IF(AND(U1147="Open",Y1147&gt;30),"STALE","OK")</x:f>
        <x:v>OK</x:v>
      </x:c>
      <x:c r="AA1147" t="str">
        <x:f>TEXT(B1147,"yyyy-mm")</x:f>
        <x:v>2025-05</x:v>
      </x:c>
      <x:c r="AB1147" t="str">
        <x:f>IF(K1147="","",TEXT(K1147,"yyyy-mm"))</x:f>
        <x:v>2025-07</x:v>
      </x:c>
      <x:c r="AC1147" t="str">
        <x:f>"Q"&amp;ROUNDUP(MONTH(B1147)/3,0)&amp;"-"&amp;YEAR(B1147)</x:f>
        <x:v>Q2-2025</x:v>
      </x:c>
      <x:c r="AD1147" s="26" t="n">
        <x:f>MIN(100,IF(H1147="Enterprise",30,IF(H1147="Mid-Market",22,14))+IF(T1147="Enterprise",25,IF(T1147="Mid-Market",18,10))+IF(Q1147="Referral",25,IF(Q1147="Organic Search",20,IF(Q1147="Email",18,14)))+IF(G1147="Technology",10,5))</x:f>
        <x:v>43</x:v>
      </x:c>
      <x:c r="AE1147" t="str">
        <x:f>IF(U1147&lt;&gt;"Open",U1147,IF(N1147&gt;=0.8,"Commit",IF(N1147&gt;=0.5,"Best Case","Pipeline")))</x:f>
        <x:v>Lost</x:v>
      </x:c>
    </x:row>
    <x:row r="1148">
      <x:c r="A1148" t="str">
        <x:v>L01147</x:v>
      </x:c>
      <x:c r="B1148" s="10" t="n">
        <x:v>45733</x:v>
      </x:c>
      <x:c r="C1148" t="str">
        <x:v>Quynh Vu</x:v>
      </x:c>
      <x:c r="D1148" t="str">
        <x:v>North</x:v>
      </x:c>
      <x:c r="E1148" t="str">
        <x:v>Google Ads</x:v>
      </x:c>
      <x:c r="F1148" t="str">
        <x:v>CRM-CORE</x:v>
      </x:c>
      <x:c r="G1148" t="str">
        <x:v>Retail</x:v>
      </x:c>
      <x:c r="H1148" t="str">
        <x:v>Mid-Market</x:v>
      </x:c>
      <x:c r="I1148" t="str">
        <x:v>Closed Lost</x:v>
      </x:c>
      <x:c r="J1148" s="10" t="n">
        <x:v>45764</x:v>
      </x:c>
      <x:c r="K1148" s="10" t="n">
        <x:v>45764</x:v>
      </x:c>
      <x:c r="L1148" s="22" t="n">
        <x:v>10400</x:v>
      </x:c>
      <x:c r="M1148" s="24" t="n">
        <x:v>0</x:v>
      </x:c>
      <x:c r="N1148" s="24" t="n">
        <x:v>0</x:v>
      </x:c>
      <x:c r="O1148" t="str">
        <x:v>Budget</x:v>
      </x:c>
      <x:c r="P1148" t="n">
        <x:v>4</x:v>
      </x:c>
      <x:c r="Q1148" t="str">
        <x:f>IFERROR(XLOOKUP(E1148,Lookups!$A$5:$A$24,Lookups!$B$5:$B$24),"Other")</x:f>
        <x:v>Paid Search</x:v>
      </x:c>
      <x:c r="R1148" t="str">
        <x:f>IFERROR(XLOOKUP(F1148,Lookups!$D$5:$D$10,Lookups!$E$5:$E$10),"Unknown Product")</x:f>
        <x:v>NexaCRM Core</x:v>
      </x:c>
      <x:c r="S1148" t="str">
        <x:f>IFERROR(XLOOKUP(F1148,Lookups!$D$5:$D$10,Lookups!$F$5:$F$10),"Unknown")</x:f>
        <x:v>CRM</x:v>
      </x:c>
      <x:c r="T1148" t="str">
        <x:f>IF(L1148&gt;=50000,"Enterprise",IF(L1148&gt;=20000,"Mid-Market","SMB"))</x:f>
        <x:v>SMB</x:v>
      </x:c>
      <x:c r="U1148" t="str">
        <x:f>IF(I1148="Closed Won","Won",IF(I1148="Closed Lost","Lost","Open"))</x:f>
        <x:v>Lost</x:v>
      </x:c>
      <x:c r="V1148" s="22" t="n">
        <x:f>IF(U1148="Won",L1148*(1-M1148),0)</x:f>
        <x:v>0</x:v>
      </x:c>
      <x:c r="W1148" s="22" t="n">
        <x:f>IF(U1148="Open",L1148*N1148,0)</x:f>
        <x:v>0</x:v>
      </x:c>
      <x:c r="X1148" s="26" t="n">
        <x:f>IF(U1148="Open","",IFERROR(K1148-B1148,""))</x:f>
        <x:v>31</x:v>
      </x:c>
      <x:c r="Y1148" s="26" t="n">
        <x:f>IF(U1148="Open",Lookups!$B$2-B1148,X1148)</x:f>
        <x:v>31</x:v>
      </x:c>
      <x:c r="Z1148" t="str">
        <x:f>IF(AND(U1148="Open",Y1148&gt;30),"STALE","OK")</x:f>
        <x:v>OK</x:v>
      </x:c>
      <x:c r="AA1148" t="str">
        <x:f>TEXT(B1148,"yyyy-mm")</x:f>
        <x:v>2025-03</x:v>
      </x:c>
      <x:c r="AB1148" t="str">
        <x:f>IF(K1148="","",TEXT(K1148,"yyyy-mm"))</x:f>
        <x:v>2025-04</x:v>
      </x:c>
      <x:c r="AC1148" t="str">
        <x:f>"Q"&amp;ROUNDUP(MONTH(B1148)/3,0)&amp;"-"&amp;YEAR(B1148)</x:f>
        <x:v>Q1-2025</x:v>
      </x:c>
      <x:c r="AD1148" s="26" t="n">
        <x:f>MIN(100,IF(H1148="Enterprise",30,IF(H1148="Mid-Market",22,14))+IF(T1148="Enterprise",25,IF(T1148="Mid-Market",18,10))+IF(Q1148="Referral",25,IF(Q1148="Organic Search",20,IF(Q1148="Email",18,14)))+IF(G1148="Technology",10,5))</x:f>
        <x:v>51</x:v>
      </x:c>
      <x:c r="AE1148" t="str">
        <x:f>IF(U1148&lt;&gt;"Open",U1148,IF(N1148&gt;=0.8,"Commit",IF(N1148&gt;=0.5,"Best Case","Pipeline")))</x:f>
        <x:v>Lost</x:v>
      </x:c>
    </x:row>
    <x:row r="1149">
      <x:c r="A1149" t="str">
        <x:v>L01148</x:v>
      </x:c>
      <x:c r="B1149" s="10" t="n">
        <x:v>45708</x:v>
      </x:c>
      <x:c r="C1149" t="str">
        <x:v>Bao Tran</x:v>
      </x:c>
      <x:c r="D1149" t="str">
        <x:v>South</x:v>
      </x:c>
      <x:c r="E1149" t="str">
        <x:v>organic search</x:v>
      </x:c>
      <x:c r="F1149" t="str">
        <x:v>MKT-AUTO</x:v>
      </x:c>
      <x:c r="G1149" t="str">
        <x:v>Education</x:v>
      </x:c>
      <x:c r="H1149" t="str">
        <x:v>Mid-Market</x:v>
      </x:c>
      <x:c r="I1149" t="str">
        <x:v>Closed Won</x:v>
      </x:c>
      <x:c r="J1149" s="10" t="n">
        <x:v>45752</x:v>
      </x:c>
      <x:c r="K1149" s="10" t="n">
        <x:v>45752</x:v>
      </x:c>
      <x:c r="L1149" s="22" t="n">
        <x:v>18900</x:v>
      </x:c>
      <x:c r="M1149" s="24" t="n">
        <x:v>0.1</x:v>
      </x:c>
      <x:c r="N1149" s="24" t="n">
        <x:v>1</x:v>
      </x:c>
      <x:c r="O1149" t="str"/>
      <x:c r="P1149" t="n">
        <x:v>6</x:v>
      </x:c>
      <x:c r="Q1149" t="str">
        <x:f>IFERROR(XLOOKUP(E1149,Lookups!$A$5:$A$24,Lookups!$B$5:$B$24),"Other")</x:f>
        <x:v>Organic Search</x:v>
      </x:c>
      <x:c r="R1149" t="str">
        <x:f>IFERROR(XLOOKUP(F1149,Lookups!$D$5:$D$10,Lookups!$E$5:$E$10),"Unknown Product")</x:f>
        <x:v>Marketing Automation</x:v>
      </x:c>
      <x:c r="S1149" t="str">
        <x:f>IFERROR(XLOOKUP(F1149,Lookups!$D$5:$D$10,Lookups!$F$5:$F$10),"Unknown")</x:f>
        <x:v>Marketing</x:v>
      </x:c>
      <x:c r="T1149" t="str">
        <x:f>IF(L1149&gt;=50000,"Enterprise",IF(L1149&gt;=20000,"Mid-Market","SMB"))</x:f>
        <x:v>SMB</x:v>
      </x:c>
      <x:c r="U1149" t="str">
        <x:f>IF(I1149="Closed Won","Won",IF(I1149="Closed Lost","Lost","Open"))</x:f>
        <x:v>Won</x:v>
      </x:c>
      <x:c r="V1149" s="22" t="n">
        <x:f>IF(U1149="Won",L1149*(1-M1149),0)</x:f>
        <x:v>17010</x:v>
      </x:c>
      <x:c r="W1149" s="22" t="n">
        <x:f>IF(U1149="Open",L1149*N1149,0)</x:f>
        <x:v>0</x:v>
      </x:c>
      <x:c r="X1149" s="26" t="n">
        <x:f>IF(U1149="Open","",IFERROR(K1149-B1149,""))</x:f>
        <x:v>44</x:v>
      </x:c>
      <x:c r="Y1149" s="26" t="n">
        <x:f>IF(U1149="Open",Lookups!$B$2-B1149,X1149)</x:f>
        <x:v>44</x:v>
      </x:c>
      <x:c r="Z1149" t="str">
        <x:f>IF(AND(U1149="Open",Y1149&gt;30),"STALE","OK")</x:f>
        <x:v>OK</x:v>
      </x:c>
      <x:c r="AA1149" t="str">
        <x:f>TEXT(B1149,"yyyy-mm")</x:f>
        <x:v>2025-02</x:v>
      </x:c>
      <x:c r="AB1149" t="str">
        <x:f>IF(K1149="","",TEXT(K1149,"yyyy-mm"))</x:f>
        <x:v>2025-04</x:v>
      </x:c>
      <x:c r="AC1149" t="str">
        <x:f>"Q"&amp;ROUNDUP(MONTH(B1149)/3,0)&amp;"-"&amp;YEAR(B1149)</x:f>
        <x:v>Q1-2025</x:v>
      </x:c>
      <x:c r="AD1149" s="26" t="n">
        <x:f>MIN(100,IF(H1149="Enterprise",30,IF(H1149="Mid-Market",22,14))+IF(T1149="Enterprise",25,IF(T1149="Mid-Market",18,10))+IF(Q1149="Referral",25,IF(Q1149="Organic Search",20,IF(Q1149="Email",18,14)))+IF(G1149="Technology",10,5))</x:f>
        <x:v>57</x:v>
      </x:c>
      <x:c r="AE1149" t="str">
        <x:f>IF(U1149&lt;&gt;"Open",U1149,IF(N1149&gt;=0.8,"Commit",IF(N1149&gt;=0.5,"Best Case","Pipeline")))</x:f>
        <x:v>Won</x:v>
      </x:c>
    </x:row>
    <x:row r="1150">
      <x:c r="A1150" t="str">
        <x:v>L01149</x:v>
      </x:c>
      <x:c r="B1150" s="10" t="n">
        <x:v>45988</x:v>
      </x:c>
      <x:c r="C1150" t="str">
        <x:v>Ha Vo</x:v>
      </x:c>
      <x:c r="D1150" t="str">
        <x:v>North</x:v>
      </x:c>
      <x:c r="E1150" t="str">
        <x:v>SEM - Google</x:v>
      </x:c>
      <x:c r="F1150" t="str">
        <x:v>REV-OPS</x:v>
      </x:c>
      <x:c r="G1150" t="str">
        <x:v>Retail</x:v>
      </x:c>
      <x:c r="H1150" t="str">
        <x:v>Enterprise</x:v>
      </x:c>
      <x:c r="I1150" t="str">
        <x:v>Closed Lost</x:v>
      </x:c>
      <x:c r="J1150" s="10" t="n">
        <x:v>46036</x:v>
      </x:c>
      <x:c r="K1150" s="10" t="n">
        <x:v>46036</x:v>
      </x:c>
      <x:c r="L1150" s="22" t="n">
        <x:v>115900</x:v>
      </x:c>
      <x:c r="M1150" s="24" t="n">
        <x:v>0</x:v>
      </x:c>
      <x:c r="N1150" s="24" t="n">
        <x:v>0</x:v>
      </x:c>
      <x:c r="O1150" t="str">
        <x:v>No Decision</x:v>
      </x:c>
      <x:c r="P1150" t="n">
        <x:v>4</x:v>
      </x:c>
      <x:c r="Q1150" t="str">
        <x:f>IFERROR(XLOOKUP(E1150,Lookups!$A$5:$A$24,Lookups!$B$5:$B$24),"Other")</x:f>
        <x:v>Paid Search</x:v>
      </x:c>
      <x:c r="R1150" t="str">
        <x:f>IFERROR(XLOOKUP(F1150,Lookups!$D$5:$D$10,Lookups!$E$5:$E$10),"Unknown Product")</x:f>
        <x:v>Revenue Operations Suite</x:v>
      </x:c>
      <x:c r="S1150" t="str">
        <x:f>IFERROR(XLOOKUP(F1150,Lookups!$D$5:$D$10,Lookups!$F$5:$F$10),"Unknown")</x:f>
        <x:v>Revenue Ops</x:v>
      </x:c>
      <x:c r="T1150" t="str">
        <x:f>IF(L1150&gt;=50000,"Enterprise",IF(L1150&gt;=20000,"Mid-Market","SMB"))</x:f>
        <x:v>Enterprise</x:v>
      </x:c>
      <x:c r="U1150" t="str">
        <x:f>IF(I1150="Closed Won","Won",IF(I1150="Closed Lost","Lost","Open"))</x:f>
        <x:v>Lost</x:v>
      </x:c>
      <x:c r="V1150" s="22" t="n">
        <x:f>IF(U1150="Won",L1150*(1-M1150),0)</x:f>
        <x:v>0</x:v>
      </x:c>
      <x:c r="W1150" s="22" t="n">
        <x:f>IF(U1150="Open",L1150*N1150,0)</x:f>
        <x:v>0</x:v>
      </x:c>
      <x:c r="X1150" s="26" t="n">
        <x:f>IF(U1150="Open","",IFERROR(K1150-B1150,""))</x:f>
        <x:v>48</x:v>
      </x:c>
      <x:c r="Y1150" s="26" t="n">
        <x:f>IF(U1150="Open",Lookups!$B$2-B1150,X1150)</x:f>
        <x:v>48</x:v>
      </x:c>
      <x:c r="Z1150" t="str">
        <x:f>IF(AND(U1150="Open",Y1150&gt;30),"STALE","OK")</x:f>
        <x:v>OK</x:v>
      </x:c>
      <x:c r="AA1150" t="str">
        <x:f>TEXT(B1150,"yyyy-mm")</x:f>
        <x:v>2025-11</x:v>
      </x:c>
      <x:c r="AB1150" t="str">
        <x:f>IF(K1150="","",TEXT(K1150,"yyyy-mm"))</x:f>
        <x:v>2026-01</x:v>
      </x:c>
      <x:c r="AC1150" t="str">
        <x:f>"Q"&amp;ROUNDUP(MONTH(B1150)/3,0)&amp;"-"&amp;YEAR(B1150)</x:f>
        <x:v>Q4-2025</x:v>
      </x:c>
      <x:c r="AD1150" s="26" t="n">
        <x:f>MIN(100,IF(H1150="Enterprise",30,IF(H1150="Mid-Market",22,14))+IF(T1150="Enterprise",25,IF(T1150="Mid-Market",18,10))+IF(Q1150="Referral",25,IF(Q1150="Organic Search",20,IF(Q1150="Email",18,14)))+IF(G1150="Technology",10,5))</x:f>
        <x:v>74</x:v>
      </x:c>
      <x:c r="AE1150" t="str">
        <x:f>IF(U1150&lt;&gt;"Open",U1150,IF(N1150&gt;=0.8,"Commit",IF(N1150&gt;=0.5,"Best Case","Pipeline")))</x:f>
        <x:v>Lost</x:v>
      </x:c>
    </x:row>
    <x:row r="1151">
      <x:c r="A1151" t="str">
        <x:v>L01150</x:v>
      </x:c>
      <x:c r="B1151" s="10" t="n">
        <x:v>45792</x:v>
      </x:c>
      <x:c r="C1151" t="str">
        <x:v>Tuan Bui</x:v>
      </x:c>
      <x:c r="D1151" t="str">
        <x:v>Central</x:v>
      </x:c>
      <x:c r="E1151" t="str">
        <x:v>Outbound</x:v>
      </x:c>
      <x:c r="F1151" t="str">
        <x:v>MKT-AUTO</x:v>
      </x:c>
      <x:c r="G1151" t="str">
        <x:v>Manufacturing</x:v>
      </x:c>
      <x:c r="H1151" t="str">
        <x:v>SMB</x:v>
      </x:c>
      <x:c r="I1151" t="str">
        <x:v>Negotiation</x:v>
      </x:c>
      <x:c r="J1151" s="10" t="n">
        <x:v>46060</x:v>
      </x:c>
      <x:c r="K1151" s="10"/>
      <x:c r="L1151" s="22" t="n">
        <x:v>12500</x:v>
      </x:c>
      <x:c r="M1151" s="24" t="n">
        <x:v>0</x:v>
      </x:c>
      <x:c r="N1151" s="24" t="n">
        <x:v>0.85</x:v>
      </x:c>
      <x:c r="O1151" t="str"/>
      <x:c r="P1151" t="n">
        <x:v>5</x:v>
      </x:c>
      <x:c r="Q1151" t="str">
        <x:f>IFERROR(XLOOKUP(E1151,Lookups!$A$5:$A$24,Lookups!$B$5:$B$24),"Other")</x:f>
        <x:v>Outbound</x:v>
      </x:c>
      <x:c r="R1151" t="str">
        <x:f>IFERROR(XLOOKUP(F1151,Lookups!$D$5:$D$10,Lookups!$E$5:$E$10),"Unknown Product")</x:f>
        <x:v>Marketing Automation</x:v>
      </x:c>
      <x:c r="S1151" t="str">
        <x:f>IFERROR(XLOOKUP(F1151,Lookups!$D$5:$D$10,Lookups!$F$5:$F$10),"Unknown")</x:f>
        <x:v>Marketing</x:v>
      </x:c>
      <x:c r="T1151" t="str">
        <x:f>IF(L1151&gt;=50000,"Enterprise",IF(L1151&gt;=20000,"Mid-Market","SMB"))</x:f>
        <x:v>SMB</x:v>
      </x:c>
      <x:c r="U1151" t="str">
        <x:f>IF(I1151="Closed Won","Won",IF(I1151="Closed Lost","Lost","Open"))</x:f>
        <x:v>Open</x:v>
      </x:c>
      <x:c r="V1151" s="22" t="n">
        <x:f>IF(U1151="Won",L1151*(1-M1151),0)</x:f>
        <x:v>0</x:v>
      </x:c>
      <x:c r="W1151" s="22" t="n">
        <x:f>IF(U1151="Open",L1151*N1151,0)</x:f>
        <x:v>10625</x:v>
      </x:c>
      <x:c r="X1151" s="26" t="str">
        <x:f>IF(U1151="Open","",IFERROR(K1151-B1151,""))</x:f>
      </x:c>
      <x:c r="Y1151" s="26" t="n">
        <x:f>IF(U1151="Open",Lookups!$B$2-B1151,X1151)</x:f>
        <x:v>474</x:v>
      </x:c>
      <x:c r="Z1151" t="str">
        <x:f>IF(AND(U1151="Open",Y1151&gt;30),"STALE","OK")</x:f>
        <x:v>STALE</x:v>
      </x:c>
      <x:c r="AA1151" t="str">
        <x:f>TEXT(B1151,"yyyy-mm")</x:f>
        <x:v>2025-05</x:v>
      </x:c>
      <x:c r="AB1151" t="str">
        <x:f>IF(K1151="","",TEXT(K1151,"yyyy-mm"))</x:f>
      </x:c>
      <x:c r="AC1151" t="str">
        <x:f>"Q"&amp;ROUNDUP(MONTH(B1151)/3,0)&amp;"-"&amp;YEAR(B1151)</x:f>
        <x:v>Q2-2025</x:v>
      </x:c>
      <x:c r="AD1151" s="26" t="n">
        <x:f>MIN(100,IF(H1151="Enterprise",30,IF(H1151="Mid-Market",22,14))+IF(T1151="Enterprise",25,IF(T1151="Mid-Market",18,10))+IF(Q1151="Referral",25,IF(Q1151="Organic Search",20,IF(Q1151="Email",18,14)))+IF(G1151="Technology",10,5))</x:f>
        <x:v>43</x:v>
      </x:c>
      <x:c r="AE1151" t="str">
        <x:f>IF(U1151&lt;&gt;"Open",U1151,IF(N1151&gt;=0.8,"Commit",IF(N1151&gt;=0.5,"Best Case","Pipeline")))</x:f>
        <x:v>Commit</x:v>
      </x:c>
    </x:row>
    <x:row r="1152">
      <x:c r="A1152" t="str">
        <x:v>L01151</x:v>
      </x:c>
      <x:c r="B1152" s="10" t="n">
        <x:v>45805</x:v>
      </x:c>
      <x:c r="C1152" t="str">
        <x:v>Quynh Vu</x:v>
      </x:c>
      <x:c r="D1152" t="str">
        <x:v>North</x:v>
      </x:c>
      <x:c r="E1152" t="str">
        <x:v>organic search</x:v>
      </x:c>
      <x:c r="F1152" t="str">
        <x:v>CRM-CORE</x:v>
      </x:c>
      <x:c r="G1152" t="str">
        <x:v>Retail</x:v>
      </x:c>
      <x:c r="H1152" t="str">
        <x:v>Mid-Market</x:v>
      </x:c>
      <x:c r="I1152" t="str">
        <x:v>Negotiation</x:v>
      </x:c>
      <x:c r="J1152" s="10" t="n">
        <x:v>46127</x:v>
      </x:c>
      <x:c r="K1152" s="10"/>
      <x:c r="L1152" s="22" t="n">
        <x:v>18400</x:v>
      </x:c>
      <x:c r="M1152" s="24" t="n">
        <x:v>0</x:v>
      </x:c>
      <x:c r="N1152" s="24" t="n">
        <x:v>0.85</x:v>
      </x:c>
      <x:c r="O1152" t="str"/>
      <x:c r="P1152" t="n">
        <x:v>5</x:v>
      </x:c>
      <x:c r="Q1152" t="str">
        <x:f>IFERROR(XLOOKUP(E1152,Lookups!$A$5:$A$24,Lookups!$B$5:$B$24),"Other")</x:f>
        <x:v>Organic Search</x:v>
      </x:c>
      <x:c r="R1152" t="str">
        <x:f>IFERROR(XLOOKUP(F1152,Lookups!$D$5:$D$10,Lookups!$E$5:$E$10),"Unknown Product")</x:f>
        <x:v>NexaCRM Core</x:v>
      </x:c>
      <x:c r="S1152" t="str">
        <x:f>IFERROR(XLOOKUP(F1152,Lookups!$D$5:$D$10,Lookups!$F$5:$F$10),"Unknown")</x:f>
        <x:v>CRM</x:v>
      </x:c>
      <x:c r="T1152" t="str">
        <x:f>IF(L1152&gt;=50000,"Enterprise",IF(L1152&gt;=20000,"Mid-Market","SMB"))</x:f>
        <x:v>SMB</x:v>
      </x:c>
      <x:c r="U1152" t="str">
        <x:f>IF(I1152="Closed Won","Won",IF(I1152="Closed Lost","Lost","Open"))</x:f>
        <x:v>Open</x:v>
      </x:c>
      <x:c r="V1152" s="22" t="n">
        <x:f>IF(U1152="Won",L1152*(1-M1152),0)</x:f>
        <x:v>0</x:v>
      </x:c>
      <x:c r="W1152" s="22" t="n">
        <x:f>IF(U1152="Open",L1152*N1152,0)</x:f>
        <x:v>15640</x:v>
      </x:c>
      <x:c r="X1152" s="26" t="str">
        <x:f>IF(U1152="Open","",IFERROR(K1152-B1152,""))</x:f>
      </x:c>
      <x:c r="Y1152" s="26" t="n">
        <x:f>IF(U1152="Open",Lookups!$B$2-B1152,X1152)</x:f>
        <x:v>461</x:v>
      </x:c>
      <x:c r="Z1152" t="str">
        <x:f>IF(AND(U1152="Open",Y1152&gt;30),"STALE","OK")</x:f>
        <x:v>STALE</x:v>
      </x:c>
      <x:c r="AA1152" t="str">
        <x:f>TEXT(B1152,"yyyy-mm")</x:f>
        <x:v>2025-05</x:v>
      </x:c>
      <x:c r="AB1152" t="str">
        <x:f>IF(K1152="","",TEXT(K1152,"yyyy-mm"))</x:f>
      </x:c>
      <x:c r="AC1152" t="str">
        <x:f>"Q"&amp;ROUNDUP(MONTH(B1152)/3,0)&amp;"-"&amp;YEAR(B1152)</x:f>
        <x:v>Q2-2025</x:v>
      </x:c>
      <x:c r="AD1152" s="26" t="n">
        <x:f>MIN(100,IF(H1152="Enterprise",30,IF(H1152="Mid-Market",22,14))+IF(T1152="Enterprise",25,IF(T1152="Mid-Market",18,10))+IF(Q1152="Referral",25,IF(Q1152="Organic Search",20,IF(Q1152="Email",18,14)))+IF(G1152="Technology",10,5))</x:f>
        <x:v>57</x:v>
      </x:c>
      <x:c r="AE1152" t="str">
        <x:f>IF(U1152&lt;&gt;"Open",U1152,IF(N1152&gt;=0.8,"Commit",IF(N1152&gt;=0.5,"Best Case","Pipeline")))</x:f>
        <x:v>Commit</x:v>
      </x:c>
    </x:row>
    <x:row r="1153">
      <x:c r="A1153" t="str">
        <x:v>L01152</x:v>
      </x:c>
      <x:c r="B1153" s="10" t="n">
        <x:v>45931</x:v>
      </x:c>
      <x:c r="C1153" t="str">
        <x:v>Tuan Bui</x:v>
      </x:c>
      <x:c r="D1153" t="str">
        <x:v>Central</x:v>
      </x:c>
      <x:c r="E1153" t="str">
        <x:v>Email Campaign</x:v>
      </x:c>
      <x:c r="F1153" t="str">
        <x:v>MKT-AUTO</x:v>
      </x:c>
      <x:c r="G1153" t="str">
        <x:v>Technology</x:v>
      </x:c>
      <x:c r="H1153" t="str">
        <x:v>Mid-Market</x:v>
      </x:c>
      <x:c r="I1153" t="str">
        <x:v>Negotiation</x:v>
      </x:c>
      <x:c r="J1153" s="10" t="n">
        <x:v>46165</x:v>
      </x:c>
      <x:c r="K1153" s="10"/>
      <x:c r="L1153" s="22" t="n">
        <x:v>21600</x:v>
      </x:c>
      <x:c r="M1153" s="24" t="n">
        <x:v>0.05</x:v>
      </x:c>
      <x:c r="N1153" s="24" t="n">
        <x:v>0.85</x:v>
      </x:c>
      <x:c r="O1153" t="str"/>
      <x:c r="P1153" t="n">
        <x:v>5</x:v>
      </x:c>
      <x:c r="Q1153" t="str">
        <x:f>IFERROR(XLOOKUP(E1153,Lookups!$A$5:$A$24,Lookups!$B$5:$B$24),"Other")</x:f>
        <x:v>Email</x:v>
      </x:c>
      <x:c r="R1153" t="str">
        <x:f>IFERROR(XLOOKUP(F1153,Lookups!$D$5:$D$10,Lookups!$E$5:$E$10),"Unknown Product")</x:f>
        <x:v>Marketing Automation</x:v>
      </x:c>
      <x:c r="S1153" t="str">
        <x:f>IFERROR(XLOOKUP(F1153,Lookups!$D$5:$D$10,Lookups!$F$5:$F$10),"Unknown")</x:f>
        <x:v>Marketing</x:v>
      </x:c>
      <x:c r="T1153" t="str">
        <x:f>IF(L1153&gt;=50000,"Enterprise",IF(L1153&gt;=20000,"Mid-Market","SMB"))</x:f>
        <x:v>Mid-Market</x:v>
      </x:c>
      <x:c r="U1153" t="str">
        <x:f>IF(I1153="Closed Won","Won",IF(I1153="Closed Lost","Lost","Open"))</x:f>
        <x:v>Open</x:v>
      </x:c>
      <x:c r="V1153" s="22" t="n">
        <x:f>IF(U1153="Won",L1153*(1-M1153),0)</x:f>
        <x:v>0</x:v>
      </x:c>
      <x:c r="W1153" s="22" t="n">
        <x:f>IF(U1153="Open",L1153*N1153,0)</x:f>
        <x:v>18360</x:v>
      </x:c>
      <x:c r="X1153" s="26" t="str">
        <x:f>IF(U1153="Open","",IFERROR(K1153-B1153,""))</x:f>
      </x:c>
      <x:c r="Y1153" s="26" t="n">
        <x:f>IF(U1153="Open",Lookups!$B$2-B1153,X1153)</x:f>
        <x:v>335</x:v>
      </x:c>
      <x:c r="Z1153" t="str">
        <x:f>IF(AND(U1153="Open",Y1153&gt;30),"STALE","OK")</x:f>
        <x:v>STALE</x:v>
      </x:c>
      <x:c r="AA1153" t="str">
        <x:f>TEXT(B1153,"yyyy-mm")</x:f>
        <x:v>2025-10</x:v>
      </x:c>
      <x:c r="AB1153" t="str">
        <x:f>IF(K1153="","",TEXT(K1153,"yyyy-mm"))</x:f>
      </x:c>
      <x:c r="AC1153" t="str">
        <x:f>"Q"&amp;ROUNDUP(MONTH(B1153)/3,0)&amp;"-"&amp;YEAR(B1153)</x:f>
        <x:v>Q4-2025</x:v>
      </x:c>
      <x:c r="AD1153" s="26" t="n">
        <x:f>MIN(100,IF(H1153="Enterprise",30,IF(H1153="Mid-Market",22,14))+IF(T1153="Enterprise",25,IF(T1153="Mid-Market",18,10))+IF(Q1153="Referral",25,IF(Q1153="Organic Search",20,IF(Q1153="Email",18,14)))+IF(G1153="Technology",10,5))</x:f>
        <x:v>68</x:v>
      </x:c>
      <x:c r="AE1153" t="str">
        <x:f>IF(U1153&lt;&gt;"Open",U1153,IF(N1153&gt;=0.8,"Commit",IF(N1153&gt;=0.5,"Best Case","Pipeline")))</x:f>
        <x:v>Commit</x:v>
      </x:c>
    </x:row>
    <x:row r="1154">
      <x:c r="A1154" t="str">
        <x:v>L01153</x:v>
      </x:c>
      <x:c r="B1154" s="10" t="n">
        <x:v>46145</x:v>
      </x:c>
      <x:c r="C1154" t="str">
        <x:v>Minh Do</x:v>
      </x:c>
      <x:c r="D1154" t="str">
        <x:v>North</x:v>
      </x:c>
      <x:c r="E1154" t="str">
        <x:v>Offline List</x:v>
      </x:c>
      <x:c r="F1154" t="str">
        <x:v>MKT-AUTO</x:v>
      </x:c>
      <x:c r="G1154" t="str">
        <x:v>Technology</x:v>
      </x:c>
      <x:c r="H1154" t="str">
        <x:v>SMB</x:v>
      </x:c>
      <x:c r="I1154" t="str">
        <x:v>Proposal</x:v>
      </x:c>
      <x:c r="J1154" s="10" t="n">
        <x:v>46236</x:v>
      </x:c>
      <x:c r="K1154" s="10"/>
      <x:c r="L1154" s="22" t="n">
        <x:v>10600</x:v>
      </x:c>
      <x:c r="M1154" s="24" t="n">
        <x:v>0.05</x:v>
      </x:c>
      <x:c r="N1154" s="24" t="n">
        <x:v>0.65</x:v>
      </x:c>
      <x:c r="O1154" t="str"/>
      <x:c r="P1154" t="n">
        <x:v>4</x:v>
      </x:c>
      <x:c r="Q1154" t="str">
        <x:f>IFERROR(XLOOKUP(E1154,Lookups!$A$5:$A$24,Lookups!$B$5:$B$24),"Other")</x:f>
        <x:v>Other</x:v>
      </x:c>
      <x:c r="R1154" t="str">
        <x:f>IFERROR(XLOOKUP(F1154,Lookups!$D$5:$D$10,Lookups!$E$5:$E$10),"Unknown Product")</x:f>
        <x:v>Marketing Automation</x:v>
      </x:c>
      <x:c r="S1154" t="str">
        <x:f>IFERROR(XLOOKUP(F1154,Lookups!$D$5:$D$10,Lookups!$F$5:$F$10),"Unknown")</x:f>
        <x:v>Marketing</x:v>
      </x:c>
      <x:c r="T1154" t="str">
        <x:f>IF(L1154&gt;=50000,"Enterprise",IF(L1154&gt;=20000,"Mid-Market","SMB"))</x:f>
        <x:v>SMB</x:v>
      </x:c>
      <x:c r="U1154" t="str">
        <x:f>IF(I1154="Closed Won","Won",IF(I1154="Closed Lost","Lost","Open"))</x:f>
        <x:v>Open</x:v>
      </x:c>
      <x:c r="V1154" s="22" t="n">
        <x:f>IF(U1154="Won",L1154*(1-M1154),0)</x:f>
        <x:v>0</x:v>
      </x:c>
      <x:c r="W1154" s="22" t="n">
        <x:f>IF(U1154="Open",L1154*N1154,0)</x:f>
        <x:v>6890</x:v>
      </x:c>
      <x:c r="X1154" s="26" t="str">
        <x:f>IF(U1154="Open","",IFERROR(K1154-B1154,""))</x:f>
      </x:c>
      <x:c r="Y1154" s="26" t="n">
        <x:f>IF(U1154="Open",Lookups!$B$2-B1154,X1154)</x:f>
        <x:v>121</x:v>
      </x:c>
      <x:c r="Z1154" t="str">
        <x:f>IF(AND(U1154="Open",Y1154&gt;30),"STALE","OK")</x:f>
        <x:v>STALE</x:v>
      </x:c>
      <x:c r="AA1154" t="str">
        <x:f>TEXT(B1154,"yyyy-mm")</x:f>
        <x:v>2026-05</x:v>
      </x:c>
      <x:c r="AB1154" t="str">
        <x:f>IF(K1154="","",TEXT(K1154,"yyyy-mm"))</x:f>
      </x:c>
      <x:c r="AC1154" t="str">
        <x:f>"Q"&amp;ROUNDUP(MONTH(B1154)/3,0)&amp;"-"&amp;YEAR(B1154)</x:f>
        <x:v>Q2-2026</x:v>
      </x:c>
      <x:c r="AD1154" s="26" t="n">
        <x:f>MIN(100,IF(H1154="Enterprise",30,IF(H1154="Mid-Market",22,14))+IF(T1154="Enterprise",25,IF(T1154="Mid-Market",18,10))+IF(Q1154="Referral",25,IF(Q1154="Organic Search",20,IF(Q1154="Email",18,14)))+IF(G1154="Technology",10,5))</x:f>
        <x:v>48</x:v>
      </x:c>
      <x:c r="AE1154" t="str">
        <x:f>IF(U1154&lt;&gt;"Open",U1154,IF(N1154&gt;=0.8,"Commit",IF(N1154&gt;=0.5,"Best Case","Pipeline")))</x:f>
        <x:v>Best Case</x:v>
      </x:c>
    </x:row>
    <x:row r="1155">
      <x:c r="A1155" t="str">
        <x:v>L01154</x:v>
      </x:c>
      <x:c r="B1155" s="10" t="n">
        <x:v>45959</x:v>
      </x:c>
      <x:c r="C1155" t="str">
        <x:v>Ha Vo</x:v>
      </x:c>
      <x:c r="D1155" t="str">
        <x:v>North</x:v>
      </x:c>
      <x:c r="E1155" t="str">
        <x:v>Outbound</x:v>
      </x:c>
      <x:c r="F1155" t="str">
        <x:v>MKT-AUTO</x:v>
      </x:c>
      <x:c r="G1155" t="str">
        <x:v>Manufacturing</x:v>
      </x:c>
      <x:c r="H1155" t="str">
        <x:v>Enterprise</x:v>
      </x:c>
      <x:c r="I1155" t="str">
        <x:v>Negotiation</x:v>
      </x:c>
      <x:c r="J1155" s="10" t="n">
        <x:v>46186</x:v>
      </x:c>
      <x:c r="K1155" s="10"/>
      <x:c r="L1155" s="22" t="n">
        <x:v>52000</x:v>
      </x:c>
      <x:c r="M1155" s="24" t="n">
        <x:v>0.05</x:v>
      </x:c>
      <x:c r="N1155" s="24" t="n">
        <x:v>0.85</x:v>
      </x:c>
      <x:c r="O1155" t="str"/>
      <x:c r="P1155" t="n">
        <x:v>5</x:v>
      </x:c>
      <x:c r="Q1155" t="str">
        <x:f>IFERROR(XLOOKUP(E1155,Lookups!$A$5:$A$24,Lookups!$B$5:$B$24),"Other")</x:f>
        <x:v>Outbound</x:v>
      </x:c>
      <x:c r="R1155" t="str">
        <x:f>IFERROR(XLOOKUP(F1155,Lookups!$D$5:$D$10,Lookups!$E$5:$E$10),"Unknown Product")</x:f>
        <x:v>Marketing Automation</x:v>
      </x:c>
      <x:c r="S1155" t="str">
        <x:f>IFERROR(XLOOKUP(F1155,Lookups!$D$5:$D$10,Lookups!$F$5:$F$10),"Unknown")</x:f>
        <x:v>Marketing</x:v>
      </x:c>
      <x:c r="T1155" t="str">
        <x:f>IF(L1155&gt;=50000,"Enterprise",IF(L1155&gt;=20000,"Mid-Market","SMB"))</x:f>
        <x:v>Enterprise</x:v>
      </x:c>
      <x:c r="U1155" t="str">
        <x:f>IF(I1155="Closed Won","Won",IF(I1155="Closed Lost","Lost","Open"))</x:f>
        <x:v>Open</x:v>
      </x:c>
      <x:c r="V1155" s="22" t="n">
        <x:f>IF(U1155="Won",L1155*(1-M1155),0)</x:f>
        <x:v>0</x:v>
      </x:c>
      <x:c r="W1155" s="22" t="n">
        <x:f>IF(U1155="Open",L1155*N1155,0)</x:f>
        <x:v>44200</x:v>
      </x:c>
      <x:c r="X1155" s="26" t="str">
        <x:f>IF(U1155="Open","",IFERROR(K1155-B1155,""))</x:f>
      </x:c>
      <x:c r="Y1155" s="26" t="n">
        <x:f>IF(U1155="Open",Lookups!$B$2-B1155,X1155)</x:f>
        <x:v>307</x:v>
      </x:c>
      <x:c r="Z1155" t="str">
        <x:f>IF(AND(U1155="Open",Y1155&gt;30),"STALE","OK")</x:f>
        <x:v>STALE</x:v>
      </x:c>
      <x:c r="AA1155" t="str">
        <x:f>TEXT(B1155,"yyyy-mm")</x:f>
        <x:v>2025-10</x:v>
      </x:c>
      <x:c r="AB1155" t="str">
        <x:f>IF(K1155="","",TEXT(K1155,"yyyy-mm"))</x:f>
      </x:c>
      <x:c r="AC1155" t="str">
        <x:f>"Q"&amp;ROUNDUP(MONTH(B1155)/3,0)&amp;"-"&amp;YEAR(B1155)</x:f>
        <x:v>Q4-2025</x:v>
      </x:c>
      <x:c r="AD1155" s="26" t="n">
        <x:f>MIN(100,IF(H1155="Enterprise",30,IF(H1155="Mid-Market",22,14))+IF(T1155="Enterprise",25,IF(T1155="Mid-Market",18,10))+IF(Q1155="Referral",25,IF(Q1155="Organic Search",20,IF(Q1155="Email",18,14)))+IF(G1155="Technology",10,5))</x:f>
        <x:v>74</x:v>
      </x:c>
      <x:c r="AE1155" t="str">
        <x:f>IF(U1155&lt;&gt;"Open",U1155,IF(N1155&gt;=0.8,"Commit",IF(N1155&gt;=0.5,"Best Case","Pipeline")))</x:f>
        <x:v>Commit</x:v>
      </x:c>
    </x:row>
    <x:row r="1156">
      <x:c r="A1156" t="str">
        <x:v>L01155</x:v>
      </x:c>
      <x:c r="B1156" s="10" t="n">
        <x:v>45675</x:v>
      </x:c>
      <x:c r="C1156" t="str">
        <x:v>Chi Le</x:v>
      </x:c>
      <x:c r="D1156" t="str">
        <x:v>South</x:v>
      </x:c>
      <x:c r="E1156" t="str">
        <x:v>LinkedIn Ads</x:v>
      </x:c>
      <x:c r="F1156" t="str">
        <x:v>BI-PLUS</x:v>
      </x:c>
      <x:c r="G1156" t="str">
        <x:v>Financial Services</x:v>
      </x:c>
      <x:c r="H1156" t="str">
        <x:v>SMB</x:v>
      </x:c>
      <x:c r="I1156" t="str">
        <x:v>Closed Lost</x:v>
      </x:c>
      <x:c r="J1156" s="10" t="n">
        <x:v>45713</x:v>
      </x:c>
      <x:c r="K1156" s="10" t="n">
        <x:v>45713</x:v>
      </x:c>
      <x:c r="L1156" s="22" t="n">
        <x:v>26500</x:v>
      </x:c>
      <x:c r="M1156" s="24" t="n">
        <x:v>0</x:v>
      </x:c>
      <x:c r="N1156" s="24" t="n">
        <x:v>0</x:v>
      </x:c>
      <x:c r="O1156" t="str">
        <x:v>Price</x:v>
      </x:c>
      <x:c r="P1156" t="n">
        <x:v>3</x:v>
      </x:c>
      <x:c r="Q1156" t="str">
        <x:f>IFERROR(XLOOKUP(E1156,Lookups!$A$5:$A$24,Lookups!$B$5:$B$24),"Other")</x:f>
        <x:v>LinkedIn</x:v>
      </x:c>
      <x:c r="R1156" t="str">
        <x:f>IFERROR(XLOOKUP(F1156,Lookups!$D$5:$D$10,Lookups!$E$5:$E$10),"Unknown Product")</x:f>
        <x:v>Analytics Plus</x:v>
      </x:c>
      <x:c r="S1156" t="str">
        <x:f>IFERROR(XLOOKUP(F1156,Lookups!$D$5:$D$10,Lookups!$F$5:$F$10),"Unknown")</x:f>
        <x:v>Analytics</x:v>
      </x:c>
      <x:c r="T1156" t="str">
        <x:f>IF(L1156&gt;=50000,"Enterprise",IF(L1156&gt;=20000,"Mid-Market","SMB"))</x:f>
        <x:v>Mid-Market</x:v>
      </x:c>
      <x:c r="U1156" t="str">
        <x:f>IF(I1156="Closed Won","Won",IF(I1156="Closed Lost","Lost","Open"))</x:f>
        <x:v>Lost</x:v>
      </x:c>
      <x:c r="V1156" s="22" t="n">
        <x:f>IF(U1156="Won",L1156*(1-M1156),0)</x:f>
        <x:v>0</x:v>
      </x:c>
      <x:c r="W1156" s="22" t="n">
        <x:f>IF(U1156="Open",L1156*N1156,0)</x:f>
        <x:v>0</x:v>
      </x:c>
      <x:c r="X1156" s="26" t="n">
        <x:f>IF(U1156="Open","",IFERROR(K1156-B1156,""))</x:f>
        <x:v>38</x:v>
      </x:c>
      <x:c r="Y1156" s="26" t="n">
        <x:f>IF(U1156="Open",Lookups!$B$2-B1156,X1156)</x:f>
        <x:v>38</x:v>
      </x:c>
      <x:c r="Z1156" t="str">
        <x:f>IF(AND(U1156="Open",Y1156&gt;30),"STALE","OK")</x:f>
        <x:v>OK</x:v>
      </x:c>
      <x:c r="AA1156" t="str">
        <x:f>TEXT(B1156,"yyyy-mm")</x:f>
        <x:v>2025-01</x:v>
      </x:c>
      <x:c r="AB1156" t="str">
        <x:f>IF(K1156="","",TEXT(K1156,"yyyy-mm"))</x:f>
        <x:v>2025-02</x:v>
      </x:c>
      <x:c r="AC1156" t="str">
        <x:f>"Q"&amp;ROUNDUP(MONTH(B1156)/3,0)&amp;"-"&amp;YEAR(B1156)</x:f>
        <x:v>Q1-2025</x:v>
      </x:c>
      <x:c r="AD1156" s="26" t="n">
        <x:f>MIN(100,IF(H1156="Enterprise",30,IF(H1156="Mid-Market",22,14))+IF(T1156="Enterprise",25,IF(T1156="Mid-Market",18,10))+IF(Q1156="Referral",25,IF(Q1156="Organic Search",20,IF(Q1156="Email",18,14)))+IF(G1156="Technology",10,5))</x:f>
        <x:v>51</x:v>
      </x:c>
      <x:c r="AE1156" t="str">
        <x:f>IF(U1156&lt;&gt;"Open",U1156,IF(N1156&gt;=0.8,"Commit",IF(N1156&gt;=0.5,"Best Case","Pipeline")))</x:f>
        <x:v>Lost</x:v>
      </x:c>
    </x:row>
    <x:row r="1157">
      <x:c r="A1157" t="str">
        <x:v>L01156</x:v>
      </x:c>
      <x:c r="B1157" s="10" t="n">
        <x:v>46115</x:v>
      </x:c>
      <x:c r="C1157" t="str">
        <x:v>An Nguyen</x:v>
      </x:c>
      <x:c r="D1157" t="str">
        <x:v>South</x:v>
      </x:c>
      <x:c r="E1157" t="str">
        <x:v>Google Ads</x:v>
      </x:c>
      <x:c r="F1157" t="str">
        <x:v>CS-CLOUD</x:v>
      </x:c>
      <x:c r="G1157" t="str">
        <x:v>Financial Services</x:v>
      </x:c>
      <x:c r="H1157" t="str">
        <x:v>Enterprise</x:v>
      </x:c>
      <x:c r="I1157" t="str">
        <x:v>Negotiation</x:v>
      </x:c>
      <x:c r="J1157" s="10" t="n">
        <x:v>46239</x:v>
      </x:c>
      <x:c r="K1157" s="10"/>
      <x:c r="L1157" s="22" t="n">
        <x:v>86200</x:v>
      </x:c>
      <x:c r="M1157" s="24" t="n">
        <x:v>0.05</x:v>
      </x:c>
      <x:c r="N1157" s="24" t="n">
        <x:v>0.85</x:v>
      </x:c>
      <x:c r="O1157" t="str"/>
      <x:c r="P1157" t="n">
        <x:v>5</x:v>
      </x:c>
      <x:c r="Q1157" t="str">
        <x:f>IFERROR(XLOOKUP(E1157,Lookups!$A$5:$A$24,Lookups!$B$5:$B$24),"Other")</x:f>
        <x:v>Paid Search</x:v>
      </x:c>
      <x:c r="R1157" t="str">
        <x:f>IFERROR(XLOOKUP(F1157,Lookups!$D$5:$D$10,Lookups!$E$5:$E$10),"Unknown Product")</x:f>
        <x:v>Service Cloud</x:v>
      </x:c>
      <x:c r="S1157" t="str">
        <x:f>IFERROR(XLOOKUP(F1157,Lookups!$D$5:$D$10,Lookups!$F$5:$F$10),"Unknown")</x:f>
        <x:v>Customer Service</x:v>
      </x:c>
      <x:c r="T1157" t="str">
        <x:f>IF(L1157&gt;=50000,"Enterprise",IF(L1157&gt;=20000,"Mid-Market","SMB"))</x:f>
        <x:v>Enterprise</x:v>
      </x:c>
      <x:c r="U1157" t="str">
        <x:f>IF(I1157="Closed Won","Won",IF(I1157="Closed Lost","Lost","Open"))</x:f>
        <x:v>Open</x:v>
      </x:c>
      <x:c r="V1157" s="22" t="n">
        <x:f>IF(U1157="Won",L1157*(1-M1157),0)</x:f>
        <x:v>0</x:v>
      </x:c>
      <x:c r="W1157" s="22" t="n">
        <x:f>IF(U1157="Open",L1157*N1157,0)</x:f>
        <x:v>73270</x:v>
      </x:c>
      <x:c r="X1157" s="26" t="str">
        <x:f>IF(U1157="Open","",IFERROR(K1157-B1157,""))</x:f>
      </x:c>
      <x:c r="Y1157" s="26" t="n">
        <x:f>IF(U1157="Open",Lookups!$B$2-B1157,X1157)</x:f>
        <x:v>151</x:v>
      </x:c>
      <x:c r="Z1157" t="str">
        <x:f>IF(AND(U1157="Open",Y1157&gt;30),"STALE","OK")</x:f>
        <x:v>STALE</x:v>
      </x:c>
      <x:c r="AA1157" t="str">
        <x:f>TEXT(B1157,"yyyy-mm")</x:f>
        <x:v>2026-04</x:v>
      </x:c>
      <x:c r="AB1157" t="str">
        <x:f>IF(K1157="","",TEXT(K1157,"yyyy-mm"))</x:f>
      </x:c>
      <x:c r="AC1157" t="str">
        <x:f>"Q"&amp;ROUNDUP(MONTH(B1157)/3,0)&amp;"-"&amp;YEAR(B1157)</x:f>
        <x:v>Q2-2026</x:v>
      </x:c>
      <x:c r="AD1157" s="26" t="n">
        <x:f>MIN(100,IF(H1157="Enterprise",30,IF(H1157="Mid-Market",22,14))+IF(T1157="Enterprise",25,IF(T1157="Mid-Market",18,10))+IF(Q1157="Referral",25,IF(Q1157="Organic Search",20,IF(Q1157="Email",18,14)))+IF(G1157="Technology",10,5))</x:f>
        <x:v>74</x:v>
      </x:c>
      <x:c r="AE1157" t="str">
        <x:f>IF(U1157&lt;&gt;"Open",U1157,IF(N1157&gt;=0.8,"Commit",IF(N1157&gt;=0.5,"Best Case","Pipeline")))</x:f>
        <x:v>Commit</x:v>
      </x:c>
    </x:row>
    <x:row r="1158">
      <x:c r="A1158" t="str">
        <x:v>L01157</x:v>
      </x:c>
      <x:c r="B1158" s="10" t="n">
        <x:v>45823</x:v>
      </x:c>
      <x:c r="C1158" t="str">
        <x:v>Duy Pham</x:v>
      </x:c>
      <x:c r="D1158" t="str">
        <x:v>South</x:v>
      </x:c>
      <x:c r="E1158" t="str">
        <x:v>Google Ads</x:v>
      </x:c>
      <x:c r="F1158" t="str">
        <x:v>MKT-AUTO</x:v>
      </x:c>
      <x:c r="G1158" t="str">
        <x:v>Professional Services</x:v>
      </x:c>
      <x:c r="H1158" t="str">
        <x:v>Mid-Market</x:v>
      </x:c>
      <x:c r="I1158" t="str">
        <x:v>Closed Lost</x:v>
      </x:c>
      <x:c r="J1158" s="10" t="n">
        <x:v>45855</x:v>
      </x:c>
      <x:c r="K1158" s="10" t="n">
        <x:v>45855</x:v>
      </x:c>
      <x:c r="L1158" s="22" t="n">
        <x:v>31000</x:v>
      </x:c>
      <x:c r="M1158" s="24" t="n">
        <x:v>0</x:v>
      </x:c>
      <x:c r="N1158" s="24" t="n">
        <x:v>0</x:v>
      </x:c>
      <x:c r="O1158" t="str">
        <x:v>Budget</x:v>
      </x:c>
      <x:c r="P1158" t="n">
        <x:v>4</x:v>
      </x:c>
      <x:c r="Q1158" t="str">
        <x:f>IFERROR(XLOOKUP(E1158,Lookups!$A$5:$A$24,Lookups!$B$5:$B$24),"Other")</x:f>
        <x:v>Paid Search</x:v>
      </x:c>
      <x:c r="R1158" t="str">
        <x:f>IFERROR(XLOOKUP(F1158,Lookups!$D$5:$D$10,Lookups!$E$5:$E$10),"Unknown Product")</x:f>
        <x:v>Marketing Automation</x:v>
      </x:c>
      <x:c r="S1158" t="str">
        <x:f>IFERROR(XLOOKUP(F1158,Lookups!$D$5:$D$10,Lookups!$F$5:$F$10),"Unknown")</x:f>
        <x:v>Marketing</x:v>
      </x:c>
      <x:c r="T1158" t="str">
        <x:f>IF(L1158&gt;=50000,"Enterprise",IF(L1158&gt;=20000,"Mid-Market","SMB"))</x:f>
        <x:v>Mid-Market</x:v>
      </x:c>
      <x:c r="U1158" t="str">
        <x:f>IF(I1158="Closed Won","Won",IF(I1158="Closed Lost","Lost","Open"))</x:f>
        <x:v>Lost</x:v>
      </x:c>
      <x:c r="V1158" s="22" t="n">
        <x:f>IF(U1158="Won",L1158*(1-M1158),0)</x:f>
        <x:v>0</x:v>
      </x:c>
      <x:c r="W1158" s="22" t="n">
        <x:f>IF(U1158="Open",L1158*N1158,0)</x:f>
        <x:v>0</x:v>
      </x:c>
      <x:c r="X1158" s="26" t="n">
        <x:f>IF(U1158="Open","",IFERROR(K1158-B1158,""))</x:f>
        <x:v>32</x:v>
      </x:c>
      <x:c r="Y1158" s="26" t="n">
        <x:f>IF(U1158="Open",Lookups!$B$2-B1158,X1158)</x:f>
        <x:v>32</x:v>
      </x:c>
      <x:c r="Z1158" t="str">
        <x:f>IF(AND(U1158="Open",Y1158&gt;30),"STALE","OK")</x:f>
        <x:v>OK</x:v>
      </x:c>
      <x:c r="AA1158" t="str">
        <x:f>TEXT(B1158,"yyyy-mm")</x:f>
        <x:v>2025-06</x:v>
      </x:c>
      <x:c r="AB1158" t="str">
        <x:f>IF(K1158="","",TEXT(K1158,"yyyy-mm"))</x:f>
        <x:v>2025-07</x:v>
      </x:c>
      <x:c r="AC1158" t="str">
        <x:f>"Q"&amp;ROUNDUP(MONTH(B1158)/3,0)&amp;"-"&amp;YEAR(B1158)</x:f>
        <x:v>Q2-2025</x:v>
      </x:c>
      <x:c r="AD1158" s="26" t="n">
        <x:f>MIN(100,IF(H1158="Enterprise",30,IF(H1158="Mid-Market",22,14))+IF(T1158="Enterprise",25,IF(T1158="Mid-Market",18,10))+IF(Q1158="Referral",25,IF(Q1158="Organic Search",20,IF(Q1158="Email",18,14)))+IF(G1158="Technology",10,5))</x:f>
        <x:v>59</x:v>
      </x:c>
      <x:c r="AE1158" t="str">
        <x:f>IF(U1158&lt;&gt;"Open",U1158,IF(N1158&gt;=0.8,"Commit",IF(N1158&gt;=0.5,"Best Case","Pipeline")))</x:f>
        <x:v>Lost</x:v>
      </x:c>
    </x:row>
    <x:row r="1159">
      <x:c r="A1159" t="str">
        <x:v>L01158</x:v>
      </x:c>
      <x:c r="B1159" s="10" t="n">
        <x:v>46102</x:v>
      </x:c>
      <x:c r="C1159" t="str">
        <x:v>Ha Vo</x:v>
      </x:c>
      <x:c r="D1159" t="str">
        <x:v>North</x:v>
      </x:c>
      <x:c r="E1159" t="str">
        <x:v>SEO</x:v>
      </x:c>
      <x:c r="F1159" t="str">
        <x:v>MKT-AUTO</x:v>
      </x:c>
      <x:c r="G1159" t="str">
        <x:v>Manufacturing</x:v>
      </x:c>
      <x:c r="H1159" t="str">
        <x:v>Enterprise</x:v>
      </x:c>
      <x:c r="I1159" t="str">
        <x:v>Closed Lost</x:v>
      </x:c>
      <x:c r="J1159" s="10" t="n">
        <x:v>46131</x:v>
      </x:c>
      <x:c r="K1159" s="10" t="n">
        <x:v>46131</x:v>
      </x:c>
      <x:c r="L1159" s="22" t="n">
        <x:v>71100</x:v>
      </x:c>
      <x:c r="M1159" s="24" t="n">
        <x:v>0</x:v>
      </x:c>
      <x:c r="N1159" s="24" t="n">
        <x:v>0</x:v>
      </x:c>
      <x:c r="O1159" t="str">
        <x:v>Budget</x:v>
      </x:c>
      <x:c r="P1159" t="n">
        <x:v>4</x:v>
      </x:c>
      <x:c r="Q1159" t="str">
        <x:f>IFERROR(XLOOKUP(E1159,Lookups!$A$5:$A$24,Lookups!$B$5:$B$24),"Other")</x:f>
        <x:v>Organic Search</x:v>
      </x:c>
      <x:c r="R1159" t="str">
        <x:f>IFERROR(XLOOKUP(F1159,Lookups!$D$5:$D$10,Lookups!$E$5:$E$10),"Unknown Product")</x:f>
        <x:v>Marketing Automation</x:v>
      </x:c>
      <x:c r="S1159" t="str">
        <x:f>IFERROR(XLOOKUP(F1159,Lookups!$D$5:$D$10,Lookups!$F$5:$F$10),"Unknown")</x:f>
        <x:v>Marketing</x:v>
      </x:c>
      <x:c r="T1159" t="str">
        <x:f>IF(L1159&gt;=50000,"Enterprise",IF(L1159&gt;=20000,"Mid-Market","SMB"))</x:f>
        <x:v>Enterprise</x:v>
      </x:c>
      <x:c r="U1159" t="str">
        <x:f>IF(I1159="Closed Won","Won",IF(I1159="Closed Lost","Lost","Open"))</x:f>
        <x:v>Lost</x:v>
      </x:c>
      <x:c r="V1159" s="22" t="n">
        <x:f>IF(U1159="Won",L1159*(1-M1159),0)</x:f>
        <x:v>0</x:v>
      </x:c>
      <x:c r="W1159" s="22" t="n">
        <x:f>IF(U1159="Open",L1159*N1159,0)</x:f>
        <x:v>0</x:v>
      </x:c>
      <x:c r="X1159" s="26" t="n">
        <x:f>IF(U1159="Open","",IFERROR(K1159-B1159,""))</x:f>
        <x:v>29</x:v>
      </x:c>
      <x:c r="Y1159" s="26" t="n">
        <x:f>IF(U1159="Open",Lookups!$B$2-B1159,X1159)</x:f>
        <x:v>29</x:v>
      </x:c>
      <x:c r="Z1159" t="str">
        <x:f>IF(AND(U1159="Open",Y1159&gt;30),"STALE","OK")</x:f>
        <x:v>OK</x:v>
      </x:c>
      <x:c r="AA1159" t="str">
        <x:f>TEXT(B1159,"yyyy-mm")</x:f>
        <x:v>2026-03</x:v>
      </x:c>
      <x:c r="AB1159" t="str">
        <x:f>IF(K1159="","",TEXT(K1159,"yyyy-mm"))</x:f>
        <x:v>2026-04</x:v>
      </x:c>
      <x:c r="AC1159" t="str">
        <x:f>"Q"&amp;ROUNDUP(MONTH(B1159)/3,0)&amp;"-"&amp;YEAR(B1159)</x:f>
        <x:v>Q1-2026</x:v>
      </x:c>
      <x:c r="AD1159" s="26" t="n">
        <x:f>MIN(100,IF(H1159="Enterprise",30,IF(H1159="Mid-Market",22,14))+IF(T1159="Enterprise",25,IF(T1159="Mid-Market",18,10))+IF(Q1159="Referral",25,IF(Q1159="Organic Search",20,IF(Q1159="Email",18,14)))+IF(G1159="Technology",10,5))</x:f>
        <x:v>80</x:v>
      </x:c>
      <x:c r="AE1159" t="str">
        <x:f>IF(U1159&lt;&gt;"Open",U1159,IF(N1159&gt;=0.8,"Commit",IF(N1159&gt;=0.5,"Best Case","Pipeline")))</x:f>
        <x:v>Lost</x:v>
      </x:c>
    </x:row>
    <x:row r="1160">
      <x:c r="A1160" t="str">
        <x:v>L01159</x:v>
      </x:c>
      <x:c r="B1160" s="10" t="n">
        <x:v>45681</x:v>
      </x:c>
      <x:c r="C1160" t="str">
        <x:v>Quynh Vu</x:v>
      </x:c>
      <x:c r="D1160" t="str">
        <x:v>North</x:v>
      </x:c>
      <x:c r="E1160" t="str">
        <x:v>google cpc</x:v>
      </x:c>
      <x:c r="F1160" t="str">
        <x:v>BI-PLUS</x:v>
      </x:c>
      <x:c r="G1160" t="str">
        <x:v>Education</x:v>
      </x:c>
      <x:c r="H1160" t="str">
        <x:v>SMB</x:v>
      </x:c>
      <x:c r="I1160" t="str">
        <x:v>Closed Lost</x:v>
      </x:c>
      <x:c r="J1160" s="10" t="n">
        <x:v>45736</x:v>
      </x:c>
      <x:c r="K1160" s="10" t="n">
        <x:v>45736</x:v>
      </x:c>
      <x:c r="L1160" s="22" t="n">
        <x:v>17800</x:v>
      </x:c>
      <x:c r="M1160" s="24" t="n">
        <x:v>0</x:v>
      </x:c>
      <x:c r="N1160" s="24" t="n">
        <x:v>0</x:v>
      </x:c>
      <x:c r="O1160" t="str">
        <x:v>Price</x:v>
      </x:c>
      <x:c r="P1160" t="n">
        <x:v>3</x:v>
      </x:c>
      <x:c r="Q1160" t="str">
        <x:f>IFERROR(XLOOKUP(E1160,Lookups!$A$5:$A$24,Lookups!$B$5:$B$24),"Other")</x:f>
        <x:v>Paid Search</x:v>
      </x:c>
      <x:c r="R1160" t="str">
        <x:f>IFERROR(XLOOKUP(F1160,Lookups!$D$5:$D$10,Lookups!$E$5:$E$10),"Unknown Product")</x:f>
        <x:v>Analytics Plus</x:v>
      </x:c>
      <x:c r="S1160" t="str">
        <x:f>IFERROR(XLOOKUP(F1160,Lookups!$D$5:$D$10,Lookups!$F$5:$F$10),"Unknown")</x:f>
        <x:v>Analytics</x:v>
      </x:c>
      <x:c r="T1160" t="str">
        <x:f>IF(L1160&gt;=50000,"Enterprise",IF(L1160&gt;=20000,"Mid-Market","SMB"))</x:f>
        <x:v>SMB</x:v>
      </x:c>
      <x:c r="U1160" t="str">
        <x:f>IF(I1160="Closed Won","Won",IF(I1160="Closed Lost","Lost","Open"))</x:f>
        <x:v>Lost</x:v>
      </x:c>
      <x:c r="V1160" s="22" t="n">
        <x:f>IF(U1160="Won",L1160*(1-M1160),0)</x:f>
        <x:v>0</x:v>
      </x:c>
      <x:c r="W1160" s="22" t="n">
        <x:f>IF(U1160="Open",L1160*N1160,0)</x:f>
        <x:v>0</x:v>
      </x:c>
      <x:c r="X1160" s="26" t="n">
        <x:f>IF(U1160="Open","",IFERROR(K1160-B1160,""))</x:f>
        <x:v>55</x:v>
      </x:c>
      <x:c r="Y1160" s="26" t="n">
        <x:f>IF(U1160="Open",Lookups!$B$2-B1160,X1160)</x:f>
        <x:v>55</x:v>
      </x:c>
      <x:c r="Z1160" t="str">
        <x:f>IF(AND(U1160="Open",Y1160&gt;30),"STALE","OK")</x:f>
        <x:v>OK</x:v>
      </x:c>
      <x:c r="AA1160" t="str">
        <x:f>TEXT(B1160,"yyyy-mm")</x:f>
        <x:v>2025-01</x:v>
      </x:c>
      <x:c r="AB1160" t="str">
        <x:f>IF(K1160="","",TEXT(K1160,"yyyy-mm"))</x:f>
        <x:v>2025-03</x:v>
      </x:c>
      <x:c r="AC1160" t="str">
        <x:f>"Q"&amp;ROUNDUP(MONTH(B1160)/3,0)&amp;"-"&amp;YEAR(B1160)</x:f>
        <x:v>Q1-2025</x:v>
      </x:c>
      <x:c r="AD1160" s="26" t="n">
        <x:f>MIN(100,IF(H1160="Enterprise",30,IF(H1160="Mid-Market",22,14))+IF(T1160="Enterprise",25,IF(T1160="Mid-Market",18,10))+IF(Q1160="Referral",25,IF(Q1160="Organic Search",20,IF(Q1160="Email",18,14)))+IF(G1160="Technology",10,5))</x:f>
        <x:v>43</x:v>
      </x:c>
      <x:c r="AE1160" t="str">
        <x:f>IF(U1160&lt;&gt;"Open",U1160,IF(N1160&gt;=0.8,"Commit",IF(N1160&gt;=0.5,"Best Case","Pipeline")))</x:f>
        <x:v>Lost</x:v>
      </x:c>
    </x:row>
    <x:row r="1161">
      <x:c r="A1161" t="str">
        <x:v>L01160</x:v>
      </x:c>
      <x:c r="B1161" s="10" t="n">
        <x:v>45859</x:v>
      </x:c>
      <x:c r="C1161" t="str">
        <x:v>Chi Le</x:v>
      </x:c>
      <x:c r="D1161" t="str">
        <x:v>South</x:v>
      </x:c>
      <x:c r="E1161" t="str">
        <x:v>Cold Email</x:v>
      </x:c>
      <x:c r="F1161" t="str">
        <x:v>CS-CLOUD</x:v>
      </x:c>
      <x:c r="G1161" t="str">
        <x:v>Retail</x:v>
      </x:c>
      <x:c r="H1161" t="str">
        <x:v>Mid-Market</x:v>
      </x:c>
      <x:c r="I1161" t="str">
        <x:v>Negotiation</x:v>
      </x:c>
      <x:c r="J1161" s="10" t="n">
        <x:v>46106</x:v>
      </x:c>
      <x:c r="K1161" s="10"/>
      <x:c r="L1161" s="22" t="n">
        <x:v>39900</x:v>
      </x:c>
      <x:c r="M1161" s="24" t="n">
        <x:v>0.05</x:v>
      </x:c>
      <x:c r="N1161" s="24" t="n">
        <x:v>0.85</x:v>
      </x:c>
      <x:c r="O1161" t="str"/>
      <x:c r="P1161" t="n">
        <x:v>5</x:v>
      </x:c>
      <x:c r="Q1161" t="str">
        <x:f>IFERROR(XLOOKUP(E1161,Lookups!$A$5:$A$24,Lookups!$B$5:$B$24),"Other")</x:f>
        <x:v>Outbound</x:v>
      </x:c>
      <x:c r="R1161" t="str">
        <x:f>IFERROR(XLOOKUP(F1161,Lookups!$D$5:$D$10,Lookups!$E$5:$E$10),"Unknown Product")</x:f>
        <x:v>Service Cloud</x:v>
      </x:c>
      <x:c r="S1161" t="str">
        <x:f>IFERROR(XLOOKUP(F1161,Lookups!$D$5:$D$10,Lookups!$F$5:$F$10),"Unknown")</x:f>
        <x:v>Customer Service</x:v>
      </x:c>
      <x:c r="T1161" t="str">
        <x:f>IF(L1161&gt;=50000,"Enterprise",IF(L1161&gt;=20000,"Mid-Market","SMB"))</x:f>
        <x:v>Mid-Market</x:v>
      </x:c>
      <x:c r="U1161" t="str">
        <x:f>IF(I1161="Closed Won","Won",IF(I1161="Closed Lost","Lost","Open"))</x:f>
        <x:v>Open</x:v>
      </x:c>
      <x:c r="V1161" s="22" t="n">
        <x:f>IF(U1161="Won",L1161*(1-M1161),0)</x:f>
        <x:v>0</x:v>
      </x:c>
      <x:c r="W1161" s="22" t="n">
        <x:f>IF(U1161="Open",L1161*N1161,0)</x:f>
        <x:v>33915</x:v>
      </x:c>
      <x:c r="X1161" s="26" t="str">
        <x:f>IF(U1161="Open","",IFERROR(K1161-B1161,""))</x:f>
      </x:c>
      <x:c r="Y1161" s="26" t="n">
        <x:f>IF(U1161="Open",Lookups!$B$2-B1161,X1161)</x:f>
        <x:v>407</x:v>
      </x:c>
      <x:c r="Z1161" t="str">
        <x:f>IF(AND(U1161="Open",Y1161&gt;30),"STALE","OK")</x:f>
        <x:v>STALE</x:v>
      </x:c>
      <x:c r="AA1161" t="str">
        <x:f>TEXT(B1161,"yyyy-mm")</x:f>
        <x:v>2025-07</x:v>
      </x:c>
      <x:c r="AB1161" t="str">
        <x:f>IF(K1161="","",TEXT(K1161,"yyyy-mm"))</x:f>
      </x:c>
      <x:c r="AC1161" t="str">
        <x:f>"Q"&amp;ROUNDUP(MONTH(B1161)/3,0)&amp;"-"&amp;YEAR(B1161)</x:f>
        <x:v>Q3-2025</x:v>
      </x:c>
      <x:c r="AD1161" s="26" t="n">
        <x:f>MIN(100,IF(H1161="Enterprise",30,IF(H1161="Mid-Market",22,14))+IF(T1161="Enterprise",25,IF(T1161="Mid-Market",18,10))+IF(Q1161="Referral",25,IF(Q1161="Organic Search",20,IF(Q1161="Email",18,14)))+IF(G1161="Technology",10,5))</x:f>
        <x:v>59</x:v>
      </x:c>
      <x:c r="AE1161" t="str">
        <x:f>IF(U1161&lt;&gt;"Open",U1161,IF(N1161&gt;=0.8,"Commit",IF(N1161&gt;=0.5,"Best Case","Pipeline")))</x:f>
        <x:v>Commit</x:v>
      </x:c>
    </x:row>
    <x:row r="1162">
      <x:c r="A1162" t="str">
        <x:v>L01161</x:v>
      </x:c>
      <x:c r="B1162" s="10" t="n">
        <x:v>46109</x:v>
      </x:c>
      <x:c r="C1162" t="str">
        <x:v>Bao Tran</x:v>
      </x:c>
      <x:c r="D1162" t="str">
        <x:v>South</x:v>
      </x:c>
      <x:c r="E1162" t="str">
        <x:v>organic search</x:v>
      </x:c>
      <x:c r="F1162" t="str">
        <x:v>CRM-CORE</x:v>
      </x:c>
      <x:c r="G1162" t="str">
        <x:v>Manufacturing</x:v>
      </x:c>
      <x:c r="H1162" t="str">
        <x:v>SMB</x:v>
      </x:c>
      <x:c r="I1162" t="str">
        <x:v>Closed Won</x:v>
      </x:c>
      <x:c r="J1162" s="10" t="n">
        <x:v>46121</x:v>
      </x:c>
      <x:c r="K1162" s="10" t="n">
        <x:v>46121</x:v>
      </x:c>
      <x:c r="L1162" s="22" t="n">
        <x:v>9600</x:v>
      </x:c>
      <x:c r="M1162" s="24" t="n">
        <x:v>0.03</x:v>
      </x:c>
      <x:c r="N1162" s="24" t="n">
        <x:v>1</x:v>
      </x:c>
      <x:c r="O1162" t="str"/>
      <x:c r="P1162" t="n">
        <x:v>6</x:v>
      </x:c>
      <x:c r="Q1162" t="str">
        <x:f>IFERROR(XLOOKUP(E1162,Lookups!$A$5:$A$24,Lookups!$B$5:$B$24),"Other")</x:f>
        <x:v>Organic Search</x:v>
      </x:c>
      <x:c r="R1162" t="str">
        <x:f>IFERROR(XLOOKUP(F1162,Lookups!$D$5:$D$10,Lookups!$E$5:$E$10),"Unknown Product")</x:f>
        <x:v>NexaCRM Core</x:v>
      </x:c>
      <x:c r="S1162" t="str">
        <x:f>IFERROR(XLOOKUP(F1162,Lookups!$D$5:$D$10,Lookups!$F$5:$F$10),"Unknown")</x:f>
        <x:v>CRM</x:v>
      </x:c>
      <x:c r="T1162" t="str">
        <x:f>IF(L1162&gt;=50000,"Enterprise",IF(L1162&gt;=20000,"Mid-Market","SMB"))</x:f>
        <x:v>SMB</x:v>
      </x:c>
      <x:c r="U1162" t="str">
        <x:f>IF(I1162="Closed Won","Won",IF(I1162="Closed Lost","Lost","Open"))</x:f>
        <x:v>Won</x:v>
      </x:c>
      <x:c r="V1162" s="22" t="n">
        <x:f>IF(U1162="Won",L1162*(1-M1162),0)</x:f>
        <x:v>9312</x:v>
      </x:c>
      <x:c r="W1162" s="22" t="n">
        <x:f>IF(U1162="Open",L1162*N1162,0)</x:f>
        <x:v>0</x:v>
      </x:c>
      <x:c r="X1162" s="26" t="n">
        <x:f>IF(U1162="Open","",IFERROR(K1162-B1162,""))</x:f>
        <x:v>12</x:v>
      </x:c>
      <x:c r="Y1162" s="26" t="n">
        <x:f>IF(U1162="Open",Lookups!$B$2-B1162,X1162)</x:f>
        <x:v>12</x:v>
      </x:c>
      <x:c r="Z1162" t="str">
        <x:f>IF(AND(U1162="Open",Y1162&gt;30),"STALE","OK")</x:f>
        <x:v>OK</x:v>
      </x:c>
      <x:c r="AA1162" t="str">
        <x:f>TEXT(B1162,"yyyy-mm")</x:f>
        <x:v>2026-03</x:v>
      </x:c>
      <x:c r="AB1162" t="str">
        <x:f>IF(K1162="","",TEXT(K1162,"yyyy-mm"))</x:f>
        <x:v>2026-04</x:v>
      </x:c>
      <x:c r="AC1162" t="str">
        <x:f>"Q"&amp;ROUNDUP(MONTH(B1162)/3,0)&amp;"-"&amp;YEAR(B1162)</x:f>
        <x:v>Q1-2026</x:v>
      </x:c>
      <x:c r="AD1162" s="26" t="n">
        <x:f>MIN(100,IF(H1162="Enterprise",30,IF(H1162="Mid-Market",22,14))+IF(T1162="Enterprise",25,IF(T1162="Mid-Market",18,10))+IF(Q1162="Referral",25,IF(Q1162="Organic Search",20,IF(Q1162="Email",18,14)))+IF(G1162="Technology",10,5))</x:f>
        <x:v>49</x:v>
      </x:c>
      <x:c r="AE1162" t="str">
        <x:f>IF(U1162&lt;&gt;"Open",U1162,IF(N1162&gt;=0.8,"Commit",IF(N1162&gt;=0.5,"Best Case","Pipeline")))</x:f>
        <x:v>Won</x:v>
      </x:c>
    </x:row>
    <x:row r="1163">
      <x:c r="A1163" t="str">
        <x:v>L01162</x:v>
      </x:c>
      <x:c r="B1163" s="10" t="n">
        <x:v>45765</x:v>
      </x:c>
      <x:c r="C1163" t="str">
        <x:v>Tuan Bui</x:v>
      </x:c>
      <x:c r="D1163" t="str">
        <x:v>Central</x:v>
      </x:c>
      <x:c r="E1163" t="str">
        <x:v>Partner Referral</x:v>
      </x:c>
      <x:c r="F1163" t="str">
        <x:v>MKT-AUTO</x:v>
      </x:c>
      <x:c r="G1163" t="str">
        <x:v>Financial Services</x:v>
      </x:c>
      <x:c r="H1163" t="str">
        <x:v>Mid-Market</x:v>
      </x:c>
      <x:c r="I1163" t="str">
        <x:v>Closed Lost</x:v>
      </x:c>
      <x:c r="J1163" s="10" t="n">
        <x:v>45810</x:v>
      </x:c>
      <x:c r="K1163" s="10" t="n">
        <x:v>45810</x:v>
      </x:c>
      <x:c r="L1163" s="22" t="n">
        <x:v>35200</x:v>
      </x:c>
      <x:c r="M1163" s="24" t="n">
        <x:v>0</x:v>
      </x:c>
      <x:c r="N1163" s="24" t="n">
        <x:v>0</x:v>
      </x:c>
      <x:c r="O1163" t="str">
        <x:v>Budget</x:v>
      </x:c>
      <x:c r="P1163" t="n">
        <x:v>3</x:v>
      </x:c>
      <x:c r="Q1163" t="str">
        <x:f>IFERROR(XLOOKUP(E1163,Lookups!$A$5:$A$24,Lookups!$B$5:$B$24),"Other")</x:f>
        <x:v>Referral</x:v>
      </x:c>
      <x:c r="R1163" t="str">
        <x:f>IFERROR(XLOOKUP(F1163,Lookups!$D$5:$D$10,Lookups!$E$5:$E$10),"Unknown Product")</x:f>
        <x:v>Marketing Automation</x:v>
      </x:c>
      <x:c r="S1163" t="str">
        <x:f>IFERROR(XLOOKUP(F1163,Lookups!$D$5:$D$10,Lookups!$F$5:$F$10),"Unknown")</x:f>
        <x:v>Marketing</x:v>
      </x:c>
      <x:c r="T1163" t="str">
        <x:f>IF(L1163&gt;=50000,"Enterprise",IF(L1163&gt;=20000,"Mid-Market","SMB"))</x:f>
        <x:v>Mid-Market</x:v>
      </x:c>
      <x:c r="U1163" t="str">
        <x:f>IF(I1163="Closed Won","Won",IF(I1163="Closed Lost","Lost","Open"))</x:f>
        <x:v>Lost</x:v>
      </x:c>
      <x:c r="V1163" s="22" t="n">
        <x:f>IF(U1163="Won",L1163*(1-M1163),0)</x:f>
        <x:v>0</x:v>
      </x:c>
      <x:c r="W1163" s="22" t="n">
        <x:f>IF(U1163="Open",L1163*N1163,0)</x:f>
        <x:v>0</x:v>
      </x:c>
      <x:c r="X1163" s="26" t="n">
        <x:f>IF(U1163="Open","",IFERROR(K1163-B1163,""))</x:f>
        <x:v>45</x:v>
      </x:c>
      <x:c r="Y1163" s="26" t="n">
        <x:f>IF(U1163="Open",Lookups!$B$2-B1163,X1163)</x:f>
        <x:v>45</x:v>
      </x:c>
      <x:c r="Z1163" t="str">
        <x:f>IF(AND(U1163="Open",Y1163&gt;30),"STALE","OK")</x:f>
        <x:v>OK</x:v>
      </x:c>
      <x:c r="AA1163" t="str">
        <x:f>TEXT(B1163,"yyyy-mm")</x:f>
        <x:v>2025-04</x:v>
      </x:c>
      <x:c r="AB1163" t="str">
        <x:f>IF(K1163="","",TEXT(K1163,"yyyy-mm"))</x:f>
        <x:v>2025-06</x:v>
      </x:c>
      <x:c r="AC1163" t="str">
        <x:f>"Q"&amp;ROUNDUP(MONTH(B1163)/3,0)&amp;"-"&amp;YEAR(B1163)</x:f>
        <x:v>Q2-2025</x:v>
      </x:c>
      <x:c r="AD1163" s="26" t="n">
        <x:f>MIN(100,IF(H1163="Enterprise",30,IF(H1163="Mid-Market",22,14))+IF(T1163="Enterprise",25,IF(T1163="Mid-Market",18,10))+IF(Q1163="Referral",25,IF(Q1163="Organic Search",20,IF(Q1163="Email",18,14)))+IF(G1163="Technology",10,5))</x:f>
        <x:v>70</x:v>
      </x:c>
      <x:c r="AE1163" t="str">
        <x:f>IF(U1163&lt;&gt;"Open",U1163,IF(N1163&gt;=0.8,"Commit",IF(N1163&gt;=0.5,"Best Case","Pipeline")))</x:f>
        <x:v>Lost</x:v>
      </x:c>
    </x:row>
    <x:row r="1164">
      <x:c r="A1164" t="str">
        <x:v>L01163</x:v>
      </x:c>
      <x:c r="B1164" s="10" t="n">
        <x:v>46185</x:v>
      </x:c>
      <x:c r="C1164" t="str">
        <x:v>Chi Le</x:v>
      </x:c>
      <x:c r="D1164" t="str">
        <x:v>South</x:v>
      </x:c>
      <x:c r="E1164" t="str">
        <x:v>Google Organic</x:v>
      </x:c>
      <x:c r="F1164" t="str">
        <x:v>CRM-PRO</x:v>
      </x:c>
      <x:c r="G1164" t="str">
        <x:v>Manufacturing</x:v>
      </x:c>
      <x:c r="H1164" t="str">
        <x:v>SMB</x:v>
      </x:c>
      <x:c r="I1164" t="str">
        <x:v>Qualified</x:v>
      </x:c>
      <x:c r="J1164" s="10" t="n">
        <x:v>46253</x:v>
      </x:c>
      <x:c r="K1164" s="10"/>
      <x:c r="L1164" s="22" t="n">
        <x:v>21100</x:v>
      </x:c>
      <x:c r="M1164" s="24" t="n">
        <x:v>0.05</x:v>
      </x:c>
      <x:c r="N1164" s="24" t="n">
        <x:v>0.2</x:v>
      </x:c>
      <x:c r="O1164" t="str"/>
      <x:c r="P1164" t="n">
        <x:v>2</x:v>
      </x:c>
      <x:c r="Q1164" t="str">
        <x:f>IFERROR(XLOOKUP(E1164,Lookups!$A$5:$A$24,Lookups!$B$5:$B$24),"Other")</x:f>
        <x:v>Organic Search</x:v>
      </x:c>
      <x:c r="R1164" t="str">
        <x:f>IFERROR(XLOOKUP(F1164,Lookups!$D$5:$D$10,Lookups!$E$5:$E$10),"Unknown Product")</x:f>
        <x:v>NexaCRM Pro</x:v>
      </x:c>
      <x:c r="S1164" t="str">
        <x:f>IFERROR(XLOOKUP(F1164,Lookups!$D$5:$D$10,Lookups!$F$5:$F$10),"Unknown")</x:f>
        <x:v>CRM</x:v>
      </x:c>
      <x:c r="T1164" t="str">
        <x:f>IF(L1164&gt;=50000,"Enterprise",IF(L1164&gt;=20000,"Mid-Market","SMB"))</x:f>
        <x:v>Mid-Market</x:v>
      </x:c>
      <x:c r="U1164" t="str">
        <x:f>IF(I1164="Closed Won","Won",IF(I1164="Closed Lost","Lost","Open"))</x:f>
        <x:v>Open</x:v>
      </x:c>
      <x:c r="V1164" s="22" t="n">
        <x:f>IF(U1164="Won",L1164*(1-M1164),0)</x:f>
        <x:v>0</x:v>
      </x:c>
      <x:c r="W1164" s="22" t="n">
        <x:f>IF(U1164="Open",L1164*N1164,0)</x:f>
        <x:v>4220</x:v>
      </x:c>
      <x:c r="X1164" s="26" t="str">
        <x:f>IF(U1164="Open","",IFERROR(K1164-B1164,""))</x:f>
      </x:c>
      <x:c r="Y1164" s="26" t="n">
        <x:f>IF(U1164="Open",Lookups!$B$2-B1164,X1164)</x:f>
        <x:v>81</x:v>
      </x:c>
      <x:c r="Z1164" t="str">
        <x:f>IF(AND(U1164="Open",Y1164&gt;30),"STALE","OK")</x:f>
        <x:v>STALE</x:v>
      </x:c>
      <x:c r="AA1164" t="str">
        <x:f>TEXT(B1164,"yyyy-mm")</x:f>
        <x:v>2026-06</x:v>
      </x:c>
      <x:c r="AB1164" t="str">
        <x:f>IF(K1164="","",TEXT(K1164,"yyyy-mm"))</x:f>
      </x:c>
      <x:c r="AC1164" t="str">
        <x:f>"Q"&amp;ROUNDUP(MONTH(B1164)/3,0)&amp;"-"&amp;YEAR(B1164)</x:f>
        <x:v>Q2-2026</x:v>
      </x:c>
      <x:c r="AD1164" s="26" t="n">
        <x:f>MIN(100,IF(H1164="Enterprise",30,IF(H1164="Mid-Market",22,14))+IF(T1164="Enterprise",25,IF(T1164="Mid-Market",18,10))+IF(Q1164="Referral",25,IF(Q1164="Organic Search",20,IF(Q1164="Email",18,14)))+IF(G1164="Technology",10,5))</x:f>
        <x:v>57</x:v>
      </x:c>
      <x:c r="AE1164" t="str">
        <x:f>IF(U1164&lt;&gt;"Open",U1164,IF(N1164&gt;=0.8,"Commit",IF(N1164&gt;=0.5,"Best Case","Pipeline")))</x:f>
        <x:v>Pipeline</x:v>
      </x:c>
    </x:row>
    <x:row r="1165">
      <x:c r="A1165" t="str">
        <x:v>L01164</x:v>
      </x:c>
      <x:c r="B1165" s="10" t="n">
        <x:v>46236</x:v>
      </x:c>
      <x:c r="C1165" t="str">
        <x:v>Tuan Bui</x:v>
      </x:c>
      <x:c r="D1165" t="str">
        <x:v>Central</x:v>
      </x:c>
      <x:c r="E1165" t="str">
        <x:v>linkedin</x:v>
      </x:c>
      <x:c r="F1165" t="str">
        <x:v>REV-OPS</x:v>
      </x:c>
      <x:c r="G1165" t="str">
        <x:v>Retail</x:v>
      </x:c>
      <x:c r="H1165" t="str">
        <x:v>SMB</x:v>
      </x:c>
      <x:c r="I1165" t="str">
        <x:v>New</x:v>
      </x:c>
      <x:c r="J1165" s="10" t="n">
        <x:v>46250</x:v>
      </x:c>
      <x:c r="K1165" s="10"/>
      <x:c r="L1165" s="22" t="n">
        <x:v>29400</x:v>
      </x:c>
      <x:c r="M1165" s="24" t="n">
        <x:v>0</x:v>
      </x:c>
      <x:c r="N1165" s="24" t="n">
        <x:v>0.05</x:v>
      </x:c>
      <x:c r="O1165" t="str"/>
      <x:c r="P1165" t="n">
        <x:v>1</x:v>
      </x:c>
      <x:c r="Q1165" t="str">
        <x:f>IFERROR(XLOOKUP(E1165,Lookups!$A$5:$A$24,Lookups!$B$5:$B$24),"Other")</x:f>
        <x:v>LinkedIn</x:v>
      </x:c>
      <x:c r="R1165" t="str">
        <x:f>IFERROR(XLOOKUP(F1165,Lookups!$D$5:$D$10,Lookups!$E$5:$E$10),"Unknown Product")</x:f>
        <x:v>Revenue Operations Suite</x:v>
      </x:c>
      <x:c r="S1165" t="str">
        <x:f>IFERROR(XLOOKUP(F1165,Lookups!$D$5:$D$10,Lookups!$F$5:$F$10),"Unknown")</x:f>
        <x:v>Revenue Ops</x:v>
      </x:c>
      <x:c r="T1165" t="str">
        <x:f>IF(L1165&gt;=50000,"Enterprise",IF(L1165&gt;=20000,"Mid-Market","SMB"))</x:f>
        <x:v>Mid-Market</x:v>
      </x:c>
      <x:c r="U1165" t="str">
        <x:f>IF(I1165="Closed Won","Won",IF(I1165="Closed Lost","Lost","Open"))</x:f>
        <x:v>Open</x:v>
      </x:c>
      <x:c r="V1165" s="22" t="n">
        <x:f>IF(U1165="Won",L1165*(1-M1165),0)</x:f>
        <x:v>0</x:v>
      </x:c>
      <x:c r="W1165" s="22" t="n">
        <x:f>IF(U1165="Open",L1165*N1165,0)</x:f>
        <x:v>1470</x:v>
      </x:c>
      <x:c r="X1165" s="26" t="str">
        <x:f>IF(U1165="Open","",IFERROR(K1165-B1165,""))</x:f>
      </x:c>
      <x:c r="Y1165" s="26" t="n">
        <x:f>IF(U1165="Open",Lookups!$B$2-B1165,X1165)</x:f>
        <x:v>30</x:v>
      </x:c>
      <x:c r="Z1165" t="str">
        <x:f>IF(AND(U1165="Open",Y1165&gt;30),"STALE","OK")</x:f>
        <x:v>OK</x:v>
      </x:c>
      <x:c r="AA1165" t="str">
        <x:f>TEXT(B1165,"yyyy-mm")</x:f>
        <x:v>2026-08</x:v>
      </x:c>
      <x:c r="AB1165" t="str">
        <x:f>IF(K1165="","",TEXT(K1165,"yyyy-mm"))</x:f>
      </x:c>
      <x:c r="AC1165" t="str">
        <x:f>"Q"&amp;ROUNDUP(MONTH(B1165)/3,0)&amp;"-"&amp;YEAR(B1165)</x:f>
        <x:v>Q3-2026</x:v>
      </x:c>
      <x:c r="AD1165" s="26" t="n">
        <x:f>MIN(100,IF(H1165="Enterprise",30,IF(H1165="Mid-Market",22,14))+IF(T1165="Enterprise",25,IF(T1165="Mid-Market",18,10))+IF(Q1165="Referral",25,IF(Q1165="Organic Search",20,IF(Q1165="Email",18,14)))+IF(G1165="Technology",10,5))</x:f>
        <x:v>51</x:v>
      </x:c>
      <x:c r="AE1165" t="str">
        <x:f>IF(U1165&lt;&gt;"Open",U1165,IF(N1165&gt;=0.8,"Commit",IF(N1165&gt;=0.5,"Best Case","Pipeline")))</x:f>
        <x:v>Pipeline</x:v>
      </x:c>
    </x:row>
    <x:row r="1166">
      <x:c r="A1166" t="str">
        <x:v>L01165</x:v>
      </x:c>
      <x:c r="B1166" s="10" t="n">
        <x:v>46246</x:v>
      </x:c>
      <x:c r="C1166" t="str">
        <x:v>Quynh Vu</x:v>
      </x:c>
      <x:c r="D1166" t="str">
        <x:v>North</x:v>
      </x:c>
      <x:c r="E1166" t="str">
        <x:v>LinkedIn Ads</x:v>
      </x:c>
      <x:c r="F1166" t="str">
        <x:v>BI-PLUS</x:v>
      </x:c>
      <x:c r="G1166" t="str">
        <x:v>Retail</x:v>
      </x:c>
      <x:c r="H1166" t="str">
        <x:v>Mid-Market</x:v>
      </x:c>
      <x:c r="I1166" t="str">
        <x:v>Closed Won</x:v>
      </x:c>
      <x:c r="J1166" s="10" t="n">
        <x:v>46266</x:v>
      </x:c>
      <x:c r="K1166" s="10" t="n">
        <x:v>46266</x:v>
      </x:c>
      <x:c r="L1166" s="22" t="n">
        <x:v>36700</x:v>
      </x:c>
      <x:c r="M1166" s="24" t="n">
        <x:v>0</x:v>
      </x:c>
      <x:c r="N1166" s="24" t="n">
        <x:v>1</x:v>
      </x:c>
      <x:c r="O1166" t="str"/>
      <x:c r="P1166" t="n">
        <x:v>6</x:v>
      </x:c>
      <x:c r="Q1166" t="str">
        <x:f>IFERROR(XLOOKUP(E1166,Lookups!$A$5:$A$24,Lookups!$B$5:$B$24),"Other")</x:f>
        <x:v>LinkedIn</x:v>
      </x:c>
      <x:c r="R1166" t="str">
        <x:f>IFERROR(XLOOKUP(F1166,Lookups!$D$5:$D$10,Lookups!$E$5:$E$10),"Unknown Product")</x:f>
        <x:v>Analytics Plus</x:v>
      </x:c>
      <x:c r="S1166" t="str">
        <x:f>IFERROR(XLOOKUP(F1166,Lookups!$D$5:$D$10,Lookups!$F$5:$F$10),"Unknown")</x:f>
        <x:v>Analytics</x:v>
      </x:c>
      <x:c r="T1166" t="str">
        <x:f>IF(L1166&gt;=50000,"Enterprise",IF(L1166&gt;=20000,"Mid-Market","SMB"))</x:f>
        <x:v>Mid-Market</x:v>
      </x:c>
      <x:c r="U1166" t="str">
        <x:f>IF(I1166="Closed Won","Won",IF(I1166="Closed Lost","Lost","Open"))</x:f>
        <x:v>Won</x:v>
      </x:c>
      <x:c r="V1166" s="22" t="n">
        <x:f>IF(U1166="Won",L1166*(1-M1166),0)</x:f>
        <x:v>36700</x:v>
      </x:c>
      <x:c r="W1166" s="22" t="n">
        <x:f>IF(U1166="Open",L1166*N1166,0)</x:f>
        <x:v>0</x:v>
      </x:c>
      <x:c r="X1166" s="26" t="n">
        <x:f>IF(U1166="Open","",IFERROR(K1166-B1166,""))</x:f>
        <x:v>20</x:v>
      </x:c>
      <x:c r="Y1166" s="26" t="n">
        <x:f>IF(U1166="Open",Lookups!$B$2-B1166,X1166)</x:f>
        <x:v>20</x:v>
      </x:c>
      <x:c r="Z1166" t="str">
        <x:f>IF(AND(U1166="Open",Y1166&gt;30),"STALE","OK")</x:f>
        <x:v>OK</x:v>
      </x:c>
      <x:c r="AA1166" t="str">
        <x:f>TEXT(B1166,"yyyy-mm")</x:f>
        <x:v>2026-08</x:v>
      </x:c>
      <x:c r="AB1166" t="str">
        <x:f>IF(K1166="","",TEXT(K1166,"yyyy-mm"))</x:f>
        <x:v>2026-09</x:v>
      </x:c>
      <x:c r="AC1166" t="str">
        <x:f>"Q"&amp;ROUNDUP(MONTH(B1166)/3,0)&amp;"-"&amp;YEAR(B1166)</x:f>
        <x:v>Q3-2026</x:v>
      </x:c>
      <x:c r="AD1166" s="26" t="n">
        <x:f>MIN(100,IF(H1166="Enterprise",30,IF(H1166="Mid-Market",22,14))+IF(T1166="Enterprise",25,IF(T1166="Mid-Market",18,10))+IF(Q1166="Referral",25,IF(Q1166="Organic Search",20,IF(Q1166="Email",18,14)))+IF(G1166="Technology",10,5))</x:f>
        <x:v>59</x:v>
      </x:c>
      <x:c r="AE1166" t="str">
        <x:f>IF(U1166&lt;&gt;"Open",U1166,IF(N1166&gt;=0.8,"Commit",IF(N1166&gt;=0.5,"Best Case","Pipeline")))</x:f>
        <x:v>Won</x:v>
      </x:c>
    </x:row>
    <x:row r="1167">
      <x:c r="A1167" t="str">
        <x:v>L01166</x:v>
      </x:c>
      <x:c r="B1167" s="10" t="n">
        <x:v>46262</x:v>
      </x:c>
      <x:c r="C1167" t="str">
        <x:v>Tuan Bui</x:v>
      </x:c>
      <x:c r="D1167" t="str">
        <x:v>Central</x:v>
      </x:c>
      <x:c r="E1167" t="str">
        <x:v>Webinar</x:v>
      </x:c>
      <x:c r="F1167" t="str">
        <x:v>MKT-AUTO</x:v>
      </x:c>
      <x:c r="G1167" t="str">
        <x:v>Financial Services</x:v>
      </x:c>
      <x:c r="H1167" t="str">
        <x:v>SMB</x:v>
      </x:c>
      <x:c r="I1167" t="str">
        <x:v>New</x:v>
      </x:c>
      <x:c r="J1167" s="10" t="n">
        <x:v>46264</x:v>
      </x:c>
      <x:c r="K1167" s="10"/>
      <x:c r="L1167" s="22" t="n">
        <x:v>14800</x:v>
      </x:c>
      <x:c r="M1167" s="24" t="n">
        <x:v>0</x:v>
      </x:c>
      <x:c r="N1167" s="24" t="n">
        <x:v>0.05</x:v>
      </x:c>
      <x:c r="O1167" t="str"/>
      <x:c r="P1167" t="n">
        <x:v>1</x:v>
      </x:c>
      <x:c r="Q1167" t="str">
        <x:f>IFERROR(XLOOKUP(E1167,Lookups!$A$5:$A$24,Lookups!$B$5:$B$24),"Other")</x:f>
        <x:v>Webinar</x:v>
      </x:c>
      <x:c r="R1167" t="str">
        <x:f>IFERROR(XLOOKUP(F1167,Lookups!$D$5:$D$10,Lookups!$E$5:$E$10),"Unknown Product")</x:f>
        <x:v>Marketing Automation</x:v>
      </x:c>
      <x:c r="S1167" t="str">
        <x:f>IFERROR(XLOOKUP(F1167,Lookups!$D$5:$D$10,Lookups!$F$5:$F$10),"Unknown")</x:f>
        <x:v>Marketing</x:v>
      </x:c>
      <x:c r="T1167" t="str">
        <x:f>IF(L1167&gt;=50000,"Enterprise",IF(L1167&gt;=20000,"Mid-Market","SMB"))</x:f>
        <x:v>SMB</x:v>
      </x:c>
      <x:c r="U1167" t="str">
        <x:f>IF(I1167="Closed Won","Won",IF(I1167="Closed Lost","Lost","Open"))</x:f>
        <x:v>Open</x:v>
      </x:c>
      <x:c r="V1167" s="22" t="n">
        <x:f>IF(U1167="Won",L1167*(1-M1167),0)</x:f>
        <x:v>0</x:v>
      </x:c>
      <x:c r="W1167" s="22" t="n">
        <x:f>IF(U1167="Open",L1167*N1167,0)</x:f>
        <x:v>740</x:v>
      </x:c>
      <x:c r="X1167" s="26" t="str">
        <x:f>IF(U1167="Open","",IFERROR(K1167-B1167,""))</x:f>
      </x:c>
      <x:c r="Y1167" s="26" t="n">
        <x:f>IF(U1167="Open",Lookups!$B$2-B1167,X1167)</x:f>
        <x:v>4</x:v>
      </x:c>
      <x:c r="Z1167" t="str">
        <x:f>IF(AND(U1167="Open",Y1167&gt;30),"STALE","OK")</x:f>
        <x:v>OK</x:v>
      </x:c>
      <x:c r="AA1167" t="str">
        <x:f>TEXT(B1167,"yyyy-mm")</x:f>
        <x:v>2026-08</x:v>
      </x:c>
      <x:c r="AB1167" t="str">
        <x:f>IF(K1167="","",TEXT(K1167,"yyyy-mm"))</x:f>
      </x:c>
      <x:c r="AC1167" t="str">
        <x:f>"Q"&amp;ROUNDUP(MONTH(B1167)/3,0)&amp;"-"&amp;YEAR(B1167)</x:f>
        <x:v>Q3-2026</x:v>
      </x:c>
      <x:c r="AD1167" s="26" t="n">
        <x:f>MIN(100,IF(H1167="Enterprise",30,IF(H1167="Mid-Market",22,14))+IF(T1167="Enterprise",25,IF(T1167="Mid-Market",18,10))+IF(Q1167="Referral",25,IF(Q1167="Organic Search",20,IF(Q1167="Email",18,14)))+IF(G1167="Technology",10,5))</x:f>
        <x:v>43</x:v>
      </x:c>
      <x:c r="AE1167" t="str">
        <x:f>IF(U1167&lt;&gt;"Open",U1167,IF(N1167&gt;=0.8,"Commit",IF(N1167&gt;=0.5,"Best Case","Pipeline")))</x:f>
        <x:v>Pipeline</x:v>
      </x:c>
    </x:row>
    <x:row r="1168">
      <x:c r="A1168" t="str">
        <x:v>L01167</x:v>
      </x:c>
      <x:c r="B1168" s="10" t="n">
        <x:v>45748</x:v>
      </x:c>
      <x:c r="C1168" t="str">
        <x:v>Ha Vo</x:v>
      </x:c>
      <x:c r="D1168" t="str">
        <x:v>North</x:v>
      </x:c>
      <x:c r="E1168" t="str">
        <x:v>Google Ads</x:v>
      </x:c>
      <x:c r="F1168" t="str">
        <x:v>CS-CLOUD</x:v>
      </x:c>
      <x:c r="G1168" t="str">
        <x:v>Manufacturing</x:v>
      </x:c>
      <x:c r="H1168" t="str">
        <x:v>SMB</x:v>
      </x:c>
      <x:c r="I1168" t="str">
        <x:v>Closed Lost</x:v>
      </x:c>
      <x:c r="J1168" s="10" t="n">
        <x:v>45796</x:v>
      </x:c>
      <x:c r="K1168" s="10" t="n">
        <x:v>45796</x:v>
      </x:c>
      <x:c r="L1168" s="22" t="n">
        <x:v>15200</x:v>
      </x:c>
      <x:c r="M1168" s="24" t="n">
        <x:v>0</x:v>
      </x:c>
      <x:c r="N1168" s="24" t="n">
        <x:v>0</x:v>
      </x:c>
      <x:c r="O1168" t="str">
        <x:v>Feature Gap</x:v>
      </x:c>
      <x:c r="P1168" t="n">
        <x:v>3</x:v>
      </x:c>
      <x:c r="Q1168" t="str">
        <x:f>IFERROR(XLOOKUP(E1168,Lookups!$A$5:$A$24,Lookups!$B$5:$B$24),"Other")</x:f>
        <x:v>Paid Search</x:v>
      </x:c>
      <x:c r="R1168" t="str">
        <x:f>IFERROR(XLOOKUP(F1168,Lookups!$D$5:$D$10,Lookups!$E$5:$E$10),"Unknown Product")</x:f>
        <x:v>Service Cloud</x:v>
      </x:c>
      <x:c r="S1168" t="str">
        <x:f>IFERROR(XLOOKUP(F1168,Lookups!$D$5:$D$10,Lookups!$F$5:$F$10),"Unknown")</x:f>
        <x:v>Customer Service</x:v>
      </x:c>
      <x:c r="T1168" t="str">
        <x:f>IF(L1168&gt;=50000,"Enterprise",IF(L1168&gt;=20000,"Mid-Market","SMB"))</x:f>
        <x:v>SMB</x:v>
      </x:c>
      <x:c r="U1168" t="str">
        <x:f>IF(I1168="Closed Won","Won",IF(I1168="Closed Lost","Lost","Open"))</x:f>
        <x:v>Lost</x:v>
      </x:c>
      <x:c r="V1168" s="22" t="n">
        <x:f>IF(U1168="Won",L1168*(1-M1168),0)</x:f>
        <x:v>0</x:v>
      </x:c>
      <x:c r="W1168" s="22" t="n">
        <x:f>IF(U1168="Open",L1168*N1168,0)</x:f>
        <x:v>0</x:v>
      </x:c>
      <x:c r="X1168" s="26" t="n">
        <x:f>IF(U1168="Open","",IFERROR(K1168-B1168,""))</x:f>
        <x:v>48</x:v>
      </x:c>
      <x:c r="Y1168" s="26" t="n">
        <x:f>IF(U1168="Open",Lookups!$B$2-B1168,X1168)</x:f>
        <x:v>48</x:v>
      </x:c>
      <x:c r="Z1168" t="str">
        <x:f>IF(AND(U1168="Open",Y1168&gt;30),"STALE","OK")</x:f>
        <x:v>OK</x:v>
      </x:c>
      <x:c r="AA1168" t="str">
        <x:f>TEXT(B1168,"yyyy-mm")</x:f>
        <x:v>2025-04</x:v>
      </x:c>
      <x:c r="AB1168" t="str">
        <x:f>IF(K1168="","",TEXT(K1168,"yyyy-mm"))</x:f>
        <x:v>2025-05</x:v>
      </x:c>
      <x:c r="AC1168" t="str">
        <x:f>"Q"&amp;ROUNDUP(MONTH(B1168)/3,0)&amp;"-"&amp;YEAR(B1168)</x:f>
        <x:v>Q2-2025</x:v>
      </x:c>
      <x:c r="AD1168" s="26" t="n">
        <x:f>MIN(100,IF(H1168="Enterprise",30,IF(H1168="Mid-Market",22,14))+IF(T1168="Enterprise",25,IF(T1168="Mid-Market",18,10))+IF(Q1168="Referral",25,IF(Q1168="Organic Search",20,IF(Q1168="Email",18,14)))+IF(G1168="Technology",10,5))</x:f>
        <x:v>43</x:v>
      </x:c>
      <x:c r="AE1168" t="str">
        <x:f>IF(U1168&lt;&gt;"Open",U1168,IF(N1168&gt;=0.8,"Commit",IF(N1168&gt;=0.5,"Best Case","Pipeline")))</x:f>
        <x:v>Lost</x:v>
      </x:c>
    </x:row>
    <x:row r="1169">
      <x:c r="A1169" t="str">
        <x:v>L01168</x:v>
      </x:c>
      <x:c r="B1169" s="10" t="n">
        <x:v>45712</x:v>
      </x:c>
      <x:c r="C1169" t="str">
        <x:v>Duy Pham</x:v>
      </x:c>
      <x:c r="D1169" t="str">
        <x:v>South</x:v>
      </x:c>
      <x:c r="E1169" t="str">
        <x:v>LinkedIn Ads</x:v>
      </x:c>
      <x:c r="F1169" t="str">
        <x:v>BI-PLUS</x:v>
      </x:c>
      <x:c r="G1169" t="str">
        <x:v>Healthcare</x:v>
      </x:c>
      <x:c r="H1169" t="str">
        <x:v>Enterprise</x:v>
      </x:c>
      <x:c r="I1169" t="str">
        <x:v>Negotiation</x:v>
      </x:c>
      <x:c r="J1169" s="10" t="n">
        <x:v>46025</x:v>
      </x:c>
      <x:c r="K1169" s="10"/>
      <x:c r="L1169" s="22" t="n">
        <x:v>62500</x:v>
      </x:c>
      <x:c r="M1169" s="24" t="n">
        <x:v>0.05</x:v>
      </x:c>
      <x:c r="N1169" s="24" t="n">
        <x:v>0.85</x:v>
      </x:c>
      <x:c r="O1169" t="str"/>
      <x:c r="P1169" t="n">
        <x:v>5</x:v>
      </x:c>
      <x:c r="Q1169" t="str">
        <x:f>IFERROR(XLOOKUP(E1169,Lookups!$A$5:$A$24,Lookups!$B$5:$B$24),"Other")</x:f>
        <x:v>LinkedIn</x:v>
      </x:c>
      <x:c r="R1169" t="str">
        <x:f>IFERROR(XLOOKUP(F1169,Lookups!$D$5:$D$10,Lookups!$E$5:$E$10),"Unknown Product")</x:f>
        <x:v>Analytics Plus</x:v>
      </x:c>
      <x:c r="S1169" t="str">
        <x:f>IFERROR(XLOOKUP(F1169,Lookups!$D$5:$D$10,Lookups!$F$5:$F$10),"Unknown")</x:f>
        <x:v>Analytics</x:v>
      </x:c>
      <x:c r="T1169" t="str">
        <x:f>IF(L1169&gt;=50000,"Enterprise",IF(L1169&gt;=20000,"Mid-Market","SMB"))</x:f>
        <x:v>Enterprise</x:v>
      </x:c>
      <x:c r="U1169" t="str">
        <x:f>IF(I1169="Closed Won","Won",IF(I1169="Closed Lost","Lost","Open"))</x:f>
        <x:v>Open</x:v>
      </x:c>
      <x:c r="V1169" s="22" t="n">
        <x:f>IF(U1169="Won",L1169*(1-M1169),0)</x:f>
        <x:v>0</x:v>
      </x:c>
      <x:c r="W1169" s="22" t="n">
        <x:f>IF(U1169="Open",L1169*N1169,0)</x:f>
        <x:v>53125</x:v>
      </x:c>
      <x:c r="X1169" s="26" t="str">
        <x:f>IF(U1169="Open","",IFERROR(K1169-B1169,""))</x:f>
      </x:c>
      <x:c r="Y1169" s="26" t="n">
        <x:f>IF(U1169="Open",Lookups!$B$2-B1169,X1169)</x:f>
        <x:v>554</x:v>
      </x:c>
      <x:c r="Z1169" t="str">
        <x:f>IF(AND(U1169="Open",Y1169&gt;30),"STALE","OK")</x:f>
        <x:v>STALE</x:v>
      </x:c>
      <x:c r="AA1169" t="str">
        <x:f>TEXT(B1169,"yyyy-mm")</x:f>
        <x:v>2025-02</x:v>
      </x:c>
      <x:c r="AB1169" t="str">
        <x:f>IF(K1169="","",TEXT(K1169,"yyyy-mm"))</x:f>
      </x:c>
      <x:c r="AC1169" t="str">
        <x:f>"Q"&amp;ROUNDUP(MONTH(B1169)/3,0)&amp;"-"&amp;YEAR(B1169)</x:f>
        <x:v>Q1-2025</x:v>
      </x:c>
      <x:c r="AD1169" s="26" t="n">
        <x:f>MIN(100,IF(H1169="Enterprise",30,IF(H1169="Mid-Market",22,14))+IF(T1169="Enterprise",25,IF(T1169="Mid-Market",18,10))+IF(Q1169="Referral",25,IF(Q1169="Organic Search",20,IF(Q1169="Email",18,14)))+IF(G1169="Technology",10,5))</x:f>
        <x:v>74</x:v>
      </x:c>
      <x:c r="AE1169" t="str">
        <x:f>IF(U1169&lt;&gt;"Open",U1169,IF(N1169&gt;=0.8,"Commit",IF(N1169&gt;=0.5,"Best Case","Pipeline")))</x:f>
        <x:v>Commit</x:v>
      </x:c>
    </x:row>
    <x:row r="1170">
      <x:c r="A1170" t="str">
        <x:v>L01169</x:v>
      </x:c>
      <x:c r="B1170" s="10" t="n">
        <x:v>46209</x:v>
      </x:c>
      <x:c r="C1170" t="str">
        <x:v>Quynh Vu</x:v>
      </x:c>
      <x:c r="D1170" t="str">
        <x:v>North</x:v>
      </x:c>
      <x:c r="E1170" t="str">
        <x:v>newsletter</x:v>
      </x:c>
      <x:c r="F1170" t="str">
        <x:v>REV-OPS</x:v>
      </x:c>
      <x:c r="G1170" t="str">
        <x:v>Professional Services</x:v>
      </x:c>
      <x:c r="H1170" t="str">
        <x:v>SMB</x:v>
      </x:c>
      <x:c r="I1170" t="str">
        <x:v>Demo / Meeting</x:v>
      </x:c>
      <x:c r="J1170" s="10" t="n">
        <x:v>46246</x:v>
      </x:c>
      <x:c r="K1170" s="10"/>
      <x:c r="L1170" s="22" t="n">
        <x:v>40700</x:v>
      </x:c>
      <x:c r="M1170" s="24" t="n">
        <x:v>0.03</x:v>
      </x:c>
      <x:c r="N1170" s="24" t="n">
        <x:v>0.4</x:v>
      </x:c>
      <x:c r="O1170" t="str"/>
      <x:c r="P1170" t="n">
        <x:v>3</x:v>
      </x:c>
      <x:c r="Q1170" t="str">
        <x:f>IFERROR(XLOOKUP(E1170,Lookups!$A$5:$A$24,Lookups!$B$5:$B$24),"Other")</x:f>
        <x:v>Email</x:v>
      </x:c>
      <x:c r="R1170" t="str">
        <x:f>IFERROR(XLOOKUP(F1170,Lookups!$D$5:$D$10,Lookups!$E$5:$E$10),"Unknown Product")</x:f>
        <x:v>Revenue Operations Suite</x:v>
      </x:c>
      <x:c r="S1170" t="str">
        <x:f>IFERROR(XLOOKUP(F1170,Lookups!$D$5:$D$10,Lookups!$F$5:$F$10),"Unknown")</x:f>
        <x:v>Revenue Ops</x:v>
      </x:c>
      <x:c r="T1170" t="str">
        <x:f>IF(L1170&gt;=50000,"Enterprise",IF(L1170&gt;=20000,"Mid-Market","SMB"))</x:f>
        <x:v>Mid-Market</x:v>
      </x:c>
      <x:c r="U1170" t="str">
        <x:f>IF(I1170="Closed Won","Won",IF(I1170="Closed Lost","Lost","Open"))</x:f>
        <x:v>Open</x:v>
      </x:c>
      <x:c r="V1170" s="22" t="n">
        <x:f>IF(U1170="Won",L1170*(1-M1170),0)</x:f>
        <x:v>0</x:v>
      </x:c>
      <x:c r="W1170" s="22" t="n">
        <x:f>IF(U1170="Open",L1170*N1170,0)</x:f>
        <x:v>16280</x:v>
      </x:c>
      <x:c r="X1170" s="26" t="str">
        <x:f>IF(U1170="Open","",IFERROR(K1170-B1170,""))</x:f>
      </x:c>
      <x:c r="Y1170" s="26" t="n">
        <x:f>IF(U1170="Open",Lookups!$B$2-B1170,X1170)</x:f>
        <x:v>57</x:v>
      </x:c>
      <x:c r="Z1170" t="str">
        <x:f>IF(AND(U1170="Open",Y1170&gt;30),"STALE","OK")</x:f>
        <x:v>STALE</x:v>
      </x:c>
      <x:c r="AA1170" t="str">
        <x:f>TEXT(B1170,"yyyy-mm")</x:f>
        <x:v>2026-07</x:v>
      </x:c>
      <x:c r="AB1170" t="str">
        <x:f>IF(K1170="","",TEXT(K1170,"yyyy-mm"))</x:f>
      </x:c>
      <x:c r="AC1170" t="str">
        <x:f>"Q"&amp;ROUNDUP(MONTH(B1170)/3,0)&amp;"-"&amp;YEAR(B1170)</x:f>
        <x:v>Q3-2026</x:v>
      </x:c>
      <x:c r="AD1170" s="26" t="n">
        <x:f>MIN(100,IF(H1170="Enterprise",30,IF(H1170="Mid-Market",22,14))+IF(T1170="Enterprise",25,IF(T1170="Mid-Market",18,10))+IF(Q1170="Referral",25,IF(Q1170="Organic Search",20,IF(Q1170="Email",18,14)))+IF(G1170="Technology",10,5))</x:f>
        <x:v>55</x:v>
      </x:c>
      <x:c r="AE1170" t="str">
        <x:f>IF(U1170&lt;&gt;"Open",U1170,IF(N1170&gt;=0.8,"Commit",IF(N1170&gt;=0.5,"Best Case","Pipeline")))</x:f>
        <x:v>Pipeline</x:v>
      </x:c>
    </x:row>
    <x:row r="1171">
      <x:c r="A1171" t="str">
        <x:v>L01170</x:v>
      </x:c>
      <x:c r="B1171" s="10" t="n">
        <x:v>45876</x:v>
      </x:c>
      <x:c r="C1171" t="str">
        <x:v>Minh Do</x:v>
      </x:c>
      <x:c r="D1171" t="str">
        <x:v>North</x:v>
      </x:c>
      <x:c r="E1171" t="str">
        <x:v>Google Organic</x:v>
      </x:c>
      <x:c r="F1171" t="str">
        <x:v>CRM-PRO</x:v>
      </x:c>
      <x:c r="G1171" t="str">
        <x:v>Education</x:v>
      </x:c>
      <x:c r="H1171" t="str">
        <x:v>SMB</x:v>
      </x:c>
      <x:c r="I1171" t="str">
        <x:v>Closed Lost</x:v>
      </x:c>
      <x:c r="J1171" s="10" t="n">
        <x:v>45896</x:v>
      </x:c>
      <x:c r="K1171" s="10" t="n">
        <x:v>45896</x:v>
      </x:c>
      <x:c r="L1171" s="22" t="n">
        <x:v>13400</x:v>
      </x:c>
      <x:c r="M1171" s="24" t="n">
        <x:v>0</x:v>
      </x:c>
      <x:c r="N1171" s="24" t="n">
        <x:v>0</x:v>
      </x:c>
      <x:c r="O1171" t="str">
        <x:v>Competitor</x:v>
      </x:c>
      <x:c r="P1171" t="n">
        <x:v>2</x:v>
      </x:c>
      <x:c r="Q1171" t="str">
        <x:f>IFERROR(XLOOKUP(E1171,Lookups!$A$5:$A$24,Lookups!$B$5:$B$24),"Other")</x:f>
        <x:v>Organic Search</x:v>
      </x:c>
      <x:c r="R1171" t="str">
        <x:f>IFERROR(XLOOKUP(F1171,Lookups!$D$5:$D$10,Lookups!$E$5:$E$10),"Unknown Product")</x:f>
        <x:v>NexaCRM Pro</x:v>
      </x:c>
      <x:c r="S1171" t="str">
        <x:f>IFERROR(XLOOKUP(F1171,Lookups!$D$5:$D$10,Lookups!$F$5:$F$10),"Unknown")</x:f>
        <x:v>CRM</x:v>
      </x:c>
      <x:c r="T1171" t="str">
        <x:f>IF(L1171&gt;=50000,"Enterprise",IF(L1171&gt;=20000,"Mid-Market","SMB"))</x:f>
        <x:v>SMB</x:v>
      </x:c>
      <x:c r="U1171" t="str">
        <x:f>IF(I1171="Closed Won","Won",IF(I1171="Closed Lost","Lost","Open"))</x:f>
        <x:v>Lost</x:v>
      </x:c>
      <x:c r="V1171" s="22" t="n">
        <x:f>IF(U1171="Won",L1171*(1-M1171),0)</x:f>
        <x:v>0</x:v>
      </x:c>
      <x:c r="W1171" s="22" t="n">
        <x:f>IF(U1171="Open",L1171*N1171,0)</x:f>
        <x:v>0</x:v>
      </x:c>
      <x:c r="X1171" s="26" t="n">
        <x:f>IF(U1171="Open","",IFERROR(K1171-B1171,""))</x:f>
        <x:v>20</x:v>
      </x:c>
      <x:c r="Y1171" s="26" t="n">
        <x:f>IF(U1171="Open",Lookups!$B$2-B1171,X1171)</x:f>
        <x:v>20</x:v>
      </x:c>
      <x:c r="Z1171" t="str">
        <x:f>IF(AND(U1171="Open",Y1171&gt;30),"STALE","OK")</x:f>
        <x:v>OK</x:v>
      </x:c>
      <x:c r="AA1171" t="str">
        <x:f>TEXT(B1171,"yyyy-mm")</x:f>
        <x:v>2025-08</x:v>
      </x:c>
      <x:c r="AB1171" t="str">
        <x:f>IF(K1171="","",TEXT(K1171,"yyyy-mm"))</x:f>
        <x:v>2025-08</x:v>
      </x:c>
      <x:c r="AC1171" t="str">
        <x:f>"Q"&amp;ROUNDUP(MONTH(B1171)/3,0)&amp;"-"&amp;YEAR(B1171)</x:f>
        <x:v>Q3-2025</x:v>
      </x:c>
      <x:c r="AD1171" s="26" t="n">
        <x:f>MIN(100,IF(H1171="Enterprise",30,IF(H1171="Mid-Market",22,14))+IF(T1171="Enterprise",25,IF(T1171="Mid-Market",18,10))+IF(Q1171="Referral",25,IF(Q1171="Organic Search",20,IF(Q1171="Email",18,14)))+IF(G1171="Technology",10,5))</x:f>
        <x:v>49</x:v>
      </x:c>
      <x:c r="AE1171" t="str">
        <x:f>IF(U1171&lt;&gt;"Open",U1171,IF(N1171&gt;=0.8,"Commit",IF(N1171&gt;=0.5,"Best Case","Pipeline")))</x:f>
        <x:v>Lost</x:v>
      </x:c>
    </x:row>
    <x:row r="1172">
      <x:c r="A1172" t="str">
        <x:v>L01171</x:v>
      </x:c>
      <x:c r="B1172" s="10" t="n">
        <x:v>46200</x:v>
      </x:c>
      <x:c r="C1172" t="str">
        <x:v>Ha Vo</x:v>
      </x:c>
      <x:c r="D1172" t="str">
        <x:v>North</x:v>
      </x:c>
      <x:c r="E1172" t="str">
        <x:v>Google Ads</x:v>
      </x:c>
      <x:c r="F1172" t="str">
        <x:v>CRM-PRO</x:v>
      </x:c>
      <x:c r="G1172" t="str">
        <x:v>Technology</x:v>
      </x:c>
      <x:c r="H1172" t="str">
        <x:v>SMB</x:v>
      </x:c>
      <x:c r="I1172" t="str">
        <x:v>Qualified</x:v>
      </x:c>
      <x:c r="J1172" s="10" t="n">
        <x:v>46233</x:v>
      </x:c>
      <x:c r="K1172" s="10"/>
      <x:c r="L1172" s="22" t="n">
        <x:v>16600</x:v>
      </x:c>
      <x:c r="M1172" s="24" t="n">
        <x:v>0.03</x:v>
      </x:c>
      <x:c r="N1172" s="24" t="n">
        <x:v>0.2</x:v>
      </x:c>
      <x:c r="O1172" t="str"/>
      <x:c r="P1172" t="n">
        <x:v>2</x:v>
      </x:c>
      <x:c r="Q1172" t="str">
        <x:f>IFERROR(XLOOKUP(E1172,Lookups!$A$5:$A$24,Lookups!$B$5:$B$24),"Other")</x:f>
        <x:v>Paid Search</x:v>
      </x:c>
      <x:c r="R1172" t="str">
        <x:f>IFERROR(XLOOKUP(F1172,Lookups!$D$5:$D$10,Lookups!$E$5:$E$10),"Unknown Product")</x:f>
        <x:v>NexaCRM Pro</x:v>
      </x:c>
      <x:c r="S1172" t="str">
        <x:f>IFERROR(XLOOKUP(F1172,Lookups!$D$5:$D$10,Lookups!$F$5:$F$10),"Unknown")</x:f>
        <x:v>CRM</x:v>
      </x:c>
      <x:c r="T1172" t="str">
        <x:f>IF(L1172&gt;=50000,"Enterprise",IF(L1172&gt;=20000,"Mid-Market","SMB"))</x:f>
        <x:v>SMB</x:v>
      </x:c>
      <x:c r="U1172" t="str">
        <x:f>IF(I1172="Closed Won","Won",IF(I1172="Closed Lost","Lost","Open"))</x:f>
        <x:v>Open</x:v>
      </x:c>
      <x:c r="V1172" s="22" t="n">
        <x:f>IF(U1172="Won",L1172*(1-M1172),0)</x:f>
        <x:v>0</x:v>
      </x:c>
      <x:c r="W1172" s="22" t="n">
        <x:f>IF(U1172="Open",L1172*N1172,0)</x:f>
        <x:v>3320</x:v>
      </x:c>
      <x:c r="X1172" s="26" t="str">
        <x:f>IF(U1172="Open","",IFERROR(K1172-B1172,""))</x:f>
      </x:c>
      <x:c r="Y1172" s="26" t="n">
        <x:f>IF(U1172="Open",Lookups!$B$2-B1172,X1172)</x:f>
        <x:v>66</x:v>
      </x:c>
      <x:c r="Z1172" t="str">
        <x:f>IF(AND(U1172="Open",Y1172&gt;30),"STALE","OK")</x:f>
        <x:v>STALE</x:v>
      </x:c>
      <x:c r="AA1172" t="str">
        <x:f>TEXT(B1172,"yyyy-mm")</x:f>
        <x:v>2026-06</x:v>
      </x:c>
      <x:c r="AB1172" t="str">
        <x:f>IF(K1172="","",TEXT(K1172,"yyyy-mm"))</x:f>
      </x:c>
      <x:c r="AC1172" t="str">
        <x:f>"Q"&amp;ROUNDUP(MONTH(B1172)/3,0)&amp;"-"&amp;YEAR(B1172)</x:f>
        <x:v>Q2-2026</x:v>
      </x:c>
      <x:c r="AD1172" s="26" t="n">
        <x:f>MIN(100,IF(H1172="Enterprise",30,IF(H1172="Mid-Market",22,14))+IF(T1172="Enterprise",25,IF(T1172="Mid-Market",18,10))+IF(Q1172="Referral",25,IF(Q1172="Organic Search",20,IF(Q1172="Email",18,14)))+IF(G1172="Technology",10,5))</x:f>
        <x:v>48</x:v>
      </x:c>
      <x:c r="AE1172" t="str">
        <x:f>IF(U1172&lt;&gt;"Open",U1172,IF(N1172&gt;=0.8,"Commit",IF(N1172&gt;=0.5,"Best Case","Pipeline")))</x:f>
        <x:v>Pipeline</x:v>
      </x:c>
    </x:row>
    <x:row r="1173">
      <x:c r="A1173" t="str">
        <x:v>L01172</x:v>
      </x:c>
      <x:c r="B1173" s="10" t="n">
        <x:v>45809</x:v>
      </x:c>
      <x:c r="C1173" t="str">
        <x:v>Minh Do</x:v>
      </x:c>
      <x:c r="D1173" t="str">
        <x:v>North</x:v>
      </x:c>
      <x:c r="E1173" t="str">
        <x:v>Offline List</x:v>
      </x:c>
      <x:c r="F1173" t="str">
        <x:v>CRM-CORE</x:v>
      </x:c>
      <x:c r="G1173" t="str">
        <x:v>Professional Services</x:v>
      </x:c>
      <x:c r="H1173" t="str">
        <x:v>SMB</x:v>
      </x:c>
      <x:c r="I1173" t="str">
        <x:v>Negotiation</x:v>
      </x:c>
      <x:c r="J1173" s="10" t="n">
        <x:v>46063</x:v>
      </x:c>
      <x:c r="K1173" s="10"/>
      <x:c r="L1173" s="22" t="n">
        <x:v>6200</x:v>
      </x:c>
      <x:c r="M1173" s="24" t="n">
        <x:v>0.05</x:v>
      </x:c>
      <x:c r="N1173" s="24" t="n">
        <x:v>0.85</x:v>
      </x:c>
      <x:c r="O1173" t="str"/>
      <x:c r="P1173" t="n">
        <x:v>5</x:v>
      </x:c>
      <x:c r="Q1173" t="str">
        <x:f>IFERROR(XLOOKUP(E1173,Lookups!$A$5:$A$24,Lookups!$B$5:$B$24),"Other")</x:f>
        <x:v>Other</x:v>
      </x:c>
      <x:c r="R1173" t="str">
        <x:f>IFERROR(XLOOKUP(F1173,Lookups!$D$5:$D$10,Lookups!$E$5:$E$10),"Unknown Product")</x:f>
        <x:v>NexaCRM Core</x:v>
      </x:c>
      <x:c r="S1173" t="str">
        <x:f>IFERROR(XLOOKUP(F1173,Lookups!$D$5:$D$10,Lookups!$F$5:$F$10),"Unknown")</x:f>
        <x:v>CRM</x:v>
      </x:c>
      <x:c r="T1173" t="str">
        <x:f>IF(L1173&gt;=50000,"Enterprise",IF(L1173&gt;=20000,"Mid-Market","SMB"))</x:f>
        <x:v>SMB</x:v>
      </x:c>
      <x:c r="U1173" t="str">
        <x:f>IF(I1173="Closed Won","Won",IF(I1173="Closed Lost","Lost","Open"))</x:f>
        <x:v>Open</x:v>
      </x:c>
      <x:c r="V1173" s="22" t="n">
        <x:f>IF(U1173="Won",L1173*(1-M1173),0)</x:f>
        <x:v>0</x:v>
      </x:c>
      <x:c r="W1173" s="22" t="n">
        <x:f>IF(U1173="Open",L1173*N1173,0)</x:f>
        <x:v>5270</x:v>
      </x:c>
      <x:c r="X1173" s="26" t="str">
        <x:f>IF(U1173="Open","",IFERROR(K1173-B1173,""))</x:f>
      </x:c>
      <x:c r="Y1173" s="26" t="n">
        <x:f>IF(U1173="Open",Lookups!$B$2-B1173,X1173)</x:f>
        <x:v>457</x:v>
      </x:c>
      <x:c r="Z1173" t="str">
        <x:f>IF(AND(U1173="Open",Y1173&gt;30),"STALE","OK")</x:f>
        <x:v>STALE</x:v>
      </x:c>
      <x:c r="AA1173" t="str">
        <x:f>TEXT(B1173,"yyyy-mm")</x:f>
        <x:v>2025-06</x:v>
      </x:c>
      <x:c r="AB1173" t="str">
        <x:f>IF(K1173="","",TEXT(K1173,"yyyy-mm"))</x:f>
      </x:c>
      <x:c r="AC1173" t="str">
        <x:f>"Q"&amp;ROUNDUP(MONTH(B1173)/3,0)&amp;"-"&amp;YEAR(B1173)</x:f>
        <x:v>Q2-2025</x:v>
      </x:c>
      <x:c r="AD1173" s="26" t="n">
        <x:f>MIN(100,IF(H1173="Enterprise",30,IF(H1173="Mid-Market",22,14))+IF(T1173="Enterprise",25,IF(T1173="Mid-Market",18,10))+IF(Q1173="Referral",25,IF(Q1173="Organic Search",20,IF(Q1173="Email",18,14)))+IF(G1173="Technology",10,5))</x:f>
        <x:v>43</x:v>
      </x:c>
      <x:c r="AE1173" t="str">
        <x:f>IF(U1173&lt;&gt;"Open",U1173,IF(N1173&gt;=0.8,"Commit",IF(N1173&gt;=0.5,"Best Case","Pipeline")))</x:f>
        <x:v>Commit</x:v>
      </x:c>
    </x:row>
    <x:row r="1174">
      <x:c r="A1174" t="str">
        <x:v>L01173</x:v>
      </x:c>
      <x:c r="B1174" s="10" t="n">
        <x:v>45834</x:v>
      </x:c>
      <x:c r="C1174" t="str">
        <x:v>Quynh Vu</x:v>
      </x:c>
      <x:c r="D1174" t="str">
        <x:v>North</x:v>
      </x:c>
      <x:c r="E1174" t="str">
        <x:v>Partner Referral</x:v>
      </x:c>
      <x:c r="F1174" t="str">
        <x:v>CRM-CORE</x:v>
      </x:c>
      <x:c r="G1174" t="str">
        <x:v>Technology</x:v>
      </x:c>
      <x:c r="H1174" t="str">
        <x:v>SMB</x:v>
      </x:c>
      <x:c r="I1174" t="str">
        <x:v>Negotiation</x:v>
      </x:c>
      <x:c r="J1174" s="10" t="n">
        <x:v>46201</x:v>
      </x:c>
      <x:c r="K1174" s="10"/>
      <x:c r="L1174" s="22" t="n">
        <x:v>9900</x:v>
      </x:c>
      <x:c r="M1174" s="24" t="n">
        <x:v>0.05</x:v>
      </x:c>
      <x:c r="N1174" s="24" t="n">
        <x:v>0.85</x:v>
      </x:c>
      <x:c r="O1174" t="str"/>
      <x:c r="P1174" t="n">
        <x:v>5</x:v>
      </x:c>
      <x:c r="Q1174" t="str">
        <x:f>IFERROR(XLOOKUP(E1174,Lookups!$A$5:$A$24,Lookups!$B$5:$B$24),"Other")</x:f>
        <x:v>Referral</x:v>
      </x:c>
      <x:c r="R1174" t="str">
        <x:f>IFERROR(XLOOKUP(F1174,Lookups!$D$5:$D$10,Lookups!$E$5:$E$10),"Unknown Product")</x:f>
        <x:v>NexaCRM Core</x:v>
      </x:c>
      <x:c r="S1174" t="str">
        <x:f>IFERROR(XLOOKUP(F1174,Lookups!$D$5:$D$10,Lookups!$F$5:$F$10),"Unknown")</x:f>
        <x:v>CRM</x:v>
      </x:c>
      <x:c r="T1174" t="str">
        <x:f>IF(L1174&gt;=50000,"Enterprise",IF(L1174&gt;=20000,"Mid-Market","SMB"))</x:f>
        <x:v>SMB</x:v>
      </x:c>
      <x:c r="U1174" t="str">
        <x:f>IF(I1174="Closed Won","Won",IF(I1174="Closed Lost","Lost","Open"))</x:f>
        <x:v>Open</x:v>
      </x:c>
      <x:c r="V1174" s="22" t="n">
        <x:f>IF(U1174="Won",L1174*(1-M1174),0)</x:f>
        <x:v>0</x:v>
      </x:c>
      <x:c r="W1174" s="22" t="n">
        <x:f>IF(U1174="Open",L1174*N1174,0)</x:f>
        <x:v>8415</x:v>
      </x:c>
      <x:c r="X1174" s="26" t="str">
        <x:f>IF(U1174="Open","",IFERROR(K1174-B1174,""))</x:f>
      </x:c>
      <x:c r="Y1174" s="26" t="n">
        <x:f>IF(U1174="Open",Lookups!$B$2-B1174,X1174)</x:f>
        <x:v>432</x:v>
      </x:c>
      <x:c r="Z1174" t="str">
        <x:f>IF(AND(U1174="Open",Y1174&gt;30),"STALE","OK")</x:f>
        <x:v>STALE</x:v>
      </x:c>
      <x:c r="AA1174" t="str">
        <x:f>TEXT(B1174,"yyyy-mm")</x:f>
        <x:v>2025-06</x:v>
      </x:c>
      <x:c r="AB1174" t="str">
        <x:f>IF(K1174="","",TEXT(K1174,"yyyy-mm"))</x:f>
      </x:c>
      <x:c r="AC1174" t="str">
        <x:f>"Q"&amp;ROUNDUP(MONTH(B1174)/3,0)&amp;"-"&amp;YEAR(B1174)</x:f>
        <x:v>Q2-2025</x:v>
      </x:c>
      <x:c r="AD1174" s="26" t="n">
        <x:f>MIN(100,IF(H1174="Enterprise",30,IF(H1174="Mid-Market",22,14))+IF(T1174="Enterprise",25,IF(T1174="Mid-Market",18,10))+IF(Q1174="Referral",25,IF(Q1174="Organic Search",20,IF(Q1174="Email",18,14)))+IF(G1174="Technology",10,5))</x:f>
        <x:v>59</x:v>
      </x:c>
      <x:c r="AE1174" t="str">
        <x:f>IF(U1174&lt;&gt;"Open",U1174,IF(N1174&gt;=0.8,"Commit",IF(N1174&gt;=0.5,"Best Case","Pipeline")))</x:f>
        <x:v>Commit</x:v>
      </x:c>
    </x:row>
    <x:row r="1175">
      <x:c r="A1175" t="str">
        <x:v>L01174</x:v>
      </x:c>
      <x:c r="B1175" s="10" t="n">
        <x:v>46220</x:v>
      </x:c>
      <x:c r="C1175" t="str">
        <x:v>Bao Tran</x:v>
      </x:c>
      <x:c r="D1175" t="str">
        <x:v>South</x:v>
      </x:c>
      <x:c r="E1175" t="str">
        <x:v>Google Ads</x:v>
      </x:c>
      <x:c r="F1175" t="str">
        <x:v>CRM-CORE</x:v>
      </x:c>
      <x:c r="G1175" t="str">
        <x:v>Manufacturing</x:v>
      </x:c>
      <x:c r="H1175" t="str">
        <x:v>SMB</x:v>
      </x:c>
      <x:c r="I1175" t="str">
        <x:v>Closed Lost</x:v>
      </x:c>
      <x:c r="J1175" s="10" t="n">
        <x:v>46244</x:v>
      </x:c>
      <x:c r="K1175" s="10" t="n">
        <x:v>46244</x:v>
      </x:c>
      <x:c r="L1175" s="22" t="n">
        <x:v>9300</x:v>
      </x:c>
      <x:c r="M1175" s="24" t="n">
        <x:v>0</x:v>
      </x:c>
      <x:c r="N1175" s="24" t="n">
        <x:v>0</x:v>
      </x:c>
      <x:c r="O1175" t="str">
        <x:v>Budget</x:v>
      </x:c>
      <x:c r="P1175" t="n">
        <x:v>4</x:v>
      </x:c>
      <x:c r="Q1175" t="str">
        <x:f>IFERROR(XLOOKUP(E1175,Lookups!$A$5:$A$24,Lookups!$B$5:$B$24),"Other")</x:f>
        <x:v>Paid Search</x:v>
      </x:c>
      <x:c r="R1175" t="str">
        <x:f>IFERROR(XLOOKUP(F1175,Lookups!$D$5:$D$10,Lookups!$E$5:$E$10),"Unknown Product")</x:f>
        <x:v>NexaCRM Core</x:v>
      </x:c>
      <x:c r="S1175" t="str">
        <x:f>IFERROR(XLOOKUP(F1175,Lookups!$D$5:$D$10,Lookups!$F$5:$F$10),"Unknown")</x:f>
        <x:v>CRM</x:v>
      </x:c>
      <x:c r="T1175" t="str">
        <x:f>IF(L1175&gt;=50000,"Enterprise",IF(L1175&gt;=20000,"Mid-Market","SMB"))</x:f>
        <x:v>SMB</x:v>
      </x:c>
      <x:c r="U1175" t="str">
        <x:f>IF(I1175="Closed Won","Won",IF(I1175="Closed Lost","Lost","Open"))</x:f>
        <x:v>Lost</x:v>
      </x:c>
      <x:c r="V1175" s="22" t="n">
        <x:f>IF(U1175="Won",L1175*(1-M1175),0)</x:f>
        <x:v>0</x:v>
      </x:c>
      <x:c r="W1175" s="22" t="n">
        <x:f>IF(U1175="Open",L1175*N1175,0)</x:f>
        <x:v>0</x:v>
      </x:c>
      <x:c r="X1175" s="26" t="n">
        <x:f>IF(U1175="Open","",IFERROR(K1175-B1175,""))</x:f>
        <x:v>24</x:v>
      </x:c>
      <x:c r="Y1175" s="26" t="n">
        <x:f>IF(U1175="Open",Lookups!$B$2-B1175,X1175)</x:f>
        <x:v>24</x:v>
      </x:c>
      <x:c r="Z1175" t="str">
        <x:f>IF(AND(U1175="Open",Y1175&gt;30),"STALE","OK")</x:f>
        <x:v>OK</x:v>
      </x:c>
      <x:c r="AA1175" t="str">
        <x:f>TEXT(B1175,"yyyy-mm")</x:f>
        <x:v>2026-07</x:v>
      </x:c>
      <x:c r="AB1175" t="str">
        <x:f>IF(K1175="","",TEXT(K1175,"yyyy-mm"))</x:f>
        <x:v>2026-08</x:v>
      </x:c>
      <x:c r="AC1175" t="str">
        <x:f>"Q"&amp;ROUNDUP(MONTH(B1175)/3,0)&amp;"-"&amp;YEAR(B1175)</x:f>
        <x:v>Q3-2026</x:v>
      </x:c>
      <x:c r="AD1175" s="26" t="n">
        <x:f>MIN(100,IF(H1175="Enterprise",30,IF(H1175="Mid-Market",22,14))+IF(T1175="Enterprise",25,IF(T1175="Mid-Market",18,10))+IF(Q1175="Referral",25,IF(Q1175="Organic Search",20,IF(Q1175="Email",18,14)))+IF(G1175="Technology",10,5))</x:f>
        <x:v>43</x:v>
      </x:c>
      <x:c r="AE1175" t="str">
        <x:f>IF(U1175&lt;&gt;"Open",U1175,IF(N1175&gt;=0.8,"Commit",IF(N1175&gt;=0.5,"Best Case","Pipeline")))</x:f>
        <x:v>Lost</x:v>
      </x:c>
    </x:row>
    <x:row r="1176">
      <x:c r="A1176" t="str">
        <x:v>L01175</x:v>
      </x:c>
      <x:c r="B1176" s="10" t="n">
        <x:v>45788</x:v>
      </x:c>
      <x:c r="C1176" t="str">
        <x:v>Bao Tran</x:v>
      </x:c>
      <x:c r="D1176" t="str">
        <x:v>South</x:v>
      </x:c>
      <x:c r="E1176" t="str">
        <x:v>SEO</x:v>
      </x:c>
      <x:c r="F1176" t="str">
        <x:v>CS-CLOUD</x:v>
      </x:c>
      <x:c r="G1176" t="str">
        <x:v>Manufacturing</x:v>
      </x:c>
      <x:c r="H1176" t="str">
        <x:v>Mid-Market</x:v>
      </x:c>
      <x:c r="I1176" t="str">
        <x:v>Closed Won</x:v>
      </x:c>
      <x:c r="J1176" s="10" t="n">
        <x:v>45843</x:v>
      </x:c>
      <x:c r="K1176" s="10" t="n">
        <x:v>45843</x:v>
      </x:c>
      <x:c r="L1176" s="22" t="n">
        <x:v>43900</x:v>
      </x:c>
      <x:c r="M1176" s="24" t="n">
        <x:v>0.08</x:v>
      </x:c>
      <x:c r="N1176" s="24" t="n">
        <x:v>1</x:v>
      </x:c>
      <x:c r="O1176" t="str"/>
      <x:c r="P1176" t="n">
        <x:v>6</x:v>
      </x:c>
      <x:c r="Q1176" t="str">
        <x:f>IFERROR(XLOOKUP(E1176,Lookups!$A$5:$A$24,Lookups!$B$5:$B$24),"Other")</x:f>
        <x:v>Organic Search</x:v>
      </x:c>
      <x:c r="R1176" t="str">
        <x:f>IFERROR(XLOOKUP(F1176,Lookups!$D$5:$D$10,Lookups!$E$5:$E$10),"Unknown Product")</x:f>
        <x:v>Service Cloud</x:v>
      </x:c>
      <x:c r="S1176" t="str">
        <x:f>IFERROR(XLOOKUP(F1176,Lookups!$D$5:$D$10,Lookups!$F$5:$F$10),"Unknown")</x:f>
        <x:v>Customer Service</x:v>
      </x:c>
      <x:c r="T1176" t="str">
        <x:f>IF(L1176&gt;=50000,"Enterprise",IF(L1176&gt;=20000,"Mid-Market","SMB"))</x:f>
        <x:v>Mid-Market</x:v>
      </x:c>
      <x:c r="U1176" t="str">
        <x:f>IF(I1176="Closed Won","Won",IF(I1176="Closed Lost","Lost","Open"))</x:f>
        <x:v>Won</x:v>
      </x:c>
      <x:c r="V1176" s="22" t="n">
        <x:f>IF(U1176="Won",L1176*(1-M1176),0)</x:f>
        <x:v>40388</x:v>
      </x:c>
      <x:c r="W1176" s="22" t="n">
        <x:f>IF(U1176="Open",L1176*N1176,0)</x:f>
        <x:v>0</x:v>
      </x:c>
      <x:c r="X1176" s="26" t="n">
        <x:f>IF(U1176="Open","",IFERROR(K1176-B1176,""))</x:f>
        <x:v>55</x:v>
      </x:c>
      <x:c r="Y1176" s="26" t="n">
        <x:f>IF(U1176="Open",Lookups!$B$2-B1176,X1176)</x:f>
        <x:v>55</x:v>
      </x:c>
      <x:c r="Z1176" t="str">
        <x:f>IF(AND(U1176="Open",Y1176&gt;30),"STALE","OK")</x:f>
        <x:v>OK</x:v>
      </x:c>
      <x:c r="AA1176" t="str">
        <x:f>TEXT(B1176,"yyyy-mm")</x:f>
        <x:v>2025-05</x:v>
      </x:c>
      <x:c r="AB1176" t="str">
        <x:f>IF(K1176="","",TEXT(K1176,"yyyy-mm"))</x:f>
        <x:v>2025-07</x:v>
      </x:c>
      <x:c r="AC1176" t="str">
        <x:f>"Q"&amp;ROUNDUP(MONTH(B1176)/3,0)&amp;"-"&amp;YEAR(B1176)</x:f>
        <x:v>Q2-2025</x:v>
      </x:c>
      <x:c r="AD1176" s="26" t="n">
        <x:f>MIN(100,IF(H1176="Enterprise",30,IF(H1176="Mid-Market",22,14))+IF(T1176="Enterprise",25,IF(T1176="Mid-Market",18,10))+IF(Q1176="Referral",25,IF(Q1176="Organic Search",20,IF(Q1176="Email",18,14)))+IF(G1176="Technology",10,5))</x:f>
        <x:v>65</x:v>
      </x:c>
      <x:c r="AE1176" t="str">
        <x:f>IF(U1176&lt;&gt;"Open",U1176,IF(N1176&gt;=0.8,"Commit",IF(N1176&gt;=0.5,"Best Case","Pipeline")))</x:f>
        <x:v>Won</x:v>
      </x:c>
    </x:row>
    <x:row r="1177">
      <x:c r="A1177" t="str">
        <x:v>L01176</x:v>
      </x:c>
      <x:c r="B1177" s="10" t="n">
        <x:v>46169</x:v>
      </x:c>
      <x:c r="C1177" t="str">
        <x:v>Minh Do</x:v>
      </x:c>
      <x:c r="D1177" t="str">
        <x:v>North</x:v>
      </x:c>
      <x:c r="E1177" t="str">
        <x:v>google cpc</x:v>
      </x:c>
      <x:c r="F1177" t="str">
        <x:v>REV-OPS</x:v>
      </x:c>
      <x:c r="G1177" t="str">
        <x:v>Education</x:v>
      </x:c>
      <x:c r="H1177" t="str">
        <x:v>SMB</x:v>
      </x:c>
      <x:c r="I1177" t="str">
        <x:v>Demo / Meeting</x:v>
      </x:c>
      <x:c r="J1177" s="10" t="n">
        <x:v>46234</x:v>
      </x:c>
      <x:c r="K1177" s="10"/>
      <x:c r="L1177" s="22" t="n">
        <x:v>40500</x:v>
      </x:c>
      <x:c r="M1177" s="24" t="n">
        <x:v>0</x:v>
      </x:c>
      <x:c r="N1177" s="24" t="n">
        <x:v>0.4</x:v>
      </x:c>
      <x:c r="O1177" t="str"/>
      <x:c r="P1177" t="n">
        <x:v>3</x:v>
      </x:c>
      <x:c r="Q1177" t="str">
        <x:f>IFERROR(XLOOKUP(E1177,Lookups!$A$5:$A$24,Lookups!$B$5:$B$24),"Other")</x:f>
        <x:v>Paid Search</x:v>
      </x:c>
      <x:c r="R1177" t="str">
        <x:f>IFERROR(XLOOKUP(F1177,Lookups!$D$5:$D$10,Lookups!$E$5:$E$10),"Unknown Product")</x:f>
        <x:v>Revenue Operations Suite</x:v>
      </x:c>
      <x:c r="S1177" t="str">
        <x:f>IFERROR(XLOOKUP(F1177,Lookups!$D$5:$D$10,Lookups!$F$5:$F$10),"Unknown")</x:f>
        <x:v>Revenue Ops</x:v>
      </x:c>
      <x:c r="T1177" t="str">
        <x:f>IF(L1177&gt;=50000,"Enterprise",IF(L1177&gt;=20000,"Mid-Market","SMB"))</x:f>
        <x:v>Mid-Market</x:v>
      </x:c>
      <x:c r="U1177" t="str">
        <x:f>IF(I1177="Closed Won","Won",IF(I1177="Closed Lost","Lost","Open"))</x:f>
        <x:v>Open</x:v>
      </x:c>
      <x:c r="V1177" s="22" t="n">
        <x:f>IF(U1177="Won",L1177*(1-M1177),0)</x:f>
        <x:v>0</x:v>
      </x:c>
      <x:c r="W1177" s="22" t="n">
        <x:f>IF(U1177="Open",L1177*N1177,0)</x:f>
        <x:v>16200</x:v>
      </x:c>
      <x:c r="X1177" s="26" t="str">
        <x:f>IF(U1177="Open","",IFERROR(K1177-B1177,""))</x:f>
      </x:c>
      <x:c r="Y1177" s="26" t="n">
        <x:f>IF(U1177="Open",Lookups!$B$2-B1177,X1177)</x:f>
        <x:v>97</x:v>
      </x:c>
      <x:c r="Z1177" t="str">
        <x:f>IF(AND(U1177="Open",Y1177&gt;30),"STALE","OK")</x:f>
        <x:v>STALE</x:v>
      </x:c>
      <x:c r="AA1177" t="str">
        <x:f>TEXT(B1177,"yyyy-mm")</x:f>
        <x:v>2026-05</x:v>
      </x:c>
      <x:c r="AB1177" t="str">
        <x:f>IF(K1177="","",TEXT(K1177,"yyyy-mm"))</x:f>
      </x:c>
      <x:c r="AC1177" t="str">
        <x:f>"Q"&amp;ROUNDUP(MONTH(B1177)/3,0)&amp;"-"&amp;YEAR(B1177)</x:f>
        <x:v>Q2-2026</x:v>
      </x:c>
      <x:c r="AD1177" s="26" t="n">
        <x:f>MIN(100,IF(H1177="Enterprise",30,IF(H1177="Mid-Market",22,14))+IF(T1177="Enterprise",25,IF(T1177="Mid-Market",18,10))+IF(Q1177="Referral",25,IF(Q1177="Organic Search",20,IF(Q1177="Email",18,14)))+IF(G1177="Technology",10,5))</x:f>
        <x:v>51</x:v>
      </x:c>
      <x:c r="AE1177" t="str">
        <x:f>IF(U1177&lt;&gt;"Open",U1177,IF(N1177&gt;=0.8,"Commit",IF(N1177&gt;=0.5,"Best Case","Pipeline")))</x:f>
        <x:v>Pipeline</x:v>
      </x:c>
    </x:row>
    <x:row r="1178">
      <x:c r="A1178" t="str">
        <x:v>L01177</x:v>
      </x:c>
      <x:c r="B1178" s="10" t="n">
        <x:v>45890</x:v>
      </x:c>
      <x:c r="C1178" t="str">
        <x:v>Bao Tran</x:v>
      </x:c>
      <x:c r="D1178" t="str">
        <x:v>South</x:v>
      </x:c>
      <x:c r="E1178" t="str">
        <x:v>linkedin</x:v>
      </x:c>
      <x:c r="F1178" t="str">
        <x:v>CRM-PRO</x:v>
      </x:c>
      <x:c r="G1178" t="str">
        <x:v>Education</x:v>
      </x:c>
      <x:c r="H1178" t="str">
        <x:v>SMB</x:v>
      </x:c>
      <x:c r="I1178" t="str">
        <x:v>Closed Lost</x:v>
      </x:c>
      <x:c r="J1178" s="10" t="n">
        <x:v>45919</x:v>
      </x:c>
      <x:c r="K1178" s="10" t="n">
        <x:v>45919</x:v>
      </x:c>
      <x:c r="L1178" s="22" t="n">
        <x:v>11700</x:v>
      </x:c>
      <x:c r="M1178" s="24" t="n">
        <x:v>0</x:v>
      </x:c>
      <x:c r="N1178" s="24" t="n">
        <x:v>0</x:v>
      </x:c>
      <x:c r="O1178" t="str">
        <x:v>Timing</x:v>
      </x:c>
      <x:c r="P1178" t="n">
        <x:v>4</x:v>
      </x:c>
      <x:c r="Q1178" t="str">
        <x:f>IFERROR(XLOOKUP(E1178,Lookups!$A$5:$A$24,Lookups!$B$5:$B$24),"Other")</x:f>
        <x:v>LinkedIn</x:v>
      </x:c>
      <x:c r="R1178" t="str">
        <x:f>IFERROR(XLOOKUP(F1178,Lookups!$D$5:$D$10,Lookups!$E$5:$E$10),"Unknown Product")</x:f>
        <x:v>NexaCRM Pro</x:v>
      </x:c>
      <x:c r="S1178" t="str">
        <x:f>IFERROR(XLOOKUP(F1178,Lookups!$D$5:$D$10,Lookups!$F$5:$F$10),"Unknown")</x:f>
        <x:v>CRM</x:v>
      </x:c>
      <x:c r="T1178" t="str">
        <x:f>IF(L1178&gt;=50000,"Enterprise",IF(L1178&gt;=20000,"Mid-Market","SMB"))</x:f>
        <x:v>SMB</x:v>
      </x:c>
      <x:c r="U1178" t="str">
        <x:f>IF(I1178="Closed Won","Won",IF(I1178="Closed Lost","Lost","Open"))</x:f>
        <x:v>Lost</x:v>
      </x:c>
      <x:c r="V1178" s="22" t="n">
        <x:f>IF(U1178="Won",L1178*(1-M1178),0)</x:f>
        <x:v>0</x:v>
      </x:c>
      <x:c r="W1178" s="22" t="n">
        <x:f>IF(U1178="Open",L1178*N1178,0)</x:f>
        <x:v>0</x:v>
      </x:c>
      <x:c r="X1178" s="26" t="n">
        <x:f>IF(U1178="Open","",IFERROR(K1178-B1178,""))</x:f>
        <x:v>29</x:v>
      </x:c>
      <x:c r="Y1178" s="26" t="n">
        <x:f>IF(U1178="Open",Lookups!$B$2-B1178,X1178)</x:f>
        <x:v>29</x:v>
      </x:c>
      <x:c r="Z1178" t="str">
        <x:f>IF(AND(U1178="Open",Y1178&gt;30),"STALE","OK")</x:f>
        <x:v>OK</x:v>
      </x:c>
      <x:c r="AA1178" t="str">
        <x:f>TEXT(B1178,"yyyy-mm")</x:f>
        <x:v>2025-08</x:v>
      </x:c>
      <x:c r="AB1178" t="str">
        <x:f>IF(K1178="","",TEXT(K1178,"yyyy-mm"))</x:f>
        <x:v>2025-09</x:v>
      </x:c>
      <x:c r="AC1178" t="str">
        <x:f>"Q"&amp;ROUNDUP(MONTH(B1178)/3,0)&amp;"-"&amp;YEAR(B1178)</x:f>
        <x:v>Q3-2025</x:v>
      </x:c>
      <x:c r="AD1178" s="26" t="n">
        <x:f>MIN(100,IF(H1178="Enterprise",30,IF(H1178="Mid-Market",22,14))+IF(T1178="Enterprise",25,IF(T1178="Mid-Market",18,10))+IF(Q1178="Referral",25,IF(Q1178="Organic Search",20,IF(Q1178="Email",18,14)))+IF(G1178="Technology",10,5))</x:f>
        <x:v>43</x:v>
      </x:c>
      <x:c r="AE1178" t="str">
        <x:f>IF(U1178&lt;&gt;"Open",U1178,IF(N1178&gt;=0.8,"Commit",IF(N1178&gt;=0.5,"Best Case","Pipeline")))</x:f>
        <x:v>Lost</x:v>
      </x:c>
    </x:row>
    <x:row r="1179">
      <x:c r="A1179" t="str">
        <x:v>L01178</x:v>
      </x:c>
      <x:c r="B1179" s="10" t="n">
        <x:v>45935</x:v>
      </x:c>
      <x:c r="C1179" t="str">
        <x:v>Duy Pham</x:v>
      </x:c>
      <x:c r="D1179" t="str">
        <x:v>South</x:v>
      </x:c>
      <x:c r="E1179" t="str">
        <x:v>SEO</x:v>
      </x:c>
      <x:c r="F1179" t="str">
        <x:v>MKT-AUTO</x:v>
      </x:c>
      <x:c r="G1179" t="str">
        <x:v>Healthcare</x:v>
      </x:c>
      <x:c r="H1179" t="str">
        <x:v>Enterprise</x:v>
      </x:c>
      <x:c r="I1179" t="str">
        <x:v>Closed Lost</x:v>
      </x:c>
      <x:c r="J1179" s="10" t="n">
        <x:v>45952</x:v>
      </x:c>
      <x:c r="K1179" s="10" t="n">
        <x:v>45952</x:v>
      </x:c>
      <x:c r="L1179" s="22" t="n">
        <x:v>71300</x:v>
      </x:c>
      <x:c r="M1179" s="24" t="n">
        <x:v>0</x:v>
      </x:c>
      <x:c r="N1179" s="24" t="n">
        <x:v>0</x:v>
      </x:c>
      <x:c r="O1179" t="str">
        <x:v>Budget</x:v>
      </x:c>
      <x:c r="P1179" t="n">
        <x:v>3</x:v>
      </x:c>
      <x:c r="Q1179" t="str">
        <x:f>IFERROR(XLOOKUP(E1179,Lookups!$A$5:$A$24,Lookups!$B$5:$B$24),"Other")</x:f>
        <x:v>Organic Search</x:v>
      </x:c>
      <x:c r="R1179" t="str">
        <x:f>IFERROR(XLOOKUP(F1179,Lookups!$D$5:$D$10,Lookups!$E$5:$E$10),"Unknown Product")</x:f>
        <x:v>Marketing Automation</x:v>
      </x:c>
      <x:c r="S1179" t="str">
        <x:f>IFERROR(XLOOKUP(F1179,Lookups!$D$5:$D$10,Lookups!$F$5:$F$10),"Unknown")</x:f>
        <x:v>Marketing</x:v>
      </x:c>
      <x:c r="T1179" t="str">
        <x:f>IF(L1179&gt;=50000,"Enterprise",IF(L1179&gt;=20000,"Mid-Market","SMB"))</x:f>
        <x:v>Enterprise</x:v>
      </x:c>
      <x:c r="U1179" t="str">
        <x:f>IF(I1179="Closed Won","Won",IF(I1179="Closed Lost","Lost","Open"))</x:f>
        <x:v>Lost</x:v>
      </x:c>
      <x:c r="V1179" s="22" t="n">
        <x:f>IF(U1179="Won",L1179*(1-M1179),0)</x:f>
        <x:v>0</x:v>
      </x:c>
      <x:c r="W1179" s="22" t="n">
        <x:f>IF(U1179="Open",L1179*N1179,0)</x:f>
        <x:v>0</x:v>
      </x:c>
      <x:c r="X1179" s="26" t="n">
        <x:f>IF(U1179="Open","",IFERROR(K1179-B1179,""))</x:f>
        <x:v>17</x:v>
      </x:c>
      <x:c r="Y1179" s="26" t="n">
        <x:f>IF(U1179="Open",Lookups!$B$2-B1179,X1179)</x:f>
        <x:v>17</x:v>
      </x:c>
      <x:c r="Z1179" t="str">
        <x:f>IF(AND(U1179="Open",Y1179&gt;30),"STALE","OK")</x:f>
        <x:v>OK</x:v>
      </x:c>
      <x:c r="AA1179" t="str">
        <x:f>TEXT(B1179,"yyyy-mm")</x:f>
        <x:v>2025-10</x:v>
      </x:c>
      <x:c r="AB1179" t="str">
        <x:f>IF(K1179="","",TEXT(K1179,"yyyy-mm"))</x:f>
        <x:v>2025-10</x:v>
      </x:c>
      <x:c r="AC1179" t="str">
        <x:f>"Q"&amp;ROUNDUP(MONTH(B1179)/3,0)&amp;"-"&amp;YEAR(B1179)</x:f>
        <x:v>Q4-2025</x:v>
      </x:c>
      <x:c r="AD1179" s="26" t="n">
        <x:f>MIN(100,IF(H1179="Enterprise",30,IF(H1179="Mid-Market",22,14))+IF(T1179="Enterprise",25,IF(T1179="Mid-Market",18,10))+IF(Q1179="Referral",25,IF(Q1179="Organic Search",20,IF(Q1179="Email",18,14)))+IF(G1179="Technology",10,5))</x:f>
        <x:v>80</x:v>
      </x:c>
      <x:c r="AE1179" t="str">
        <x:f>IF(U1179&lt;&gt;"Open",U1179,IF(N1179&gt;=0.8,"Commit",IF(N1179&gt;=0.5,"Best Case","Pipeline")))</x:f>
        <x:v>Lost</x:v>
      </x:c>
    </x:row>
    <x:row r="1180">
      <x:c r="A1180" t="str">
        <x:v>L01179</x:v>
      </x:c>
      <x:c r="B1180" s="10" t="n">
        <x:v>45737</x:v>
      </x:c>
      <x:c r="C1180" t="str">
        <x:v>Duy Pham</x:v>
      </x:c>
      <x:c r="D1180" t="str">
        <x:v>South</x:v>
      </x:c>
      <x:c r="E1180" t="str">
        <x:v>SEM - Google</x:v>
      </x:c>
      <x:c r="F1180" t="str">
        <x:v>CRM-PRO</x:v>
      </x:c>
      <x:c r="G1180" t="str">
        <x:v>Financial Services</x:v>
      </x:c>
      <x:c r="H1180" t="str">
        <x:v>SMB</x:v>
      </x:c>
      <x:c r="I1180" t="str">
        <x:v>Closed Lost</x:v>
      </x:c>
      <x:c r="J1180" s="10" t="n">
        <x:v>45832</x:v>
      </x:c>
      <x:c r="K1180" s="10" t="n">
        <x:v>45832</x:v>
      </x:c>
      <x:c r="L1180" s="22" t="n">
        <x:v>18900</x:v>
      </x:c>
      <x:c r="M1180" s="24" t="n">
        <x:v>0</x:v>
      </x:c>
      <x:c r="N1180" s="24" t="n">
        <x:v>0</x:v>
      </x:c>
      <x:c r="O1180" t="str">
        <x:v>Timing</x:v>
      </x:c>
      <x:c r="P1180" t="n">
        <x:v>3</x:v>
      </x:c>
      <x:c r="Q1180" t="str">
        <x:f>IFERROR(XLOOKUP(E1180,Lookups!$A$5:$A$24,Lookups!$B$5:$B$24),"Other")</x:f>
        <x:v>Paid Search</x:v>
      </x:c>
      <x:c r="R1180" t="str">
        <x:f>IFERROR(XLOOKUP(F1180,Lookups!$D$5:$D$10,Lookups!$E$5:$E$10),"Unknown Product")</x:f>
        <x:v>NexaCRM Pro</x:v>
      </x:c>
      <x:c r="S1180" t="str">
        <x:f>IFERROR(XLOOKUP(F1180,Lookups!$D$5:$D$10,Lookups!$F$5:$F$10),"Unknown")</x:f>
        <x:v>CRM</x:v>
      </x:c>
      <x:c r="T1180" t="str">
        <x:f>IF(L1180&gt;=50000,"Enterprise",IF(L1180&gt;=20000,"Mid-Market","SMB"))</x:f>
        <x:v>SMB</x:v>
      </x:c>
      <x:c r="U1180" t="str">
        <x:f>IF(I1180="Closed Won","Won",IF(I1180="Closed Lost","Lost","Open"))</x:f>
        <x:v>Lost</x:v>
      </x:c>
      <x:c r="V1180" s="22" t="n">
        <x:f>IF(U1180="Won",L1180*(1-M1180),0)</x:f>
        <x:v>0</x:v>
      </x:c>
      <x:c r="W1180" s="22" t="n">
        <x:f>IF(U1180="Open",L1180*N1180,0)</x:f>
        <x:v>0</x:v>
      </x:c>
      <x:c r="X1180" s="26" t="n">
        <x:f>IF(U1180="Open","",IFERROR(K1180-B1180,""))</x:f>
        <x:v>95</x:v>
      </x:c>
      <x:c r="Y1180" s="26" t="n">
        <x:f>IF(U1180="Open",Lookups!$B$2-B1180,X1180)</x:f>
        <x:v>95</x:v>
      </x:c>
      <x:c r="Z1180" t="str">
        <x:f>IF(AND(U1180="Open",Y1180&gt;30),"STALE","OK")</x:f>
        <x:v>OK</x:v>
      </x:c>
      <x:c r="AA1180" t="str">
        <x:f>TEXT(B1180,"yyyy-mm")</x:f>
        <x:v>2025-03</x:v>
      </x:c>
      <x:c r="AB1180" t="str">
        <x:f>IF(K1180="","",TEXT(K1180,"yyyy-mm"))</x:f>
        <x:v>2025-06</x:v>
      </x:c>
      <x:c r="AC1180" t="str">
        <x:f>"Q"&amp;ROUNDUP(MONTH(B1180)/3,0)&amp;"-"&amp;YEAR(B1180)</x:f>
        <x:v>Q1-2025</x:v>
      </x:c>
      <x:c r="AD1180" s="26" t="n">
        <x:f>MIN(100,IF(H1180="Enterprise",30,IF(H1180="Mid-Market",22,14))+IF(T1180="Enterprise",25,IF(T1180="Mid-Market",18,10))+IF(Q1180="Referral",25,IF(Q1180="Organic Search",20,IF(Q1180="Email",18,14)))+IF(G1180="Technology",10,5))</x:f>
        <x:v>43</x:v>
      </x:c>
      <x:c r="AE1180" t="str">
        <x:f>IF(U1180&lt;&gt;"Open",U1180,IF(N1180&gt;=0.8,"Commit",IF(N1180&gt;=0.5,"Best Case","Pipeline")))</x:f>
        <x:v>Lost</x:v>
      </x:c>
    </x:row>
    <x:row r="1181">
      <x:c r="A1181" t="str">
        <x:v>L01180</x:v>
      </x:c>
      <x:c r="B1181" s="10" t="n">
        <x:v>45849</x:v>
      </x:c>
      <x:c r="C1181" t="str">
        <x:v>Minh Do</x:v>
      </x:c>
      <x:c r="D1181" t="str">
        <x:v>North</x:v>
      </x:c>
      <x:c r="E1181" t="str">
        <x:v>organic search</x:v>
      </x:c>
      <x:c r="F1181" t="str">
        <x:v>MKT-AUTO</x:v>
      </x:c>
      <x:c r="G1181" t="str">
        <x:v>Financial Services</x:v>
      </x:c>
      <x:c r="H1181" t="str">
        <x:v>SMB</x:v>
      </x:c>
      <x:c r="I1181" t="str">
        <x:v>Closed Won</x:v>
      </x:c>
      <x:c r="J1181" s="10" t="n">
        <x:v>45912</x:v>
      </x:c>
      <x:c r="K1181" s="10" t="n">
        <x:v>45912</x:v>
      </x:c>
      <x:c r="L1181" s="22" t="n">
        <x:v>13400</x:v>
      </x:c>
      <x:c r="M1181" s="24" t="n">
        <x:v>0</x:v>
      </x:c>
      <x:c r="N1181" s="24" t="n">
        <x:v>1</x:v>
      </x:c>
      <x:c r="O1181" t="str"/>
      <x:c r="P1181" t="n">
        <x:v>6</x:v>
      </x:c>
      <x:c r="Q1181" t="str">
        <x:f>IFERROR(XLOOKUP(E1181,Lookups!$A$5:$A$24,Lookups!$B$5:$B$24),"Other")</x:f>
        <x:v>Organic Search</x:v>
      </x:c>
      <x:c r="R1181" t="str">
        <x:f>IFERROR(XLOOKUP(F1181,Lookups!$D$5:$D$10,Lookups!$E$5:$E$10),"Unknown Product")</x:f>
        <x:v>Marketing Automation</x:v>
      </x:c>
      <x:c r="S1181" t="str">
        <x:f>IFERROR(XLOOKUP(F1181,Lookups!$D$5:$D$10,Lookups!$F$5:$F$10),"Unknown")</x:f>
        <x:v>Marketing</x:v>
      </x:c>
      <x:c r="T1181" t="str">
        <x:f>IF(L1181&gt;=50000,"Enterprise",IF(L1181&gt;=20000,"Mid-Market","SMB"))</x:f>
        <x:v>SMB</x:v>
      </x:c>
      <x:c r="U1181" t="str">
        <x:f>IF(I1181="Closed Won","Won",IF(I1181="Closed Lost","Lost","Open"))</x:f>
        <x:v>Won</x:v>
      </x:c>
      <x:c r="V1181" s="22" t="n">
        <x:f>IF(U1181="Won",L1181*(1-M1181),0)</x:f>
        <x:v>13400</x:v>
      </x:c>
      <x:c r="W1181" s="22" t="n">
        <x:f>IF(U1181="Open",L1181*N1181,0)</x:f>
        <x:v>0</x:v>
      </x:c>
      <x:c r="X1181" s="26" t="n">
        <x:f>IF(U1181="Open","",IFERROR(K1181-B1181,""))</x:f>
        <x:v>63</x:v>
      </x:c>
      <x:c r="Y1181" s="26" t="n">
        <x:f>IF(U1181="Open",Lookups!$B$2-B1181,X1181)</x:f>
        <x:v>63</x:v>
      </x:c>
      <x:c r="Z1181" t="str">
        <x:f>IF(AND(U1181="Open",Y1181&gt;30),"STALE","OK")</x:f>
        <x:v>OK</x:v>
      </x:c>
      <x:c r="AA1181" t="str">
        <x:f>TEXT(B1181,"yyyy-mm")</x:f>
        <x:v>2025-07</x:v>
      </x:c>
      <x:c r="AB1181" t="str">
        <x:f>IF(K1181="","",TEXT(K1181,"yyyy-mm"))</x:f>
        <x:v>2025-09</x:v>
      </x:c>
      <x:c r="AC1181" t="str">
        <x:f>"Q"&amp;ROUNDUP(MONTH(B1181)/3,0)&amp;"-"&amp;YEAR(B1181)</x:f>
        <x:v>Q3-2025</x:v>
      </x:c>
      <x:c r="AD1181" s="26" t="n">
        <x:f>MIN(100,IF(H1181="Enterprise",30,IF(H1181="Mid-Market",22,14))+IF(T1181="Enterprise",25,IF(T1181="Mid-Market",18,10))+IF(Q1181="Referral",25,IF(Q1181="Organic Search",20,IF(Q1181="Email",18,14)))+IF(G1181="Technology",10,5))</x:f>
        <x:v>49</x:v>
      </x:c>
      <x:c r="AE1181" t="str">
        <x:f>IF(U1181&lt;&gt;"Open",U1181,IF(N1181&gt;=0.8,"Commit",IF(N1181&gt;=0.5,"Best Case","Pipeline")))</x:f>
        <x:v>Won</x:v>
      </x:c>
    </x:row>
    <x:row r="1182">
      <x:c r="A1182" t="str">
        <x:v>L01181</x:v>
      </x:c>
      <x:c r="B1182" s="10" t="n">
        <x:v>45961</x:v>
      </x:c>
      <x:c r="C1182" t="str">
        <x:v>Minh Do</x:v>
      </x:c>
      <x:c r="D1182" t="str">
        <x:v>North</x:v>
      </x:c>
      <x:c r="E1182" t="str">
        <x:v>Outbound</x:v>
      </x:c>
      <x:c r="F1182" t="str">
        <x:v>CRM-PRO</x:v>
      </x:c>
      <x:c r="G1182" t="str">
        <x:v>Retail</x:v>
      </x:c>
      <x:c r="H1182" t="str">
        <x:v>Mid-Market</x:v>
      </x:c>
      <x:c r="I1182" t="str">
        <x:v>Closed Won</x:v>
      </x:c>
      <x:c r="J1182" s="10" t="n">
        <x:v>45980</x:v>
      </x:c>
      <x:c r="K1182" s="10" t="n">
        <x:v>45980</x:v>
      </x:c>
      <x:c r="L1182" s="22" t="n">
        <x:v>34700</x:v>
      </x:c>
      <x:c r="M1182" s="24" t="n">
        <x:v>0.1</x:v>
      </x:c>
      <x:c r="N1182" s="24" t="n">
        <x:v>1</x:v>
      </x:c>
      <x:c r="O1182" t="str"/>
      <x:c r="P1182" t="n">
        <x:v>6</x:v>
      </x:c>
      <x:c r="Q1182" t="str">
        <x:f>IFERROR(XLOOKUP(E1182,Lookups!$A$5:$A$24,Lookups!$B$5:$B$24),"Other")</x:f>
        <x:v>Outbound</x:v>
      </x:c>
      <x:c r="R1182" t="str">
        <x:f>IFERROR(XLOOKUP(F1182,Lookups!$D$5:$D$10,Lookups!$E$5:$E$10),"Unknown Product")</x:f>
        <x:v>NexaCRM Pro</x:v>
      </x:c>
      <x:c r="S1182" t="str">
        <x:f>IFERROR(XLOOKUP(F1182,Lookups!$D$5:$D$10,Lookups!$F$5:$F$10),"Unknown")</x:f>
        <x:v>CRM</x:v>
      </x:c>
      <x:c r="T1182" t="str">
        <x:f>IF(L1182&gt;=50000,"Enterprise",IF(L1182&gt;=20000,"Mid-Market","SMB"))</x:f>
        <x:v>Mid-Market</x:v>
      </x:c>
      <x:c r="U1182" t="str">
        <x:f>IF(I1182="Closed Won","Won",IF(I1182="Closed Lost","Lost","Open"))</x:f>
        <x:v>Won</x:v>
      </x:c>
      <x:c r="V1182" s="22" t="n">
        <x:f>IF(U1182="Won",L1182*(1-M1182),0)</x:f>
        <x:v>31230</x:v>
      </x:c>
      <x:c r="W1182" s="22" t="n">
        <x:f>IF(U1182="Open",L1182*N1182,0)</x:f>
        <x:v>0</x:v>
      </x:c>
      <x:c r="X1182" s="26" t="n">
        <x:f>IF(U1182="Open","",IFERROR(K1182-B1182,""))</x:f>
        <x:v>19</x:v>
      </x:c>
      <x:c r="Y1182" s="26" t="n">
        <x:f>IF(U1182="Open",Lookups!$B$2-B1182,X1182)</x:f>
        <x:v>19</x:v>
      </x:c>
      <x:c r="Z1182" t="str">
        <x:f>IF(AND(U1182="Open",Y1182&gt;30),"STALE","OK")</x:f>
        <x:v>OK</x:v>
      </x:c>
      <x:c r="AA1182" t="str">
        <x:f>TEXT(B1182,"yyyy-mm")</x:f>
        <x:v>2025-10</x:v>
      </x:c>
      <x:c r="AB1182" t="str">
        <x:f>IF(K1182="","",TEXT(K1182,"yyyy-mm"))</x:f>
        <x:v>2025-11</x:v>
      </x:c>
      <x:c r="AC1182" t="str">
        <x:f>"Q"&amp;ROUNDUP(MONTH(B1182)/3,0)&amp;"-"&amp;YEAR(B1182)</x:f>
        <x:v>Q4-2025</x:v>
      </x:c>
      <x:c r="AD1182" s="26" t="n">
        <x:f>MIN(100,IF(H1182="Enterprise",30,IF(H1182="Mid-Market",22,14))+IF(T1182="Enterprise",25,IF(T1182="Mid-Market",18,10))+IF(Q1182="Referral",25,IF(Q1182="Organic Search",20,IF(Q1182="Email",18,14)))+IF(G1182="Technology",10,5))</x:f>
        <x:v>59</x:v>
      </x:c>
      <x:c r="AE1182" t="str">
        <x:f>IF(U1182&lt;&gt;"Open",U1182,IF(N1182&gt;=0.8,"Commit",IF(N1182&gt;=0.5,"Best Case","Pipeline")))</x:f>
        <x:v>Won</x:v>
      </x:c>
    </x:row>
    <x:row r="1183">
      <x:c r="A1183" t="str">
        <x:v>L01182</x:v>
      </x:c>
      <x:c r="B1183" s="10" t="n">
        <x:v>46153</x:v>
      </x:c>
      <x:c r="C1183" t="str">
        <x:v>Duy Pham</x:v>
      </x:c>
      <x:c r="D1183" t="str">
        <x:v>South</x:v>
      </x:c>
      <x:c r="E1183" t="str">
        <x:v>LinkedIn Ads</x:v>
      </x:c>
      <x:c r="F1183" t="str">
        <x:v>CRM-PRO</x:v>
      </x:c>
      <x:c r="G1183" t="str">
        <x:v>Education</x:v>
      </x:c>
      <x:c r="H1183" t="str">
        <x:v>SMB</x:v>
      </x:c>
      <x:c r="I1183" t="str">
        <x:v>Demo / Meeting</x:v>
      </x:c>
      <x:c r="J1183" s="10" t="n">
        <x:v>46210</x:v>
      </x:c>
      <x:c r="K1183" s="10"/>
      <x:c r="L1183" s="22" t="n">
        <x:v>19700</x:v>
      </x:c>
      <x:c r="M1183" s="24" t="n">
        <x:v>0.03</x:v>
      </x:c>
      <x:c r="N1183" s="24" t="n">
        <x:v>0.4</x:v>
      </x:c>
      <x:c r="O1183" t="str"/>
      <x:c r="P1183" t="n">
        <x:v>3</x:v>
      </x:c>
      <x:c r="Q1183" t="str">
        <x:f>IFERROR(XLOOKUP(E1183,Lookups!$A$5:$A$24,Lookups!$B$5:$B$24),"Other")</x:f>
        <x:v>LinkedIn</x:v>
      </x:c>
      <x:c r="R1183" t="str">
        <x:f>IFERROR(XLOOKUP(F1183,Lookups!$D$5:$D$10,Lookups!$E$5:$E$10),"Unknown Product")</x:f>
        <x:v>NexaCRM Pro</x:v>
      </x:c>
      <x:c r="S1183" t="str">
        <x:f>IFERROR(XLOOKUP(F1183,Lookups!$D$5:$D$10,Lookups!$F$5:$F$10),"Unknown")</x:f>
        <x:v>CRM</x:v>
      </x:c>
      <x:c r="T1183" t="str">
        <x:f>IF(L1183&gt;=50000,"Enterprise",IF(L1183&gt;=20000,"Mid-Market","SMB"))</x:f>
        <x:v>SMB</x:v>
      </x:c>
      <x:c r="U1183" t="str">
        <x:f>IF(I1183="Closed Won","Won",IF(I1183="Closed Lost","Lost","Open"))</x:f>
        <x:v>Open</x:v>
      </x:c>
      <x:c r="V1183" s="22" t="n">
        <x:f>IF(U1183="Won",L1183*(1-M1183),0)</x:f>
        <x:v>0</x:v>
      </x:c>
      <x:c r="W1183" s="22" t="n">
        <x:f>IF(U1183="Open",L1183*N1183,0)</x:f>
        <x:v>7880</x:v>
      </x:c>
      <x:c r="X1183" s="26" t="str">
        <x:f>IF(U1183="Open","",IFERROR(K1183-B1183,""))</x:f>
      </x:c>
      <x:c r="Y1183" s="26" t="n">
        <x:f>IF(U1183="Open",Lookups!$B$2-B1183,X1183)</x:f>
        <x:v>113</x:v>
      </x:c>
      <x:c r="Z1183" t="str">
        <x:f>IF(AND(U1183="Open",Y1183&gt;30),"STALE","OK")</x:f>
        <x:v>STALE</x:v>
      </x:c>
      <x:c r="AA1183" t="str">
        <x:f>TEXT(B1183,"yyyy-mm")</x:f>
        <x:v>2026-05</x:v>
      </x:c>
      <x:c r="AB1183" t="str">
        <x:f>IF(K1183="","",TEXT(K1183,"yyyy-mm"))</x:f>
      </x:c>
      <x:c r="AC1183" t="str">
        <x:f>"Q"&amp;ROUNDUP(MONTH(B1183)/3,0)&amp;"-"&amp;YEAR(B1183)</x:f>
        <x:v>Q2-2026</x:v>
      </x:c>
      <x:c r="AD1183" s="26" t="n">
        <x:f>MIN(100,IF(H1183="Enterprise",30,IF(H1183="Mid-Market",22,14))+IF(T1183="Enterprise",25,IF(T1183="Mid-Market",18,10))+IF(Q1183="Referral",25,IF(Q1183="Organic Search",20,IF(Q1183="Email",18,14)))+IF(G1183="Technology",10,5))</x:f>
        <x:v>43</x:v>
      </x:c>
      <x:c r="AE1183" t="str">
        <x:f>IF(U1183&lt;&gt;"Open",U1183,IF(N1183&gt;=0.8,"Commit",IF(N1183&gt;=0.5,"Best Case","Pipeline")))</x:f>
        <x:v>Pipeline</x:v>
      </x:c>
    </x:row>
    <x:row r="1184">
      <x:c r="A1184" t="str">
        <x:v>L01183</x:v>
      </x:c>
      <x:c r="B1184" s="10" t="n">
        <x:v>46012</x:v>
      </x:c>
      <x:c r="C1184" t="str">
        <x:v>Ha Vo</x:v>
      </x:c>
      <x:c r="D1184" t="str">
        <x:v>North</x:v>
      </x:c>
      <x:c r="E1184" t="str">
        <x:v>Google Ads</x:v>
      </x:c>
      <x:c r="F1184" t="str">
        <x:v>CRM-CORE</x:v>
      </x:c>
      <x:c r="G1184" t="str">
        <x:v>Manufacturing</x:v>
      </x:c>
      <x:c r="H1184" t="str">
        <x:v>Mid-Market</x:v>
      </x:c>
      <x:c r="I1184" t="str">
        <x:v>Closed Lost</x:v>
      </x:c>
      <x:c r="J1184" s="10" t="n">
        <x:v>46072</x:v>
      </x:c>
      <x:c r="K1184" s="10" t="n">
        <x:v>46072</x:v>
      </x:c>
      <x:c r="L1184" s="22" t="n">
        <x:v>8000</x:v>
      </x:c>
      <x:c r="M1184" s="24" t="n">
        <x:v>0</x:v>
      </x:c>
      <x:c r="N1184" s="24" t="n">
        <x:v>0</x:v>
      </x:c>
      <x:c r="O1184" t="str">
        <x:v>Price</x:v>
      </x:c>
      <x:c r="P1184" t="n">
        <x:v>4</x:v>
      </x:c>
      <x:c r="Q1184" t="str">
        <x:f>IFERROR(XLOOKUP(E1184,Lookups!$A$5:$A$24,Lookups!$B$5:$B$24),"Other")</x:f>
        <x:v>Paid Search</x:v>
      </x:c>
      <x:c r="R1184" t="str">
        <x:f>IFERROR(XLOOKUP(F1184,Lookups!$D$5:$D$10,Lookups!$E$5:$E$10),"Unknown Product")</x:f>
        <x:v>NexaCRM Core</x:v>
      </x:c>
      <x:c r="S1184" t="str">
        <x:f>IFERROR(XLOOKUP(F1184,Lookups!$D$5:$D$10,Lookups!$F$5:$F$10),"Unknown")</x:f>
        <x:v>CRM</x:v>
      </x:c>
      <x:c r="T1184" t="str">
        <x:f>IF(L1184&gt;=50000,"Enterprise",IF(L1184&gt;=20000,"Mid-Market","SMB"))</x:f>
        <x:v>SMB</x:v>
      </x:c>
      <x:c r="U1184" t="str">
        <x:f>IF(I1184="Closed Won","Won",IF(I1184="Closed Lost","Lost","Open"))</x:f>
        <x:v>Lost</x:v>
      </x:c>
      <x:c r="V1184" s="22" t="n">
        <x:f>IF(U1184="Won",L1184*(1-M1184),0)</x:f>
        <x:v>0</x:v>
      </x:c>
      <x:c r="W1184" s="22" t="n">
        <x:f>IF(U1184="Open",L1184*N1184,0)</x:f>
        <x:v>0</x:v>
      </x:c>
      <x:c r="X1184" s="26" t="n">
        <x:f>IF(U1184="Open","",IFERROR(K1184-B1184,""))</x:f>
        <x:v>60</x:v>
      </x:c>
      <x:c r="Y1184" s="26" t="n">
        <x:f>IF(U1184="Open",Lookups!$B$2-B1184,X1184)</x:f>
        <x:v>60</x:v>
      </x:c>
      <x:c r="Z1184" t="str">
        <x:f>IF(AND(U1184="Open",Y1184&gt;30),"STALE","OK")</x:f>
        <x:v>OK</x:v>
      </x:c>
      <x:c r="AA1184" t="str">
        <x:f>TEXT(B1184,"yyyy-mm")</x:f>
        <x:v>2025-12</x:v>
      </x:c>
      <x:c r="AB1184" t="str">
        <x:f>IF(K1184="","",TEXT(K1184,"yyyy-mm"))</x:f>
        <x:v>2026-02</x:v>
      </x:c>
      <x:c r="AC1184" t="str">
        <x:f>"Q"&amp;ROUNDUP(MONTH(B1184)/3,0)&amp;"-"&amp;YEAR(B1184)</x:f>
        <x:v>Q4-2025</x:v>
      </x:c>
      <x:c r="AD1184" s="26" t="n">
        <x:f>MIN(100,IF(H1184="Enterprise",30,IF(H1184="Mid-Market",22,14))+IF(T1184="Enterprise",25,IF(T1184="Mid-Market",18,10))+IF(Q1184="Referral",25,IF(Q1184="Organic Search",20,IF(Q1184="Email",18,14)))+IF(G1184="Technology",10,5))</x:f>
        <x:v>51</x:v>
      </x:c>
      <x:c r="AE1184" t="str">
        <x:f>IF(U1184&lt;&gt;"Open",U1184,IF(N1184&gt;=0.8,"Commit",IF(N1184&gt;=0.5,"Best Case","Pipeline")))</x:f>
        <x:v>Lost</x:v>
      </x:c>
    </x:row>
    <x:row r="1185">
      <x:c r="A1185" t="str">
        <x:v>L01184</x:v>
      </x:c>
      <x:c r="B1185" s="10" t="n">
        <x:v>45798</x:v>
      </x:c>
      <x:c r="C1185" t="str">
        <x:v>Tuan Bui</x:v>
      </x:c>
      <x:c r="D1185" t="str">
        <x:v>Central</x:v>
      </x:c>
      <x:c r="E1185" t="str">
        <x:v>customer referral</x:v>
      </x:c>
      <x:c r="F1185" t="str">
        <x:v>MKT-AUTO</x:v>
      </x:c>
      <x:c r="G1185" t="str">
        <x:v>Professional Services</x:v>
      </x:c>
      <x:c r="H1185" t="str">
        <x:v>Mid-Market</x:v>
      </x:c>
      <x:c r="I1185" t="str">
        <x:v>Closed Lost</x:v>
      </x:c>
      <x:c r="J1185" s="10" t="n">
        <x:v>45851</x:v>
      </x:c>
      <x:c r="K1185" s="10" t="n">
        <x:v>45851</x:v>
      </x:c>
      <x:c r="L1185" s="22" t="n">
        <x:v>37100</x:v>
      </x:c>
      <x:c r="M1185" s="24" t="n">
        <x:v>0</x:v>
      </x:c>
      <x:c r="N1185" s="24" t="n">
        <x:v>0</x:v>
      </x:c>
      <x:c r="O1185" t="str">
        <x:v>Timing</x:v>
      </x:c>
      <x:c r="P1185" t="n">
        <x:v>5</x:v>
      </x:c>
      <x:c r="Q1185" t="str">
        <x:f>IFERROR(XLOOKUP(E1185,Lookups!$A$5:$A$24,Lookups!$B$5:$B$24),"Other")</x:f>
        <x:v>Referral</x:v>
      </x:c>
      <x:c r="R1185" t="str">
        <x:f>IFERROR(XLOOKUP(F1185,Lookups!$D$5:$D$10,Lookups!$E$5:$E$10),"Unknown Product")</x:f>
        <x:v>Marketing Automation</x:v>
      </x:c>
      <x:c r="S1185" t="str">
        <x:f>IFERROR(XLOOKUP(F1185,Lookups!$D$5:$D$10,Lookups!$F$5:$F$10),"Unknown")</x:f>
        <x:v>Marketing</x:v>
      </x:c>
      <x:c r="T1185" t="str">
        <x:f>IF(L1185&gt;=50000,"Enterprise",IF(L1185&gt;=20000,"Mid-Market","SMB"))</x:f>
        <x:v>Mid-Market</x:v>
      </x:c>
      <x:c r="U1185" t="str">
        <x:f>IF(I1185="Closed Won","Won",IF(I1185="Closed Lost","Lost","Open"))</x:f>
        <x:v>Lost</x:v>
      </x:c>
      <x:c r="V1185" s="22" t="n">
        <x:f>IF(U1185="Won",L1185*(1-M1185),0)</x:f>
        <x:v>0</x:v>
      </x:c>
      <x:c r="W1185" s="22" t="n">
        <x:f>IF(U1185="Open",L1185*N1185,0)</x:f>
        <x:v>0</x:v>
      </x:c>
      <x:c r="X1185" s="26" t="n">
        <x:f>IF(U1185="Open","",IFERROR(K1185-B1185,""))</x:f>
        <x:v>53</x:v>
      </x:c>
      <x:c r="Y1185" s="26" t="n">
        <x:f>IF(U1185="Open",Lookups!$B$2-B1185,X1185)</x:f>
        <x:v>53</x:v>
      </x:c>
      <x:c r="Z1185" t="str">
        <x:f>IF(AND(U1185="Open",Y1185&gt;30),"STALE","OK")</x:f>
        <x:v>OK</x:v>
      </x:c>
      <x:c r="AA1185" t="str">
        <x:f>TEXT(B1185,"yyyy-mm")</x:f>
        <x:v>2025-05</x:v>
      </x:c>
      <x:c r="AB1185" t="str">
        <x:f>IF(K1185="","",TEXT(K1185,"yyyy-mm"))</x:f>
        <x:v>2025-07</x:v>
      </x:c>
      <x:c r="AC1185" t="str">
        <x:f>"Q"&amp;ROUNDUP(MONTH(B1185)/3,0)&amp;"-"&amp;YEAR(B1185)</x:f>
        <x:v>Q2-2025</x:v>
      </x:c>
      <x:c r="AD1185" s="26" t="n">
        <x:f>MIN(100,IF(H1185="Enterprise",30,IF(H1185="Mid-Market",22,14))+IF(T1185="Enterprise",25,IF(T1185="Mid-Market",18,10))+IF(Q1185="Referral",25,IF(Q1185="Organic Search",20,IF(Q1185="Email",18,14)))+IF(G1185="Technology",10,5))</x:f>
        <x:v>70</x:v>
      </x:c>
      <x:c r="AE1185" t="str">
        <x:f>IF(U1185&lt;&gt;"Open",U1185,IF(N1185&gt;=0.8,"Commit",IF(N1185&gt;=0.5,"Best Case","Pipeline")))</x:f>
        <x:v>Lost</x:v>
      </x:c>
    </x:row>
    <x:row r="1186">
      <x:c r="A1186" t="str">
        <x:v>L01185</x:v>
      </x:c>
      <x:c r="B1186" s="10" t="n">
        <x:v>45669</x:v>
      </x:c>
      <x:c r="C1186" t="str">
        <x:v>Ha Vo</x:v>
      </x:c>
      <x:c r="D1186" t="str">
        <x:v>North</x:v>
      </x:c>
      <x:c r="E1186" t="str">
        <x:v>virtual event</x:v>
      </x:c>
      <x:c r="F1186" t="str">
        <x:v>MKT-AUTO</x:v>
      </x:c>
      <x:c r="G1186" t="str">
        <x:v>Retail</x:v>
      </x:c>
      <x:c r="H1186" t="str">
        <x:v>Mid-Market</x:v>
      </x:c>
      <x:c r="I1186" t="str">
        <x:v>Closed Lost</x:v>
      </x:c>
      <x:c r="J1186" s="10" t="n">
        <x:v>45743</x:v>
      </x:c>
      <x:c r="K1186" s="10" t="n">
        <x:v>45743</x:v>
      </x:c>
      <x:c r="L1186" s="22" t="n">
        <x:v>17200</x:v>
      </x:c>
      <x:c r="M1186" s="24" t="n">
        <x:v>0</x:v>
      </x:c>
      <x:c r="N1186" s="24" t="n">
        <x:v>0</x:v>
      </x:c>
      <x:c r="O1186" t="str">
        <x:v>Timing</x:v>
      </x:c>
      <x:c r="P1186" t="n">
        <x:v>5</x:v>
      </x:c>
      <x:c r="Q1186" t="str">
        <x:f>IFERROR(XLOOKUP(E1186,Lookups!$A$5:$A$24,Lookups!$B$5:$B$24),"Other")</x:f>
        <x:v>Webinar</x:v>
      </x:c>
      <x:c r="R1186" t="str">
        <x:f>IFERROR(XLOOKUP(F1186,Lookups!$D$5:$D$10,Lookups!$E$5:$E$10),"Unknown Product")</x:f>
        <x:v>Marketing Automation</x:v>
      </x:c>
      <x:c r="S1186" t="str">
        <x:f>IFERROR(XLOOKUP(F1186,Lookups!$D$5:$D$10,Lookups!$F$5:$F$10),"Unknown")</x:f>
        <x:v>Marketing</x:v>
      </x:c>
      <x:c r="T1186" t="str">
        <x:f>IF(L1186&gt;=50000,"Enterprise",IF(L1186&gt;=20000,"Mid-Market","SMB"))</x:f>
        <x:v>SMB</x:v>
      </x:c>
      <x:c r="U1186" t="str">
        <x:f>IF(I1186="Closed Won","Won",IF(I1186="Closed Lost","Lost","Open"))</x:f>
        <x:v>Lost</x:v>
      </x:c>
      <x:c r="V1186" s="22" t="n">
        <x:f>IF(U1186="Won",L1186*(1-M1186),0)</x:f>
        <x:v>0</x:v>
      </x:c>
      <x:c r="W1186" s="22" t="n">
        <x:f>IF(U1186="Open",L1186*N1186,0)</x:f>
        <x:v>0</x:v>
      </x:c>
      <x:c r="X1186" s="26" t="n">
        <x:f>IF(U1186="Open","",IFERROR(K1186-B1186,""))</x:f>
        <x:v>74</x:v>
      </x:c>
      <x:c r="Y1186" s="26" t="n">
        <x:f>IF(U1186="Open",Lookups!$B$2-B1186,X1186)</x:f>
        <x:v>74</x:v>
      </x:c>
      <x:c r="Z1186" t="str">
        <x:f>IF(AND(U1186="Open",Y1186&gt;30),"STALE","OK")</x:f>
        <x:v>OK</x:v>
      </x:c>
      <x:c r="AA1186" t="str">
        <x:f>TEXT(B1186,"yyyy-mm")</x:f>
        <x:v>2025-01</x:v>
      </x:c>
      <x:c r="AB1186" t="str">
        <x:f>IF(K1186="","",TEXT(K1186,"yyyy-mm"))</x:f>
        <x:v>2025-03</x:v>
      </x:c>
      <x:c r="AC1186" t="str">
        <x:f>"Q"&amp;ROUNDUP(MONTH(B1186)/3,0)&amp;"-"&amp;YEAR(B1186)</x:f>
        <x:v>Q1-2025</x:v>
      </x:c>
      <x:c r="AD1186" s="26" t="n">
        <x:f>MIN(100,IF(H1186="Enterprise",30,IF(H1186="Mid-Market",22,14))+IF(T1186="Enterprise",25,IF(T1186="Mid-Market",18,10))+IF(Q1186="Referral",25,IF(Q1186="Organic Search",20,IF(Q1186="Email",18,14)))+IF(G1186="Technology",10,5))</x:f>
        <x:v>51</x:v>
      </x:c>
      <x:c r="AE1186" t="str">
        <x:f>IF(U1186&lt;&gt;"Open",U1186,IF(N1186&gt;=0.8,"Commit",IF(N1186&gt;=0.5,"Best Case","Pipeline")))</x:f>
        <x:v>Lost</x:v>
      </x:c>
    </x:row>
    <x:row r="1187">
      <x:c r="A1187" t="str">
        <x:v>L01186</x:v>
      </x:c>
      <x:c r="B1187" s="10" t="n">
        <x:v>45961</x:v>
      </x:c>
      <x:c r="C1187" t="str">
        <x:v>Minh Do</x:v>
      </x:c>
      <x:c r="D1187" t="str">
        <x:v>North</x:v>
      </x:c>
      <x:c r="E1187" t="str">
        <x:v>LI Ads</x:v>
      </x:c>
      <x:c r="F1187" t="str">
        <x:v>CRM-CORE</x:v>
      </x:c>
      <x:c r="G1187" t="str">
        <x:v>Healthcare</x:v>
      </x:c>
      <x:c r="H1187" t="str">
        <x:v>SMB</x:v>
      </x:c>
      <x:c r="I1187" t="str">
        <x:v>Closed Lost</x:v>
      </x:c>
      <x:c r="J1187" s="10" t="n">
        <x:v>45969</x:v>
      </x:c>
      <x:c r="K1187" s="10" t="n">
        <x:v>45969</x:v>
      </x:c>
      <x:c r="L1187" s="22" t="n">
        <x:v>6100</x:v>
      </x:c>
      <x:c r="M1187" s="24" t="n">
        <x:v>0</x:v>
      </x:c>
      <x:c r="N1187" s="24" t="n">
        <x:v>0</x:v>
      </x:c>
      <x:c r="O1187" t="str">
        <x:v>No Decision</x:v>
      </x:c>
      <x:c r="P1187" t="n">
        <x:v>2</x:v>
      </x:c>
      <x:c r="Q1187" t="str">
        <x:f>IFERROR(XLOOKUP(E1187,Lookups!$A$5:$A$24,Lookups!$B$5:$B$24),"Other")</x:f>
        <x:v>LinkedIn</x:v>
      </x:c>
      <x:c r="R1187" t="str">
        <x:f>IFERROR(XLOOKUP(F1187,Lookups!$D$5:$D$10,Lookups!$E$5:$E$10),"Unknown Product")</x:f>
        <x:v>NexaCRM Core</x:v>
      </x:c>
      <x:c r="S1187" t="str">
        <x:f>IFERROR(XLOOKUP(F1187,Lookups!$D$5:$D$10,Lookups!$F$5:$F$10),"Unknown")</x:f>
        <x:v>CRM</x:v>
      </x:c>
      <x:c r="T1187" t="str">
        <x:f>IF(L1187&gt;=50000,"Enterprise",IF(L1187&gt;=20000,"Mid-Market","SMB"))</x:f>
        <x:v>SMB</x:v>
      </x:c>
      <x:c r="U1187" t="str">
        <x:f>IF(I1187="Closed Won","Won",IF(I1187="Closed Lost","Lost","Open"))</x:f>
        <x:v>Lost</x:v>
      </x:c>
      <x:c r="V1187" s="22" t="n">
        <x:f>IF(U1187="Won",L1187*(1-M1187),0)</x:f>
        <x:v>0</x:v>
      </x:c>
      <x:c r="W1187" s="22" t="n">
        <x:f>IF(U1187="Open",L1187*N1187,0)</x:f>
        <x:v>0</x:v>
      </x:c>
      <x:c r="X1187" s="26" t="n">
        <x:f>IF(U1187="Open","",IFERROR(K1187-B1187,""))</x:f>
        <x:v>8</x:v>
      </x:c>
      <x:c r="Y1187" s="26" t="n">
        <x:f>IF(U1187="Open",Lookups!$B$2-B1187,X1187)</x:f>
        <x:v>8</x:v>
      </x:c>
      <x:c r="Z1187" t="str">
        <x:f>IF(AND(U1187="Open",Y1187&gt;30),"STALE","OK")</x:f>
        <x:v>OK</x:v>
      </x:c>
      <x:c r="AA1187" t="str">
        <x:f>TEXT(B1187,"yyyy-mm")</x:f>
        <x:v>2025-10</x:v>
      </x:c>
      <x:c r="AB1187" t="str">
        <x:f>IF(K1187="","",TEXT(K1187,"yyyy-mm"))</x:f>
        <x:v>2025-11</x:v>
      </x:c>
      <x:c r="AC1187" t="str">
        <x:f>"Q"&amp;ROUNDUP(MONTH(B1187)/3,0)&amp;"-"&amp;YEAR(B1187)</x:f>
        <x:v>Q4-2025</x:v>
      </x:c>
      <x:c r="AD1187" s="26" t="n">
        <x:f>MIN(100,IF(H1187="Enterprise",30,IF(H1187="Mid-Market",22,14))+IF(T1187="Enterprise",25,IF(T1187="Mid-Market",18,10))+IF(Q1187="Referral",25,IF(Q1187="Organic Search",20,IF(Q1187="Email",18,14)))+IF(G1187="Technology",10,5))</x:f>
        <x:v>43</x:v>
      </x:c>
      <x:c r="AE1187" t="str">
        <x:f>IF(U1187&lt;&gt;"Open",U1187,IF(N1187&gt;=0.8,"Commit",IF(N1187&gt;=0.5,"Best Case","Pipeline")))</x:f>
        <x:v>Lost</x:v>
      </x:c>
    </x:row>
    <x:row r="1188">
      <x:c r="A1188" t="str">
        <x:v>L01187</x:v>
      </x:c>
      <x:c r="B1188" s="10" t="n">
        <x:v>46119</x:v>
      </x:c>
      <x:c r="C1188" t="str">
        <x:v>Tuan Bui</x:v>
      </x:c>
      <x:c r="D1188" t="str">
        <x:v>Central</x:v>
      </x:c>
      <x:c r="E1188" t="str">
        <x:v>linkedin</x:v>
      </x:c>
      <x:c r="F1188" t="str">
        <x:v>REV-OPS</x:v>
      </x:c>
      <x:c r="G1188" t="str">
        <x:v>Professional Services</x:v>
      </x:c>
      <x:c r="H1188" t="str">
        <x:v>SMB</x:v>
      </x:c>
      <x:c r="I1188" t="str">
        <x:v>Closed Lost</x:v>
      </x:c>
      <x:c r="J1188" s="10" t="n">
        <x:v>46177</x:v>
      </x:c>
      <x:c r="K1188" s="10" t="n">
        <x:v>46177</x:v>
      </x:c>
      <x:c r="L1188" s="22" t="n">
        <x:v>44600</x:v>
      </x:c>
      <x:c r="M1188" s="24" t="n">
        <x:v>0</x:v>
      </x:c>
      <x:c r="N1188" s="24" t="n">
        <x:v>0</x:v>
      </x:c>
      <x:c r="O1188" t="str">
        <x:v>No Decision</x:v>
      </x:c>
      <x:c r="P1188" t="n">
        <x:v>5</x:v>
      </x:c>
      <x:c r="Q1188" t="str">
        <x:f>IFERROR(XLOOKUP(E1188,Lookups!$A$5:$A$24,Lookups!$B$5:$B$24),"Other")</x:f>
        <x:v>LinkedIn</x:v>
      </x:c>
      <x:c r="R1188" t="str">
        <x:f>IFERROR(XLOOKUP(F1188,Lookups!$D$5:$D$10,Lookups!$E$5:$E$10),"Unknown Product")</x:f>
        <x:v>Revenue Operations Suite</x:v>
      </x:c>
      <x:c r="S1188" t="str">
        <x:f>IFERROR(XLOOKUP(F1188,Lookups!$D$5:$D$10,Lookups!$F$5:$F$10),"Unknown")</x:f>
        <x:v>Revenue Ops</x:v>
      </x:c>
      <x:c r="T1188" t="str">
        <x:f>IF(L1188&gt;=50000,"Enterprise",IF(L1188&gt;=20000,"Mid-Market","SMB"))</x:f>
        <x:v>Mid-Market</x:v>
      </x:c>
      <x:c r="U1188" t="str">
        <x:f>IF(I1188="Closed Won","Won",IF(I1188="Closed Lost","Lost","Open"))</x:f>
        <x:v>Lost</x:v>
      </x:c>
      <x:c r="V1188" s="22" t="n">
        <x:f>IF(U1188="Won",L1188*(1-M1188),0)</x:f>
        <x:v>0</x:v>
      </x:c>
      <x:c r="W1188" s="22" t="n">
        <x:f>IF(U1188="Open",L1188*N1188,0)</x:f>
        <x:v>0</x:v>
      </x:c>
      <x:c r="X1188" s="26" t="n">
        <x:f>IF(U1188="Open","",IFERROR(K1188-B1188,""))</x:f>
        <x:v>58</x:v>
      </x:c>
      <x:c r="Y1188" s="26" t="n">
        <x:f>IF(U1188="Open",Lookups!$B$2-B1188,X1188)</x:f>
        <x:v>58</x:v>
      </x:c>
      <x:c r="Z1188" t="str">
        <x:f>IF(AND(U1188="Open",Y1188&gt;30),"STALE","OK")</x:f>
        <x:v>OK</x:v>
      </x:c>
      <x:c r="AA1188" t="str">
        <x:f>TEXT(B1188,"yyyy-mm")</x:f>
        <x:v>2026-04</x:v>
      </x:c>
      <x:c r="AB1188" t="str">
        <x:f>IF(K1188="","",TEXT(K1188,"yyyy-mm"))</x:f>
        <x:v>2026-06</x:v>
      </x:c>
      <x:c r="AC1188" t="str">
        <x:f>"Q"&amp;ROUNDUP(MONTH(B1188)/3,0)&amp;"-"&amp;YEAR(B1188)</x:f>
        <x:v>Q2-2026</x:v>
      </x:c>
      <x:c r="AD1188" s="26" t="n">
        <x:f>MIN(100,IF(H1188="Enterprise",30,IF(H1188="Mid-Market",22,14))+IF(T1188="Enterprise",25,IF(T1188="Mid-Market",18,10))+IF(Q1188="Referral",25,IF(Q1188="Organic Search",20,IF(Q1188="Email",18,14)))+IF(G1188="Technology",10,5))</x:f>
        <x:v>51</x:v>
      </x:c>
      <x:c r="AE1188" t="str">
        <x:f>IF(U1188&lt;&gt;"Open",U1188,IF(N1188&gt;=0.8,"Commit",IF(N1188&gt;=0.5,"Best Case","Pipeline")))</x:f>
        <x:v>Lost</x:v>
      </x:c>
    </x:row>
    <x:row r="1189">
      <x:c r="A1189" t="str">
        <x:v>L01188</x:v>
      </x:c>
      <x:c r="B1189" s="10" t="n">
        <x:v>46133</x:v>
      </x:c>
      <x:c r="C1189" t="str">
        <x:v>Bao Tran</x:v>
      </x:c>
      <x:c r="D1189" t="str">
        <x:v>South</x:v>
      </x:c>
      <x:c r="E1189" t="str">
        <x:v>google cpc</x:v>
      </x:c>
      <x:c r="F1189" t="str">
        <x:v>CRM-CORE</x:v>
      </x:c>
      <x:c r="G1189" t="str">
        <x:v>Technology</x:v>
      </x:c>
      <x:c r="H1189" t="str">
        <x:v>Mid-Market</x:v>
      </x:c>
      <x:c r="I1189" t="str">
        <x:v>Closed Won</x:v>
      </x:c>
      <x:c r="J1189" s="10" t="n">
        <x:v>46151</x:v>
      </x:c>
      <x:c r="K1189" s="10" t="n">
        <x:v>46151</x:v>
      </x:c>
      <x:c r="L1189" s="22" t="n">
        <x:v>15200</x:v>
      </x:c>
      <x:c r="M1189" s="24" t="n">
        <x:v>0.03</x:v>
      </x:c>
      <x:c r="N1189" s="24" t="n">
        <x:v>1</x:v>
      </x:c>
      <x:c r="O1189" t="str"/>
      <x:c r="P1189" t="n">
        <x:v>6</x:v>
      </x:c>
      <x:c r="Q1189" t="str">
        <x:f>IFERROR(XLOOKUP(E1189,Lookups!$A$5:$A$24,Lookups!$B$5:$B$24),"Other")</x:f>
        <x:v>Paid Search</x:v>
      </x:c>
      <x:c r="R1189" t="str">
        <x:f>IFERROR(XLOOKUP(F1189,Lookups!$D$5:$D$10,Lookups!$E$5:$E$10),"Unknown Product")</x:f>
        <x:v>NexaCRM Core</x:v>
      </x:c>
      <x:c r="S1189" t="str">
        <x:f>IFERROR(XLOOKUP(F1189,Lookups!$D$5:$D$10,Lookups!$F$5:$F$10),"Unknown")</x:f>
        <x:v>CRM</x:v>
      </x:c>
      <x:c r="T1189" t="str">
        <x:f>IF(L1189&gt;=50000,"Enterprise",IF(L1189&gt;=20000,"Mid-Market","SMB"))</x:f>
        <x:v>SMB</x:v>
      </x:c>
      <x:c r="U1189" t="str">
        <x:f>IF(I1189="Closed Won","Won",IF(I1189="Closed Lost","Lost","Open"))</x:f>
        <x:v>Won</x:v>
      </x:c>
      <x:c r="V1189" s="22" t="n">
        <x:f>IF(U1189="Won",L1189*(1-M1189),0)</x:f>
        <x:v>14744</x:v>
      </x:c>
      <x:c r="W1189" s="22" t="n">
        <x:f>IF(U1189="Open",L1189*N1189,0)</x:f>
        <x:v>0</x:v>
      </x:c>
      <x:c r="X1189" s="26" t="n">
        <x:f>IF(U1189="Open","",IFERROR(K1189-B1189,""))</x:f>
        <x:v>18</x:v>
      </x:c>
      <x:c r="Y1189" s="26" t="n">
        <x:f>IF(U1189="Open",Lookups!$B$2-B1189,X1189)</x:f>
        <x:v>18</x:v>
      </x:c>
      <x:c r="Z1189" t="str">
        <x:f>IF(AND(U1189="Open",Y1189&gt;30),"STALE","OK")</x:f>
        <x:v>OK</x:v>
      </x:c>
      <x:c r="AA1189" t="str">
        <x:f>TEXT(B1189,"yyyy-mm")</x:f>
        <x:v>2026-04</x:v>
      </x:c>
      <x:c r="AB1189" t="str">
        <x:f>IF(K1189="","",TEXT(K1189,"yyyy-mm"))</x:f>
        <x:v>2026-05</x:v>
      </x:c>
      <x:c r="AC1189" t="str">
        <x:f>"Q"&amp;ROUNDUP(MONTH(B1189)/3,0)&amp;"-"&amp;YEAR(B1189)</x:f>
        <x:v>Q2-2026</x:v>
      </x:c>
      <x:c r="AD1189" s="26" t="n">
        <x:f>MIN(100,IF(H1189="Enterprise",30,IF(H1189="Mid-Market",22,14))+IF(T1189="Enterprise",25,IF(T1189="Mid-Market",18,10))+IF(Q1189="Referral",25,IF(Q1189="Organic Search",20,IF(Q1189="Email",18,14)))+IF(G1189="Technology",10,5))</x:f>
        <x:v>56</x:v>
      </x:c>
      <x:c r="AE1189" t="str">
        <x:f>IF(U1189&lt;&gt;"Open",U1189,IF(N1189&gt;=0.8,"Commit",IF(N1189&gt;=0.5,"Best Case","Pipeline")))</x:f>
        <x:v>Won</x:v>
      </x:c>
    </x:row>
    <x:row r="1190">
      <x:c r="A1190" t="str">
        <x:v>L01189</x:v>
      </x:c>
      <x:c r="B1190" s="10" t="n">
        <x:v>45927</x:v>
      </x:c>
      <x:c r="C1190" t="str">
        <x:v>Bao Tran</x:v>
      </x:c>
      <x:c r="D1190" t="str">
        <x:v>South</x:v>
      </x:c>
      <x:c r="E1190" t="str">
        <x:v>LinkedIn Ads</x:v>
      </x:c>
      <x:c r="F1190" t="str">
        <x:v>BI-PLUS</x:v>
      </x:c>
      <x:c r="G1190" t="str">
        <x:v>Financial Services</x:v>
      </x:c>
      <x:c r="H1190" t="str">
        <x:v>Mid-Market</x:v>
      </x:c>
      <x:c r="I1190" t="str">
        <x:v>Closed Lost</x:v>
      </x:c>
      <x:c r="J1190" s="10" t="n">
        <x:v>45993</x:v>
      </x:c>
      <x:c r="K1190" s="10" t="n">
        <x:v>45993</x:v>
      </x:c>
      <x:c r="L1190" s="22" t="n">
        <x:v>26100</x:v>
      </x:c>
      <x:c r="M1190" s="24" t="n">
        <x:v>0</x:v>
      </x:c>
      <x:c r="N1190" s="24" t="n">
        <x:v>0</x:v>
      </x:c>
      <x:c r="O1190" t="str">
        <x:v>No Decision</x:v>
      </x:c>
      <x:c r="P1190" t="n">
        <x:v>3</x:v>
      </x:c>
      <x:c r="Q1190" t="str">
        <x:f>IFERROR(XLOOKUP(E1190,Lookups!$A$5:$A$24,Lookups!$B$5:$B$24),"Other")</x:f>
        <x:v>LinkedIn</x:v>
      </x:c>
      <x:c r="R1190" t="str">
        <x:f>IFERROR(XLOOKUP(F1190,Lookups!$D$5:$D$10,Lookups!$E$5:$E$10),"Unknown Product")</x:f>
        <x:v>Analytics Plus</x:v>
      </x:c>
      <x:c r="S1190" t="str">
        <x:f>IFERROR(XLOOKUP(F1190,Lookups!$D$5:$D$10,Lookups!$F$5:$F$10),"Unknown")</x:f>
        <x:v>Analytics</x:v>
      </x:c>
      <x:c r="T1190" t="str">
        <x:f>IF(L1190&gt;=50000,"Enterprise",IF(L1190&gt;=20000,"Mid-Market","SMB"))</x:f>
        <x:v>Mid-Market</x:v>
      </x:c>
      <x:c r="U1190" t="str">
        <x:f>IF(I1190="Closed Won","Won",IF(I1190="Closed Lost","Lost","Open"))</x:f>
        <x:v>Lost</x:v>
      </x:c>
      <x:c r="V1190" s="22" t="n">
        <x:f>IF(U1190="Won",L1190*(1-M1190),0)</x:f>
        <x:v>0</x:v>
      </x:c>
      <x:c r="W1190" s="22" t="n">
        <x:f>IF(U1190="Open",L1190*N1190,0)</x:f>
        <x:v>0</x:v>
      </x:c>
      <x:c r="X1190" s="26" t="n">
        <x:f>IF(U1190="Open","",IFERROR(K1190-B1190,""))</x:f>
        <x:v>66</x:v>
      </x:c>
      <x:c r="Y1190" s="26" t="n">
        <x:f>IF(U1190="Open",Lookups!$B$2-B1190,X1190)</x:f>
        <x:v>66</x:v>
      </x:c>
      <x:c r="Z1190" t="str">
        <x:f>IF(AND(U1190="Open",Y1190&gt;30),"STALE","OK")</x:f>
        <x:v>OK</x:v>
      </x:c>
      <x:c r="AA1190" t="str">
        <x:f>TEXT(B1190,"yyyy-mm")</x:f>
        <x:v>2025-09</x:v>
      </x:c>
      <x:c r="AB1190" t="str">
        <x:f>IF(K1190="","",TEXT(K1190,"yyyy-mm"))</x:f>
        <x:v>2025-12</x:v>
      </x:c>
      <x:c r="AC1190" t="str">
        <x:f>"Q"&amp;ROUNDUP(MONTH(B1190)/3,0)&amp;"-"&amp;YEAR(B1190)</x:f>
        <x:v>Q3-2025</x:v>
      </x:c>
      <x:c r="AD1190" s="26" t="n">
        <x:f>MIN(100,IF(H1190="Enterprise",30,IF(H1190="Mid-Market",22,14))+IF(T1190="Enterprise",25,IF(T1190="Mid-Market",18,10))+IF(Q1190="Referral",25,IF(Q1190="Organic Search",20,IF(Q1190="Email",18,14)))+IF(G1190="Technology",10,5))</x:f>
        <x:v>59</x:v>
      </x:c>
      <x:c r="AE1190" t="str">
        <x:f>IF(U1190&lt;&gt;"Open",U1190,IF(N1190&gt;=0.8,"Commit",IF(N1190&gt;=0.5,"Best Case","Pipeline")))</x:f>
        <x:v>Lost</x:v>
      </x:c>
    </x:row>
    <x:row r="1191">
      <x:c r="A1191" t="str">
        <x:v>L01190</x:v>
      </x:c>
      <x:c r="B1191" s="10" t="n">
        <x:v>45726</x:v>
      </x:c>
      <x:c r="C1191" t="str">
        <x:v>Chi Le</x:v>
      </x:c>
      <x:c r="D1191" t="str">
        <x:v>South</x:v>
      </x:c>
      <x:c r="E1191" t="str">
        <x:v>Outbound</x:v>
      </x:c>
      <x:c r="F1191" t="str">
        <x:v>CRM-PRO</x:v>
      </x:c>
      <x:c r="G1191" t="str">
        <x:v>Manufacturing</x:v>
      </x:c>
      <x:c r="H1191" t="str">
        <x:v>SMB</x:v>
      </x:c>
      <x:c r="I1191" t="str">
        <x:v>Closed Lost</x:v>
      </x:c>
      <x:c r="J1191" s="10" t="n">
        <x:v>45805</x:v>
      </x:c>
      <x:c r="K1191" s="10" t="n">
        <x:v>45805</x:v>
      </x:c>
      <x:c r="L1191" s="22" t="n">
        <x:v>11900</x:v>
      </x:c>
      <x:c r="M1191" s="24" t="n">
        <x:v>0</x:v>
      </x:c>
      <x:c r="N1191" s="24" t="n">
        <x:v>0</x:v>
      </x:c>
      <x:c r="O1191" t="str">
        <x:v>Budget</x:v>
      </x:c>
      <x:c r="P1191" t="n">
        <x:v>4</x:v>
      </x:c>
      <x:c r="Q1191" t="str">
        <x:f>IFERROR(XLOOKUP(E1191,Lookups!$A$5:$A$24,Lookups!$B$5:$B$24),"Other")</x:f>
        <x:v>Outbound</x:v>
      </x:c>
      <x:c r="R1191" t="str">
        <x:f>IFERROR(XLOOKUP(F1191,Lookups!$D$5:$D$10,Lookups!$E$5:$E$10),"Unknown Product")</x:f>
        <x:v>NexaCRM Pro</x:v>
      </x:c>
      <x:c r="S1191" t="str">
        <x:f>IFERROR(XLOOKUP(F1191,Lookups!$D$5:$D$10,Lookups!$F$5:$F$10),"Unknown")</x:f>
        <x:v>CRM</x:v>
      </x:c>
      <x:c r="T1191" t="str">
        <x:f>IF(L1191&gt;=50000,"Enterprise",IF(L1191&gt;=20000,"Mid-Market","SMB"))</x:f>
        <x:v>SMB</x:v>
      </x:c>
      <x:c r="U1191" t="str">
        <x:f>IF(I1191="Closed Won","Won",IF(I1191="Closed Lost","Lost","Open"))</x:f>
        <x:v>Lost</x:v>
      </x:c>
      <x:c r="V1191" s="22" t="n">
        <x:f>IF(U1191="Won",L1191*(1-M1191),0)</x:f>
        <x:v>0</x:v>
      </x:c>
      <x:c r="W1191" s="22" t="n">
        <x:f>IF(U1191="Open",L1191*N1191,0)</x:f>
        <x:v>0</x:v>
      </x:c>
      <x:c r="X1191" s="26" t="n">
        <x:f>IF(U1191="Open","",IFERROR(K1191-B1191,""))</x:f>
        <x:v>79</x:v>
      </x:c>
      <x:c r="Y1191" s="26" t="n">
        <x:f>IF(U1191="Open",Lookups!$B$2-B1191,X1191)</x:f>
        <x:v>79</x:v>
      </x:c>
      <x:c r="Z1191" t="str">
        <x:f>IF(AND(U1191="Open",Y1191&gt;30),"STALE","OK")</x:f>
        <x:v>OK</x:v>
      </x:c>
      <x:c r="AA1191" t="str">
        <x:f>TEXT(B1191,"yyyy-mm")</x:f>
        <x:v>2025-03</x:v>
      </x:c>
      <x:c r="AB1191" t="str">
        <x:f>IF(K1191="","",TEXT(K1191,"yyyy-mm"))</x:f>
        <x:v>2025-05</x:v>
      </x:c>
      <x:c r="AC1191" t="str">
        <x:f>"Q"&amp;ROUNDUP(MONTH(B1191)/3,0)&amp;"-"&amp;YEAR(B1191)</x:f>
        <x:v>Q1-2025</x:v>
      </x:c>
      <x:c r="AD1191" s="26" t="n">
        <x:f>MIN(100,IF(H1191="Enterprise",30,IF(H1191="Mid-Market",22,14))+IF(T1191="Enterprise",25,IF(T1191="Mid-Market",18,10))+IF(Q1191="Referral",25,IF(Q1191="Organic Search",20,IF(Q1191="Email",18,14)))+IF(G1191="Technology",10,5))</x:f>
        <x:v>43</x:v>
      </x:c>
      <x:c r="AE1191" t="str">
        <x:f>IF(U1191&lt;&gt;"Open",U1191,IF(N1191&gt;=0.8,"Commit",IF(N1191&gt;=0.5,"Best Case","Pipeline")))</x:f>
        <x:v>Lost</x:v>
      </x:c>
    </x:row>
    <x:row r="1192">
      <x:c r="A1192" t="str">
        <x:v>L01191</x:v>
      </x:c>
      <x:c r="B1192" s="10" t="n">
        <x:v>45951</x:v>
      </x:c>
      <x:c r="C1192" t="str">
        <x:v>Tuan Bui</x:v>
      </x:c>
      <x:c r="D1192" t="str">
        <x:v>Central</x:v>
      </x:c>
      <x:c r="E1192" t="str">
        <x:v>Google Ads</x:v>
      </x:c>
      <x:c r="F1192" t="str">
        <x:v>CS-CLOUD</x:v>
      </x:c>
      <x:c r="G1192" t="str">
        <x:v>Retail</x:v>
      </x:c>
      <x:c r="H1192" t="str">
        <x:v>SMB</x:v>
      </x:c>
      <x:c r="I1192" t="str">
        <x:v>Closed Lost</x:v>
      </x:c>
      <x:c r="J1192" s="10" t="n">
        <x:v>45970</x:v>
      </x:c>
      <x:c r="K1192" s="10" t="n">
        <x:v>45970</x:v>
      </x:c>
      <x:c r="L1192" s="22" t="n">
        <x:v>27700</x:v>
      </x:c>
      <x:c r="M1192" s="24" t="n">
        <x:v>0</x:v>
      </x:c>
      <x:c r="N1192" s="24" t="n">
        <x:v>0</x:v>
      </x:c>
      <x:c r="O1192" t="str">
        <x:v>Budget</x:v>
      </x:c>
      <x:c r="P1192" t="n">
        <x:v>4</x:v>
      </x:c>
      <x:c r="Q1192" t="str">
        <x:f>IFERROR(XLOOKUP(E1192,Lookups!$A$5:$A$24,Lookups!$B$5:$B$24),"Other")</x:f>
        <x:v>Paid Search</x:v>
      </x:c>
      <x:c r="R1192" t="str">
        <x:f>IFERROR(XLOOKUP(F1192,Lookups!$D$5:$D$10,Lookups!$E$5:$E$10),"Unknown Product")</x:f>
        <x:v>Service Cloud</x:v>
      </x:c>
      <x:c r="S1192" t="str">
        <x:f>IFERROR(XLOOKUP(F1192,Lookups!$D$5:$D$10,Lookups!$F$5:$F$10),"Unknown")</x:f>
        <x:v>Customer Service</x:v>
      </x:c>
      <x:c r="T1192" t="str">
        <x:f>IF(L1192&gt;=50000,"Enterprise",IF(L1192&gt;=20000,"Mid-Market","SMB"))</x:f>
        <x:v>Mid-Market</x:v>
      </x:c>
      <x:c r="U1192" t="str">
        <x:f>IF(I1192="Closed Won","Won",IF(I1192="Closed Lost","Lost","Open"))</x:f>
        <x:v>Lost</x:v>
      </x:c>
      <x:c r="V1192" s="22" t="n">
        <x:f>IF(U1192="Won",L1192*(1-M1192),0)</x:f>
        <x:v>0</x:v>
      </x:c>
      <x:c r="W1192" s="22" t="n">
        <x:f>IF(U1192="Open",L1192*N1192,0)</x:f>
        <x:v>0</x:v>
      </x:c>
      <x:c r="X1192" s="26" t="n">
        <x:f>IF(U1192="Open","",IFERROR(K1192-B1192,""))</x:f>
        <x:v>19</x:v>
      </x:c>
      <x:c r="Y1192" s="26" t="n">
        <x:f>IF(U1192="Open",Lookups!$B$2-B1192,X1192)</x:f>
        <x:v>19</x:v>
      </x:c>
      <x:c r="Z1192" t="str">
        <x:f>IF(AND(U1192="Open",Y1192&gt;30),"STALE","OK")</x:f>
        <x:v>OK</x:v>
      </x:c>
      <x:c r="AA1192" t="str">
        <x:f>TEXT(B1192,"yyyy-mm")</x:f>
        <x:v>2025-10</x:v>
      </x:c>
      <x:c r="AB1192" t="str">
        <x:f>IF(K1192="","",TEXT(K1192,"yyyy-mm"))</x:f>
        <x:v>2025-11</x:v>
      </x:c>
      <x:c r="AC1192" t="str">
        <x:f>"Q"&amp;ROUNDUP(MONTH(B1192)/3,0)&amp;"-"&amp;YEAR(B1192)</x:f>
        <x:v>Q4-2025</x:v>
      </x:c>
      <x:c r="AD1192" s="26" t="n">
        <x:f>MIN(100,IF(H1192="Enterprise",30,IF(H1192="Mid-Market",22,14))+IF(T1192="Enterprise",25,IF(T1192="Mid-Market",18,10))+IF(Q1192="Referral",25,IF(Q1192="Organic Search",20,IF(Q1192="Email",18,14)))+IF(G1192="Technology",10,5))</x:f>
        <x:v>51</x:v>
      </x:c>
      <x:c r="AE1192" t="str">
        <x:f>IF(U1192&lt;&gt;"Open",U1192,IF(N1192&gt;=0.8,"Commit",IF(N1192&gt;=0.5,"Best Case","Pipeline")))</x:f>
        <x:v>Lost</x:v>
      </x:c>
    </x:row>
    <x:row r="1193">
      <x:c r="A1193" t="str">
        <x:v>L01192</x:v>
      </x:c>
      <x:c r="B1193" s="10" t="n">
        <x:v>45784</x:v>
      </x:c>
      <x:c r="C1193" t="str">
        <x:v>Chi Le</x:v>
      </x:c>
      <x:c r="D1193" t="str">
        <x:v>South</x:v>
      </x:c>
      <x:c r="E1193" t="str">
        <x:v>SEO</x:v>
      </x:c>
      <x:c r="F1193" t="str">
        <x:v>REV-OPS</x:v>
      </x:c>
      <x:c r="G1193" t="str">
        <x:v>Technology</x:v>
      </x:c>
      <x:c r="H1193" t="str">
        <x:v>Mid-Market</x:v>
      </x:c>
      <x:c r="I1193" t="str">
        <x:v>Negotiation</x:v>
      </x:c>
      <x:c r="J1193" s="10" t="n">
        <x:v>45990</x:v>
      </x:c>
      <x:c r="K1193" s="10"/>
      <x:c r="L1193" s="22" t="n">
        <x:v>84500</x:v>
      </x:c>
      <x:c r="M1193" s="24" t="n">
        <x:v>0.03</x:v>
      </x:c>
      <x:c r="N1193" s="24" t="n">
        <x:v>0.85</x:v>
      </x:c>
      <x:c r="O1193" t="str"/>
      <x:c r="P1193" t="n">
        <x:v>5</x:v>
      </x:c>
      <x:c r="Q1193" t="str">
        <x:f>IFERROR(XLOOKUP(E1193,Lookups!$A$5:$A$24,Lookups!$B$5:$B$24),"Other")</x:f>
        <x:v>Organic Search</x:v>
      </x:c>
      <x:c r="R1193" t="str">
        <x:f>IFERROR(XLOOKUP(F1193,Lookups!$D$5:$D$10,Lookups!$E$5:$E$10),"Unknown Product")</x:f>
        <x:v>Revenue Operations Suite</x:v>
      </x:c>
      <x:c r="S1193" t="str">
        <x:f>IFERROR(XLOOKUP(F1193,Lookups!$D$5:$D$10,Lookups!$F$5:$F$10),"Unknown")</x:f>
        <x:v>Revenue Ops</x:v>
      </x:c>
      <x:c r="T1193" t="str">
        <x:f>IF(L1193&gt;=50000,"Enterprise",IF(L1193&gt;=20000,"Mid-Market","SMB"))</x:f>
        <x:v>Enterprise</x:v>
      </x:c>
      <x:c r="U1193" t="str">
        <x:f>IF(I1193="Closed Won","Won",IF(I1193="Closed Lost","Lost","Open"))</x:f>
        <x:v>Open</x:v>
      </x:c>
      <x:c r="V1193" s="22" t="n">
        <x:f>IF(U1193="Won",L1193*(1-M1193),0)</x:f>
        <x:v>0</x:v>
      </x:c>
      <x:c r="W1193" s="22" t="n">
        <x:f>IF(U1193="Open",L1193*N1193,0)</x:f>
        <x:v>71825</x:v>
      </x:c>
      <x:c r="X1193" s="26" t="str">
        <x:f>IF(U1193="Open","",IFERROR(K1193-B1193,""))</x:f>
      </x:c>
      <x:c r="Y1193" s="26" t="n">
        <x:f>IF(U1193="Open",Lookups!$B$2-B1193,X1193)</x:f>
        <x:v>482</x:v>
      </x:c>
      <x:c r="Z1193" t="str">
        <x:f>IF(AND(U1193="Open",Y1193&gt;30),"STALE","OK")</x:f>
        <x:v>STALE</x:v>
      </x:c>
      <x:c r="AA1193" t="str">
        <x:f>TEXT(B1193,"yyyy-mm")</x:f>
        <x:v>2025-05</x:v>
      </x:c>
      <x:c r="AB1193" t="str">
        <x:f>IF(K1193="","",TEXT(K1193,"yyyy-mm"))</x:f>
      </x:c>
      <x:c r="AC1193" t="str">
        <x:f>"Q"&amp;ROUNDUP(MONTH(B1193)/3,0)&amp;"-"&amp;YEAR(B1193)</x:f>
        <x:v>Q2-2025</x:v>
      </x:c>
      <x:c r="AD1193" s="26" t="n">
        <x:f>MIN(100,IF(H1193="Enterprise",30,IF(H1193="Mid-Market",22,14))+IF(T1193="Enterprise",25,IF(T1193="Mid-Market",18,10))+IF(Q1193="Referral",25,IF(Q1193="Organic Search",20,IF(Q1193="Email",18,14)))+IF(G1193="Technology",10,5))</x:f>
        <x:v>77</x:v>
      </x:c>
      <x:c r="AE1193" t="str">
        <x:f>IF(U1193&lt;&gt;"Open",U1193,IF(N1193&gt;=0.8,"Commit",IF(N1193&gt;=0.5,"Best Case","Pipeline")))</x:f>
        <x:v>Commit</x:v>
      </x:c>
    </x:row>
    <x:row r="1194">
      <x:c r="A1194" t="str">
        <x:v>L01193</x:v>
      </x:c>
      <x:c r="B1194" s="10" t="n">
        <x:v>46135</x:v>
      </x:c>
      <x:c r="C1194" t="str">
        <x:v>An Nguyen</x:v>
      </x:c>
      <x:c r="D1194" t="str">
        <x:v>South</x:v>
      </x:c>
      <x:c r="E1194" t="str">
        <x:v>organic search</x:v>
      </x:c>
      <x:c r="F1194" t="str">
        <x:v>CRM-PRO</x:v>
      </x:c>
      <x:c r="G1194" t="str">
        <x:v>Financial Services</x:v>
      </x:c>
      <x:c r="H1194" t="str">
        <x:v>SMB</x:v>
      </x:c>
      <x:c r="I1194" t="str">
        <x:v>Proposal</x:v>
      </x:c>
      <x:c r="J1194" s="10" t="n">
        <x:v>46231</x:v>
      </x:c>
      <x:c r="K1194" s="10"/>
      <x:c r="L1194" s="22" t="n">
        <x:v>23800</x:v>
      </x:c>
      <x:c r="M1194" s="24" t="n">
        <x:v>0</x:v>
      </x:c>
      <x:c r="N1194" s="24" t="n">
        <x:v>0.65</x:v>
      </x:c>
      <x:c r="O1194" t="str"/>
      <x:c r="P1194" t="n">
        <x:v>4</x:v>
      </x:c>
      <x:c r="Q1194" t="str">
        <x:f>IFERROR(XLOOKUP(E1194,Lookups!$A$5:$A$24,Lookups!$B$5:$B$24),"Other")</x:f>
        <x:v>Organic Search</x:v>
      </x:c>
      <x:c r="R1194" t="str">
        <x:f>IFERROR(XLOOKUP(F1194,Lookups!$D$5:$D$10,Lookups!$E$5:$E$10),"Unknown Product")</x:f>
        <x:v>NexaCRM Pro</x:v>
      </x:c>
      <x:c r="S1194" t="str">
        <x:f>IFERROR(XLOOKUP(F1194,Lookups!$D$5:$D$10,Lookups!$F$5:$F$10),"Unknown")</x:f>
        <x:v>CRM</x:v>
      </x:c>
      <x:c r="T1194" t="str">
        <x:f>IF(L1194&gt;=50000,"Enterprise",IF(L1194&gt;=20000,"Mid-Market","SMB"))</x:f>
        <x:v>Mid-Market</x:v>
      </x:c>
      <x:c r="U1194" t="str">
        <x:f>IF(I1194="Closed Won","Won",IF(I1194="Closed Lost","Lost","Open"))</x:f>
        <x:v>Open</x:v>
      </x:c>
      <x:c r="V1194" s="22" t="n">
        <x:f>IF(U1194="Won",L1194*(1-M1194),0)</x:f>
        <x:v>0</x:v>
      </x:c>
      <x:c r="W1194" s="22" t="n">
        <x:f>IF(U1194="Open",L1194*N1194,0)</x:f>
        <x:v>15470</x:v>
      </x:c>
      <x:c r="X1194" s="26" t="str">
        <x:f>IF(U1194="Open","",IFERROR(K1194-B1194,""))</x:f>
      </x:c>
      <x:c r="Y1194" s="26" t="n">
        <x:f>IF(U1194="Open",Lookups!$B$2-B1194,X1194)</x:f>
        <x:v>131</x:v>
      </x:c>
      <x:c r="Z1194" t="str">
        <x:f>IF(AND(U1194="Open",Y1194&gt;30),"STALE","OK")</x:f>
        <x:v>STALE</x:v>
      </x:c>
      <x:c r="AA1194" t="str">
        <x:f>TEXT(B1194,"yyyy-mm")</x:f>
        <x:v>2026-04</x:v>
      </x:c>
      <x:c r="AB1194" t="str">
        <x:f>IF(K1194="","",TEXT(K1194,"yyyy-mm"))</x:f>
      </x:c>
      <x:c r="AC1194" t="str">
        <x:f>"Q"&amp;ROUNDUP(MONTH(B1194)/3,0)&amp;"-"&amp;YEAR(B1194)</x:f>
        <x:v>Q2-2026</x:v>
      </x:c>
      <x:c r="AD1194" s="26" t="n">
        <x:f>MIN(100,IF(H1194="Enterprise",30,IF(H1194="Mid-Market",22,14))+IF(T1194="Enterprise",25,IF(T1194="Mid-Market",18,10))+IF(Q1194="Referral",25,IF(Q1194="Organic Search",20,IF(Q1194="Email",18,14)))+IF(G1194="Technology",10,5))</x:f>
        <x:v>57</x:v>
      </x:c>
      <x:c r="AE1194" t="str">
        <x:f>IF(U1194&lt;&gt;"Open",U1194,IF(N1194&gt;=0.8,"Commit",IF(N1194&gt;=0.5,"Best Case","Pipeline")))</x:f>
        <x:v>Best Case</x:v>
      </x:c>
    </x:row>
    <x:row r="1195">
      <x:c r="A1195" t="str">
        <x:v>L01194</x:v>
      </x:c>
      <x:c r="B1195" s="10" t="n">
        <x:v>46069</x:v>
      </x:c>
      <x:c r="C1195" t="str">
        <x:v>Bao Tran</x:v>
      </x:c>
      <x:c r="D1195" t="str">
        <x:v>South</x:v>
      </x:c>
      <x:c r="E1195" t="str">
        <x:v>Cold Email</x:v>
      </x:c>
      <x:c r="F1195" t="str">
        <x:v>REV-OPS</x:v>
      </x:c>
      <x:c r="G1195" t="str">
        <x:v>Financial Services</x:v>
      </x:c>
      <x:c r="H1195" t="str">
        <x:v>Enterprise</x:v>
      </x:c>
      <x:c r="I1195" t="str">
        <x:v>Negotiation</x:v>
      </x:c>
      <x:c r="J1195" s="10" t="n">
        <x:v>46234</x:v>
      </x:c>
      <x:c r="K1195" s="10"/>
      <x:c r="L1195" s="22" t="n">
        <x:v>119900</x:v>
      </x:c>
      <x:c r="M1195" s="24" t="n">
        <x:v>0</x:v>
      </x:c>
      <x:c r="N1195" s="24" t="n">
        <x:v>0.85</x:v>
      </x:c>
      <x:c r="O1195" t="str"/>
      <x:c r="P1195" t="n">
        <x:v>5</x:v>
      </x:c>
      <x:c r="Q1195" t="str">
        <x:f>IFERROR(XLOOKUP(E1195,Lookups!$A$5:$A$24,Lookups!$B$5:$B$24),"Other")</x:f>
        <x:v>Outbound</x:v>
      </x:c>
      <x:c r="R1195" t="str">
        <x:f>IFERROR(XLOOKUP(F1195,Lookups!$D$5:$D$10,Lookups!$E$5:$E$10),"Unknown Product")</x:f>
        <x:v>Revenue Operations Suite</x:v>
      </x:c>
      <x:c r="S1195" t="str">
        <x:f>IFERROR(XLOOKUP(F1195,Lookups!$D$5:$D$10,Lookups!$F$5:$F$10),"Unknown")</x:f>
        <x:v>Revenue Ops</x:v>
      </x:c>
      <x:c r="T1195" t="str">
        <x:f>IF(L1195&gt;=50000,"Enterprise",IF(L1195&gt;=20000,"Mid-Market","SMB"))</x:f>
        <x:v>Enterprise</x:v>
      </x:c>
      <x:c r="U1195" t="str">
        <x:f>IF(I1195="Closed Won","Won",IF(I1195="Closed Lost","Lost","Open"))</x:f>
        <x:v>Open</x:v>
      </x:c>
      <x:c r="V1195" s="22" t="n">
        <x:f>IF(U1195="Won",L1195*(1-M1195),0)</x:f>
        <x:v>0</x:v>
      </x:c>
      <x:c r="W1195" s="22" t="n">
        <x:f>IF(U1195="Open",L1195*N1195,0)</x:f>
        <x:v>101915</x:v>
      </x:c>
      <x:c r="X1195" s="26" t="str">
        <x:f>IF(U1195="Open","",IFERROR(K1195-B1195,""))</x:f>
      </x:c>
      <x:c r="Y1195" s="26" t="n">
        <x:f>IF(U1195="Open",Lookups!$B$2-B1195,X1195)</x:f>
        <x:v>197</x:v>
      </x:c>
      <x:c r="Z1195" t="str">
        <x:f>IF(AND(U1195="Open",Y1195&gt;30),"STALE","OK")</x:f>
        <x:v>STALE</x:v>
      </x:c>
      <x:c r="AA1195" t="str">
        <x:f>TEXT(B1195,"yyyy-mm")</x:f>
        <x:v>2026-02</x:v>
      </x:c>
      <x:c r="AB1195" t="str">
        <x:f>IF(K1195="","",TEXT(K1195,"yyyy-mm"))</x:f>
      </x:c>
      <x:c r="AC1195" t="str">
        <x:f>"Q"&amp;ROUNDUP(MONTH(B1195)/3,0)&amp;"-"&amp;YEAR(B1195)</x:f>
        <x:v>Q1-2026</x:v>
      </x:c>
      <x:c r="AD1195" s="26" t="n">
        <x:f>MIN(100,IF(H1195="Enterprise",30,IF(H1195="Mid-Market",22,14))+IF(T1195="Enterprise",25,IF(T1195="Mid-Market",18,10))+IF(Q1195="Referral",25,IF(Q1195="Organic Search",20,IF(Q1195="Email",18,14)))+IF(G1195="Technology",10,5))</x:f>
        <x:v>74</x:v>
      </x:c>
      <x:c r="AE1195" t="str">
        <x:f>IF(U1195&lt;&gt;"Open",U1195,IF(N1195&gt;=0.8,"Commit",IF(N1195&gt;=0.5,"Best Case","Pipeline")))</x:f>
        <x:v>Commit</x:v>
      </x:c>
    </x:row>
    <x:row r="1196">
      <x:c r="A1196" t="str">
        <x:v>L01195</x:v>
      </x:c>
      <x:c r="B1196" s="10" t="n">
        <x:v>46104</x:v>
      </x:c>
      <x:c r="C1196" t="str">
        <x:v>Quynh Vu</x:v>
      </x:c>
      <x:c r="D1196" t="str">
        <x:v>North</x:v>
      </x:c>
      <x:c r="E1196" t="str">
        <x:v>linkedin</x:v>
      </x:c>
      <x:c r="F1196" t="str">
        <x:v>CS-CLOUD</x:v>
      </x:c>
      <x:c r="G1196" t="str">
        <x:v>Financial Services</x:v>
      </x:c>
      <x:c r="H1196" t="str">
        <x:v>Mid-Market</x:v>
      </x:c>
      <x:c r="I1196" t="str">
        <x:v>Closed Won</x:v>
      </x:c>
      <x:c r="J1196" s="10" t="n">
        <x:v>46160</x:v>
      </x:c>
      <x:c r="K1196" s="10" t="n">
        <x:v>46160</x:v>
      </x:c>
      <x:c r="L1196" s="22" t="n">
        <x:v>30100</x:v>
      </x:c>
      <x:c r="M1196" s="24" t="n">
        <x:v>0.12</x:v>
      </x:c>
      <x:c r="N1196" s="24" t="n">
        <x:v>1</x:v>
      </x:c>
      <x:c r="O1196" t="str"/>
      <x:c r="P1196" t="n">
        <x:v>6</x:v>
      </x:c>
      <x:c r="Q1196" t="str">
        <x:f>IFERROR(XLOOKUP(E1196,Lookups!$A$5:$A$24,Lookups!$B$5:$B$24),"Other")</x:f>
        <x:v>LinkedIn</x:v>
      </x:c>
      <x:c r="R1196" t="str">
        <x:f>IFERROR(XLOOKUP(F1196,Lookups!$D$5:$D$10,Lookups!$E$5:$E$10),"Unknown Product")</x:f>
        <x:v>Service Cloud</x:v>
      </x:c>
      <x:c r="S1196" t="str">
        <x:f>IFERROR(XLOOKUP(F1196,Lookups!$D$5:$D$10,Lookups!$F$5:$F$10),"Unknown")</x:f>
        <x:v>Customer Service</x:v>
      </x:c>
      <x:c r="T1196" t="str">
        <x:f>IF(L1196&gt;=50000,"Enterprise",IF(L1196&gt;=20000,"Mid-Market","SMB"))</x:f>
        <x:v>Mid-Market</x:v>
      </x:c>
      <x:c r="U1196" t="str">
        <x:f>IF(I1196="Closed Won","Won",IF(I1196="Closed Lost","Lost","Open"))</x:f>
        <x:v>Won</x:v>
      </x:c>
      <x:c r="V1196" s="22" t="n">
        <x:f>IF(U1196="Won",L1196*(1-M1196),0)</x:f>
        <x:v>26488</x:v>
      </x:c>
      <x:c r="W1196" s="22" t="n">
        <x:f>IF(U1196="Open",L1196*N1196,0)</x:f>
        <x:v>0</x:v>
      </x:c>
      <x:c r="X1196" s="26" t="n">
        <x:f>IF(U1196="Open","",IFERROR(K1196-B1196,""))</x:f>
        <x:v>56</x:v>
      </x:c>
      <x:c r="Y1196" s="26" t="n">
        <x:f>IF(U1196="Open",Lookups!$B$2-B1196,X1196)</x:f>
        <x:v>56</x:v>
      </x:c>
      <x:c r="Z1196" t="str">
        <x:f>IF(AND(U1196="Open",Y1196&gt;30),"STALE","OK")</x:f>
        <x:v>OK</x:v>
      </x:c>
      <x:c r="AA1196" t="str">
        <x:f>TEXT(B1196,"yyyy-mm")</x:f>
        <x:v>2026-03</x:v>
      </x:c>
      <x:c r="AB1196" t="str">
        <x:f>IF(K1196="","",TEXT(K1196,"yyyy-mm"))</x:f>
        <x:v>2026-05</x:v>
      </x:c>
      <x:c r="AC1196" t="str">
        <x:f>"Q"&amp;ROUNDUP(MONTH(B1196)/3,0)&amp;"-"&amp;YEAR(B1196)</x:f>
        <x:v>Q1-2026</x:v>
      </x:c>
      <x:c r="AD1196" s="26" t="n">
        <x:f>MIN(100,IF(H1196="Enterprise",30,IF(H1196="Mid-Market",22,14))+IF(T1196="Enterprise",25,IF(T1196="Mid-Market",18,10))+IF(Q1196="Referral",25,IF(Q1196="Organic Search",20,IF(Q1196="Email",18,14)))+IF(G1196="Technology",10,5))</x:f>
        <x:v>59</x:v>
      </x:c>
      <x:c r="AE1196" t="str">
        <x:f>IF(U1196&lt;&gt;"Open",U1196,IF(N1196&gt;=0.8,"Commit",IF(N1196&gt;=0.5,"Best Case","Pipeline")))</x:f>
        <x:v>Won</x:v>
      </x:c>
    </x:row>
    <x:row r="1197">
      <x:c r="A1197" t="str">
        <x:v>L01196</x:v>
      </x:c>
      <x:c r="B1197" s="10" t="n">
        <x:v>45807</x:v>
      </x:c>
      <x:c r="C1197" t="str">
        <x:v>An Nguyen</x:v>
      </x:c>
      <x:c r="D1197" t="str">
        <x:v>South</x:v>
      </x:c>
      <x:c r="E1197" t="str">
        <x:v>LI Ads</x:v>
      </x:c>
      <x:c r="F1197" t="str">
        <x:v>CRM-PRO</x:v>
      </x:c>
      <x:c r="G1197" t="str">
        <x:v>Healthcare</x:v>
      </x:c>
      <x:c r="H1197" t="str">
        <x:v>SMB</x:v>
      </x:c>
      <x:c r="I1197" t="str">
        <x:v>Closed Lost</x:v>
      </x:c>
      <x:c r="J1197" s="10" t="n">
        <x:v>45839</x:v>
      </x:c>
      <x:c r="K1197" s="10" t="n">
        <x:v>45839</x:v>
      </x:c>
      <x:c r="L1197" s="22" t="n">
        <x:v>12500</x:v>
      </x:c>
      <x:c r="M1197" s="24" t="n">
        <x:v>0</x:v>
      </x:c>
      <x:c r="N1197" s="24" t="n">
        <x:v>0</x:v>
      </x:c>
      <x:c r="O1197" t="str">
        <x:v>Competitor</x:v>
      </x:c>
      <x:c r="P1197" t="n">
        <x:v>4</x:v>
      </x:c>
      <x:c r="Q1197" t="str">
        <x:f>IFERROR(XLOOKUP(E1197,Lookups!$A$5:$A$24,Lookups!$B$5:$B$24),"Other")</x:f>
        <x:v>LinkedIn</x:v>
      </x:c>
      <x:c r="R1197" t="str">
        <x:f>IFERROR(XLOOKUP(F1197,Lookups!$D$5:$D$10,Lookups!$E$5:$E$10),"Unknown Product")</x:f>
        <x:v>NexaCRM Pro</x:v>
      </x:c>
      <x:c r="S1197" t="str">
        <x:f>IFERROR(XLOOKUP(F1197,Lookups!$D$5:$D$10,Lookups!$F$5:$F$10),"Unknown")</x:f>
        <x:v>CRM</x:v>
      </x:c>
      <x:c r="T1197" t="str">
        <x:f>IF(L1197&gt;=50000,"Enterprise",IF(L1197&gt;=20000,"Mid-Market","SMB"))</x:f>
        <x:v>SMB</x:v>
      </x:c>
      <x:c r="U1197" t="str">
        <x:f>IF(I1197="Closed Won","Won",IF(I1197="Closed Lost","Lost","Open"))</x:f>
        <x:v>Lost</x:v>
      </x:c>
      <x:c r="V1197" s="22" t="n">
        <x:f>IF(U1197="Won",L1197*(1-M1197),0)</x:f>
        <x:v>0</x:v>
      </x:c>
      <x:c r="W1197" s="22" t="n">
        <x:f>IF(U1197="Open",L1197*N1197,0)</x:f>
        <x:v>0</x:v>
      </x:c>
      <x:c r="X1197" s="26" t="n">
        <x:f>IF(U1197="Open","",IFERROR(K1197-B1197,""))</x:f>
        <x:v>32</x:v>
      </x:c>
      <x:c r="Y1197" s="26" t="n">
        <x:f>IF(U1197="Open",Lookups!$B$2-B1197,X1197)</x:f>
        <x:v>32</x:v>
      </x:c>
      <x:c r="Z1197" t="str">
        <x:f>IF(AND(U1197="Open",Y1197&gt;30),"STALE","OK")</x:f>
        <x:v>OK</x:v>
      </x:c>
      <x:c r="AA1197" t="str">
        <x:f>TEXT(B1197,"yyyy-mm")</x:f>
        <x:v>2025-05</x:v>
      </x:c>
      <x:c r="AB1197" t="str">
        <x:f>IF(K1197="","",TEXT(K1197,"yyyy-mm"))</x:f>
        <x:v>2025-07</x:v>
      </x:c>
      <x:c r="AC1197" t="str">
        <x:f>"Q"&amp;ROUNDUP(MONTH(B1197)/3,0)&amp;"-"&amp;YEAR(B1197)</x:f>
        <x:v>Q2-2025</x:v>
      </x:c>
      <x:c r="AD1197" s="26" t="n">
        <x:f>MIN(100,IF(H1197="Enterprise",30,IF(H1197="Mid-Market",22,14))+IF(T1197="Enterprise",25,IF(T1197="Mid-Market",18,10))+IF(Q1197="Referral",25,IF(Q1197="Organic Search",20,IF(Q1197="Email",18,14)))+IF(G1197="Technology",10,5))</x:f>
        <x:v>43</x:v>
      </x:c>
      <x:c r="AE1197" t="str">
        <x:f>IF(U1197&lt;&gt;"Open",U1197,IF(N1197&gt;=0.8,"Commit",IF(N1197&gt;=0.5,"Best Case","Pipeline")))</x:f>
        <x:v>Lost</x:v>
      </x:c>
    </x:row>
    <x:row r="1198">
      <x:c r="A1198" t="str">
        <x:v>L01197</x:v>
      </x:c>
      <x:c r="B1198" s="10" t="n">
        <x:v>46163</x:v>
      </x:c>
      <x:c r="C1198" t="str">
        <x:v>Duy Pham</x:v>
      </x:c>
      <x:c r="D1198" t="str">
        <x:v>South</x:v>
      </x:c>
      <x:c r="E1198" t="str">
        <x:v>SEO</x:v>
      </x:c>
      <x:c r="F1198" t="str">
        <x:v>CRM-CORE</x:v>
      </x:c>
      <x:c r="G1198" t="str">
        <x:v>Retail</x:v>
      </x:c>
      <x:c r="H1198" t="str">
        <x:v>SMB</x:v>
      </x:c>
      <x:c r="I1198" t="str">
        <x:v>Closed Lost</x:v>
      </x:c>
      <x:c r="J1198" s="10" t="n">
        <x:v>46229</x:v>
      </x:c>
      <x:c r="K1198" s="10" t="n">
        <x:v>46229</x:v>
      </x:c>
      <x:c r="L1198" s="22" t="n">
        <x:v>6300</x:v>
      </x:c>
      <x:c r="M1198" s="24" t="n">
        <x:v>0</x:v>
      </x:c>
      <x:c r="N1198" s="24" t="n">
        <x:v>0</x:v>
      </x:c>
      <x:c r="O1198" t="str">
        <x:v>Timing</x:v>
      </x:c>
      <x:c r="P1198" t="n">
        <x:v>5</x:v>
      </x:c>
      <x:c r="Q1198" t="str">
        <x:f>IFERROR(XLOOKUP(E1198,Lookups!$A$5:$A$24,Lookups!$B$5:$B$24),"Other")</x:f>
        <x:v>Organic Search</x:v>
      </x:c>
      <x:c r="R1198" t="str">
        <x:f>IFERROR(XLOOKUP(F1198,Lookups!$D$5:$D$10,Lookups!$E$5:$E$10),"Unknown Product")</x:f>
        <x:v>NexaCRM Core</x:v>
      </x:c>
      <x:c r="S1198" t="str">
        <x:f>IFERROR(XLOOKUP(F1198,Lookups!$D$5:$D$10,Lookups!$F$5:$F$10),"Unknown")</x:f>
        <x:v>CRM</x:v>
      </x:c>
      <x:c r="T1198" t="str">
        <x:f>IF(L1198&gt;=50000,"Enterprise",IF(L1198&gt;=20000,"Mid-Market","SMB"))</x:f>
        <x:v>SMB</x:v>
      </x:c>
      <x:c r="U1198" t="str">
        <x:f>IF(I1198="Closed Won","Won",IF(I1198="Closed Lost","Lost","Open"))</x:f>
        <x:v>Lost</x:v>
      </x:c>
      <x:c r="V1198" s="22" t="n">
        <x:f>IF(U1198="Won",L1198*(1-M1198),0)</x:f>
        <x:v>0</x:v>
      </x:c>
      <x:c r="W1198" s="22" t="n">
        <x:f>IF(U1198="Open",L1198*N1198,0)</x:f>
        <x:v>0</x:v>
      </x:c>
      <x:c r="X1198" s="26" t="n">
        <x:f>IF(U1198="Open","",IFERROR(K1198-B1198,""))</x:f>
        <x:v>66</x:v>
      </x:c>
      <x:c r="Y1198" s="26" t="n">
        <x:f>IF(U1198="Open",Lookups!$B$2-B1198,X1198)</x:f>
        <x:v>66</x:v>
      </x:c>
      <x:c r="Z1198" t="str">
        <x:f>IF(AND(U1198="Open",Y1198&gt;30),"STALE","OK")</x:f>
        <x:v>OK</x:v>
      </x:c>
      <x:c r="AA1198" t="str">
        <x:f>TEXT(B1198,"yyyy-mm")</x:f>
        <x:v>2026-05</x:v>
      </x:c>
      <x:c r="AB1198" t="str">
        <x:f>IF(K1198="","",TEXT(K1198,"yyyy-mm"))</x:f>
        <x:v>2026-07</x:v>
      </x:c>
      <x:c r="AC1198" t="str">
        <x:f>"Q"&amp;ROUNDUP(MONTH(B1198)/3,0)&amp;"-"&amp;YEAR(B1198)</x:f>
        <x:v>Q2-2026</x:v>
      </x:c>
      <x:c r="AD1198" s="26" t="n">
        <x:f>MIN(100,IF(H1198="Enterprise",30,IF(H1198="Mid-Market",22,14))+IF(T1198="Enterprise",25,IF(T1198="Mid-Market",18,10))+IF(Q1198="Referral",25,IF(Q1198="Organic Search",20,IF(Q1198="Email",18,14)))+IF(G1198="Technology",10,5))</x:f>
        <x:v>49</x:v>
      </x:c>
      <x:c r="AE1198" t="str">
        <x:f>IF(U1198&lt;&gt;"Open",U1198,IF(N1198&gt;=0.8,"Commit",IF(N1198&gt;=0.5,"Best Case","Pipeline")))</x:f>
        <x:v>Lost</x:v>
      </x:c>
    </x:row>
    <x:row r="1199">
      <x:c r="A1199" t="str">
        <x:v>L01198</x:v>
      </x:c>
      <x:c r="B1199" s="10" t="n">
        <x:v>45857</x:v>
      </x:c>
      <x:c r="C1199" t="str">
        <x:v>Minh Do</x:v>
      </x:c>
      <x:c r="D1199" t="str">
        <x:v>North</x:v>
      </x:c>
      <x:c r="E1199" t="str">
        <x:v>customer referral</x:v>
      </x:c>
      <x:c r="F1199" t="str">
        <x:v>CS-CLOUD</x:v>
      </x:c>
      <x:c r="G1199" t="str">
        <x:v>Manufacturing</x:v>
      </x:c>
      <x:c r="H1199" t="str">
        <x:v>Enterprise</x:v>
      </x:c>
      <x:c r="I1199" t="str">
        <x:v>Closed Won</x:v>
      </x:c>
      <x:c r="J1199" s="10" t="n">
        <x:v>45924</x:v>
      </x:c>
      <x:c r="K1199" s="10" t="n">
        <x:v>45924</x:v>
      </x:c>
      <x:c r="L1199" s="22" t="n">
        <x:v>58300</x:v>
      </x:c>
      <x:c r="M1199" s="24" t="n">
        <x:v>0.08</x:v>
      </x:c>
      <x:c r="N1199" s="24" t="n">
        <x:v>1</x:v>
      </x:c>
      <x:c r="O1199" t="str"/>
      <x:c r="P1199" t="n">
        <x:v>6</x:v>
      </x:c>
      <x:c r="Q1199" t="str">
        <x:f>IFERROR(XLOOKUP(E1199,Lookups!$A$5:$A$24,Lookups!$B$5:$B$24),"Other")</x:f>
        <x:v>Referral</x:v>
      </x:c>
      <x:c r="R1199" t="str">
        <x:f>IFERROR(XLOOKUP(F1199,Lookups!$D$5:$D$10,Lookups!$E$5:$E$10),"Unknown Product")</x:f>
        <x:v>Service Cloud</x:v>
      </x:c>
      <x:c r="S1199" t="str">
        <x:f>IFERROR(XLOOKUP(F1199,Lookups!$D$5:$D$10,Lookups!$F$5:$F$10),"Unknown")</x:f>
        <x:v>Customer Service</x:v>
      </x:c>
      <x:c r="T1199" t="str">
        <x:f>IF(L1199&gt;=50000,"Enterprise",IF(L1199&gt;=20000,"Mid-Market","SMB"))</x:f>
        <x:v>Enterprise</x:v>
      </x:c>
      <x:c r="U1199" t="str">
        <x:f>IF(I1199="Closed Won","Won",IF(I1199="Closed Lost","Lost","Open"))</x:f>
        <x:v>Won</x:v>
      </x:c>
      <x:c r="V1199" s="22" t="n">
        <x:f>IF(U1199="Won",L1199*(1-M1199),0)</x:f>
        <x:v>53636</x:v>
      </x:c>
      <x:c r="W1199" s="22" t="n">
        <x:f>IF(U1199="Open",L1199*N1199,0)</x:f>
        <x:v>0</x:v>
      </x:c>
      <x:c r="X1199" s="26" t="n">
        <x:f>IF(U1199="Open","",IFERROR(K1199-B1199,""))</x:f>
        <x:v>67</x:v>
      </x:c>
      <x:c r="Y1199" s="26" t="n">
        <x:f>IF(U1199="Open",Lookups!$B$2-B1199,X1199)</x:f>
        <x:v>67</x:v>
      </x:c>
      <x:c r="Z1199" t="str">
        <x:f>IF(AND(U1199="Open",Y1199&gt;30),"STALE","OK")</x:f>
        <x:v>OK</x:v>
      </x:c>
      <x:c r="AA1199" t="str">
        <x:f>TEXT(B1199,"yyyy-mm")</x:f>
        <x:v>2025-07</x:v>
      </x:c>
      <x:c r="AB1199" t="str">
        <x:f>IF(K1199="","",TEXT(K1199,"yyyy-mm"))</x:f>
        <x:v>2025-09</x:v>
      </x:c>
      <x:c r="AC1199" t="str">
        <x:f>"Q"&amp;ROUNDUP(MONTH(B1199)/3,0)&amp;"-"&amp;YEAR(B1199)</x:f>
        <x:v>Q3-2025</x:v>
      </x:c>
      <x:c r="AD1199" s="26" t="n">
        <x:f>MIN(100,IF(H1199="Enterprise",30,IF(H1199="Mid-Market",22,14))+IF(T1199="Enterprise",25,IF(T1199="Mid-Market",18,10))+IF(Q1199="Referral",25,IF(Q1199="Organic Search",20,IF(Q1199="Email",18,14)))+IF(G1199="Technology",10,5))</x:f>
        <x:v>85</x:v>
      </x:c>
      <x:c r="AE1199" t="str">
        <x:f>IF(U1199&lt;&gt;"Open",U1199,IF(N1199&gt;=0.8,"Commit",IF(N1199&gt;=0.5,"Best Case","Pipeline")))</x:f>
        <x:v>Won</x:v>
      </x:c>
    </x:row>
    <x:row r="1200">
      <x:c r="A1200" t="str">
        <x:v>L01199</x:v>
      </x:c>
      <x:c r="B1200" s="10" t="n">
        <x:v>45781</x:v>
      </x:c>
      <x:c r="C1200" t="str">
        <x:v>Ha Vo</x:v>
      </x:c>
      <x:c r="D1200" t="str">
        <x:v>North</x:v>
      </x:c>
      <x:c r="E1200" t="str">
        <x:v>google cpc</x:v>
      </x:c>
      <x:c r="F1200" t="str">
        <x:v>MKT-AUTO</x:v>
      </x:c>
      <x:c r="G1200" t="str">
        <x:v>Technology</x:v>
      </x:c>
      <x:c r="H1200" t="str">
        <x:v>Mid-Market</x:v>
      </x:c>
      <x:c r="I1200" t="str">
        <x:v>Closed Lost</x:v>
      </x:c>
      <x:c r="J1200" s="10" t="n">
        <x:v>45846</x:v>
      </x:c>
      <x:c r="K1200" s="10" t="n">
        <x:v>45846</x:v>
      </x:c>
      <x:c r="L1200" s="22" t="n">
        <x:v>27400</x:v>
      </x:c>
      <x:c r="M1200" s="24" t="n">
        <x:v>0</x:v>
      </x:c>
      <x:c r="N1200" s="24" t="n">
        <x:v>0</x:v>
      </x:c>
      <x:c r="O1200" t="str">
        <x:v>Timing</x:v>
      </x:c>
      <x:c r="P1200" t="n">
        <x:v>4</x:v>
      </x:c>
      <x:c r="Q1200" t="str">
        <x:f>IFERROR(XLOOKUP(E1200,Lookups!$A$5:$A$24,Lookups!$B$5:$B$24),"Other")</x:f>
        <x:v>Paid Search</x:v>
      </x:c>
      <x:c r="R1200" t="str">
        <x:f>IFERROR(XLOOKUP(F1200,Lookups!$D$5:$D$10,Lookups!$E$5:$E$10),"Unknown Product")</x:f>
        <x:v>Marketing Automation</x:v>
      </x:c>
      <x:c r="S1200" t="str">
        <x:f>IFERROR(XLOOKUP(F1200,Lookups!$D$5:$D$10,Lookups!$F$5:$F$10),"Unknown")</x:f>
        <x:v>Marketing</x:v>
      </x:c>
      <x:c r="T1200" t="str">
        <x:f>IF(L1200&gt;=50000,"Enterprise",IF(L1200&gt;=20000,"Mid-Market","SMB"))</x:f>
        <x:v>Mid-Market</x:v>
      </x:c>
      <x:c r="U1200" t="str">
        <x:f>IF(I1200="Closed Won","Won",IF(I1200="Closed Lost","Lost","Open"))</x:f>
        <x:v>Lost</x:v>
      </x:c>
      <x:c r="V1200" s="22" t="n">
        <x:f>IF(U1200="Won",L1200*(1-M1200),0)</x:f>
        <x:v>0</x:v>
      </x:c>
      <x:c r="W1200" s="22" t="n">
        <x:f>IF(U1200="Open",L1200*N1200,0)</x:f>
        <x:v>0</x:v>
      </x:c>
      <x:c r="X1200" s="26" t="n">
        <x:f>IF(U1200="Open","",IFERROR(K1200-B1200,""))</x:f>
        <x:v>65</x:v>
      </x:c>
      <x:c r="Y1200" s="26" t="n">
        <x:f>IF(U1200="Open",Lookups!$B$2-B1200,X1200)</x:f>
        <x:v>65</x:v>
      </x:c>
      <x:c r="Z1200" t="str">
        <x:f>IF(AND(U1200="Open",Y1200&gt;30),"STALE","OK")</x:f>
        <x:v>OK</x:v>
      </x:c>
      <x:c r="AA1200" t="str">
        <x:f>TEXT(B1200,"yyyy-mm")</x:f>
        <x:v>2025-05</x:v>
      </x:c>
      <x:c r="AB1200" t="str">
        <x:f>IF(K1200="","",TEXT(K1200,"yyyy-mm"))</x:f>
        <x:v>2025-07</x:v>
      </x:c>
      <x:c r="AC1200" t="str">
        <x:f>"Q"&amp;ROUNDUP(MONTH(B1200)/3,0)&amp;"-"&amp;YEAR(B1200)</x:f>
        <x:v>Q2-2025</x:v>
      </x:c>
      <x:c r="AD1200" s="26" t="n">
        <x:f>MIN(100,IF(H1200="Enterprise",30,IF(H1200="Mid-Market",22,14))+IF(T1200="Enterprise",25,IF(T1200="Mid-Market",18,10))+IF(Q1200="Referral",25,IF(Q1200="Organic Search",20,IF(Q1200="Email",18,14)))+IF(G1200="Technology",10,5))</x:f>
        <x:v>64</x:v>
      </x:c>
      <x:c r="AE1200" t="str">
        <x:f>IF(U1200&lt;&gt;"Open",U1200,IF(N1200&gt;=0.8,"Commit",IF(N1200&gt;=0.5,"Best Case","Pipeline")))</x:f>
        <x:v>Lost</x:v>
      </x:c>
    </x:row>
    <x:row r="1201">
      <x:c r="A1201" t="str">
        <x:v>L01200</x:v>
      </x:c>
      <x:c r="B1201" s="10" t="n">
        <x:v>46218</x:v>
      </x:c>
      <x:c r="C1201" t="str">
        <x:v>Duy Pham</x:v>
      </x:c>
      <x:c r="D1201" t="str">
        <x:v>South</x:v>
      </x:c>
      <x:c r="E1201" t="str">
        <x:v>google cpc</x:v>
      </x:c>
      <x:c r="F1201" t="str">
        <x:v>CS-CLOUD</x:v>
      </x:c>
      <x:c r="G1201" t="str">
        <x:v>Technology</x:v>
      </x:c>
      <x:c r="H1201" t="str">
        <x:v>SMB</x:v>
      </x:c>
      <x:c r="I1201" t="str">
        <x:v>Closed Lost</x:v>
      </x:c>
      <x:c r="J1201" s="10" t="n">
        <x:v>46266</x:v>
      </x:c>
      <x:c r="K1201" s="10" t="n">
        <x:v>46266</x:v>
      </x:c>
      <x:c r="L1201" s="22" t="n">
        <x:v>23600</x:v>
      </x:c>
      <x:c r="M1201" s="24" t="n">
        <x:v>0</x:v>
      </x:c>
      <x:c r="N1201" s="24" t="n">
        <x:v>0</x:v>
      </x:c>
      <x:c r="O1201" t="str">
        <x:v>Price</x:v>
      </x:c>
      <x:c r="P1201" t="n">
        <x:v>4</x:v>
      </x:c>
      <x:c r="Q1201" t="str">
        <x:f>IFERROR(XLOOKUP(E1201,Lookups!$A$5:$A$24,Lookups!$B$5:$B$24),"Other")</x:f>
        <x:v>Paid Search</x:v>
      </x:c>
      <x:c r="R1201" t="str">
        <x:f>IFERROR(XLOOKUP(F1201,Lookups!$D$5:$D$10,Lookups!$E$5:$E$10),"Unknown Product")</x:f>
        <x:v>Service Cloud</x:v>
      </x:c>
      <x:c r="S1201" t="str">
        <x:f>IFERROR(XLOOKUP(F1201,Lookups!$D$5:$D$10,Lookups!$F$5:$F$10),"Unknown")</x:f>
        <x:v>Customer Service</x:v>
      </x:c>
      <x:c r="T1201" t="str">
        <x:f>IF(L1201&gt;=50000,"Enterprise",IF(L1201&gt;=20000,"Mid-Market","SMB"))</x:f>
        <x:v>Mid-Market</x:v>
      </x:c>
      <x:c r="U1201" t="str">
        <x:f>IF(I1201="Closed Won","Won",IF(I1201="Closed Lost","Lost","Open"))</x:f>
        <x:v>Lost</x:v>
      </x:c>
      <x:c r="V1201" s="22" t="n">
        <x:f>IF(U1201="Won",L1201*(1-M1201),0)</x:f>
        <x:v>0</x:v>
      </x:c>
      <x:c r="W1201" s="22" t="n">
        <x:f>IF(U1201="Open",L1201*N1201,0)</x:f>
        <x:v>0</x:v>
      </x:c>
      <x:c r="X1201" s="26" t="n">
        <x:f>IF(U1201="Open","",IFERROR(K1201-B1201,""))</x:f>
        <x:v>48</x:v>
      </x:c>
      <x:c r="Y1201" s="26" t="n">
        <x:f>IF(U1201="Open",Lookups!$B$2-B1201,X1201)</x:f>
        <x:v>48</x:v>
      </x:c>
      <x:c r="Z1201" t="str">
        <x:f>IF(AND(U1201="Open",Y1201&gt;30),"STALE","OK")</x:f>
        <x:v>OK</x:v>
      </x:c>
      <x:c r="AA1201" t="str">
        <x:f>TEXT(B1201,"yyyy-mm")</x:f>
        <x:v>2026-07</x:v>
      </x:c>
      <x:c r="AB1201" t="str">
        <x:f>IF(K1201="","",TEXT(K1201,"yyyy-mm"))</x:f>
        <x:v>2026-09</x:v>
      </x:c>
      <x:c r="AC1201" t="str">
        <x:f>"Q"&amp;ROUNDUP(MONTH(B1201)/3,0)&amp;"-"&amp;YEAR(B1201)</x:f>
        <x:v>Q3-2026</x:v>
      </x:c>
      <x:c r="AD1201" s="26" t="n">
        <x:f>MIN(100,IF(H1201="Enterprise",30,IF(H1201="Mid-Market",22,14))+IF(T1201="Enterprise",25,IF(T1201="Mid-Market",18,10))+IF(Q1201="Referral",25,IF(Q1201="Organic Search",20,IF(Q1201="Email",18,14)))+IF(G1201="Technology",10,5))</x:f>
        <x:v>56</x:v>
      </x:c>
      <x:c r="AE1201" t="str">
        <x:f>IF(U1201&lt;&gt;"Open",U1201,IF(N1201&gt;=0.8,"Commit",IF(N1201&gt;=0.5,"Best Case","Pipeline")))</x:f>
        <x:v>Lost</x:v>
      </x:c>
    </x:row>
    <x:row r="1202">
      <x:c r="A1202" t="str">
        <x:v>L01201</x:v>
      </x:c>
      <x:c r="B1202" s="10" t="n">
        <x:v>46238</x:v>
      </x:c>
      <x:c r="C1202" t="str">
        <x:v>Quynh Vu</x:v>
      </x:c>
      <x:c r="D1202" t="str">
        <x:v>North</x:v>
      </x:c>
      <x:c r="E1202" t="str">
        <x:v>SEM - Google</x:v>
      </x:c>
      <x:c r="F1202" t="str">
        <x:v>BI-PLUS</x:v>
      </x:c>
      <x:c r="G1202" t="str">
        <x:v>Technology</x:v>
      </x:c>
      <x:c r="H1202" t="str">
        <x:v>SMB</x:v>
      </x:c>
      <x:c r="I1202" t="str">
        <x:v>New</x:v>
      </x:c>
      <x:c r="J1202" s="10" t="n">
        <x:v>46253</x:v>
      </x:c>
      <x:c r="K1202" s="10"/>
      <x:c r="L1202" s="22" t="n">
        <x:v>21300</x:v>
      </x:c>
      <x:c r="M1202" s="24" t="n">
        <x:v>0</x:v>
      </x:c>
      <x:c r="N1202" s="24" t="n">
        <x:v>0.05</x:v>
      </x:c>
      <x:c r="O1202" t="str"/>
      <x:c r="P1202" t="n">
        <x:v>1</x:v>
      </x:c>
      <x:c r="Q1202" t="str">
        <x:f>IFERROR(XLOOKUP(E1202,Lookups!$A$5:$A$24,Lookups!$B$5:$B$24),"Other")</x:f>
        <x:v>Paid Search</x:v>
      </x:c>
      <x:c r="R1202" t="str">
        <x:f>IFERROR(XLOOKUP(F1202,Lookups!$D$5:$D$10,Lookups!$E$5:$E$10),"Unknown Product")</x:f>
        <x:v>Analytics Plus</x:v>
      </x:c>
      <x:c r="S1202" t="str">
        <x:f>IFERROR(XLOOKUP(F1202,Lookups!$D$5:$D$10,Lookups!$F$5:$F$10),"Unknown")</x:f>
        <x:v>Analytics</x:v>
      </x:c>
      <x:c r="T1202" t="str">
        <x:f>IF(L1202&gt;=50000,"Enterprise",IF(L1202&gt;=20000,"Mid-Market","SMB"))</x:f>
        <x:v>Mid-Market</x:v>
      </x:c>
      <x:c r="U1202" t="str">
        <x:f>IF(I1202="Closed Won","Won",IF(I1202="Closed Lost","Lost","Open"))</x:f>
        <x:v>Open</x:v>
      </x:c>
      <x:c r="V1202" s="22" t="n">
        <x:f>IF(U1202="Won",L1202*(1-M1202),0)</x:f>
        <x:v>0</x:v>
      </x:c>
      <x:c r="W1202" s="22" t="n">
        <x:f>IF(U1202="Open",L1202*N1202,0)</x:f>
        <x:v>1065</x:v>
      </x:c>
      <x:c r="X1202" s="26" t="str">
        <x:f>IF(U1202="Open","",IFERROR(K1202-B1202,""))</x:f>
      </x:c>
      <x:c r="Y1202" s="26" t="n">
        <x:f>IF(U1202="Open",Lookups!$B$2-B1202,X1202)</x:f>
        <x:v>28</x:v>
      </x:c>
      <x:c r="Z1202" t="str">
        <x:f>IF(AND(U1202="Open",Y1202&gt;30),"STALE","OK")</x:f>
        <x:v>OK</x:v>
      </x:c>
      <x:c r="AA1202" t="str">
        <x:f>TEXT(B1202,"yyyy-mm")</x:f>
        <x:v>2026-08</x:v>
      </x:c>
      <x:c r="AB1202" t="str">
        <x:f>IF(K1202="","",TEXT(K1202,"yyyy-mm"))</x:f>
      </x:c>
      <x:c r="AC1202" t="str">
        <x:f>"Q"&amp;ROUNDUP(MONTH(B1202)/3,0)&amp;"-"&amp;YEAR(B1202)</x:f>
        <x:v>Q3-2026</x:v>
      </x:c>
      <x:c r="AD1202" s="26" t="n">
        <x:f>MIN(100,IF(H1202="Enterprise",30,IF(H1202="Mid-Market",22,14))+IF(T1202="Enterprise",25,IF(T1202="Mid-Market",18,10))+IF(Q1202="Referral",25,IF(Q1202="Organic Search",20,IF(Q1202="Email",18,14)))+IF(G1202="Technology",10,5))</x:f>
        <x:v>56</x:v>
      </x:c>
      <x:c r="AE1202" t="str">
        <x:f>IF(U1202&lt;&gt;"Open",U1202,IF(N1202&gt;=0.8,"Commit",IF(N1202&gt;=0.5,"Best Case","Pipeline")))</x:f>
        <x:v>Pipeline</x:v>
      </x:c>
    </x:row>
    <x:row r="1203">
      <x:c r="A1203" t="str">
        <x:v>L01202</x:v>
      </x:c>
      <x:c r="B1203" s="10" t="n">
        <x:v>45823</x:v>
      </x:c>
      <x:c r="C1203" t="str">
        <x:v>Duy Pham</x:v>
      </x:c>
      <x:c r="D1203" t="str">
        <x:v>South</x:v>
      </x:c>
      <x:c r="E1203" t="str">
        <x:v>LI Ads</x:v>
      </x:c>
      <x:c r="F1203" t="str">
        <x:v>CRM-CORE</x:v>
      </x:c>
      <x:c r="G1203" t="str">
        <x:v>Healthcare</x:v>
      </x:c>
      <x:c r="H1203" t="str">
        <x:v>SMB</x:v>
      </x:c>
      <x:c r="I1203" t="str">
        <x:v>Closed Lost</x:v>
      </x:c>
      <x:c r="J1203" s="10" t="n">
        <x:v>45887</x:v>
      </x:c>
      <x:c r="K1203" s="10" t="n">
        <x:v>45887</x:v>
      </x:c>
      <x:c r="L1203" s="22" t="n">
        <x:v>4500</x:v>
      </x:c>
      <x:c r="M1203" s="24" t="n">
        <x:v>0</x:v>
      </x:c>
      <x:c r="N1203" s="24" t="n">
        <x:v>0</x:v>
      </x:c>
      <x:c r="O1203" t="str">
        <x:v>Price</x:v>
      </x:c>
      <x:c r="P1203" t="n">
        <x:v>4</x:v>
      </x:c>
      <x:c r="Q1203" t="str">
        <x:f>IFERROR(XLOOKUP(E1203,Lookups!$A$5:$A$24,Lookups!$B$5:$B$24),"Other")</x:f>
        <x:v>LinkedIn</x:v>
      </x:c>
      <x:c r="R1203" t="str">
        <x:f>IFERROR(XLOOKUP(F1203,Lookups!$D$5:$D$10,Lookups!$E$5:$E$10),"Unknown Product")</x:f>
        <x:v>NexaCRM Core</x:v>
      </x:c>
      <x:c r="S1203" t="str">
        <x:f>IFERROR(XLOOKUP(F1203,Lookups!$D$5:$D$10,Lookups!$F$5:$F$10),"Unknown")</x:f>
        <x:v>CRM</x:v>
      </x:c>
      <x:c r="T1203" t="str">
        <x:f>IF(L1203&gt;=50000,"Enterprise",IF(L1203&gt;=20000,"Mid-Market","SMB"))</x:f>
        <x:v>SMB</x:v>
      </x:c>
      <x:c r="U1203" t="str">
        <x:f>IF(I1203="Closed Won","Won",IF(I1203="Closed Lost","Lost","Open"))</x:f>
        <x:v>Lost</x:v>
      </x:c>
      <x:c r="V1203" s="22" t="n">
        <x:f>IF(U1203="Won",L1203*(1-M1203),0)</x:f>
        <x:v>0</x:v>
      </x:c>
      <x:c r="W1203" s="22" t="n">
        <x:f>IF(U1203="Open",L1203*N1203,0)</x:f>
        <x:v>0</x:v>
      </x:c>
      <x:c r="X1203" s="26" t="n">
        <x:f>IF(U1203="Open","",IFERROR(K1203-B1203,""))</x:f>
        <x:v>64</x:v>
      </x:c>
      <x:c r="Y1203" s="26" t="n">
        <x:f>IF(U1203="Open",Lookups!$B$2-B1203,X1203)</x:f>
        <x:v>64</x:v>
      </x:c>
      <x:c r="Z1203" t="str">
        <x:f>IF(AND(U1203="Open",Y1203&gt;30),"STALE","OK")</x:f>
        <x:v>OK</x:v>
      </x:c>
      <x:c r="AA1203" t="str">
        <x:f>TEXT(B1203,"yyyy-mm")</x:f>
        <x:v>2025-06</x:v>
      </x:c>
      <x:c r="AB1203" t="str">
        <x:f>IF(K1203="","",TEXT(K1203,"yyyy-mm"))</x:f>
        <x:v>2025-08</x:v>
      </x:c>
      <x:c r="AC1203" t="str">
        <x:f>"Q"&amp;ROUNDUP(MONTH(B1203)/3,0)&amp;"-"&amp;YEAR(B1203)</x:f>
        <x:v>Q2-2025</x:v>
      </x:c>
      <x:c r="AD1203" s="26" t="n">
        <x:f>MIN(100,IF(H1203="Enterprise",30,IF(H1203="Mid-Market",22,14))+IF(T1203="Enterprise",25,IF(T1203="Mid-Market",18,10))+IF(Q1203="Referral",25,IF(Q1203="Organic Search",20,IF(Q1203="Email",18,14)))+IF(G1203="Technology",10,5))</x:f>
        <x:v>43</x:v>
      </x:c>
      <x:c r="AE1203" t="str">
        <x:f>IF(U1203&lt;&gt;"Open",U1203,IF(N1203&gt;=0.8,"Commit",IF(N1203&gt;=0.5,"Best Case","Pipeline")))</x:f>
        <x:v>Lost</x:v>
      </x:c>
    </x:row>
    <x:row r="1204">
      <x:c r="A1204" t="str">
        <x:v>L01203</x:v>
      </x:c>
      <x:c r="B1204" s="10" t="n">
        <x:v>45922</x:v>
      </x:c>
      <x:c r="C1204" t="str">
        <x:v>An Nguyen</x:v>
      </x:c>
      <x:c r="D1204" t="str">
        <x:v>South</x:v>
      </x:c>
      <x:c r="E1204" t="str">
        <x:v>Google Organic</x:v>
      </x:c>
      <x:c r="F1204" t="str">
        <x:v>BI-PLUS</x:v>
      </x:c>
      <x:c r="G1204" t="str">
        <x:v>Manufacturing</x:v>
      </x:c>
      <x:c r="H1204" t="str">
        <x:v>SMB</x:v>
      </x:c>
      <x:c r="I1204" t="str">
        <x:v>Closed Lost</x:v>
      </x:c>
      <x:c r="J1204" s="10" t="n">
        <x:v>45963</x:v>
      </x:c>
      <x:c r="K1204" s="10" t="n">
        <x:v>45963</x:v>
      </x:c>
      <x:c r="L1204" s="22" t="n">
        <x:v>14200</x:v>
      </x:c>
      <x:c r="M1204" s="24" t="n">
        <x:v>0</x:v>
      </x:c>
      <x:c r="N1204" s="24" t="n">
        <x:v>0</x:v>
      </x:c>
      <x:c r="O1204" t="str">
        <x:v>Price</x:v>
      </x:c>
      <x:c r="P1204" t="n">
        <x:v>2</x:v>
      </x:c>
      <x:c r="Q1204" t="str">
        <x:f>IFERROR(XLOOKUP(E1204,Lookups!$A$5:$A$24,Lookups!$B$5:$B$24),"Other")</x:f>
        <x:v>Organic Search</x:v>
      </x:c>
      <x:c r="R1204" t="str">
        <x:f>IFERROR(XLOOKUP(F1204,Lookups!$D$5:$D$10,Lookups!$E$5:$E$10),"Unknown Product")</x:f>
        <x:v>Analytics Plus</x:v>
      </x:c>
      <x:c r="S1204" t="str">
        <x:f>IFERROR(XLOOKUP(F1204,Lookups!$D$5:$D$10,Lookups!$F$5:$F$10),"Unknown")</x:f>
        <x:v>Analytics</x:v>
      </x:c>
      <x:c r="T1204" t="str">
        <x:f>IF(L1204&gt;=50000,"Enterprise",IF(L1204&gt;=20000,"Mid-Market","SMB"))</x:f>
        <x:v>SMB</x:v>
      </x:c>
      <x:c r="U1204" t="str">
        <x:f>IF(I1204="Closed Won","Won",IF(I1204="Closed Lost","Lost","Open"))</x:f>
        <x:v>Lost</x:v>
      </x:c>
      <x:c r="V1204" s="22" t="n">
        <x:f>IF(U1204="Won",L1204*(1-M1204),0)</x:f>
        <x:v>0</x:v>
      </x:c>
      <x:c r="W1204" s="22" t="n">
        <x:f>IF(U1204="Open",L1204*N1204,0)</x:f>
        <x:v>0</x:v>
      </x:c>
      <x:c r="X1204" s="26" t="n">
        <x:f>IF(U1204="Open","",IFERROR(K1204-B1204,""))</x:f>
        <x:v>41</x:v>
      </x:c>
      <x:c r="Y1204" s="26" t="n">
        <x:f>IF(U1204="Open",Lookups!$B$2-B1204,X1204)</x:f>
        <x:v>41</x:v>
      </x:c>
      <x:c r="Z1204" t="str">
        <x:f>IF(AND(U1204="Open",Y1204&gt;30),"STALE","OK")</x:f>
        <x:v>OK</x:v>
      </x:c>
      <x:c r="AA1204" t="str">
        <x:f>TEXT(B1204,"yyyy-mm")</x:f>
        <x:v>2025-09</x:v>
      </x:c>
      <x:c r="AB1204" t="str">
        <x:f>IF(K1204="","",TEXT(K1204,"yyyy-mm"))</x:f>
        <x:v>2025-11</x:v>
      </x:c>
      <x:c r="AC1204" t="str">
        <x:f>"Q"&amp;ROUNDUP(MONTH(B1204)/3,0)&amp;"-"&amp;YEAR(B1204)</x:f>
        <x:v>Q3-2025</x:v>
      </x:c>
      <x:c r="AD1204" s="26" t="n">
        <x:f>MIN(100,IF(H1204="Enterprise",30,IF(H1204="Mid-Market",22,14))+IF(T1204="Enterprise",25,IF(T1204="Mid-Market",18,10))+IF(Q1204="Referral",25,IF(Q1204="Organic Search",20,IF(Q1204="Email",18,14)))+IF(G1204="Technology",10,5))</x:f>
        <x:v>49</x:v>
      </x:c>
      <x:c r="AE1204" t="str">
        <x:f>IF(U1204&lt;&gt;"Open",U1204,IF(N1204&gt;=0.8,"Commit",IF(N1204&gt;=0.5,"Best Case","Pipeline")))</x:f>
        <x:v>Lost</x:v>
      </x:c>
    </x:row>
    <x:row r="1205">
      <x:c r="A1205" t="str">
        <x:v>L01204</x:v>
      </x:c>
      <x:c r="B1205" s="10" t="n">
        <x:v>46132</x:v>
      </x:c>
      <x:c r="C1205" t="str">
        <x:v>Bao Tran</x:v>
      </x:c>
      <x:c r="D1205" t="str">
        <x:v>South</x:v>
      </x:c>
      <x:c r="E1205" t="str">
        <x:v>SEM - Google</x:v>
      </x:c>
      <x:c r="F1205" t="str">
        <x:v>MKT-AUTO</x:v>
      </x:c>
      <x:c r="G1205" t="str">
        <x:v>Professional Services</x:v>
      </x:c>
      <x:c r="H1205" t="str">
        <x:v>Mid-Market</x:v>
      </x:c>
      <x:c r="I1205" t="str">
        <x:v>Closed Lost</x:v>
      </x:c>
      <x:c r="J1205" s="10" t="n">
        <x:v>46174</x:v>
      </x:c>
      <x:c r="K1205" s="10" t="n">
        <x:v>46174</x:v>
      </x:c>
      <x:c r="L1205" s="22" t="n">
        <x:v>24400</x:v>
      </x:c>
      <x:c r="M1205" s="24" t="n">
        <x:v>0</x:v>
      </x:c>
      <x:c r="N1205" s="24" t="n">
        <x:v>0</x:v>
      </x:c>
      <x:c r="O1205" t="str">
        <x:v>Competitor</x:v>
      </x:c>
      <x:c r="P1205" t="n">
        <x:v>4</x:v>
      </x:c>
      <x:c r="Q1205" t="str">
        <x:f>IFERROR(XLOOKUP(E1205,Lookups!$A$5:$A$24,Lookups!$B$5:$B$24),"Other")</x:f>
        <x:v>Paid Search</x:v>
      </x:c>
      <x:c r="R1205" t="str">
        <x:f>IFERROR(XLOOKUP(F1205,Lookups!$D$5:$D$10,Lookups!$E$5:$E$10),"Unknown Product")</x:f>
        <x:v>Marketing Automation</x:v>
      </x:c>
      <x:c r="S1205" t="str">
        <x:f>IFERROR(XLOOKUP(F1205,Lookups!$D$5:$D$10,Lookups!$F$5:$F$10),"Unknown")</x:f>
        <x:v>Marketing</x:v>
      </x:c>
      <x:c r="T1205" t="str">
        <x:f>IF(L1205&gt;=50000,"Enterprise",IF(L1205&gt;=20000,"Mid-Market","SMB"))</x:f>
        <x:v>Mid-Market</x:v>
      </x:c>
      <x:c r="U1205" t="str">
        <x:f>IF(I1205="Closed Won","Won",IF(I1205="Closed Lost","Lost","Open"))</x:f>
        <x:v>Lost</x:v>
      </x:c>
      <x:c r="V1205" s="22" t="n">
        <x:f>IF(U1205="Won",L1205*(1-M1205),0)</x:f>
        <x:v>0</x:v>
      </x:c>
      <x:c r="W1205" s="22" t="n">
        <x:f>IF(U1205="Open",L1205*N1205,0)</x:f>
        <x:v>0</x:v>
      </x:c>
      <x:c r="X1205" s="26" t="n">
        <x:f>IF(U1205="Open","",IFERROR(K1205-B1205,""))</x:f>
        <x:v>42</x:v>
      </x:c>
      <x:c r="Y1205" s="26" t="n">
        <x:f>IF(U1205="Open",Lookups!$B$2-B1205,X1205)</x:f>
        <x:v>42</x:v>
      </x:c>
      <x:c r="Z1205" t="str">
        <x:f>IF(AND(U1205="Open",Y1205&gt;30),"STALE","OK")</x:f>
        <x:v>OK</x:v>
      </x:c>
      <x:c r="AA1205" t="str">
        <x:f>TEXT(B1205,"yyyy-mm")</x:f>
        <x:v>2026-04</x:v>
      </x:c>
      <x:c r="AB1205" t="str">
        <x:f>IF(K1205="","",TEXT(K1205,"yyyy-mm"))</x:f>
        <x:v>2026-06</x:v>
      </x:c>
      <x:c r="AC1205" t="str">
        <x:f>"Q"&amp;ROUNDUP(MONTH(B1205)/3,0)&amp;"-"&amp;YEAR(B1205)</x:f>
        <x:v>Q2-2026</x:v>
      </x:c>
      <x:c r="AD1205" s="26" t="n">
        <x:f>MIN(100,IF(H1205="Enterprise",30,IF(H1205="Mid-Market",22,14))+IF(T1205="Enterprise",25,IF(T1205="Mid-Market",18,10))+IF(Q1205="Referral",25,IF(Q1205="Organic Search",20,IF(Q1205="Email",18,14)))+IF(G1205="Technology",10,5))</x:f>
        <x:v>59</x:v>
      </x:c>
      <x:c r="AE1205" t="str">
        <x:f>IF(U1205&lt;&gt;"Open",U1205,IF(N1205&gt;=0.8,"Commit",IF(N1205&gt;=0.5,"Best Case","Pipeline")))</x:f>
        <x:v>Lost</x:v>
      </x:c>
    </x:row>
    <x:row r="1206">
      <x:c r="A1206" t="str">
        <x:v>L01205</x:v>
      </x:c>
      <x:c r="B1206" s="10" t="n">
        <x:v>45915</x:v>
      </x:c>
      <x:c r="C1206" t="str">
        <x:v>Chi Le</x:v>
      </x:c>
      <x:c r="D1206" t="str">
        <x:v>South</x:v>
      </x:c>
      <x:c r="E1206" t="str">
        <x:v>Cold Email</x:v>
      </x:c>
      <x:c r="F1206" t="str">
        <x:v>CRM-PRO</x:v>
      </x:c>
      <x:c r="G1206" t="str">
        <x:v>Education</x:v>
      </x:c>
      <x:c r="H1206" t="str">
        <x:v>SMB</x:v>
      </x:c>
      <x:c r="I1206" t="str">
        <x:v>Closed Lost</x:v>
      </x:c>
      <x:c r="J1206" s="10" t="n">
        <x:v>45946</x:v>
      </x:c>
      <x:c r="K1206" s="10" t="n">
        <x:v>45946</x:v>
      </x:c>
      <x:c r="L1206" s="22" t="n">
        <x:v>15900</x:v>
      </x:c>
      <x:c r="M1206" s="24" t="n">
        <x:v>0</x:v>
      </x:c>
      <x:c r="N1206" s="24" t="n">
        <x:v>0</x:v>
      </x:c>
      <x:c r="O1206" t="str">
        <x:v>Price</x:v>
      </x:c>
      <x:c r="P1206" t="n">
        <x:v>5</x:v>
      </x:c>
      <x:c r="Q1206" t="str">
        <x:f>IFERROR(XLOOKUP(E1206,Lookups!$A$5:$A$24,Lookups!$B$5:$B$24),"Other")</x:f>
        <x:v>Outbound</x:v>
      </x:c>
      <x:c r="R1206" t="str">
        <x:f>IFERROR(XLOOKUP(F1206,Lookups!$D$5:$D$10,Lookups!$E$5:$E$10),"Unknown Product")</x:f>
        <x:v>NexaCRM Pro</x:v>
      </x:c>
      <x:c r="S1206" t="str">
        <x:f>IFERROR(XLOOKUP(F1206,Lookups!$D$5:$D$10,Lookups!$F$5:$F$10),"Unknown")</x:f>
        <x:v>CRM</x:v>
      </x:c>
      <x:c r="T1206" t="str">
        <x:f>IF(L1206&gt;=50000,"Enterprise",IF(L1206&gt;=20000,"Mid-Market","SMB"))</x:f>
        <x:v>SMB</x:v>
      </x:c>
      <x:c r="U1206" t="str">
        <x:f>IF(I1206="Closed Won","Won",IF(I1206="Closed Lost","Lost","Open"))</x:f>
        <x:v>Lost</x:v>
      </x:c>
      <x:c r="V1206" s="22" t="n">
        <x:f>IF(U1206="Won",L1206*(1-M1206),0)</x:f>
        <x:v>0</x:v>
      </x:c>
      <x:c r="W1206" s="22" t="n">
        <x:f>IF(U1206="Open",L1206*N1206,0)</x:f>
        <x:v>0</x:v>
      </x:c>
      <x:c r="X1206" s="26" t="n">
        <x:f>IF(U1206="Open","",IFERROR(K1206-B1206,""))</x:f>
        <x:v>31</x:v>
      </x:c>
      <x:c r="Y1206" s="26" t="n">
        <x:f>IF(U1206="Open",Lookups!$B$2-B1206,X1206)</x:f>
        <x:v>31</x:v>
      </x:c>
      <x:c r="Z1206" t="str">
        <x:f>IF(AND(U1206="Open",Y1206&gt;30),"STALE","OK")</x:f>
        <x:v>OK</x:v>
      </x:c>
      <x:c r="AA1206" t="str">
        <x:f>TEXT(B1206,"yyyy-mm")</x:f>
        <x:v>2025-09</x:v>
      </x:c>
      <x:c r="AB1206" t="str">
        <x:f>IF(K1206="","",TEXT(K1206,"yyyy-mm"))</x:f>
        <x:v>2025-10</x:v>
      </x:c>
      <x:c r="AC1206" t="str">
        <x:f>"Q"&amp;ROUNDUP(MONTH(B1206)/3,0)&amp;"-"&amp;YEAR(B1206)</x:f>
        <x:v>Q3-2025</x:v>
      </x:c>
      <x:c r="AD1206" s="26" t="n">
        <x:f>MIN(100,IF(H1206="Enterprise",30,IF(H1206="Mid-Market",22,14))+IF(T1206="Enterprise",25,IF(T1206="Mid-Market",18,10))+IF(Q1206="Referral",25,IF(Q1206="Organic Search",20,IF(Q1206="Email",18,14)))+IF(G1206="Technology",10,5))</x:f>
        <x:v>43</x:v>
      </x:c>
      <x:c r="AE1206" t="str">
        <x:f>IF(U1206&lt;&gt;"Open",U1206,IF(N1206&gt;=0.8,"Commit",IF(N1206&gt;=0.5,"Best Case","Pipeline")))</x:f>
        <x:v>Lost</x:v>
      </x:c>
    </x:row>
    <x:row r="1207">
      <x:c r="A1207" t="str">
        <x:v>L01206</x:v>
      </x:c>
      <x:c r="B1207" s="10" t="n">
        <x:v>45809</x:v>
      </x:c>
      <x:c r="C1207" t="str">
        <x:v>Minh Do</x:v>
      </x:c>
      <x:c r="D1207" t="str">
        <x:v>North</x:v>
      </x:c>
      <x:c r="E1207" t="str">
        <x:v>SEO</x:v>
      </x:c>
      <x:c r="F1207" t="str">
        <x:v>CRM-CORE</x:v>
      </x:c>
      <x:c r="G1207" t="str">
        <x:v>Retail</x:v>
      </x:c>
      <x:c r="H1207" t="str">
        <x:v>SMB</x:v>
      </x:c>
      <x:c r="I1207" t="str">
        <x:v>Closed Lost</x:v>
      </x:c>
      <x:c r="J1207" s="10" t="n">
        <x:v>45883</x:v>
      </x:c>
      <x:c r="K1207" s="10" t="n">
        <x:v>45883</x:v>
      </x:c>
      <x:c r="L1207" s="22" t="n">
        <x:v>8800</x:v>
      </x:c>
      <x:c r="M1207" s="24" t="n">
        <x:v>0</x:v>
      </x:c>
      <x:c r="N1207" s="24" t="n">
        <x:v>0</x:v>
      </x:c>
      <x:c r="O1207" t="str">
        <x:v>Competitor</x:v>
      </x:c>
      <x:c r="P1207" t="n">
        <x:v>4</x:v>
      </x:c>
      <x:c r="Q1207" t="str">
        <x:f>IFERROR(XLOOKUP(E1207,Lookups!$A$5:$A$24,Lookups!$B$5:$B$24),"Other")</x:f>
        <x:v>Organic Search</x:v>
      </x:c>
      <x:c r="R1207" t="str">
        <x:f>IFERROR(XLOOKUP(F1207,Lookups!$D$5:$D$10,Lookups!$E$5:$E$10),"Unknown Product")</x:f>
        <x:v>NexaCRM Core</x:v>
      </x:c>
      <x:c r="S1207" t="str">
        <x:f>IFERROR(XLOOKUP(F1207,Lookups!$D$5:$D$10,Lookups!$F$5:$F$10),"Unknown")</x:f>
        <x:v>CRM</x:v>
      </x:c>
      <x:c r="T1207" t="str">
        <x:f>IF(L1207&gt;=50000,"Enterprise",IF(L1207&gt;=20000,"Mid-Market","SMB"))</x:f>
        <x:v>SMB</x:v>
      </x:c>
      <x:c r="U1207" t="str">
        <x:f>IF(I1207="Closed Won","Won",IF(I1207="Closed Lost","Lost","Open"))</x:f>
        <x:v>Lost</x:v>
      </x:c>
      <x:c r="V1207" s="22" t="n">
        <x:f>IF(U1207="Won",L1207*(1-M1207),0)</x:f>
        <x:v>0</x:v>
      </x:c>
      <x:c r="W1207" s="22" t="n">
        <x:f>IF(U1207="Open",L1207*N1207,0)</x:f>
        <x:v>0</x:v>
      </x:c>
      <x:c r="X1207" s="26" t="n">
        <x:f>IF(U1207="Open","",IFERROR(K1207-B1207,""))</x:f>
        <x:v>74</x:v>
      </x:c>
      <x:c r="Y1207" s="26" t="n">
        <x:f>IF(U1207="Open",Lookups!$B$2-B1207,X1207)</x:f>
        <x:v>74</x:v>
      </x:c>
      <x:c r="Z1207" t="str">
        <x:f>IF(AND(U1207="Open",Y1207&gt;30),"STALE","OK")</x:f>
        <x:v>OK</x:v>
      </x:c>
      <x:c r="AA1207" t="str">
        <x:f>TEXT(B1207,"yyyy-mm")</x:f>
        <x:v>2025-06</x:v>
      </x:c>
      <x:c r="AB1207" t="str">
        <x:f>IF(K1207="","",TEXT(K1207,"yyyy-mm"))</x:f>
        <x:v>2025-08</x:v>
      </x:c>
      <x:c r="AC1207" t="str">
        <x:f>"Q"&amp;ROUNDUP(MONTH(B1207)/3,0)&amp;"-"&amp;YEAR(B1207)</x:f>
        <x:v>Q2-2025</x:v>
      </x:c>
      <x:c r="AD1207" s="26" t="n">
        <x:f>MIN(100,IF(H1207="Enterprise",30,IF(H1207="Mid-Market",22,14))+IF(T1207="Enterprise",25,IF(T1207="Mid-Market",18,10))+IF(Q1207="Referral",25,IF(Q1207="Organic Search",20,IF(Q1207="Email",18,14)))+IF(G1207="Technology",10,5))</x:f>
        <x:v>49</x:v>
      </x:c>
      <x:c r="AE1207" t="str">
        <x:f>IF(U1207&lt;&gt;"Open",U1207,IF(N1207&gt;=0.8,"Commit",IF(N1207&gt;=0.5,"Best Case","Pipeline")))</x:f>
        <x:v>Lost</x:v>
      </x:c>
    </x:row>
    <x:row r="1208">
      <x:c r="A1208" t="str">
        <x:v>L01207</x:v>
      </x:c>
      <x:c r="B1208" s="10" t="n">
        <x:v>46103</x:v>
      </x:c>
      <x:c r="C1208" t="str">
        <x:v>Tuan Bui</x:v>
      </x:c>
      <x:c r="D1208" t="str">
        <x:v>Central</x:v>
      </x:c>
      <x:c r="E1208" t="str">
        <x:v>LinkedIn Ads</x:v>
      </x:c>
      <x:c r="F1208" t="str">
        <x:v>CRM-PRO</x:v>
      </x:c>
      <x:c r="G1208" t="str">
        <x:v>Healthcare</x:v>
      </x:c>
      <x:c r="H1208" t="str">
        <x:v>SMB</x:v>
      </x:c>
      <x:c r="I1208" t="str">
        <x:v>Closed Lost</x:v>
      </x:c>
      <x:c r="J1208" s="10" t="n">
        <x:v>46127</x:v>
      </x:c>
      <x:c r="K1208" s="10" t="n">
        <x:v>46127</x:v>
      </x:c>
      <x:c r="L1208" s="22" t="n">
        <x:v>19300</x:v>
      </x:c>
      <x:c r="M1208" s="24" t="n">
        <x:v>0</x:v>
      </x:c>
      <x:c r="N1208" s="24" t="n">
        <x:v>0</x:v>
      </x:c>
      <x:c r="O1208" t="str">
        <x:v>Feature Gap</x:v>
      </x:c>
      <x:c r="P1208" t="n">
        <x:v>5</x:v>
      </x:c>
      <x:c r="Q1208" t="str">
        <x:f>IFERROR(XLOOKUP(E1208,Lookups!$A$5:$A$24,Lookups!$B$5:$B$24),"Other")</x:f>
        <x:v>LinkedIn</x:v>
      </x:c>
      <x:c r="R1208" t="str">
        <x:f>IFERROR(XLOOKUP(F1208,Lookups!$D$5:$D$10,Lookups!$E$5:$E$10),"Unknown Product")</x:f>
        <x:v>NexaCRM Pro</x:v>
      </x:c>
      <x:c r="S1208" t="str">
        <x:f>IFERROR(XLOOKUP(F1208,Lookups!$D$5:$D$10,Lookups!$F$5:$F$10),"Unknown")</x:f>
        <x:v>CRM</x:v>
      </x:c>
      <x:c r="T1208" t="str">
        <x:f>IF(L1208&gt;=50000,"Enterprise",IF(L1208&gt;=20000,"Mid-Market","SMB"))</x:f>
        <x:v>SMB</x:v>
      </x:c>
      <x:c r="U1208" t="str">
        <x:f>IF(I1208="Closed Won","Won",IF(I1208="Closed Lost","Lost","Open"))</x:f>
        <x:v>Lost</x:v>
      </x:c>
      <x:c r="V1208" s="22" t="n">
        <x:f>IF(U1208="Won",L1208*(1-M1208),0)</x:f>
        <x:v>0</x:v>
      </x:c>
      <x:c r="W1208" s="22" t="n">
        <x:f>IF(U1208="Open",L1208*N1208,0)</x:f>
        <x:v>0</x:v>
      </x:c>
      <x:c r="X1208" s="26" t="n">
        <x:f>IF(U1208="Open","",IFERROR(K1208-B1208,""))</x:f>
        <x:v>24</x:v>
      </x:c>
      <x:c r="Y1208" s="26" t="n">
        <x:f>IF(U1208="Open",Lookups!$B$2-B1208,X1208)</x:f>
        <x:v>24</x:v>
      </x:c>
      <x:c r="Z1208" t="str">
        <x:f>IF(AND(U1208="Open",Y1208&gt;30),"STALE","OK")</x:f>
        <x:v>OK</x:v>
      </x:c>
      <x:c r="AA1208" t="str">
        <x:f>TEXT(B1208,"yyyy-mm")</x:f>
        <x:v>2026-03</x:v>
      </x:c>
      <x:c r="AB1208" t="str">
        <x:f>IF(K1208="","",TEXT(K1208,"yyyy-mm"))</x:f>
        <x:v>2026-04</x:v>
      </x:c>
      <x:c r="AC1208" t="str">
        <x:f>"Q"&amp;ROUNDUP(MONTH(B1208)/3,0)&amp;"-"&amp;YEAR(B1208)</x:f>
        <x:v>Q1-2026</x:v>
      </x:c>
      <x:c r="AD1208" s="26" t="n">
        <x:f>MIN(100,IF(H1208="Enterprise",30,IF(H1208="Mid-Market",22,14))+IF(T1208="Enterprise",25,IF(T1208="Mid-Market",18,10))+IF(Q1208="Referral",25,IF(Q1208="Organic Search",20,IF(Q1208="Email",18,14)))+IF(G1208="Technology",10,5))</x:f>
        <x:v>43</x:v>
      </x:c>
      <x:c r="AE1208" t="str">
        <x:f>IF(U1208&lt;&gt;"Open",U1208,IF(N1208&gt;=0.8,"Commit",IF(N1208&gt;=0.5,"Best Case","Pipeline")))</x:f>
        <x:v>Lost</x:v>
      </x:c>
    </x:row>
    <x:row r="1209">
      <x:c r="A1209" t="str">
        <x:v>L01208</x:v>
      </x:c>
      <x:c r="B1209" s="10" t="n">
        <x:v>46010</x:v>
      </x:c>
      <x:c r="C1209" t="str">
        <x:v>An Nguyen</x:v>
      </x:c>
      <x:c r="D1209" t="str">
        <x:v>South</x:v>
      </x:c>
      <x:c r="E1209" t="str">
        <x:v>customer referral</x:v>
      </x:c>
      <x:c r="F1209" t="str">
        <x:v>CRM-PRO</x:v>
      </x:c>
      <x:c r="G1209" t="str">
        <x:v>Manufacturing</x:v>
      </x:c>
      <x:c r="H1209" t="str">
        <x:v>SMB</x:v>
      </x:c>
      <x:c r="I1209" t="str">
        <x:v>Closed Lost</x:v>
      </x:c>
      <x:c r="J1209" s="10" t="n">
        <x:v>46054</x:v>
      </x:c>
      <x:c r="K1209" s="10" t="n">
        <x:v>46054</x:v>
      </x:c>
      <x:c r="L1209" s="22" t="n">
        <x:v>14800</x:v>
      </x:c>
      <x:c r="M1209" s="24" t="n">
        <x:v>0</x:v>
      </x:c>
      <x:c r="N1209" s="24" t="n">
        <x:v>0</x:v>
      </x:c>
      <x:c r="O1209" t="str">
        <x:v>Competitor</x:v>
      </x:c>
      <x:c r="P1209" t="n">
        <x:v>3</x:v>
      </x:c>
      <x:c r="Q1209" t="str">
        <x:f>IFERROR(XLOOKUP(E1209,Lookups!$A$5:$A$24,Lookups!$B$5:$B$24),"Other")</x:f>
        <x:v>Referral</x:v>
      </x:c>
      <x:c r="R1209" t="str">
        <x:f>IFERROR(XLOOKUP(F1209,Lookups!$D$5:$D$10,Lookups!$E$5:$E$10),"Unknown Product")</x:f>
        <x:v>NexaCRM Pro</x:v>
      </x:c>
      <x:c r="S1209" t="str">
        <x:f>IFERROR(XLOOKUP(F1209,Lookups!$D$5:$D$10,Lookups!$F$5:$F$10),"Unknown")</x:f>
        <x:v>CRM</x:v>
      </x:c>
      <x:c r="T1209" t="str">
        <x:f>IF(L1209&gt;=50000,"Enterprise",IF(L1209&gt;=20000,"Mid-Market","SMB"))</x:f>
        <x:v>SMB</x:v>
      </x:c>
      <x:c r="U1209" t="str">
        <x:f>IF(I1209="Closed Won","Won",IF(I1209="Closed Lost","Lost","Open"))</x:f>
        <x:v>Lost</x:v>
      </x:c>
      <x:c r="V1209" s="22" t="n">
        <x:f>IF(U1209="Won",L1209*(1-M1209),0)</x:f>
        <x:v>0</x:v>
      </x:c>
      <x:c r="W1209" s="22" t="n">
        <x:f>IF(U1209="Open",L1209*N1209,0)</x:f>
        <x:v>0</x:v>
      </x:c>
      <x:c r="X1209" s="26" t="n">
        <x:f>IF(U1209="Open","",IFERROR(K1209-B1209,""))</x:f>
        <x:v>44</x:v>
      </x:c>
      <x:c r="Y1209" s="26" t="n">
        <x:f>IF(U1209="Open",Lookups!$B$2-B1209,X1209)</x:f>
        <x:v>44</x:v>
      </x:c>
      <x:c r="Z1209" t="str">
        <x:f>IF(AND(U1209="Open",Y1209&gt;30),"STALE","OK")</x:f>
        <x:v>OK</x:v>
      </x:c>
      <x:c r="AA1209" t="str">
        <x:f>TEXT(B1209,"yyyy-mm")</x:f>
        <x:v>2025-12</x:v>
      </x:c>
      <x:c r="AB1209" t="str">
        <x:f>IF(K1209="","",TEXT(K1209,"yyyy-mm"))</x:f>
        <x:v>2026-02</x:v>
      </x:c>
      <x:c r="AC1209" t="str">
        <x:f>"Q"&amp;ROUNDUP(MONTH(B1209)/3,0)&amp;"-"&amp;YEAR(B1209)</x:f>
        <x:v>Q4-2025</x:v>
      </x:c>
      <x:c r="AD1209" s="26" t="n">
        <x:f>MIN(100,IF(H1209="Enterprise",30,IF(H1209="Mid-Market",22,14))+IF(T1209="Enterprise",25,IF(T1209="Mid-Market",18,10))+IF(Q1209="Referral",25,IF(Q1209="Organic Search",20,IF(Q1209="Email",18,14)))+IF(G1209="Technology",10,5))</x:f>
        <x:v>54</x:v>
      </x:c>
      <x:c r="AE1209" t="str">
        <x:f>IF(U1209&lt;&gt;"Open",U1209,IF(N1209&gt;=0.8,"Commit",IF(N1209&gt;=0.5,"Best Case","Pipeline")))</x:f>
        <x:v>Lost</x:v>
      </x:c>
    </x:row>
    <x:row r="1210">
      <x:c r="A1210" t="str">
        <x:v>L01209</x:v>
      </x:c>
      <x:c r="B1210" s="10" t="n">
        <x:v>46013</x:v>
      </x:c>
      <x:c r="C1210" t="str">
        <x:v>An Nguyen</x:v>
      </x:c>
      <x:c r="D1210" t="str">
        <x:v>South</x:v>
      </x:c>
      <x:c r="E1210" t="str">
        <x:v>SEM - Google</x:v>
      </x:c>
      <x:c r="F1210" t="str">
        <x:v>CS-CLOUD</x:v>
      </x:c>
      <x:c r="G1210" t="str">
        <x:v>Healthcare</x:v>
      </x:c>
      <x:c r="H1210" t="str">
        <x:v>SMB</x:v>
      </x:c>
      <x:c r="I1210" t="str">
        <x:v>Closed Lost</x:v>
      </x:c>
      <x:c r="J1210" s="10" t="n">
        <x:v>46065</x:v>
      </x:c>
      <x:c r="K1210" s="10" t="n">
        <x:v>46065</x:v>
      </x:c>
      <x:c r="L1210" s="22" t="n">
        <x:v>25300</x:v>
      </x:c>
      <x:c r="M1210" s="24" t="n">
        <x:v>0</x:v>
      </x:c>
      <x:c r="N1210" s="24" t="n">
        <x:v>0</x:v>
      </x:c>
      <x:c r="O1210" t="str">
        <x:v>Price</x:v>
      </x:c>
      <x:c r="P1210" t="n">
        <x:v>5</x:v>
      </x:c>
      <x:c r="Q1210" t="str">
        <x:f>IFERROR(XLOOKUP(E1210,Lookups!$A$5:$A$24,Lookups!$B$5:$B$24),"Other")</x:f>
        <x:v>Paid Search</x:v>
      </x:c>
      <x:c r="R1210" t="str">
        <x:f>IFERROR(XLOOKUP(F1210,Lookups!$D$5:$D$10,Lookups!$E$5:$E$10),"Unknown Product")</x:f>
        <x:v>Service Cloud</x:v>
      </x:c>
      <x:c r="S1210" t="str">
        <x:f>IFERROR(XLOOKUP(F1210,Lookups!$D$5:$D$10,Lookups!$F$5:$F$10),"Unknown")</x:f>
        <x:v>Customer Service</x:v>
      </x:c>
      <x:c r="T1210" t="str">
        <x:f>IF(L1210&gt;=50000,"Enterprise",IF(L1210&gt;=20000,"Mid-Market","SMB"))</x:f>
        <x:v>Mid-Market</x:v>
      </x:c>
      <x:c r="U1210" t="str">
        <x:f>IF(I1210="Closed Won","Won",IF(I1210="Closed Lost","Lost","Open"))</x:f>
        <x:v>Lost</x:v>
      </x:c>
      <x:c r="V1210" s="22" t="n">
        <x:f>IF(U1210="Won",L1210*(1-M1210),0)</x:f>
        <x:v>0</x:v>
      </x:c>
      <x:c r="W1210" s="22" t="n">
        <x:f>IF(U1210="Open",L1210*N1210,0)</x:f>
        <x:v>0</x:v>
      </x:c>
      <x:c r="X1210" s="26" t="n">
        <x:f>IF(U1210="Open","",IFERROR(K1210-B1210,""))</x:f>
        <x:v>52</x:v>
      </x:c>
      <x:c r="Y1210" s="26" t="n">
        <x:f>IF(U1210="Open",Lookups!$B$2-B1210,X1210)</x:f>
        <x:v>52</x:v>
      </x:c>
      <x:c r="Z1210" t="str">
        <x:f>IF(AND(U1210="Open",Y1210&gt;30),"STALE","OK")</x:f>
        <x:v>OK</x:v>
      </x:c>
      <x:c r="AA1210" t="str">
        <x:f>TEXT(B1210,"yyyy-mm")</x:f>
        <x:v>2025-12</x:v>
      </x:c>
      <x:c r="AB1210" t="str">
        <x:f>IF(K1210="","",TEXT(K1210,"yyyy-mm"))</x:f>
        <x:v>2026-02</x:v>
      </x:c>
      <x:c r="AC1210" t="str">
        <x:f>"Q"&amp;ROUNDUP(MONTH(B1210)/3,0)&amp;"-"&amp;YEAR(B1210)</x:f>
        <x:v>Q4-2025</x:v>
      </x:c>
      <x:c r="AD1210" s="26" t="n">
        <x:f>MIN(100,IF(H1210="Enterprise",30,IF(H1210="Mid-Market",22,14))+IF(T1210="Enterprise",25,IF(T1210="Mid-Market",18,10))+IF(Q1210="Referral",25,IF(Q1210="Organic Search",20,IF(Q1210="Email",18,14)))+IF(G1210="Technology",10,5))</x:f>
        <x:v>51</x:v>
      </x:c>
      <x:c r="AE1210" t="str">
        <x:f>IF(U1210&lt;&gt;"Open",U1210,IF(N1210&gt;=0.8,"Commit",IF(N1210&gt;=0.5,"Best Case","Pipeline")))</x:f>
        <x:v>Lost</x:v>
      </x:c>
    </x:row>
    <x:row r="1211">
      <x:c r="A1211" t="str">
        <x:v>L01210</x:v>
      </x:c>
      <x:c r="B1211" s="10" t="n">
        <x:v>45792</x:v>
      </x:c>
      <x:c r="C1211" t="str">
        <x:v>Bao Tran</x:v>
      </x:c>
      <x:c r="D1211" t="str">
        <x:v>South</x:v>
      </x:c>
      <x:c r="E1211" t="str">
        <x:v>virtual event</x:v>
      </x:c>
      <x:c r="F1211" t="str">
        <x:v>BI-PLUS</x:v>
      </x:c>
      <x:c r="G1211" t="str">
        <x:v>Manufacturing</x:v>
      </x:c>
      <x:c r="H1211" t="str">
        <x:v>Mid-Market</x:v>
      </x:c>
      <x:c r="I1211" t="str">
        <x:v>Negotiation</x:v>
      </x:c>
      <x:c r="J1211" s="10" t="n">
        <x:v>45974</x:v>
      </x:c>
      <x:c r="K1211" s="10"/>
      <x:c r="L1211" s="22" t="n">
        <x:v>41100</x:v>
      </x:c>
      <x:c r="M1211" s="24" t="n">
        <x:v>0</x:v>
      </x:c>
      <x:c r="N1211" s="24" t="n">
        <x:v>0.85</x:v>
      </x:c>
      <x:c r="O1211" t="str"/>
      <x:c r="P1211" t="n">
        <x:v>5</x:v>
      </x:c>
      <x:c r="Q1211" t="str">
        <x:f>IFERROR(XLOOKUP(E1211,Lookups!$A$5:$A$24,Lookups!$B$5:$B$24),"Other")</x:f>
        <x:v>Webinar</x:v>
      </x:c>
      <x:c r="R1211" t="str">
        <x:f>IFERROR(XLOOKUP(F1211,Lookups!$D$5:$D$10,Lookups!$E$5:$E$10),"Unknown Product")</x:f>
        <x:v>Analytics Plus</x:v>
      </x:c>
      <x:c r="S1211" t="str">
        <x:f>IFERROR(XLOOKUP(F1211,Lookups!$D$5:$D$10,Lookups!$F$5:$F$10),"Unknown")</x:f>
        <x:v>Analytics</x:v>
      </x:c>
      <x:c r="T1211" t="str">
        <x:f>IF(L1211&gt;=50000,"Enterprise",IF(L1211&gt;=20000,"Mid-Market","SMB"))</x:f>
        <x:v>Mid-Market</x:v>
      </x:c>
      <x:c r="U1211" t="str">
        <x:f>IF(I1211="Closed Won","Won",IF(I1211="Closed Lost","Lost","Open"))</x:f>
        <x:v>Open</x:v>
      </x:c>
      <x:c r="V1211" s="22" t="n">
        <x:f>IF(U1211="Won",L1211*(1-M1211),0)</x:f>
        <x:v>0</x:v>
      </x:c>
      <x:c r="W1211" s="22" t="n">
        <x:f>IF(U1211="Open",L1211*N1211,0)</x:f>
        <x:v>34935</x:v>
      </x:c>
      <x:c r="X1211" s="26" t="str">
        <x:f>IF(U1211="Open","",IFERROR(K1211-B1211,""))</x:f>
      </x:c>
      <x:c r="Y1211" s="26" t="n">
        <x:f>IF(U1211="Open",Lookups!$B$2-B1211,X1211)</x:f>
        <x:v>474</x:v>
      </x:c>
      <x:c r="Z1211" t="str">
        <x:f>IF(AND(U1211="Open",Y1211&gt;30),"STALE","OK")</x:f>
        <x:v>STALE</x:v>
      </x:c>
      <x:c r="AA1211" t="str">
        <x:f>TEXT(B1211,"yyyy-mm")</x:f>
        <x:v>2025-05</x:v>
      </x:c>
      <x:c r="AB1211" t="str">
        <x:f>IF(K1211="","",TEXT(K1211,"yyyy-mm"))</x:f>
      </x:c>
      <x:c r="AC1211" t="str">
        <x:f>"Q"&amp;ROUNDUP(MONTH(B1211)/3,0)&amp;"-"&amp;YEAR(B1211)</x:f>
        <x:v>Q2-2025</x:v>
      </x:c>
      <x:c r="AD1211" s="26" t="n">
        <x:f>MIN(100,IF(H1211="Enterprise",30,IF(H1211="Mid-Market",22,14))+IF(T1211="Enterprise",25,IF(T1211="Mid-Market",18,10))+IF(Q1211="Referral",25,IF(Q1211="Organic Search",20,IF(Q1211="Email",18,14)))+IF(G1211="Technology",10,5))</x:f>
        <x:v>59</x:v>
      </x:c>
      <x:c r="AE1211" t="str">
        <x:f>IF(U1211&lt;&gt;"Open",U1211,IF(N1211&gt;=0.8,"Commit",IF(N1211&gt;=0.5,"Best Case","Pipeline")))</x:f>
        <x:v>Commit</x:v>
      </x:c>
    </x:row>
    <x:row r="1212">
      <x:c r="A1212" t="str">
        <x:v>L01211</x:v>
      </x:c>
      <x:c r="B1212" s="10" t="n">
        <x:v>46049</x:v>
      </x:c>
      <x:c r="C1212" t="str">
        <x:v>Quynh Vu</x:v>
      </x:c>
      <x:c r="D1212" t="str">
        <x:v>North</x:v>
      </x:c>
      <x:c r="E1212" t="str">
        <x:v>LinkedIn Ads</x:v>
      </x:c>
      <x:c r="F1212" t="str">
        <x:v>CS-CLOUD</x:v>
      </x:c>
      <x:c r="G1212" t="str">
        <x:v>Technology</x:v>
      </x:c>
      <x:c r="H1212" t="str">
        <x:v>Mid-Market</x:v>
      </x:c>
      <x:c r="I1212" t="str">
        <x:v>Closed Lost</x:v>
      </x:c>
      <x:c r="J1212" s="10" t="n">
        <x:v>46094</x:v>
      </x:c>
      <x:c r="K1212" s="10" t="n">
        <x:v>46094</x:v>
      </x:c>
      <x:c r="L1212" s="22" t="n">
        <x:v>44800</x:v>
      </x:c>
      <x:c r="M1212" s="24" t="n">
        <x:v>0</x:v>
      </x:c>
      <x:c r="N1212" s="24" t="n">
        <x:v>0</x:v>
      </x:c>
      <x:c r="O1212" t="str">
        <x:v>Feature Gap</x:v>
      </x:c>
      <x:c r="P1212" t="n">
        <x:v>3</x:v>
      </x:c>
      <x:c r="Q1212" t="str">
        <x:f>IFERROR(XLOOKUP(E1212,Lookups!$A$5:$A$24,Lookups!$B$5:$B$24),"Other")</x:f>
        <x:v>LinkedIn</x:v>
      </x:c>
      <x:c r="R1212" t="str">
        <x:f>IFERROR(XLOOKUP(F1212,Lookups!$D$5:$D$10,Lookups!$E$5:$E$10),"Unknown Product")</x:f>
        <x:v>Service Cloud</x:v>
      </x:c>
      <x:c r="S1212" t="str">
        <x:f>IFERROR(XLOOKUP(F1212,Lookups!$D$5:$D$10,Lookups!$F$5:$F$10),"Unknown")</x:f>
        <x:v>Customer Service</x:v>
      </x:c>
      <x:c r="T1212" t="str">
        <x:f>IF(L1212&gt;=50000,"Enterprise",IF(L1212&gt;=20000,"Mid-Market","SMB"))</x:f>
        <x:v>Mid-Market</x:v>
      </x:c>
      <x:c r="U1212" t="str">
        <x:f>IF(I1212="Closed Won","Won",IF(I1212="Closed Lost","Lost","Open"))</x:f>
        <x:v>Lost</x:v>
      </x:c>
      <x:c r="V1212" s="22" t="n">
        <x:f>IF(U1212="Won",L1212*(1-M1212),0)</x:f>
        <x:v>0</x:v>
      </x:c>
      <x:c r="W1212" s="22" t="n">
        <x:f>IF(U1212="Open",L1212*N1212,0)</x:f>
        <x:v>0</x:v>
      </x:c>
      <x:c r="X1212" s="26" t="n">
        <x:f>IF(U1212="Open","",IFERROR(K1212-B1212,""))</x:f>
        <x:v>45</x:v>
      </x:c>
      <x:c r="Y1212" s="26" t="n">
        <x:f>IF(U1212="Open",Lookups!$B$2-B1212,X1212)</x:f>
        <x:v>45</x:v>
      </x:c>
      <x:c r="Z1212" t="str">
        <x:f>IF(AND(U1212="Open",Y1212&gt;30),"STALE","OK")</x:f>
        <x:v>OK</x:v>
      </x:c>
      <x:c r="AA1212" t="str">
        <x:f>TEXT(B1212,"yyyy-mm")</x:f>
        <x:v>2026-01</x:v>
      </x:c>
      <x:c r="AB1212" t="str">
        <x:f>IF(K1212="","",TEXT(K1212,"yyyy-mm"))</x:f>
        <x:v>2026-03</x:v>
      </x:c>
      <x:c r="AC1212" t="str">
        <x:f>"Q"&amp;ROUNDUP(MONTH(B1212)/3,0)&amp;"-"&amp;YEAR(B1212)</x:f>
        <x:v>Q1-2026</x:v>
      </x:c>
      <x:c r="AD1212" s="26" t="n">
        <x:f>MIN(100,IF(H1212="Enterprise",30,IF(H1212="Mid-Market",22,14))+IF(T1212="Enterprise",25,IF(T1212="Mid-Market",18,10))+IF(Q1212="Referral",25,IF(Q1212="Organic Search",20,IF(Q1212="Email",18,14)))+IF(G1212="Technology",10,5))</x:f>
        <x:v>64</x:v>
      </x:c>
      <x:c r="AE1212" t="str">
        <x:f>IF(U1212&lt;&gt;"Open",U1212,IF(N1212&gt;=0.8,"Commit",IF(N1212&gt;=0.5,"Best Case","Pipeline")))</x:f>
        <x:v>Lost</x:v>
      </x:c>
    </x:row>
    <x:row r="1213">
      <x:c r="A1213" t="str">
        <x:v>L01212</x:v>
      </x:c>
      <x:c r="B1213" s="10" t="n">
        <x:v>46121</x:v>
      </x:c>
      <x:c r="C1213" t="str">
        <x:v>Quynh Vu</x:v>
      </x:c>
      <x:c r="D1213" t="str">
        <x:v>North</x:v>
      </x:c>
      <x:c r="E1213" t="str">
        <x:v>SDR Outreach</x:v>
      </x:c>
      <x:c r="F1213" t="str">
        <x:v>CRM-CORE</x:v>
      </x:c>
      <x:c r="G1213" t="str">
        <x:v>Education</x:v>
      </x:c>
      <x:c r="H1213" t="str">
        <x:v>Mid-Market</x:v>
      </x:c>
      <x:c r="I1213" t="str">
        <x:v>Closed Won</x:v>
      </x:c>
      <x:c r="J1213" s="10" t="n">
        <x:v>46206</x:v>
      </x:c>
      <x:c r="K1213" s="10" t="n">
        <x:v>46206</x:v>
      </x:c>
      <x:c r="L1213" s="22" t="n">
        <x:v>8800</x:v>
      </x:c>
      <x:c r="M1213" s="24" t="n">
        <x:v>0.1</x:v>
      </x:c>
      <x:c r="N1213" s="24" t="n">
        <x:v>1</x:v>
      </x:c>
      <x:c r="O1213" t="str"/>
      <x:c r="P1213" t="n">
        <x:v>6</x:v>
      </x:c>
      <x:c r="Q1213" t="str">
        <x:f>IFERROR(XLOOKUP(E1213,Lookups!$A$5:$A$24,Lookups!$B$5:$B$24),"Other")</x:f>
        <x:v>Outbound</x:v>
      </x:c>
      <x:c r="R1213" t="str">
        <x:f>IFERROR(XLOOKUP(F1213,Lookups!$D$5:$D$10,Lookups!$E$5:$E$10),"Unknown Product")</x:f>
        <x:v>NexaCRM Core</x:v>
      </x:c>
      <x:c r="S1213" t="str">
        <x:f>IFERROR(XLOOKUP(F1213,Lookups!$D$5:$D$10,Lookups!$F$5:$F$10),"Unknown")</x:f>
        <x:v>CRM</x:v>
      </x:c>
      <x:c r="T1213" t="str">
        <x:f>IF(L1213&gt;=50000,"Enterprise",IF(L1213&gt;=20000,"Mid-Market","SMB"))</x:f>
        <x:v>SMB</x:v>
      </x:c>
      <x:c r="U1213" t="str">
        <x:f>IF(I1213="Closed Won","Won",IF(I1213="Closed Lost","Lost","Open"))</x:f>
        <x:v>Won</x:v>
      </x:c>
      <x:c r="V1213" s="22" t="n">
        <x:f>IF(U1213="Won",L1213*(1-M1213),0)</x:f>
        <x:v>7920</x:v>
      </x:c>
      <x:c r="W1213" s="22" t="n">
        <x:f>IF(U1213="Open",L1213*N1213,0)</x:f>
        <x:v>0</x:v>
      </x:c>
      <x:c r="X1213" s="26" t="n">
        <x:f>IF(U1213="Open","",IFERROR(K1213-B1213,""))</x:f>
        <x:v>85</x:v>
      </x:c>
      <x:c r="Y1213" s="26" t="n">
        <x:f>IF(U1213="Open",Lookups!$B$2-B1213,X1213)</x:f>
        <x:v>85</x:v>
      </x:c>
      <x:c r="Z1213" t="str">
        <x:f>IF(AND(U1213="Open",Y1213&gt;30),"STALE","OK")</x:f>
        <x:v>OK</x:v>
      </x:c>
      <x:c r="AA1213" t="str">
        <x:f>TEXT(B1213,"yyyy-mm")</x:f>
        <x:v>2026-04</x:v>
      </x:c>
      <x:c r="AB1213" t="str">
        <x:f>IF(K1213="","",TEXT(K1213,"yyyy-mm"))</x:f>
        <x:v>2026-07</x:v>
      </x:c>
      <x:c r="AC1213" t="str">
        <x:f>"Q"&amp;ROUNDUP(MONTH(B1213)/3,0)&amp;"-"&amp;YEAR(B1213)</x:f>
        <x:v>Q2-2026</x:v>
      </x:c>
      <x:c r="AD1213" s="26" t="n">
        <x:f>MIN(100,IF(H1213="Enterprise",30,IF(H1213="Mid-Market",22,14))+IF(T1213="Enterprise",25,IF(T1213="Mid-Market",18,10))+IF(Q1213="Referral",25,IF(Q1213="Organic Search",20,IF(Q1213="Email",18,14)))+IF(G1213="Technology",10,5))</x:f>
        <x:v>51</x:v>
      </x:c>
      <x:c r="AE1213" t="str">
        <x:f>IF(U1213&lt;&gt;"Open",U1213,IF(N1213&gt;=0.8,"Commit",IF(N1213&gt;=0.5,"Best Case","Pipeline")))</x:f>
        <x:v>Won</x:v>
      </x:c>
    </x:row>
    <x:row r="1214">
      <x:c r="A1214" t="str">
        <x:v>L01213</x:v>
      </x:c>
      <x:c r="B1214" s="10" t="n">
        <x:v>46057</x:v>
      </x:c>
      <x:c r="C1214" t="str">
        <x:v>Chi Le</x:v>
      </x:c>
      <x:c r="D1214" t="str">
        <x:v>South</x:v>
      </x:c>
      <x:c r="E1214" t="str">
        <x:v>Referral</x:v>
      </x:c>
      <x:c r="F1214" t="str">
        <x:v>CS-CLOUD</x:v>
      </x:c>
      <x:c r="G1214" t="str">
        <x:v>Healthcare</x:v>
      </x:c>
      <x:c r="H1214" t="str">
        <x:v>SMB</x:v>
      </x:c>
      <x:c r="I1214" t="str">
        <x:v>Closed Won</x:v>
      </x:c>
      <x:c r="J1214" s="10" t="n">
        <x:v>46077</x:v>
      </x:c>
      <x:c r="K1214" s="10" t="n">
        <x:v>46077</x:v>
      </x:c>
      <x:c r="L1214" s="22" t="n">
        <x:v>16500</x:v>
      </x:c>
      <x:c r="M1214" s="24" t="n">
        <x:v>0.05</x:v>
      </x:c>
      <x:c r="N1214" s="24" t="n">
        <x:v>1</x:v>
      </x:c>
      <x:c r="O1214" t="str"/>
      <x:c r="P1214" t="n">
        <x:v>6</x:v>
      </x:c>
      <x:c r="Q1214" t="str">
        <x:f>IFERROR(XLOOKUP(E1214,Lookups!$A$5:$A$24,Lookups!$B$5:$B$24),"Other")</x:f>
        <x:v>Referral</x:v>
      </x:c>
      <x:c r="R1214" t="str">
        <x:f>IFERROR(XLOOKUP(F1214,Lookups!$D$5:$D$10,Lookups!$E$5:$E$10),"Unknown Product")</x:f>
        <x:v>Service Cloud</x:v>
      </x:c>
      <x:c r="S1214" t="str">
        <x:f>IFERROR(XLOOKUP(F1214,Lookups!$D$5:$D$10,Lookups!$F$5:$F$10),"Unknown")</x:f>
        <x:v>Customer Service</x:v>
      </x:c>
      <x:c r="T1214" t="str">
        <x:f>IF(L1214&gt;=50000,"Enterprise",IF(L1214&gt;=20000,"Mid-Market","SMB"))</x:f>
        <x:v>SMB</x:v>
      </x:c>
      <x:c r="U1214" t="str">
        <x:f>IF(I1214="Closed Won","Won",IF(I1214="Closed Lost","Lost","Open"))</x:f>
        <x:v>Won</x:v>
      </x:c>
      <x:c r="V1214" s="22" t="n">
        <x:f>IF(U1214="Won",L1214*(1-M1214),0)</x:f>
        <x:v>15675</x:v>
      </x:c>
      <x:c r="W1214" s="22" t="n">
        <x:f>IF(U1214="Open",L1214*N1214,0)</x:f>
        <x:v>0</x:v>
      </x:c>
      <x:c r="X1214" s="26" t="n">
        <x:f>IF(U1214="Open","",IFERROR(K1214-B1214,""))</x:f>
        <x:v>20</x:v>
      </x:c>
      <x:c r="Y1214" s="26" t="n">
        <x:f>IF(U1214="Open",Lookups!$B$2-B1214,X1214)</x:f>
        <x:v>20</x:v>
      </x:c>
      <x:c r="Z1214" t="str">
        <x:f>IF(AND(U1214="Open",Y1214&gt;30),"STALE","OK")</x:f>
        <x:v>OK</x:v>
      </x:c>
      <x:c r="AA1214" t="str">
        <x:f>TEXT(B1214,"yyyy-mm")</x:f>
        <x:v>2026-02</x:v>
      </x:c>
      <x:c r="AB1214" t="str">
        <x:f>IF(K1214="","",TEXT(K1214,"yyyy-mm"))</x:f>
        <x:v>2026-02</x:v>
      </x:c>
      <x:c r="AC1214" t="str">
        <x:f>"Q"&amp;ROUNDUP(MONTH(B1214)/3,0)&amp;"-"&amp;YEAR(B1214)</x:f>
        <x:v>Q1-2026</x:v>
      </x:c>
      <x:c r="AD1214" s="26" t="n">
        <x:f>MIN(100,IF(H1214="Enterprise",30,IF(H1214="Mid-Market",22,14))+IF(T1214="Enterprise",25,IF(T1214="Mid-Market",18,10))+IF(Q1214="Referral",25,IF(Q1214="Organic Search",20,IF(Q1214="Email",18,14)))+IF(G1214="Technology",10,5))</x:f>
        <x:v>54</x:v>
      </x:c>
      <x:c r="AE1214" t="str">
        <x:f>IF(U1214&lt;&gt;"Open",U1214,IF(N1214&gt;=0.8,"Commit",IF(N1214&gt;=0.5,"Best Case","Pipeline")))</x:f>
        <x:v>Won</x:v>
      </x:c>
    </x:row>
    <x:row r="1215">
      <x:c r="A1215" t="str">
        <x:v>L01214</x:v>
      </x:c>
      <x:c r="B1215" s="10" t="n">
        <x:v>46244</x:v>
      </x:c>
      <x:c r="C1215" t="str">
        <x:v>Bao Tran</x:v>
      </x:c>
      <x:c r="D1215" t="str">
        <x:v>South</x:v>
      </x:c>
      <x:c r="E1215" t="str">
        <x:v>Outbound</x:v>
      </x:c>
      <x:c r="F1215" t="str">
        <x:v>CS-CLOUD</x:v>
      </x:c>
      <x:c r="G1215" t="str">
        <x:v>Manufacturing</x:v>
      </x:c>
      <x:c r="H1215" t="str">
        <x:v>SMB</x:v>
      </x:c>
      <x:c r="I1215" t="str">
        <x:v>New</x:v>
      </x:c>
      <x:c r="J1215" s="10" t="n">
        <x:v>46263</x:v>
      </x:c>
      <x:c r="K1215" s="10"/>
      <x:c r="L1215" s="22" t="n">
        <x:v>19000</x:v>
      </x:c>
      <x:c r="M1215" s="24" t="n">
        <x:v>0</x:v>
      </x:c>
      <x:c r="N1215" s="24" t="n">
        <x:v>0.05</x:v>
      </x:c>
      <x:c r="O1215" t="str"/>
      <x:c r="P1215" t="n">
        <x:v>1</x:v>
      </x:c>
      <x:c r="Q1215" t="str">
        <x:f>IFERROR(XLOOKUP(E1215,Lookups!$A$5:$A$24,Lookups!$B$5:$B$24),"Other")</x:f>
        <x:v>Outbound</x:v>
      </x:c>
      <x:c r="R1215" t="str">
        <x:f>IFERROR(XLOOKUP(F1215,Lookups!$D$5:$D$10,Lookups!$E$5:$E$10),"Unknown Product")</x:f>
        <x:v>Service Cloud</x:v>
      </x:c>
      <x:c r="S1215" t="str">
        <x:f>IFERROR(XLOOKUP(F1215,Lookups!$D$5:$D$10,Lookups!$F$5:$F$10),"Unknown")</x:f>
        <x:v>Customer Service</x:v>
      </x:c>
      <x:c r="T1215" t="str">
        <x:f>IF(L1215&gt;=50000,"Enterprise",IF(L1215&gt;=20000,"Mid-Market","SMB"))</x:f>
        <x:v>SMB</x:v>
      </x:c>
      <x:c r="U1215" t="str">
        <x:f>IF(I1215="Closed Won","Won",IF(I1215="Closed Lost","Lost","Open"))</x:f>
        <x:v>Open</x:v>
      </x:c>
      <x:c r="V1215" s="22" t="n">
        <x:f>IF(U1215="Won",L1215*(1-M1215),0)</x:f>
        <x:v>0</x:v>
      </x:c>
      <x:c r="W1215" s="22" t="n">
        <x:f>IF(U1215="Open",L1215*N1215,0)</x:f>
        <x:v>950</x:v>
      </x:c>
      <x:c r="X1215" s="26" t="str">
        <x:f>IF(U1215="Open","",IFERROR(K1215-B1215,""))</x:f>
      </x:c>
      <x:c r="Y1215" s="26" t="n">
        <x:f>IF(U1215="Open",Lookups!$B$2-B1215,X1215)</x:f>
        <x:v>22</x:v>
      </x:c>
      <x:c r="Z1215" t="str">
        <x:f>IF(AND(U1215="Open",Y1215&gt;30),"STALE","OK")</x:f>
        <x:v>OK</x:v>
      </x:c>
      <x:c r="AA1215" t="str">
        <x:f>TEXT(B1215,"yyyy-mm")</x:f>
        <x:v>2026-08</x:v>
      </x:c>
      <x:c r="AB1215" t="str">
        <x:f>IF(K1215="","",TEXT(K1215,"yyyy-mm"))</x:f>
      </x:c>
      <x:c r="AC1215" t="str">
        <x:f>"Q"&amp;ROUNDUP(MONTH(B1215)/3,0)&amp;"-"&amp;YEAR(B1215)</x:f>
        <x:v>Q3-2026</x:v>
      </x:c>
      <x:c r="AD1215" s="26" t="n">
        <x:f>MIN(100,IF(H1215="Enterprise",30,IF(H1215="Mid-Market",22,14))+IF(T1215="Enterprise",25,IF(T1215="Mid-Market",18,10))+IF(Q1215="Referral",25,IF(Q1215="Organic Search",20,IF(Q1215="Email",18,14)))+IF(G1215="Technology",10,5))</x:f>
        <x:v>43</x:v>
      </x:c>
      <x:c r="AE1215" t="str">
        <x:f>IF(U1215&lt;&gt;"Open",U1215,IF(N1215&gt;=0.8,"Commit",IF(N1215&gt;=0.5,"Best Case","Pipeline")))</x:f>
        <x:v>Pipeline</x:v>
      </x:c>
    </x:row>
    <x:row r="1216">
      <x:c r="A1216" t="str">
        <x:v>L01215</x:v>
      </x:c>
      <x:c r="B1216" s="10" t="n">
        <x:v>46185</x:v>
      </x:c>
      <x:c r="C1216" t="str">
        <x:v>Duy Pham</x:v>
      </x:c>
      <x:c r="D1216" t="str">
        <x:v>South</x:v>
      </x:c>
      <x:c r="E1216" t="str">
        <x:v>SEM - Google</x:v>
      </x:c>
      <x:c r="F1216" t="str">
        <x:v>CS-CLOUD</x:v>
      </x:c>
      <x:c r="G1216" t="str">
        <x:v>Financial Services</x:v>
      </x:c>
      <x:c r="H1216" t="str">
        <x:v>Mid-Market</x:v>
      </x:c>
      <x:c r="I1216" t="str">
        <x:v>Closed Lost</x:v>
      </x:c>
      <x:c r="J1216" s="10" t="n">
        <x:v>46218</x:v>
      </x:c>
      <x:c r="K1216" s="10" t="n">
        <x:v>46218</x:v>
      </x:c>
      <x:c r="L1216" s="22" t="n">
        <x:v>24900</x:v>
      </x:c>
      <x:c r="M1216" s="24" t="n">
        <x:v>0</x:v>
      </x:c>
      <x:c r="N1216" s="24" t="n">
        <x:v>0</x:v>
      </x:c>
      <x:c r="O1216" t="str">
        <x:v>Budget</x:v>
      </x:c>
      <x:c r="P1216" t="n">
        <x:v>2</x:v>
      </x:c>
      <x:c r="Q1216" t="str">
        <x:f>IFERROR(XLOOKUP(E1216,Lookups!$A$5:$A$24,Lookups!$B$5:$B$24),"Other")</x:f>
        <x:v>Paid Search</x:v>
      </x:c>
      <x:c r="R1216" t="str">
        <x:f>IFERROR(XLOOKUP(F1216,Lookups!$D$5:$D$10,Lookups!$E$5:$E$10),"Unknown Product")</x:f>
        <x:v>Service Cloud</x:v>
      </x:c>
      <x:c r="S1216" t="str">
        <x:f>IFERROR(XLOOKUP(F1216,Lookups!$D$5:$D$10,Lookups!$F$5:$F$10),"Unknown")</x:f>
        <x:v>Customer Service</x:v>
      </x:c>
      <x:c r="T1216" t="str">
        <x:f>IF(L1216&gt;=50000,"Enterprise",IF(L1216&gt;=20000,"Mid-Market","SMB"))</x:f>
        <x:v>Mid-Market</x:v>
      </x:c>
      <x:c r="U1216" t="str">
        <x:f>IF(I1216="Closed Won","Won",IF(I1216="Closed Lost","Lost","Open"))</x:f>
        <x:v>Lost</x:v>
      </x:c>
      <x:c r="V1216" s="22" t="n">
        <x:f>IF(U1216="Won",L1216*(1-M1216),0)</x:f>
        <x:v>0</x:v>
      </x:c>
      <x:c r="W1216" s="22" t="n">
        <x:f>IF(U1216="Open",L1216*N1216,0)</x:f>
        <x:v>0</x:v>
      </x:c>
      <x:c r="X1216" s="26" t="n">
        <x:f>IF(U1216="Open","",IFERROR(K1216-B1216,""))</x:f>
        <x:v>33</x:v>
      </x:c>
      <x:c r="Y1216" s="26" t="n">
        <x:f>IF(U1216="Open",Lookups!$B$2-B1216,X1216)</x:f>
        <x:v>33</x:v>
      </x:c>
      <x:c r="Z1216" t="str">
        <x:f>IF(AND(U1216="Open",Y1216&gt;30),"STALE","OK")</x:f>
        <x:v>OK</x:v>
      </x:c>
      <x:c r="AA1216" t="str">
        <x:f>TEXT(B1216,"yyyy-mm")</x:f>
        <x:v>2026-06</x:v>
      </x:c>
      <x:c r="AB1216" t="str">
        <x:f>IF(K1216="","",TEXT(K1216,"yyyy-mm"))</x:f>
        <x:v>2026-07</x:v>
      </x:c>
      <x:c r="AC1216" t="str">
        <x:f>"Q"&amp;ROUNDUP(MONTH(B1216)/3,0)&amp;"-"&amp;YEAR(B1216)</x:f>
        <x:v>Q2-2026</x:v>
      </x:c>
      <x:c r="AD1216" s="26" t="n">
        <x:f>MIN(100,IF(H1216="Enterprise",30,IF(H1216="Mid-Market",22,14))+IF(T1216="Enterprise",25,IF(T1216="Mid-Market",18,10))+IF(Q1216="Referral",25,IF(Q1216="Organic Search",20,IF(Q1216="Email",18,14)))+IF(G1216="Technology",10,5))</x:f>
        <x:v>59</x:v>
      </x:c>
      <x:c r="AE1216" t="str">
        <x:f>IF(U1216&lt;&gt;"Open",U1216,IF(N1216&gt;=0.8,"Commit",IF(N1216&gt;=0.5,"Best Case","Pipeline")))</x:f>
        <x:v>Lost</x:v>
      </x:c>
    </x:row>
    <x:row r="1217">
      <x:c r="A1217" t="str">
        <x:v>L01216</x:v>
      </x:c>
      <x:c r="B1217" s="10" t="n">
        <x:v>45967</x:v>
      </x:c>
      <x:c r="C1217" t="str">
        <x:v>An Nguyen</x:v>
      </x:c>
      <x:c r="D1217" t="str">
        <x:v>South</x:v>
      </x:c>
      <x:c r="E1217" t="str">
        <x:v>organic search</x:v>
      </x:c>
      <x:c r="F1217" t="str">
        <x:v>CS-CLOUD</x:v>
      </x:c>
      <x:c r="G1217" t="str">
        <x:v>Education</x:v>
      </x:c>
      <x:c r="H1217" t="str">
        <x:v>Mid-Market</x:v>
      </x:c>
      <x:c r="I1217" t="str">
        <x:v>Negotiation</x:v>
      </x:c>
      <x:c r="J1217" s="10" t="n">
        <x:v>46196</x:v>
      </x:c>
      <x:c r="K1217" s="10"/>
      <x:c r="L1217" s="22" t="n">
        <x:v>46800</x:v>
      </x:c>
      <x:c r="M1217" s="24" t="n">
        <x:v>0</x:v>
      </x:c>
      <x:c r="N1217" s="24" t="n">
        <x:v>0.85</x:v>
      </x:c>
      <x:c r="O1217" t="str"/>
      <x:c r="P1217" t="n">
        <x:v>5</x:v>
      </x:c>
      <x:c r="Q1217" t="str">
        <x:f>IFERROR(XLOOKUP(E1217,Lookups!$A$5:$A$24,Lookups!$B$5:$B$24),"Other")</x:f>
        <x:v>Organic Search</x:v>
      </x:c>
      <x:c r="R1217" t="str">
        <x:f>IFERROR(XLOOKUP(F1217,Lookups!$D$5:$D$10,Lookups!$E$5:$E$10),"Unknown Product")</x:f>
        <x:v>Service Cloud</x:v>
      </x:c>
      <x:c r="S1217" t="str">
        <x:f>IFERROR(XLOOKUP(F1217,Lookups!$D$5:$D$10,Lookups!$F$5:$F$10),"Unknown")</x:f>
        <x:v>Customer Service</x:v>
      </x:c>
      <x:c r="T1217" t="str">
        <x:f>IF(L1217&gt;=50000,"Enterprise",IF(L1217&gt;=20000,"Mid-Market","SMB"))</x:f>
        <x:v>Mid-Market</x:v>
      </x:c>
      <x:c r="U1217" t="str">
        <x:f>IF(I1217="Closed Won","Won",IF(I1217="Closed Lost","Lost","Open"))</x:f>
        <x:v>Open</x:v>
      </x:c>
      <x:c r="V1217" s="22" t="n">
        <x:f>IF(U1217="Won",L1217*(1-M1217),0)</x:f>
        <x:v>0</x:v>
      </x:c>
      <x:c r="W1217" s="22" t="n">
        <x:f>IF(U1217="Open",L1217*N1217,0)</x:f>
        <x:v>39780</x:v>
      </x:c>
      <x:c r="X1217" s="26" t="str">
        <x:f>IF(U1217="Open","",IFERROR(K1217-B1217,""))</x:f>
      </x:c>
      <x:c r="Y1217" s="26" t="n">
        <x:f>IF(U1217="Open",Lookups!$B$2-B1217,X1217)</x:f>
        <x:v>299</x:v>
      </x:c>
      <x:c r="Z1217" t="str">
        <x:f>IF(AND(U1217="Open",Y1217&gt;30),"STALE","OK")</x:f>
        <x:v>STALE</x:v>
      </x:c>
      <x:c r="AA1217" t="str">
        <x:f>TEXT(B1217,"yyyy-mm")</x:f>
        <x:v>2025-11</x:v>
      </x:c>
      <x:c r="AB1217" t="str">
        <x:f>IF(K1217="","",TEXT(K1217,"yyyy-mm"))</x:f>
      </x:c>
      <x:c r="AC1217" t="str">
        <x:f>"Q"&amp;ROUNDUP(MONTH(B1217)/3,0)&amp;"-"&amp;YEAR(B1217)</x:f>
        <x:v>Q4-2025</x:v>
      </x:c>
      <x:c r="AD1217" s="26" t="n">
        <x:f>MIN(100,IF(H1217="Enterprise",30,IF(H1217="Mid-Market",22,14))+IF(T1217="Enterprise",25,IF(T1217="Mid-Market",18,10))+IF(Q1217="Referral",25,IF(Q1217="Organic Search",20,IF(Q1217="Email",18,14)))+IF(G1217="Technology",10,5))</x:f>
        <x:v>65</x:v>
      </x:c>
      <x:c r="AE1217" t="str">
        <x:f>IF(U1217&lt;&gt;"Open",U1217,IF(N1217&gt;=0.8,"Commit",IF(N1217&gt;=0.5,"Best Case","Pipeline")))</x:f>
        <x:v>Commit</x:v>
      </x:c>
    </x:row>
    <x:row r="1218">
      <x:c r="A1218" t="str">
        <x:v>L01217</x:v>
      </x:c>
      <x:c r="B1218" s="10" t="n">
        <x:v>46033</x:v>
      </x:c>
      <x:c r="C1218" t="str">
        <x:v>Chi Le</x:v>
      </x:c>
      <x:c r="D1218" t="str">
        <x:v>South</x:v>
      </x:c>
      <x:c r="E1218" t="str">
        <x:v>Outbound</x:v>
      </x:c>
      <x:c r="F1218" t="str">
        <x:v>REV-OPS</x:v>
      </x:c>
      <x:c r="G1218" t="str">
        <x:v>Retail</x:v>
      </x:c>
      <x:c r="H1218" t="str">
        <x:v>Enterprise</x:v>
      </x:c>
      <x:c r="I1218" t="str">
        <x:v>Negotiation</x:v>
      </x:c>
      <x:c r="J1218" s="10" t="n">
        <x:v>46218</x:v>
      </x:c>
      <x:c r="K1218" s="10"/>
      <x:c r="L1218" s="22" t="n">
        <x:v>145800</x:v>
      </x:c>
      <x:c r="M1218" s="24" t="n">
        <x:v>0.03</x:v>
      </x:c>
      <x:c r="N1218" s="24" t="n">
        <x:v>0.85</x:v>
      </x:c>
      <x:c r="O1218" t="str"/>
      <x:c r="P1218" t="n">
        <x:v>5</x:v>
      </x:c>
      <x:c r="Q1218" t="str">
        <x:f>IFERROR(XLOOKUP(E1218,Lookups!$A$5:$A$24,Lookups!$B$5:$B$24),"Other")</x:f>
        <x:v>Outbound</x:v>
      </x:c>
      <x:c r="R1218" t="str">
        <x:f>IFERROR(XLOOKUP(F1218,Lookups!$D$5:$D$10,Lookups!$E$5:$E$10),"Unknown Product")</x:f>
        <x:v>Revenue Operations Suite</x:v>
      </x:c>
      <x:c r="S1218" t="str">
        <x:f>IFERROR(XLOOKUP(F1218,Lookups!$D$5:$D$10,Lookups!$F$5:$F$10),"Unknown")</x:f>
        <x:v>Revenue Ops</x:v>
      </x:c>
      <x:c r="T1218" t="str">
        <x:f>IF(L1218&gt;=50000,"Enterprise",IF(L1218&gt;=20000,"Mid-Market","SMB"))</x:f>
        <x:v>Enterprise</x:v>
      </x:c>
      <x:c r="U1218" t="str">
        <x:f>IF(I1218="Closed Won","Won",IF(I1218="Closed Lost","Lost","Open"))</x:f>
        <x:v>Open</x:v>
      </x:c>
      <x:c r="V1218" s="22" t="n">
        <x:f>IF(U1218="Won",L1218*(1-M1218),0)</x:f>
        <x:v>0</x:v>
      </x:c>
      <x:c r="W1218" s="22" t="n">
        <x:f>IF(U1218="Open",L1218*N1218,0)</x:f>
        <x:v>123930</x:v>
      </x:c>
      <x:c r="X1218" s="26" t="str">
        <x:f>IF(U1218="Open","",IFERROR(K1218-B1218,""))</x:f>
      </x:c>
      <x:c r="Y1218" s="26" t="n">
        <x:f>IF(U1218="Open",Lookups!$B$2-B1218,X1218)</x:f>
        <x:v>233</x:v>
      </x:c>
      <x:c r="Z1218" t="str">
        <x:f>IF(AND(U1218="Open",Y1218&gt;30),"STALE","OK")</x:f>
        <x:v>STALE</x:v>
      </x:c>
      <x:c r="AA1218" t="str">
        <x:f>TEXT(B1218,"yyyy-mm")</x:f>
        <x:v>2026-01</x:v>
      </x:c>
      <x:c r="AB1218" t="str">
        <x:f>IF(K1218="","",TEXT(K1218,"yyyy-mm"))</x:f>
      </x:c>
      <x:c r="AC1218" t="str">
        <x:f>"Q"&amp;ROUNDUP(MONTH(B1218)/3,0)&amp;"-"&amp;YEAR(B1218)</x:f>
        <x:v>Q1-2026</x:v>
      </x:c>
      <x:c r="AD1218" s="26" t="n">
        <x:f>MIN(100,IF(H1218="Enterprise",30,IF(H1218="Mid-Market",22,14))+IF(T1218="Enterprise",25,IF(T1218="Mid-Market",18,10))+IF(Q1218="Referral",25,IF(Q1218="Organic Search",20,IF(Q1218="Email",18,14)))+IF(G1218="Technology",10,5))</x:f>
        <x:v>74</x:v>
      </x:c>
      <x:c r="AE1218" t="str">
        <x:f>IF(U1218&lt;&gt;"Open",U1218,IF(N1218&gt;=0.8,"Commit",IF(N1218&gt;=0.5,"Best Case","Pipeline")))</x:f>
        <x:v>Commit</x:v>
      </x:c>
    </x:row>
    <x:row r="1219">
      <x:c r="A1219" t="str">
        <x:v>L01218</x:v>
      </x:c>
      <x:c r="B1219" s="10" t="n">
        <x:v>46112</x:v>
      </x:c>
      <x:c r="C1219" t="str">
        <x:v>Duy Pham</x:v>
      </x:c>
      <x:c r="D1219" t="str">
        <x:v>South</x:v>
      </x:c>
      <x:c r="E1219" t="str">
        <x:v>linkedin</x:v>
      </x:c>
      <x:c r="F1219" t="str">
        <x:v>CRM-PRO</x:v>
      </x:c>
      <x:c r="G1219" t="str">
        <x:v>Manufacturing</x:v>
      </x:c>
      <x:c r="H1219" t="str">
        <x:v>SMB</x:v>
      </x:c>
      <x:c r="I1219" t="str">
        <x:v>Closed Lost</x:v>
      </x:c>
      <x:c r="J1219" s="10" t="n">
        <x:v>46134</x:v>
      </x:c>
      <x:c r="K1219" s="10" t="n">
        <x:v>46134</x:v>
      </x:c>
      <x:c r="L1219" s="22" t="n">
        <x:v>22900</x:v>
      </x:c>
      <x:c r="M1219" s="24" t="n">
        <x:v>0</x:v>
      </x:c>
      <x:c r="N1219" s="24" t="n">
        <x:v>0</x:v>
      </x:c>
      <x:c r="O1219" t="str">
        <x:v>Timing</x:v>
      </x:c>
      <x:c r="P1219" t="n">
        <x:v>3</x:v>
      </x:c>
      <x:c r="Q1219" t="str">
        <x:f>IFERROR(XLOOKUP(E1219,Lookups!$A$5:$A$24,Lookups!$B$5:$B$24),"Other")</x:f>
        <x:v>LinkedIn</x:v>
      </x:c>
      <x:c r="R1219" t="str">
        <x:f>IFERROR(XLOOKUP(F1219,Lookups!$D$5:$D$10,Lookups!$E$5:$E$10),"Unknown Product")</x:f>
        <x:v>NexaCRM Pro</x:v>
      </x:c>
      <x:c r="S1219" t="str">
        <x:f>IFERROR(XLOOKUP(F1219,Lookups!$D$5:$D$10,Lookups!$F$5:$F$10),"Unknown")</x:f>
        <x:v>CRM</x:v>
      </x:c>
      <x:c r="T1219" t="str">
        <x:f>IF(L1219&gt;=50000,"Enterprise",IF(L1219&gt;=20000,"Mid-Market","SMB"))</x:f>
        <x:v>Mid-Market</x:v>
      </x:c>
      <x:c r="U1219" t="str">
        <x:f>IF(I1219="Closed Won","Won",IF(I1219="Closed Lost","Lost","Open"))</x:f>
        <x:v>Lost</x:v>
      </x:c>
      <x:c r="V1219" s="22" t="n">
        <x:f>IF(U1219="Won",L1219*(1-M1219),0)</x:f>
        <x:v>0</x:v>
      </x:c>
      <x:c r="W1219" s="22" t="n">
        <x:f>IF(U1219="Open",L1219*N1219,0)</x:f>
        <x:v>0</x:v>
      </x:c>
      <x:c r="X1219" s="26" t="n">
        <x:f>IF(U1219="Open","",IFERROR(K1219-B1219,""))</x:f>
        <x:v>22</x:v>
      </x:c>
      <x:c r="Y1219" s="26" t="n">
        <x:f>IF(U1219="Open",Lookups!$B$2-B1219,X1219)</x:f>
        <x:v>22</x:v>
      </x:c>
      <x:c r="Z1219" t="str">
        <x:f>IF(AND(U1219="Open",Y1219&gt;30),"STALE","OK")</x:f>
        <x:v>OK</x:v>
      </x:c>
      <x:c r="AA1219" t="str">
        <x:f>TEXT(B1219,"yyyy-mm")</x:f>
        <x:v>2026-03</x:v>
      </x:c>
      <x:c r="AB1219" t="str">
        <x:f>IF(K1219="","",TEXT(K1219,"yyyy-mm"))</x:f>
        <x:v>2026-04</x:v>
      </x:c>
      <x:c r="AC1219" t="str">
        <x:f>"Q"&amp;ROUNDUP(MONTH(B1219)/3,0)&amp;"-"&amp;YEAR(B1219)</x:f>
        <x:v>Q1-2026</x:v>
      </x:c>
      <x:c r="AD1219" s="26" t="n">
        <x:f>MIN(100,IF(H1219="Enterprise",30,IF(H1219="Mid-Market",22,14))+IF(T1219="Enterprise",25,IF(T1219="Mid-Market",18,10))+IF(Q1219="Referral",25,IF(Q1219="Organic Search",20,IF(Q1219="Email",18,14)))+IF(G1219="Technology",10,5))</x:f>
        <x:v>51</x:v>
      </x:c>
      <x:c r="AE1219" t="str">
        <x:f>IF(U1219&lt;&gt;"Open",U1219,IF(N1219&gt;=0.8,"Commit",IF(N1219&gt;=0.5,"Best Case","Pipeline")))</x:f>
        <x:v>Lost</x:v>
      </x:c>
    </x:row>
    <x:row r="1220">
      <x:c r="A1220" t="str">
        <x:v>L01219</x:v>
      </x:c>
      <x:c r="B1220" s="10" t="n">
        <x:v>45949</x:v>
      </x:c>
      <x:c r="C1220" t="str">
        <x:v>Minh Do</x:v>
      </x:c>
      <x:c r="D1220" t="str">
        <x:v>North</x:v>
      </x:c>
      <x:c r="E1220" t="str">
        <x:v>LinkedIn Ads</x:v>
      </x:c>
      <x:c r="F1220" t="str">
        <x:v>BI-PLUS</x:v>
      </x:c>
      <x:c r="G1220" t="str">
        <x:v>Education</x:v>
      </x:c>
      <x:c r="H1220" t="str">
        <x:v>Mid-Market</x:v>
      </x:c>
      <x:c r="I1220" t="str">
        <x:v>Closed Lost</x:v>
      </x:c>
      <x:c r="J1220" s="10" t="n">
        <x:v>45981</x:v>
      </x:c>
      <x:c r="K1220" s="10" t="n">
        <x:v>45981</x:v>
      </x:c>
      <x:c r="L1220" s="22" t="n">
        <x:v>24000</x:v>
      </x:c>
      <x:c r="M1220" s="24" t="n">
        <x:v>0</x:v>
      </x:c>
      <x:c r="N1220" s="24" t="n">
        <x:v>0</x:v>
      </x:c>
      <x:c r="O1220" t="str">
        <x:v>Competitor</x:v>
      </x:c>
      <x:c r="P1220" t="n">
        <x:v>4</x:v>
      </x:c>
      <x:c r="Q1220" t="str">
        <x:f>IFERROR(XLOOKUP(E1220,Lookups!$A$5:$A$24,Lookups!$B$5:$B$24),"Other")</x:f>
        <x:v>LinkedIn</x:v>
      </x:c>
      <x:c r="R1220" t="str">
        <x:f>IFERROR(XLOOKUP(F1220,Lookups!$D$5:$D$10,Lookups!$E$5:$E$10),"Unknown Product")</x:f>
        <x:v>Analytics Plus</x:v>
      </x:c>
      <x:c r="S1220" t="str">
        <x:f>IFERROR(XLOOKUP(F1220,Lookups!$D$5:$D$10,Lookups!$F$5:$F$10),"Unknown")</x:f>
        <x:v>Analytics</x:v>
      </x:c>
      <x:c r="T1220" t="str">
        <x:f>IF(L1220&gt;=50000,"Enterprise",IF(L1220&gt;=20000,"Mid-Market","SMB"))</x:f>
        <x:v>Mid-Market</x:v>
      </x:c>
      <x:c r="U1220" t="str">
        <x:f>IF(I1220="Closed Won","Won",IF(I1220="Closed Lost","Lost","Open"))</x:f>
        <x:v>Lost</x:v>
      </x:c>
      <x:c r="V1220" s="22" t="n">
        <x:f>IF(U1220="Won",L1220*(1-M1220),0)</x:f>
        <x:v>0</x:v>
      </x:c>
      <x:c r="W1220" s="22" t="n">
        <x:f>IF(U1220="Open",L1220*N1220,0)</x:f>
        <x:v>0</x:v>
      </x:c>
      <x:c r="X1220" s="26" t="n">
        <x:f>IF(U1220="Open","",IFERROR(K1220-B1220,""))</x:f>
        <x:v>32</x:v>
      </x:c>
      <x:c r="Y1220" s="26" t="n">
        <x:f>IF(U1220="Open",Lookups!$B$2-B1220,X1220)</x:f>
        <x:v>32</x:v>
      </x:c>
      <x:c r="Z1220" t="str">
        <x:f>IF(AND(U1220="Open",Y1220&gt;30),"STALE","OK")</x:f>
        <x:v>OK</x:v>
      </x:c>
      <x:c r="AA1220" t="str">
        <x:f>TEXT(B1220,"yyyy-mm")</x:f>
        <x:v>2025-10</x:v>
      </x:c>
      <x:c r="AB1220" t="str">
        <x:f>IF(K1220="","",TEXT(K1220,"yyyy-mm"))</x:f>
        <x:v>2025-11</x:v>
      </x:c>
      <x:c r="AC1220" t="str">
        <x:f>"Q"&amp;ROUNDUP(MONTH(B1220)/3,0)&amp;"-"&amp;YEAR(B1220)</x:f>
        <x:v>Q4-2025</x:v>
      </x:c>
      <x:c r="AD1220" s="26" t="n">
        <x:f>MIN(100,IF(H1220="Enterprise",30,IF(H1220="Mid-Market",22,14))+IF(T1220="Enterprise",25,IF(T1220="Mid-Market",18,10))+IF(Q1220="Referral",25,IF(Q1220="Organic Search",20,IF(Q1220="Email",18,14)))+IF(G1220="Technology",10,5))</x:f>
        <x:v>59</x:v>
      </x:c>
      <x:c r="AE1220" t="str">
        <x:f>IF(U1220&lt;&gt;"Open",U1220,IF(N1220&gt;=0.8,"Commit",IF(N1220&gt;=0.5,"Best Case","Pipeline")))</x:f>
        <x:v>Lost</x:v>
      </x:c>
    </x:row>
    <x:row r="1221">
      <x:c r="A1221" t="str">
        <x:v>L01220</x:v>
      </x:c>
      <x:c r="B1221" s="10" t="n">
        <x:v>45846</x:v>
      </x:c>
      <x:c r="C1221" t="str">
        <x:v>Quynh Vu</x:v>
      </x:c>
      <x:c r="D1221" t="str">
        <x:v>North</x:v>
      </x:c>
      <x:c r="E1221" t="str">
        <x:v>LinkedIn Ads</x:v>
      </x:c>
      <x:c r="F1221" t="str">
        <x:v>BI-PLUS</x:v>
      </x:c>
      <x:c r="G1221" t="str">
        <x:v>Financial Services</x:v>
      </x:c>
      <x:c r="H1221" t="str">
        <x:v>SMB</x:v>
      </x:c>
      <x:c r="I1221" t="str">
        <x:v>Closed Lost</x:v>
      </x:c>
      <x:c r="J1221" s="10" t="n">
        <x:v>45910</x:v>
      </x:c>
      <x:c r="K1221" s="10" t="n">
        <x:v>45910</x:v>
      </x:c>
      <x:c r="L1221" s="22" t="n">
        <x:v>12900</x:v>
      </x:c>
      <x:c r="M1221" s="24" t="n">
        <x:v>0</x:v>
      </x:c>
      <x:c r="N1221" s="24" t="n">
        <x:v>0</x:v>
      </x:c>
      <x:c r="O1221" t="str">
        <x:v>Feature Gap</x:v>
      </x:c>
      <x:c r="P1221" t="n">
        <x:v>2</x:v>
      </x:c>
      <x:c r="Q1221" t="str">
        <x:f>IFERROR(XLOOKUP(E1221,Lookups!$A$5:$A$24,Lookups!$B$5:$B$24),"Other")</x:f>
        <x:v>LinkedIn</x:v>
      </x:c>
      <x:c r="R1221" t="str">
        <x:f>IFERROR(XLOOKUP(F1221,Lookups!$D$5:$D$10,Lookups!$E$5:$E$10),"Unknown Product")</x:f>
        <x:v>Analytics Plus</x:v>
      </x:c>
      <x:c r="S1221" t="str">
        <x:f>IFERROR(XLOOKUP(F1221,Lookups!$D$5:$D$10,Lookups!$F$5:$F$10),"Unknown")</x:f>
        <x:v>Analytics</x:v>
      </x:c>
      <x:c r="T1221" t="str">
        <x:f>IF(L1221&gt;=50000,"Enterprise",IF(L1221&gt;=20000,"Mid-Market","SMB"))</x:f>
        <x:v>SMB</x:v>
      </x:c>
      <x:c r="U1221" t="str">
        <x:f>IF(I1221="Closed Won","Won",IF(I1221="Closed Lost","Lost","Open"))</x:f>
        <x:v>Lost</x:v>
      </x:c>
      <x:c r="V1221" s="22" t="n">
        <x:f>IF(U1221="Won",L1221*(1-M1221),0)</x:f>
        <x:v>0</x:v>
      </x:c>
      <x:c r="W1221" s="22" t="n">
        <x:f>IF(U1221="Open",L1221*N1221,0)</x:f>
        <x:v>0</x:v>
      </x:c>
      <x:c r="X1221" s="26" t="n">
        <x:f>IF(U1221="Open","",IFERROR(K1221-B1221,""))</x:f>
        <x:v>64</x:v>
      </x:c>
      <x:c r="Y1221" s="26" t="n">
        <x:f>IF(U1221="Open",Lookups!$B$2-B1221,X1221)</x:f>
        <x:v>64</x:v>
      </x:c>
      <x:c r="Z1221" t="str">
        <x:f>IF(AND(U1221="Open",Y1221&gt;30),"STALE","OK")</x:f>
        <x:v>OK</x:v>
      </x:c>
      <x:c r="AA1221" t="str">
        <x:f>TEXT(B1221,"yyyy-mm")</x:f>
        <x:v>2025-07</x:v>
      </x:c>
      <x:c r="AB1221" t="str">
        <x:f>IF(K1221="","",TEXT(K1221,"yyyy-mm"))</x:f>
        <x:v>2025-09</x:v>
      </x:c>
      <x:c r="AC1221" t="str">
        <x:f>"Q"&amp;ROUNDUP(MONTH(B1221)/3,0)&amp;"-"&amp;YEAR(B1221)</x:f>
        <x:v>Q3-2025</x:v>
      </x:c>
      <x:c r="AD1221" s="26" t="n">
        <x:f>MIN(100,IF(H1221="Enterprise",30,IF(H1221="Mid-Market",22,14))+IF(T1221="Enterprise",25,IF(T1221="Mid-Market",18,10))+IF(Q1221="Referral",25,IF(Q1221="Organic Search",20,IF(Q1221="Email",18,14)))+IF(G1221="Technology",10,5))</x:f>
        <x:v>43</x:v>
      </x:c>
      <x:c r="AE1221" t="str">
        <x:f>IF(U1221&lt;&gt;"Open",U1221,IF(N1221&gt;=0.8,"Commit",IF(N1221&gt;=0.5,"Best Case","Pipeline")))</x:f>
        <x:v>Lost</x:v>
      </x:c>
    </x:row>
    <x:row r="1222">
      <x:c r="A1222" t="str">
        <x:v>L01221</x:v>
      </x:c>
      <x:c r="B1222" s="10" t="n">
        <x:v>46177</x:v>
      </x:c>
      <x:c r="C1222" t="str">
        <x:v>Quynh Vu</x:v>
      </x:c>
      <x:c r="D1222" t="str">
        <x:v>North</x:v>
      </x:c>
      <x:c r="E1222" t="str">
        <x:v>customer referral</x:v>
      </x:c>
      <x:c r="F1222" t="str">
        <x:v>CS-CLOUD</x:v>
      </x:c>
      <x:c r="G1222" t="str">
        <x:v>Education</x:v>
      </x:c>
      <x:c r="H1222" t="str">
        <x:v>Mid-Market</x:v>
      </x:c>
      <x:c r="I1222" t="str">
        <x:v>Closed Won</x:v>
      </x:c>
      <x:c r="J1222" s="10" t="n">
        <x:v>46226</x:v>
      </x:c>
      <x:c r="K1222" s="10" t="n">
        <x:v>46226</x:v>
      </x:c>
      <x:c r="L1222" s="22" t="n">
        <x:v>22400</x:v>
      </x:c>
      <x:c r="M1222" s="24" t="n">
        <x:v>0.03</x:v>
      </x:c>
      <x:c r="N1222" s="24" t="n">
        <x:v>1</x:v>
      </x:c>
      <x:c r="O1222" t="str"/>
      <x:c r="P1222" t="n">
        <x:v>6</x:v>
      </x:c>
      <x:c r="Q1222" t="str">
        <x:f>IFERROR(XLOOKUP(E1222,Lookups!$A$5:$A$24,Lookups!$B$5:$B$24),"Other")</x:f>
        <x:v>Referral</x:v>
      </x:c>
      <x:c r="R1222" t="str">
        <x:f>IFERROR(XLOOKUP(F1222,Lookups!$D$5:$D$10,Lookups!$E$5:$E$10),"Unknown Product")</x:f>
        <x:v>Service Cloud</x:v>
      </x:c>
      <x:c r="S1222" t="str">
        <x:f>IFERROR(XLOOKUP(F1222,Lookups!$D$5:$D$10,Lookups!$F$5:$F$10),"Unknown")</x:f>
        <x:v>Customer Service</x:v>
      </x:c>
      <x:c r="T1222" t="str">
        <x:f>IF(L1222&gt;=50000,"Enterprise",IF(L1222&gt;=20000,"Mid-Market","SMB"))</x:f>
        <x:v>Mid-Market</x:v>
      </x:c>
      <x:c r="U1222" t="str">
        <x:f>IF(I1222="Closed Won","Won",IF(I1222="Closed Lost","Lost","Open"))</x:f>
        <x:v>Won</x:v>
      </x:c>
      <x:c r="V1222" s="22" t="n">
        <x:f>IF(U1222="Won",L1222*(1-M1222),0)</x:f>
        <x:v>21728</x:v>
      </x:c>
      <x:c r="W1222" s="22" t="n">
        <x:f>IF(U1222="Open",L1222*N1222,0)</x:f>
        <x:v>0</x:v>
      </x:c>
      <x:c r="X1222" s="26" t="n">
        <x:f>IF(U1222="Open","",IFERROR(K1222-B1222,""))</x:f>
        <x:v>49</x:v>
      </x:c>
      <x:c r="Y1222" s="26" t="n">
        <x:f>IF(U1222="Open",Lookups!$B$2-B1222,X1222)</x:f>
        <x:v>49</x:v>
      </x:c>
      <x:c r="Z1222" t="str">
        <x:f>IF(AND(U1222="Open",Y1222&gt;30),"STALE","OK")</x:f>
        <x:v>OK</x:v>
      </x:c>
      <x:c r="AA1222" t="str">
        <x:f>TEXT(B1222,"yyyy-mm")</x:f>
        <x:v>2026-06</x:v>
      </x:c>
      <x:c r="AB1222" t="str">
        <x:f>IF(K1222="","",TEXT(K1222,"yyyy-mm"))</x:f>
        <x:v>2026-07</x:v>
      </x:c>
      <x:c r="AC1222" t="str">
        <x:f>"Q"&amp;ROUNDUP(MONTH(B1222)/3,0)&amp;"-"&amp;YEAR(B1222)</x:f>
        <x:v>Q2-2026</x:v>
      </x:c>
      <x:c r="AD1222" s="26" t="n">
        <x:f>MIN(100,IF(H1222="Enterprise",30,IF(H1222="Mid-Market",22,14))+IF(T1222="Enterprise",25,IF(T1222="Mid-Market",18,10))+IF(Q1222="Referral",25,IF(Q1222="Organic Search",20,IF(Q1222="Email",18,14)))+IF(G1222="Technology",10,5))</x:f>
        <x:v>70</x:v>
      </x:c>
      <x:c r="AE1222" t="str">
        <x:f>IF(U1222&lt;&gt;"Open",U1222,IF(N1222&gt;=0.8,"Commit",IF(N1222&gt;=0.5,"Best Case","Pipeline")))</x:f>
        <x:v>Won</x:v>
      </x:c>
    </x:row>
    <x:row r="1223">
      <x:c r="A1223" t="str">
        <x:v>L01222</x:v>
      </x:c>
      <x:c r="B1223" s="10" t="n">
        <x:v>45801</x:v>
      </x:c>
      <x:c r="C1223" t="str">
        <x:v>Ha Vo</x:v>
      </x:c>
      <x:c r="D1223" t="str">
        <x:v>North</x:v>
      </x:c>
      <x:c r="E1223" t="str">
        <x:v>SEM - Google</x:v>
      </x:c>
      <x:c r="F1223" t="str">
        <x:v>CS-CLOUD</x:v>
      </x:c>
      <x:c r="G1223" t="str">
        <x:v>Healthcare</x:v>
      </x:c>
      <x:c r="H1223" t="str">
        <x:v>Enterprise</x:v>
      </x:c>
      <x:c r="I1223" t="str">
        <x:v>Closed Lost</x:v>
      </x:c>
      <x:c r="J1223" s="10" t="n">
        <x:v>45848</x:v>
      </x:c>
      <x:c r="K1223" s="10" t="n">
        <x:v>45848</x:v>
      </x:c>
      <x:c r="L1223" s="22" t="n">
        <x:v>59600</x:v>
      </x:c>
      <x:c r="M1223" s="24" t="n">
        <x:v>0</x:v>
      </x:c>
      <x:c r="N1223" s="24" t="n">
        <x:v>0</x:v>
      </x:c>
      <x:c r="O1223" t="str">
        <x:v>Budget</x:v>
      </x:c>
      <x:c r="P1223" t="n">
        <x:v>2</x:v>
      </x:c>
      <x:c r="Q1223" t="str">
        <x:f>IFERROR(XLOOKUP(E1223,Lookups!$A$5:$A$24,Lookups!$B$5:$B$24),"Other")</x:f>
        <x:v>Paid Search</x:v>
      </x:c>
      <x:c r="R1223" t="str">
        <x:f>IFERROR(XLOOKUP(F1223,Lookups!$D$5:$D$10,Lookups!$E$5:$E$10),"Unknown Product")</x:f>
        <x:v>Service Cloud</x:v>
      </x:c>
      <x:c r="S1223" t="str">
        <x:f>IFERROR(XLOOKUP(F1223,Lookups!$D$5:$D$10,Lookups!$F$5:$F$10),"Unknown")</x:f>
        <x:v>Customer Service</x:v>
      </x:c>
      <x:c r="T1223" t="str">
        <x:f>IF(L1223&gt;=50000,"Enterprise",IF(L1223&gt;=20000,"Mid-Market","SMB"))</x:f>
        <x:v>Enterprise</x:v>
      </x:c>
      <x:c r="U1223" t="str">
        <x:f>IF(I1223="Closed Won","Won",IF(I1223="Closed Lost","Lost","Open"))</x:f>
        <x:v>Lost</x:v>
      </x:c>
      <x:c r="V1223" s="22" t="n">
        <x:f>IF(U1223="Won",L1223*(1-M1223),0)</x:f>
        <x:v>0</x:v>
      </x:c>
      <x:c r="W1223" s="22" t="n">
        <x:f>IF(U1223="Open",L1223*N1223,0)</x:f>
        <x:v>0</x:v>
      </x:c>
      <x:c r="X1223" s="26" t="n">
        <x:f>IF(U1223="Open","",IFERROR(K1223-B1223,""))</x:f>
        <x:v>47</x:v>
      </x:c>
      <x:c r="Y1223" s="26" t="n">
        <x:f>IF(U1223="Open",Lookups!$B$2-B1223,X1223)</x:f>
        <x:v>47</x:v>
      </x:c>
      <x:c r="Z1223" t="str">
        <x:f>IF(AND(U1223="Open",Y1223&gt;30),"STALE","OK")</x:f>
        <x:v>OK</x:v>
      </x:c>
      <x:c r="AA1223" t="str">
        <x:f>TEXT(B1223,"yyyy-mm")</x:f>
        <x:v>2025-05</x:v>
      </x:c>
      <x:c r="AB1223" t="str">
        <x:f>IF(K1223="","",TEXT(K1223,"yyyy-mm"))</x:f>
        <x:v>2025-07</x:v>
      </x:c>
      <x:c r="AC1223" t="str">
        <x:f>"Q"&amp;ROUNDUP(MONTH(B1223)/3,0)&amp;"-"&amp;YEAR(B1223)</x:f>
        <x:v>Q2-2025</x:v>
      </x:c>
      <x:c r="AD1223" s="26" t="n">
        <x:f>MIN(100,IF(H1223="Enterprise",30,IF(H1223="Mid-Market",22,14))+IF(T1223="Enterprise",25,IF(T1223="Mid-Market",18,10))+IF(Q1223="Referral",25,IF(Q1223="Organic Search",20,IF(Q1223="Email",18,14)))+IF(G1223="Technology",10,5))</x:f>
        <x:v>74</x:v>
      </x:c>
      <x:c r="AE1223" t="str">
        <x:f>IF(U1223&lt;&gt;"Open",U1223,IF(N1223&gt;=0.8,"Commit",IF(N1223&gt;=0.5,"Best Case","Pipeline")))</x:f>
        <x:v>Lost</x:v>
      </x:c>
    </x:row>
    <x:row r="1224">
      <x:c r="A1224" t="str">
        <x:v>L01223</x:v>
      </x:c>
      <x:c r="B1224" s="10" t="n">
        <x:v>45696</x:v>
      </x:c>
      <x:c r="C1224" t="str">
        <x:v>Ha Vo</x:v>
      </x:c>
      <x:c r="D1224" t="str">
        <x:v>North</x:v>
      </x:c>
      <x:c r="E1224" t="str">
        <x:v>Google Ads</x:v>
      </x:c>
      <x:c r="F1224" t="str">
        <x:v>MKT-AUTO</x:v>
      </x:c>
      <x:c r="G1224" t="str">
        <x:v>Technology</x:v>
      </x:c>
      <x:c r="H1224" t="str">
        <x:v>SMB</x:v>
      </x:c>
      <x:c r="I1224" t="str">
        <x:v>Closed Won</x:v>
      </x:c>
      <x:c r="J1224" s="10" t="n">
        <x:v>45792</x:v>
      </x:c>
      <x:c r="K1224" s="10" t="n">
        <x:v>45792</x:v>
      </x:c>
      <x:c r="L1224" s="22" t="n">
        <x:v>11600</x:v>
      </x:c>
      <x:c r="M1224" s="24" t="n">
        <x:v>0</x:v>
      </x:c>
      <x:c r="N1224" s="24" t="n">
        <x:v>1</x:v>
      </x:c>
      <x:c r="O1224" t="str"/>
      <x:c r="P1224" t="n">
        <x:v>6</x:v>
      </x:c>
      <x:c r="Q1224" t="str">
        <x:f>IFERROR(XLOOKUP(E1224,Lookups!$A$5:$A$24,Lookups!$B$5:$B$24),"Other")</x:f>
        <x:v>Paid Search</x:v>
      </x:c>
      <x:c r="R1224" t="str">
        <x:f>IFERROR(XLOOKUP(F1224,Lookups!$D$5:$D$10,Lookups!$E$5:$E$10),"Unknown Product")</x:f>
        <x:v>Marketing Automation</x:v>
      </x:c>
      <x:c r="S1224" t="str">
        <x:f>IFERROR(XLOOKUP(F1224,Lookups!$D$5:$D$10,Lookups!$F$5:$F$10),"Unknown")</x:f>
        <x:v>Marketing</x:v>
      </x:c>
      <x:c r="T1224" t="str">
        <x:f>IF(L1224&gt;=50000,"Enterprise",IF(L1224&gt;=20000,"Mid-Market","SMB"))</x:f>
        <x:v>SMB</x:v>
      </x:c>
      <x:c r="U1224" t="str">
        <x:f>IF(I1224="Closed Won","Won",IF(I1224="Closed Lost","Lost","Open"))</x:f>
        <x:v>Won</x:v>
      </x:c>
      <x:c r="V1224" s="22" t="n">
        <x:f>IF(U1224="Won",L1224*(1-M1224),0)</x:f>
        <x:v>11600</x:v>
      </x:c>
      <x:c r="W1224" s="22" t="n">
        <x:f>IF(U1224="Open",L1224*N1224,0)</x:f>
        <x:v>0</x:v>
      </x:c>
      <x:c r="X1224" s="26" t="n">
        <x:f>IF(U1224="Open","",IFERROR(K1224-B1224,""))</x:f>
        <x:v>96</x:v>
      </x:c>
      <x:c r="Y1224" s="26" t="n">
        <x:f>IF(U1224="Open",Lookups!$B$2-B1224,X1224)</x:f>
        <x:v>96</x:v>
      </x:c>
      <x:c r="Z1224" t="str">
        <x:f>IF(AND(U1224="Open",Y1224&gt;30),"STALE","OK")</x:f>
        <x:v>OK</x:v>
      </x:c>
      <x:c r="AA1224" t="str">
        <x:f>TEXT(B1224,"yyyy-mm")</x:f>
        <x:v>2025-02</x:v>
      </x:c>
      <x:c r="AB1224" t="str">
        <x:f>IF(K1224="","",TEXT(K1224,"yyyy-mm"))</x:f>
        <x:v>2025-05</x:v>
      </x:c>
      <x:c r="AC1224" t="str">
        <x:f>"Q"&amp;ROUNDUP(MONTH(B1224)/3,0)&amp;"-"&amp;YEAR(B1224)</x:f>
        <x:v>Q1-2025</x:v>
      </x:c>
      <x:c r="AD1224" s="26" t="n">
        <x:f>MIN(100,IF(H1224="Enterprise",30,IF(H1224="Mid-Market",22,14))+IF(T1224="Enterprise",25,IF(T1224="Mid-Market",18,10))+IF(Q1224="Referral",25,IF(Q1224="Organic Search",20,IF(Q1224="Email",18,14)))+IF(G1224="Technology",10,5))</x:f>
        <x:v>48</x:v>
      </x:c>
      <x:c r="AE1224" t="str">
        <x:f>IF(U1224&lt;&gt;"Open",U1224,IF(N1224&gt;=0.8,"Commit",IF(N1224&gt;=0.5,"Best Case","Pipeline")))</x:f>
        <x:v>Won</x:v>
      </x:c>
    </x:row>
    <x:row r="1225">
      <x:c r="A1225" t="str">
        <x:v>L01224</x:v>
      </x:c>
      <x:c r="B1225" s="10" t="n">
        <x:v>46051</x:v>
      </x:c>
      <x:c r="C1225" t="str">
        <x:v>Minh Do</x:v>
      </x:c>
      <x:c r="D1225" t="str">
        <x:v>North</x:v>
      </x:c>
      <x:c r="E1225" t="str">
        <x:v>Offline List</x:v>
      </x:c>
      <x:c r="F1225" t="str">
        <x:v>CS-CLOUD</x:v>
      </x:c>
      <x:c r="G1225" t="str">
        <x:v>Financial Services</x:v>
      </x:c>
      <x:c r="H1225" t="str">
        <x:v>Mid-Market</x:v>
      </x:c>
      <x:c r="I1225" t="str">
        <x:v>Closed Lost</x:v>
      </x:c>
      <x:c r="J1225" s="10" t="n">
        <x:v>46104</x:v>
      </x:c>
      <x:c r="K1225" s="10" t="n">
        <x:v>46104</x:v>
      </x:c>
      <x:c r="L1225" s="22" t="n">
        <x:v>22600</x:v>
      </x:c>
      <x:c r="M1225" s="24" t="n">
        <x:v>0</x:v>
      </x:c>
      <x:c r="N1225" s="24" t="n">
        <x:v>0</x:v>
      </x:c>
      <x:c r="O1225" t="str">
        <x:v>Price</x:v>
      </x:c>
      <x:c r="P1225" t="n">
        <x:v>5</x:v>
      </x:c>
      <x:c r="Q1225" t="str">
        <x:f>IFERROR(XLOOKUP(E1225,Lookups!$A$5:$A$24,Lookups!$B$5:$B$24),"Other")</x:f>
        <x:v>Other</x:v>
      </x:c>
      <x:c r="R1225" t="str">
        <x:f>IFERROR(XLOOKUP(F1225,Lookups!$D$5:$D$10,Lookups!$E$5:$E$10),"Unknown Product")</x:f>
        <x:v>Service Cloud</x:v>
      </x:c>
      <x:c r="S1225" t="str">
        <x:f>IFERROR(XLOOKUP(F1225,Lookups!$D$5:$D$10,Lookups!$F$5:$F$10),"Unknown")</x:f>
        <x:v>Customer Service</x:v>
      </x:c>
      <x:c r="T1225" t="str">
        <x:f>IF(L1225&gt;=50000,"Enterprise",IF(L1225&gt;=20000,"Mid-Market","SMB"))</x:f>
        <x:v>Mid-Market</x:v>
      </x:c>
      <x:c r="U1225" t="str">
        <x:f>IF(I1225="Closed Won","Won",IF(I1225="Closed Lost","Lost","Open"))</x:f>
        <x:v>Lost</x:v>
      </x:c>
      <x:c r="V1225" s="22" t="n">
        <x:f>IF(U1225="Won",L1225*(1-M1225),0)</x:f>
        <x:v>0</x:v>
      </x:c>
      <x:c r="W1225" s="22" t="n">
        <x:f>IF(U1225="Open",L1225*N1225,0)</x:f>
        <x:v>0</x:v>
      </x:c>
      <x:c r="X1225" s="26" t="n">
        <x:f>IF(U1225="Open","",IFERROR(K1225-B1225,""))</x:f>
        <x:v>53</x:v>
      </x:c>
      <x:c r="Y1225" s="26" t="n">
        <x:f>IF(U1225="Open",Lookups!$B$2-B1225,X1225)</x:f>
        <x:v>53</x:v>
      </x:c>
      <x:c r="Z1225" t="str">
        <x:f>IF(AND(U1225="Open",Y1225&gt;30),"STALE","OK")</x:f>
        <x:v>OK</x:v>
      </x:c>
      <x:c r="AA1225" t="str">
        <x:f>TEXT(B1225,"yyyy-mm")</x:f>
        <x:v>2026-01</x:v>
      </x:c>
      <x:c r="AB1225" t="str">
        <x:f>IF(K1225="","",TEXT(K1225,"yyyy-mm"))</x:f>
        <x:v>2026-03</x:v>
      </x:c>
      <x:c r="AC1225" t="str">
        <x:f>"Q"&amp;ROUNDUP(MONTH(B1225)/3,0)&amp;"-"&amp;YEAR(B1225)</x:f>
        <x:v>Q1-2026</x:v>
      </x:c>
      <x:c r="AD1225" s="26" t="n">
        <x:f>MIN(100,IF(H1225="Enterprise",30,IF(H1225="Mid-Market",22,14))+IF(T1225="Enterprise",25,IF(T1225="Mid-Market",18,10))+IF(Q1225="Referral",25,IF(Q1225="Organic Search",20,IF(Q1225="Email",18,14)))+IF(G1225="Technology",10,5))</x:f>
        <x:v>59</x:v>
      </x:c>
      <x:c r="AE1225" t="str">
        <x:f>IF(U1225&lt;&gt;"Open",U1225,IF(N1225&gt;=0.8,"Commit",IF(N1225&gt;=0.5,"Best Case","Pipeline")))</x:f>
        <x:v>Lost</x:v>
      </x:c>
    </x:row>
    <x:row r="1226">
      <x:c r="A1226" t="str">
        <x:v>L01225</x:v>
      </x:c>
      <x:c r="B1226" s="10" t="n">
        <x:v>45711</x:v>
      </x:c>
      <x:c r="C1226" t="str">
        <x:v>An Nguyen</x:v>
      </x:c>
      <x:c r="D1226" t="str">
        <x:v>South</x:v>
      </x:c>
      <x:c r="E1226" t="str">
        <x:v>Google Organic</x:v>
      </x:c>
      <x:c r="F1226" t="str">
        <x:v>CRM-PRO</x:v>
      </x:c>
      <x:c r="G1226" t="str">
        <x:v>Professional Services</x:v>
      </x:c>
      <x:c r="H1226" t="str">
        <x:v>Mid-Market</x:v>
      </x:c>
      <x:c r="I1226" t="str">
        <x:v>Closed Lost</x:v>
      </x:c>
      <x:c r="J1226" s="10" t="n">
        <x:v>45767</x:v>
      </x:c>
      <x:c r="K1226" s="10" t="n">
        <x:v>45767</x:v>
      </x:c>
      <x:c r="L1226" s="22" t="n">
        <x:v>30400</x:v>
      </x:c>
      <x:c r="M1226" s="24" t="n">
        <x:v>0</x:v>
      </x:c>
      <x:c r="N1226" s="24" t="n">
        <x:v>0</x:v>
      </x:c>
      <x:c r="O1226" t="str">
        <x:v>Price</x:v>
      </x:c>
      <x:c r="P1226" t="n">
        <x:v>4</x:v>
      </x:c>
      <x:c r="Q1226" t="str">
        <x:f>IFERROR(XLOOKUP(E1226,Lookups!$A$5:$A$24,Lookups!$B$5:$B$24),"Other")</x:f>
        <x:v>Organic Search</x:v>
      </x:c>
      <x:c r="R1226" t="str">
        <x:f>IFERROR(XLOOKUP(F1226,Lookups!$D$5:$D$10,Lookups!$E$5:$E$10),"Unknown Product")</x:f>
        <x:v>NexaCRM Pro</x:v>
      </x:c>
      <x:c r="S1226" t="str">
        <x:f>IFERROR(XLOOKUP(F1226,Lookups!$D$5:$D$10,Lookups!$F$5:$F$10),"Unknown")</x:f>
        <x:v>CRM</x:v>
      </x:c>
      <x:c r="T1226" t="str">
        <x:f>IF(L1226&gt;=50000,"Enterprise",IF(L1226&gt;=20000,"Mid-Market","SMB"))</x:f>
        <x:v>Mid-Market</x:v>
      </x:c>
      <x:c r="U1226" t="str">
        <x:f>IF(I1226="Closed Won","Won",IF(I1226="Closed Lost","Lost","Open"))</x:f>
        <x:v>Lost</x:v>
      </x:c>
      <x:c r="V1226" s="22" t="n">
        <x:f>IF(U1226="Won",L1226*(1-M1226),0)</x:f>
        <x:v>0</x:v>
      </x:c>
      <x:c r="W1226" s="22" t="n">
        <x:f>IF(U1226="Open",L1226*N1226,0)</x:f>
        <x:v>0</x:v>
      </x:c>
      <x:c r="X1226" s="26" t="n">
        <x:f>IF(U1226="Open","",IFERROR(K1226-B1226,""))</x:f>
        <x:v>56</x:v>
      </x:c>
      <x:c r="Y1226" s="26" t="n">
        <x:f>IF(U1226="Open",Lookups!$B$2-B1226,X1226)</x:f>
        <x:v>56</x:v>
      </x:c>
      <x:c r="Z1226" t="str">
        <x:f>IF(AND(U1226="Open",Y1226&gt;30),"STALE","OK")</x:f>
        <x:v>OK</x:v>
      </x:c>
      <x:c r="AA1226" t="str">
        <x:f>TEXT(B1226,"yyyy-mm")</x:f>
        <x:v>2025-02</x:v>
      </x:c>
      <x:c r="AB1226" t="str">
        <x:f>IF(K1226="","",TEXT(K1226,"yyyy-mm"))</x:f>
        <x:v>2025-04</x:v>
      </x:c>
      <x:c r="AC1226" t="str">
        <x:f>"Q"&amp;ROUNDUP(MONTH(B1226)/3,0)&amp;"-"&amp;YEAR(B1226)</x:f>
        <x:v>Q1-2025</x:v>
      </x:c>
      <x:c r="AD1226" s="26" t="n">
        <x:f>MIN(100,IF(H1226="Enterprise",30,IF(H1226="Mid-Market",22,14))+IF(T1226="Enterprise",25,IF(T1226="Mid-Market",18,10))+IF(Q1226="Referral",25,IF(Q1226="Organic Search",20,IF(Q1226="Email",18,14)))+IF(G1226="Technology",10,5))</x:f>
        <x:v>65</x:v>
      </x:c>
      <x:c r="AE1226" t="str">
        <x:f>IF(U1226&lt;&gt;"Open",U1226,IF(N1226&gt;=0.8,"Commit",IF(N1226&gt;=0.5,"Best Case","Pipeline")))</x:f>
        <x:v>Lost</x:v>
      </x:c>
    </x:row>
    <x:row r="1227">
      <x:c r="A1227" t="str">
        <x:v>L01226</x:v>
      </x:c>
      <x:c r="B1227" s="10" t="n">
        <x:v>46046</x:v>
      </x:c>
      <x:c r="C1227" t="str">
        <x:v>Quynh Vu</x:v>
      </x:c>
      <x:c r="D1227" t="str">
        <x:v>North</x:v>
      </x:c>
      <x:c r="E1227" t="str">
        <x:v>Referral</x:v>
      </x:c>
      <x:c r="F1227" t="str">
        <x:v>CRM-CORE</x:v>
      </x:c>
      <x:c r="G1227" t="str">
        <x:v>Healthcare</x:v>
      </x:c>
      <x:c r="H1227" t="str">
        <x:v>SMB</x:v>
      </x:c>
      <x:c r="I1227" t="str">
        <x:v>Closed Lost</x:v>
      </x:c>
      <x:c r="J1227" s="10" t="n">
        <x:v>46111</x:v>
      </x:c>
      <x:c r="K1227" s="10" t="n">
        <x:v>46111</x:v>
      </x:c>
      <x:c r="L1227" s="22" t="n">
        <x:v>6800</x:v>
      </x:c>
      <x:c r="M1227" s="24" t="n">
        <x:v>0</x:v>
      </x:c>
      <x:c r="N1227" s="24" t="n">
        <x:v>0</x:v>
      </x:c>
      <x:c r="O1227" t="str">
        <x:v>Timing</x:v>
      </x:c>
      <x:c r="P1227" t="n">
        <x:v>4</x:v>
      </x:c>
      <x:c r="Q1227" t="str">
        <x:f>IFERROR(XLOOKUP(E1227,Lookups!$A$5:$A$24,Lookups!$B$5:$B$24),"Other")</x:f>
        <x:v>Referral</x:v>
      </x:c>
      <x:c r="R1227" t="str">
        <x:f>IFERROR(XLOOKUP(F1227,Lookups!$D$5:$D$10,Lookups!$E$5:$E$10),"Unknown Product")</x:f>
        <x:v>NexaCRM Core</x:v>
      </x:c>
      <x:c r="S1227" t="str">
        <x:f>IFERROR(XLOOKUP(F1227,Lookups!$D$5:$D$10,Lookups!$F$5:$F$10),"Unknown")</x:f>
        <x:v>CRM</x:v>
      </x:c>
      <x:c r="T1227" t="str">
        <x:f>IF(L1227&gt;=50000,"Enterprise",IF(L1227&gt;=20000,"Mid-Market","SMB"))</x:f>
        <x:v>SMB</x:v>
      </x:c>
      <x:c r="U1227" t="str">
        <x:f>IF(I1227="Closed Won","Won",IF(I1227="Closed Lost","Lost","Open"))</x:f>
        <x:v>Lost</x:v>
      </x:c>
      <x:c r="V1227" s="22" t="n">
        <x:f>IF(U1227="Won",L1227*(1-M1227),0)</x:f>
        <x:v>0</x:v>
      </x:c>
      <x:c r="W1227" s="22" t="n">
        <x:f>IF(U1227="Open",L1227*N1227,0)</x:f>
        <x:v>0</x:v>
      </x:c>
      <x:c r="X1227" s="26" t="n">
        <x:f>IF(U1227="Open","",IFERROR(K1227-B1227,""))</x:f>
        <x:v>65</x:v>
      </x:c>
      <x:c r="Y1227" s="26" t="n">
        <x:f>IF(U1227="Open",Lookups!$B$2-B1227,X1227)</x:f>
        <x:v>65</x:v>
      </x:c>
      <x:c r="Z1227" t="str">
        <x:f>IF(AND(U1227="Open",Y1227&gt;30),"STALE","OK")</x:f>
        <x:v>OK</x:v>
      </x:c>
      <x:c r="AA1227" t="str">
        <x:f>TEXT(B1227,"yyyy-mm")</x:f>
        <x:v>2026-01</x:v>
      </x:c>
      <x:c r="AB1227" t="str">
        <x:f>IF(K1227="","",TEXT(K1227,"yyyy-mm"))</x:f>
        <x:v>2026-03</x:v>
      </x:c>
      <x:c r="AC1227" t="str">
        <x:f>"Q"&amp;ROUNDUP(MONTH(B1227)/3,0)&amp;"-"&amp;YEAR(B1227)</x:f>
        <x:v>Q1-2026</x:v>
      </x:c>
      <x:c r="AD1227" s="26" t="n">
        <x:f>MIN(100,IF(H1227="Enterprise",30,IF(H1227="Mid-Market",22,14))+IF(T1227="Enterprise",25,IF(T1227="Mid-Market",18,10))+IF(Q1227="Referral",25,IF(Q1227="Organic Search",20,IF(Q1227="Email",18,14)))+IF(G1227="Technology",10,5))</x:f>
        <x:v>54</x:v>
      </x:c>
      <x:c r="AE1227" t="str">
        <x:f>IF(U1227&lt;&gt;"Open",U1227,IF(N1227&gt;=0.8,"Commit",IF(N1227&gt;=0.5,"Best Case","Pipeline")))</x:f>
        <x:v>Lost</x:v>
      </x:c>
    </x:row>
    <x:row r="1228">
      <x:c r="A1228" t="str">
        <x:v>L01227</x:v>
      </x:c>
      <x:c r="B1228" s="10" t="n">
        <x:v>46059</x:v>
      </x:c>
      <x:c r="C1228" t="str">
        <x:v>Minh Do</x:v>
      </x:c>
      <x:c r="D1228" t="str">
        <x:v>North</x:v>
      </x:c>
      <x:c r="E1228" t="str">
        <x:v>Outbound</x:v>
      </x:c>
      <x:c r="F1228" t="str">
        <x:v>REV-OPS</x:v>
      </x:c>
      <x:c r="G1228" t="str">
        <x:v>Technology</x:v>
      </x:c>
      <x:c r="H1228" t="str">
        <x:v>SMB</x:v>
      </x:c>
      <x:c r="I1228" t="str">
        <x:v>Closed Lost</x:v>
      </x:c>
      <x:c r="J1228" s="10" t="n">
        <x:v>46109</x:v>
      </x:c>
      <x:c r="K1228" s="10" t="n">
        <x:v>46109</x:v>
      </x:c>
      <x:c r="L1228" s="22" t="n">
        <x:v>46500</x:v>
      </x:c>
      <x:c r="M1228" s="24" t="n">
        <x:v>0</x:v>
      </x:c>
      <x:c r="N1228" s="24" t="n">
        <x:v>0</x:v>
      </x:c>
      <x:c r="O1228" t="str">
        <x:v>Budget</x:v>
      </x:c>
      <x:c r="P1228" t="n">
        <x:v>3</x:v>
      </x:c>
      <x:c r="Q1228" t="str">
        <x:f>IFERROR(XLOOKUP(E1228,Lookups!$A$5:$A$24,Lookups!$B$5:$B$24),"Other")</x:f>
        <x:v>Outbound</x:v>
      </x:c>
      <x:c r="R1228" t="str">
        <x:f>IFERROR(XLOOKUP(F1228,Lookups!$D$5:$D$10,Lookups!$E$5:$E$10),"Unknown Product")</x:f>
        <x:v>Revenue Operations Suite</x:v>
      </x:c>
      <x:c r="S1228" t="str">
        <x:f>IFERROR(XLOOKUP(F1228,Lookups!$D$5:$D$10,Lookups!$F$5:$F$10),"Unknown")</x:f>
        <x:v>Revenue Ops</x:v>
      </x:c>
      <x:c r="T1228" t="str">
        <x:f>IF(L1228&gt;=50000,"Enterprise",IF(L1228&gt;=20000,"Mid-Market","SMB"))</x:f>
        <x:v>Mid-Market</x:v>
      </x:c>
      <x:c r="U1228" t="str">
        <x:f>IF(I1228="Closed Won","Won",IF(I1228="Closed Lost","Lost","Open"))</x:f>
        <x:v>Lost</x:v>
      </x:c>
      <x:c r="V1228" s="22" t="n">
        <x:f>IF(U1228="Won",L1228*(1-M1228),0)</x:f>
        <x:v>0</x:v>
      </x:c>
      <x:c r="W1228" s="22" t="n">
        <x:f>IF(U1228="Open",L1228*N1228,0)</x:f>
        <x:v>0</x:v>
      </x:c>
      <x:c r="X1228" s="26" t="n">
        <x:f>IF(U1228="Open","",IFERROR(K1228-B1228,""))</x:f>
        <x:v>50</x:v>
      </x:c>
      <x:c r="Y1228" s="26" t="n">
        <x:f>IF(U1228="Open",Lookups!$B$2-B1228,X1228)</x:f>
        <x:v>50</x:v>
      </x:c>
      <x:c r="Z1228" t="str">
        <x:f>IF(AND(U1228="Open",Y1228&gt;30),"STALE","OK")</x:f>
        <x:v>OK</x:v>
      </x:c>
      <x:c r="AA1228" t="str">
        <x:f>TEXT(B1228,"yyyy-mm")</x:f>
        <x:v>2026-02</x:v>
      </x:c>
      <x:c r="AB1228" t="str">
        <x:f>IF(K1228="","",TEXT(K1228,"yyyy-mm"))</x:f>
        <x:v>2026-03</x:v>
      </x:c>
      <x:c r="AC1228" t="str">
        <x:f>"Q"&amp;ROUNDUP(MONTH(B1228)/3,0)&amp;"-"&amp;YEAR(B1228)</x:f>
        <x:v>Q1-2026</x:v>
      </x:c>
      <x:c r="AD1228" s="26" t="n">
        <x:f>MIN(100,IF(H1228="Enterprise",30,IF(H1228="Mid-Market",22,14))+IF(T1228="Enterprise",25,IF(T1228="Mid-Market",18,10))+IF(Q1228="Referral",25,IF(Q1228="Organic Search",20,IF(Q1228="Email",18,14)))+IF(G1228="Technology",10,5))</x:f>
        <x:v>56</x:v>
      </x:c>
      <x:c r="AE1228" t="str">
        <x:f>IF(U1228&lt;&gt;"Open",U1228,IF(N1228&gt;=0.8,"Commit",IF(N1228&gt;=0.5,"Best Case","Pipeline")))</x:f>
        <x:v>Lost</x:v>
      </x:c>
    </x:row>
    <x:row r="1229">
      <x:c r="A1229" t="str">
        <x:v>L01228</x:v>
      </x:c>
      <x:c r="B1229" s="10" t="n">
        <x:v>46195</x:v>
      </x:c>
      <x:c r="C1229" t="str">
        <x:v>Ha Vo</x:v>
      </x:c>
      <x:c r="D1229" t="str">
        <x:v>North</x:v>
      </x:c>
      <x:c r="E1229" t="str">
        <x:v>SDR Outreach</x:v>
      </x:c>
      <x:c r="F1229" t="str">
        <x:v>CRM-CORE</x:v>
      </x:c>
      <x:c r="G1229" t="str">
        <x:v>Education</x:v>
      </x:c>
      <x:c r="H1229" t="str">
        <x:v>SMB</x:v>
      </x:c>
      <x:c r="I1229" t="str">
        <x:v>Closed Lost</x:v>
      </x:c>
      <x:c r="J1229" s="10" t="n">
        <x:v>46246</x:v>
      </x:c>
      <x:c r="K1229" s="10" t="n">
        <x:v>46246</x:v>
      </x:c>
      <x:c r="L1229" s="22" t="n">
        <x:v>5300</x:v>
      </x:c>
      <x:c r="M1229" s="24" t="n">
        <x:v>0</x:v>
      </x:c>
      <x:c r="N1229" s="24" t="n">
        <x:v>0</x:v>
      </x:c>
      <x:c r="O1229" t="str">
        <x:v>Competitor</x:v>
      </x:c>
      <x:c r="P1229" t="n">
        <x:v>5</x:v>
      </x:c>
      <x:c r="Q1229" t="str">
        <x:f>IFERROR(XLOOKUP(E1229,Lookups!$A$5:$A$24,Lookups!$B$5:$B$24),"Other")</x:f>
        <x:v>Outbound</x:v>
      </x:c>
      <x:c r="R1229" t="str">
        <x:f>IFERROR(XLOOKUP(F1229,Lookups!$D$5:$D$10,Lookups!$E$5:$E$10),"Unknown Product")</x:f>
        <x:v>NexaCRM Core</x:v>
      </x:c>
      <x:c r="S1229" t="str">
        <x:f>IFERROR(XLOOKUP(F1229,Lookups!$D$5:$D$10,Lookups!$F$5:$F$10),"Unknown")</x:f>
        <x:v>CRM</x:v>
      </x:c>
      <x:c r="T1229" t="str">
        <x:f>IF(L1229&gt;=50000,"Enterprise",IF(L1229&gt;=20000,"Mid-Market","SMB"))</x:f>
        <x:v>SMB</x:v>
      </x:c>
      <x:c r="U1229" t="str">
        <x:f>IF(I1229="Closed Won","Won",IF(I1229="Closed Lost","Lost","Open"))</x:f>
        <x:v>Lost</x:v>
      </x:c>
      <x:c r="V1229" s="22" t="n">
        <x:f>IF(U1229="Won",L1229*(1-M1229),0)</x:f>
        <x:v>0</x:v>
      </x:c>
      <x:c r="W1229" s="22" t="n">
        <x:f>IF(U1229="Open",L1229*N1229,0)</x:f>
        <x:v>0</x:v>
      </x:c>
      <x:c r="X1229" s="26" t="n">
        <x:f>IF(U1229="Open","",IFERROR(K1229-B1229,""))</x:f>
        <x:v>51</x:v>
      </x:c>
      <x:c r="Y1229" s="26" t="n">
        <x:f>IF(U1229="Open",Lookups!$B$2-B1229,X1229)</x:f>
        <x:v>51</x:v>
      </x:c>
      <x:c r="Z1229" t="str">
        <x:f>IF(AND(U1229="Open",Y1229&gt;30),"STALE","OK")</x:f>
        <x:v>OK</x:v>
      </x:c>
      <x:c r="AA1229" t="str">
        <x:f>TEXT(B1229,"yyyy-mm")</x:f>
        <x:v>2026-06</x:v>
      </x:c>
      <x:c r="AB1229" t="str">
        <x:f>IF(K1229="","",TEXT(K1229,"yyyy-mm"))</x:f>
        <x:v>2026-08</x:v>
      </x:c>
      <x:c r="AC1229" t="str">
        <x:f>"Q"&amp;ROUNDUP(MONTH(B1229)/3,0)&amp;"-"&amp;YEAR(B1229)</x:f>
        <x:v>Q2-2026</x:v>
      </x:c>
      <x:c r="AD1229" s="26" t="n">
        <x:f>MIN(100,IF(H1229="Enterprise",30,IF(H1229="Mid-Market",22,14))+IF(T1229="Enterprise",25,IF(T1229="Mid-Market",18,10))+IF(Q1229="Referral",25,IF(Q1229="Organic Search",20,IF(Q1229="Email",18,14)))+IF(G1229="Technology",10,5))</x:f>
        <x:v>43</x:v>
      </x:c>
      <x:c r="AE1229" t="str">
        <x:f>IF(U1229&lt;&gt;"Open",U1229,IF(N1229&gt;=0.8,"Commit",IF(N1229&gt;=0.5,"Best Case","Pipeline")))</x:f>
        <x:v>Lost</x:v>
      </x:c>
    </x:row>
    <x:row r="1230">
      <x:c r="A1230" t="str">
        <x:v>L01229</x:v>
      </x:c>
      <x:c r="B1230" s="10" t="n">
        <x:v>46058</x:v>
      </x:c>
      <x:c r="C1230" t="str">
        <x:v>An Nguyen</x:v>
      </x:c>
      <x:c r="D1230" t="str">
        <x:v>South</x:v>
      </x:c>
      <x:c r="E1230" t="str">
        <x:v>LinkedIn Ads</x:v>
      </x:c>
      <x:c r="F1230" t="str">
        <x:v>CRM-CORE</x:v>
      </x:c>
      <x:c r="G1230" t="str">
        <x:v>Retail</x:v>
      </x:c>
      <x:c r="H1230" t="str">
        <x:v>SMB</x:v>
      </x:c>
      <x:c r="I1230" t="str">
        <x:v>Closed Lost</x:v>
      </x:c>
      <x:c r="J1230" s="10" t="n">
        <x:v>46086</x:v>
      </x:c>
      <x:c r="K1230" s="10" t="n">
        <x:v>46086</x:v>
      </x:c>
      <x:c r="L1230" s="22" t="n">
        <x:v>6600</x:v>
      </x:c>
      <x:c r="M1230" s="24" t="n">
        <x:v>0</x:v>
      </x:c>
      <x:c r="N1230" s="24" t="n">
        <x:v>0</x:v>
      </x:c>
      <x:c r="O1230" t="str">
        <x:v>Timing</x:v>
      </x:c>
      <x:c r="P1230" t="n">
        <x:v>2</x:v>
      </x:c>
      <x:c r="Q1230" t="str">
        <x:f>IFERROR(XLOOKUP(E1230,Lookups!$A$5:$A$24,Lookups!$B$5:$B$24),"Other")</x:f>
        <x:v>LinkedIn</x:v>
      </x:c>
      <x:c r="R1230" t="str">
        <x:f>IFERROR(XLOOKUP(F1230,Lookups!$D$5:$D$10,Lookups!$E$5:$E$10),"Unknown Product")</x:f>
        <x:v>NexaCRM Core</x:v>
      </x:c>
      <x:c r="S1230" t="str">
        <x:f>IFERROR(XLOOKUP(F1230,Lookups!$D$5:$D$10,Lookups!$F$5:$F$10),"Unknown")</x:f>
        <x:v>CRM</x:v>
      </x:c>
      <x:c r="T1230" t="str">
        <x:f>IF(L1230&gt;=50000,"Enterprise",IF(L1230&gt;=20000,"Mid-Market","SMB"))</x:f>
        <x:v>SMB</x:v>
      </x:c>
      <x:c r="U1230" t="str">
        <x:f>IF(I1230="Closed Won","Won",IF(I1230="Closed Lost","Lost","Open"))</x:f>
        <x:v>Lost</x:v>
      </x:c>
      <x:c r="V1230" s="22" t="n">
        <x:f>IF(U1230="Won",L1230*(1-M1230),0)</x:f>
        <x:v>0</x:v>
      </x:c>
      <x:c r="W1230" s="22" t="n">
        <x:f>IF(U1230="Open",L1230*N1230,0)</x:f>
        <x:v>0</x:v>
      </x:c>
      <x:c r="X1230" s="26" t="n">
        <x:f>IF(U1230="Open","",IFERROR(K1230-B1230,""))</x:f>
        <x:v>28</x:v>
      </x:c>
      <x:c r="Y1230" s="26" t="n">
        <x:f>IF(U1230="Open",Lookups!$B$2-B1230,X1230)</x:f>
        <x:v>28</x:v>
      </x:c>
      <x:c r="Z1230" t="str">
        <x:f>IF(AND(U1230="Open",Y1230&gt;30),"STALE","OK")</x:f>
        <x:v>OK</x:v>
      </x:c>
      <x:c r="AA1230" t="str">
        <x:f>TEXT(B1230,"yyyy-mm")</x:f>
        <x:v>2026-02</x:v>
      </x:c>
      <x:c r="AB1230" t="str">
        <x:f>IF(K1230="","",TEXT(K1230,"yyyy-mm"))</x:f>
        <x:v>2026-03</x:v>
      </x:c>
      <x:c r="AC1230" t="str">
        <x:f>"Q"&amp;ROUNDUP(MONTH(B1230)/3,0)&amp;"-"&amp;YEAR(B1230)</x:f>
        <x:v>Q1-2026</x:v>
      </x:c>
      <x:c r="AD1230" s="26" t="n">
        <x:f>MIN(100,IF(H1230="Enterprise",30,IF(H1230="Mid-Market",22,14))+IF(T1230="Enterprise",25,IF(T1230="Mid-Market",18,10))+IF(Q1230="Referral",25,IF(Q1230="Organic Search",20,IF(Q1230="Email",18,14)))+IF(G1230="Technology",10,5))</x:f>
        <x:v>43</x:v>
      </x:c>
      <x:c r="AE1230" t="str">
        <x:f>IF(U1230&lt;&gt;"Open",U1230,IF(N1230&gt;=0.8,"Commit",IF(N1230&gt;=0.5,"Best Case","Pipeline")))</x:f>
        <x:v>Lost</x:v>
      </x:c>
    </x:row>
    <x:row r="1231">
      <x:c r="A1231" t="str">
        <x:v>L01230</x:v>
      </x:c>
      <x:c r="B1231" s="10" t="n">
        <x:v>45927</x:v>
      </x:c>
      <x:c r="C1231" t="str">
        <x:v>An Nguyen</x:v>
      </x:c>
      <x:c r="D1231" t="str">
        <x:v>South</x:v>
      </x:c>
      <x:c r="E1231" t="str">
        <x:v>organic search</x:v>
      </x:c>
      <x:c r="F1231" t="str">
        <x:v>BI-PLUS</x:v>
      </x:c>
      <x:c r="G1231" t="str">
        <x:v>Manufacturing</x:v>
      </x:c>
      <x:c r="H1231" t="str">
        <x:v>Mid-Market</x:v>
      </x:c>
      <x:c r="I1231" t="str">
        <x:v>Closed Lost</x:v>
      </x:c>
      <x:c r="J1231" s="10" t="n">
        <x:v>46000</x:v>
      </x:c>
      <x:c r="K1231" s="10" t="n">
        <x:v>46000</x:v>
      </x:c>
      <x:c r="L1231" s="22" t="n">
        <x:v>35900</x:v>
      </x:c>
      <x:c r="M1231" s="24" t="n">
        <x:v>0</x:v>
      </x:c>
      <x:c r="N1231" s="24" t="n">
        <x:v>0</x:v>
      </x:c>
      <x:c r="O1231" t="str">
        <x:v>No Decision</x:v>
      </x:c>
      <x:c r="P1231" t="n">
        <x:v>4</x:v>
      </x:c>
      <x:c r="Q1231" t="str">
        <x:f>IFERROR(XLOOKUP(E1231,Lookups!$A$5:$A$24,Lookups!$B$5:$B$24),"Other")</x:f>
        <x:v>Organic Search</x:v>
      </x:c>
      <x:c r="R1231" t="str">
        <x:f>IFERROR(XLOOKUP(F1231,Lookups!$D$5:$D$10,Lookups!$E$5:$E$10),"Unknown Product")</x:f>
        <x:v>Analytics Plus</x:v>
      </x:c>
      <x:c r="S1231" t="str">
        <x:f>IFERROR(XLOOKUP(F1231,Lookups!$D$5:$D$10,Lookups!$F$5:$F$10),"Unknown")</x:f>
        <x:v>Analytics</x:v>
      </x:c>
      <x:c r="T1231" t="str">
        <x:f>IF(L1231&gt;=50000,"Enterprise",IF(L1231&gt;=20000,"Mid-Market","SMB"))</x:f>
        <x:v>Mid-Market</x:v>
      </x:c>
      <x:c r="U1231" t="str">
        <x:f>IF(I1231="Closed Won","Won",IF(I1231="Closed Lost","Lost","Open"))</x:f>
        <x:v>Lost</x:v>
      </x:c>
      <x:c r="V1231" s="22" t="n">
        <x:f>IF(U1231="Won",L1231*(1-M1231),0)</x:f>
        <x:v>0</x:v>
      </x:c>
      <x:c r="W1231" s="22" t="n">
        <x:f>IF(U1231="Open",L1231*N1231,0)</x:f>
        <x:v>0</x:v>
      </x:c>
      <x:c r="X1231" s="26" t="n">
        <x:f>IF(U1231="Open","",IFERROR(K1231-B1231,""))</x:f>
        <x:v>73</x:v>
      </x:c>
      <x:c r="Y1231" s="26" t="n">
        <x:f>IF(U1231="Open",Lookups!$B$2-B1231,X1231)</x:f>
        <x:v>73</x:v>
      </x:c>
      <x:c r="Z1231" t="str">
        <x:f>IF(AND(U1231="Open",Y1231&gt;30),"STALE","OK")</x:f>
        <x:v>OK</x:v>
      </x:c>
      <x:c r="AA1231" t="str">
        <x:f>TEXT(B1231,"yyyy-mm")</x:f>
        <x:v>2025-09</x:v>
      </x:c>
      <x:c r="AB1231" t="str">
        <x:f>IF(K1231="","",TEXT(K1231,"yyyy-mm"))</x:f>
        <x:v>2025-12</x:v>
      </x:c>
      <x:c r="AC1231" t="str">
        <x:f>"Q"&amp;ROUNDUP(MONTH(B1231)/3,0)&amp;"-"&amp;YEAR(B1231)</x:f>
        <x:v>Q3-2025</x:v>
      </x:c>
      <x:c r="AD1231" s="26" t="n">
        <x:f>MIN(100,IF(H1231="Enterprise",30,IF(H1231="Mid-Market",22,14))+IF(T1231="Enterprise",25,IF(T1231="Mid-Market",18,10))+IF(Q1231="Referral",25,IF(Q1231="Organic Search",20,IF(Q1231="Email",18,14)))+IF(G1231="Technology",10,5))</x:f>
        <x:v>65</x:v>
      </x:c>
      <x:c r="AE1231" t="str">
        <x:f>IF(U1231&lt;&gt;"Open",U1231,IF(N1231&gt;=0.8,"Commit",IF(N1231&gt;=0.5,"Best Case","Pipeline")))</x:f>
        <x:v>Lost</x:v>
      </x:c>
    </x:row>
    <x:row r="1232">
      <x:c r="A1232" t="str">
        <x:v>L01231</x:v>
      </x:c>
      <x:c r="B1232" s="10" t="n">
        <x:v>45945</x:v>
      </x:c>
      <x:c r="C1232" t="str">
        <x:v>Tuan Bui</x:v>
      </x:c>
      <x:c r="D1232" t="str">
        <x:v>Central</x:v>
      </x:c>
      <x:c r="E1232" t="str">
        <x:v>organic search</x:v>
      </x:c>
      <x:c r="F1232" t="str">
        <x:v>REV-OPS</x:v>
      </x:c>
      <x:c r="G1232" t="str">
        <x:v>Technology</x:v>
      </x:c>
      <x:c r="H1232" t="str">
        <x:v>Mid-Market</x:v>
      </x:c>
      <x:c r="I1232" t="str">
        <x:v>Closed Lost</x:v>
      </x:c>
      <x:c r="J1232" s="10" t="n">
        <x:v>46017</x:v>
      </x:c>
      <x:c r="K1232" s="10" t="n">
        <x:v>46017</x:v>
      </x:c>
      <x:c r="L1232" s="22" t="n">
        <x:v>65300</x:v>
      </x:c>
      <x:c r="M1232" s="24" t="n">
        <x:v>0</x:v>
      </x:c>
      <x:c r="N1232" s="24" t="n">
        <x:v>0</x:v>
      </x:c>
      <x:c r="O1232" t="str">
        <x:v>Budget</x:v>
      </x:c>
      <x:c r="P1232" t="n">
        <x:v>2</x:v>
      </x:c>
      <x:c r="Q1232" t="str">
        <x:f>IFERROR(XLOOKUP(E1232,Lookups!$A$5:$A$24,Lookups!$B$5:$B$24),"Other")</x:f>
        <x:v>Organic Search</x:v>
      </x:c>
      <x:c r="R1232" t="str">
        <x:f>IFERROR(XLOOKUP(F1232,Lookups!$D$5:$D$10,Lookups!$E$5:$E$10),"Unknown Product")</x:f>
        <x:v>Revenue Operations Suite</x:v>
      </x:c>
      <x:c r="S1232" t="str">
        <x:f>IFERROR(XLOOKUP(F1232,Lookups!$D$5:$D$10,Lookups!$F$5:$F$10),"Unknown")</x:f>
        <x:v>Revenue Ops</x:v>
      </x:c>
      <x:c r="T1232" t="str">
        <x:f>IF(L1232&gt;=50000,"Enterprise",IF(L1232&gt;=20000,"Mid-Market","SMB"))</x:f>
        <x:v>Enterprise</x:v>
      </x:c>
      <x:c r="U1232" t="str">
        <x:f>IF(I1232="Closed Won","Won",IF(I1232="Closed Lost","Lost","Open"))</x:f>
        <x:v>Lost</x:v>
      </x:c>
      <x:c r="V1232" s="22" t="n">
        <x:f>IF(U1232="Won",L1232*(1-M1232),0)</x:f>
        <x:v>0</x:v>
      </x:c>
      <x:c r="W1232" s="22" t="n">
        <x:f>IF(U1232="Open",L1232*N1232,0)</x:f>
        <x:v>0</x:v>
      </x:c>
      <x:c r="X1232" s="26" t="n">
        <x:f>IF(U1232="Open","",IFERROR(K1232-B1232,""))</x:f>
        <x:v>72</x:v>
      </x:c>
      <x:c r="Y1232" s="26" t="n">
        <x:f>IF(U1232="Open",Lookups!$B$2-B1232,X1232)</x:f>
        <x:v>72</x:v>
      </x:c>
      <x:c r="Z1232" t="str">
        <x:f>IF(AND(U1232="Open",Y1232&gt;30),"STALE","OK")</x:f>
        <x:v>OK</x:v>
      </x:c>
      <x:c r="AA1232" t="str">
        <x:f>TEXT(B1232,"yyyy-mm")</x:f>
        <x:v>2025-10</x:v>
      </x:c>
      <x:c r="AB1232" t="str">
        <x:f>IF(K1232="","",TEXT(K1232,"yyyy-mm"))</x:f>
        <x:v>2025-12</x:v>
      </x:c>
      <x:c r="AC1232" t="str">
        <x:f>"Q"&amp;ROUNDUP(MONTH(B1232)/3,0)&amp;"-"&amp;YEAR(B1232)</x:f>
        <x:v>Q4-2025</x:v>
      </x:c>
      <x:c r="AD1232" s="26" t="n">
        <x:f>MIN(100,IF(H1232="Enterprise",30,IF(H1232="Mid-Market",22,14))+IF(T1232="Enterprise",25,IF(T1232="Mid-Market",18,10))+IF(Q1232="Referral",25,IF(Q1232="Organic Search",20,IF(Q1232="Email",18,14)))+IF(G1232="Technology",10,5))</x:f>
        <x:v>77</x:v>
      </x:c>
      <x:c r="AE1232" t="str">
        <x:f>IF(U1232&lt;&gt;"Open",U1232,IF(N1232&gt;=0.8,"Commit",IF(N1232&gt;=0.5,"Best Case","Pipeline")))</x:f>
        <x:v>Lost</x:v>
      </x:c>
    </x:row>
    <x:row r="1233">
      <x:c r="A1233" t="str">
        <x:v>L01232</x:v>
      </x:c>
      <x:c r="B1233" s="10" t="n">
        <x:v>46241</x:v>
      </x:c>
      <x:c r="C1233" t="str">
        <x:v>Ha Vo</x:v>
      </x:c>
      <x:c r="D1233" t="str">
        <x:v>North</x:v>
      </x:c>
      <x:c r="E1233" t="str">
        <x:v>google cpc</x:v>
      </x:c>
      <x:c r="F1233" t="str">
        <x:v>BI-PLUS</x:v>
      </x:c>
      <x:c r="G1233" t="str">
        <x:v>Professional Services</x:v>
      </x:c>
      <x:c r="H1233" t="str">
        <x:v>SMB</x:v>
      </x:c>
      <x:c r="I1233" t="str">
        <x:v>New</x:v>
      </x:c>
      <x:c r="J1233" s="10" t="n">
        <x:v>46255</x:v>
      </x:c>
      <x:c r="K1233" s="10"/>
      <x:c r="L1233" s="22" t="n">
        <x:v>19800</x:v>
      </x:c>
      <x:c r="M1233" s="24" t="n">
        <x:v>0</x:v>
      </x:c>
      <x:c r="N1233" s="24" t="n">
        <x:v>0.05</x:v>
      </x:c>
      <x:c r="O1233" t="str"/>
      <x:c r="P1233" t="n">
        <x:v>1</x:v>
      </x:c>
      <x:c r="Q1233" t="str">
        <x:f>IFERROR(XLOOKUP(E1233,Lookups!$A$5:$A$24,Lookups!$B$5:$B$24),"Other")</x:f>
        <x:v>Paid Search</x:v>
      </x:c>
      <x:c r="R1233" t="str">
        <x:f>IFERROR(XLOOKUP(F1233,Lookups!$D$5:$D$10,Lookups!$E$5:$E$10),"Unknown Product")</x:f>
        <x:v>Analytics Plus</x:v>
      </x:c>
      <x:c r="S1233" t="str">
        <x:f>IFERROR(XLOOKUP(F1233,Lookups!$D$5:$D$10,Lookups!$F$5:$F$10),"Unknown")</x:f>
        <x:v>Analytics</x:v>
      </x:c>
      <x:c r="T1233" t="str">
        <x:f>IF(L1233&gt;=50000,"Enterprise",IF(L1233&gt;=20000,"Mid-Market","SMB"))</x:f>
        <x:v>SMB</x:v>
      </x:c>
      <x:c r="U1233" t="str">
        <x:f>IF(I1233="Closed Won","Won",IF(I1233="Closed Lost","Lost","Open"))</x:f>
        <x:v>Open</x:v>
      </x:c>
      <x:c r="V1233" s="22" t="n">
        <x:f>IF(U1233="Won",L1233*(1-M1233),0)</x:f>
        <x:v>0</x:v>
      </x:c>
      <x:c r="W1233" s="22" t="n">
        <x:f>IF(U1233="Open",L1233*N1233,0)</x:f>
        <x:v>990</x:v>
      </x:c>
      <x:c r="X1233" s="26" t="str">
        <x:f>IF(U1233="Open","",IFERROR(K1233-B1233,""))</x:f>
      </x:c>
      <x:c r="Y1233" s="26" t="n">
        <x:f>IF(U1233="Open",Lookups!$B$2-B1233,X1233)</x:f>
        <x:v>25</x:v>
      </x:c>
      <x:c r="Z1233" t="str">
        <x:f>IF(AND(U1233="Open",Y1233&gt;30),"STALE","OK")</x:f>
        <x:v>OK</x:v>
      </x:c>
      <x:c r="AA1233" t="str">
        <x:f>TEXT(B1233,"yyyy-mm")</x:f>
        <x:v>2026-08</x:v>
      </x:c>
      <x:c r="AB1233" t="str">
        <x:f>IF(K1233="","",TEXT(K1233,"yyyy-mm"))</x:f>
      </x:c>
      <x:c r="AC1233" t="str">
        <x:f>"Q"&amp;ROUNDUP(MONTH(B1233)/3,0)&amp;"-"&amp;YEAR(B1233)</x:f>
        <x:v>Q3-2026</x:v>
      </x:c>
      <x:c r="AD1233" s="26" t="n">
        <x:f>MIN(100,IF(H1233="Enterprise",30,IF(H1233="Mid-Market",22,14))+IF(T1233="Enterprise",25,IF(T1233="Mid-Market",18,10))+IF(Q1233="Referral",25,IF(Q1233="Organic Search",20,IF(Q1233="Email",18,14)))+IF(G1233="Technology",10,5))</x:f>
        <x:v>43</x:v>
      </x:c>
      <x:c r="AE1233" t="str">
        <x:f>IF(U1233&lt;&gt;"Open",U1233,IF(N1233&gt;=0.8,"Commit",IF(N1233&gt;=0.5,"Best Case","Pipeline")))</x:f>
        <x:v>Pipeline</x:v>
      </x:c>
    </x:row>
    <x:row r="1234">
      <x:c r="A1234" t="str">
        <x:v>L01233</x:v>
      </x:c>
      <x:c r="B1234" s="10" t="n">
        <x:v>46150</x:v>
      </x:c>
      <x:c r="C1234" t="str">
        <x:v>Duy Pham</x:v>
      </x:c>
      <x:c r="D1234" t="str">
        <x:v>South</x:v>
      </x:c>
      <x:c r="E1234" t="str">
        <x:v>Email Campaign</x:v>
      </x:c>
      <x:c r="F1234" t="str">
        <x:v>CRM-CORE</x:v>
      </x:c>
      <x:c r="G1234" t="str">
        <x:v>Professional Services</x:v>
      </x:c>
      <x:c r="H1234" t="str">
        <x:v>SMB</x:v>
      </x:c>
      <x:c r="I1234" t="str">
        <x:v>Closed Won</x:v>
      </x:c>
      <x:c r="J1234" s="10" t="n">
        <x:v>46232</x:v>
      </x:c>
      <x:c r="K1234" s="10" t="n">
        <x:v>46232</x:v>
      </x:c>
      <x:c r="L1234" s="22" t="n">
        <x:v>6300</x:v>
      </x:c>
      <x:c r="M1234" s="24" t="n">
        <x:v>0.12</x:v>
      </x:c>
      <x:c r="N1234" s="24" t="n">
        <x:v>1</x:v>
      </x:c>
      <x:c r="O1234" t="str"/>
      <x:c r="P1234" t="n">
        <x:v>6</x:v>
      </x:c>
      <x:c r="Q1234" t="str">
        <x:f>IFERROR(XLOOKUP(E1234,Lookups!$A$5:$A$24,Lookups!$B$5:$B$24),"Other")</x:f>
        <x:v>Email</x:v>
      </x:c>
      <x:c r="R1234" t="str">
        <x:f>IFERROR(XLOOKUP(F1234,Lookups!$D$5:$D$10,Lookups!$E$5:$E$10),"Unknown Product")</x:f>
        <x:v>NexaCRM Core</x:v>
      </x:c>
      <x:c r="S1234" t="str">
        <x:f>IFERROR(XLOOKUP(F1234,Lookups!$D$5:$D$10,Lookups!$F$5:$F$10),"Unknown")</x:f>
        <x:v>CRM</x:v>
      </x:c>
      <x:c r="T1234" t="str">
        <x:f>IF(L1234&gt;=50000,"Enterprise",IF(L1234&gt;=20000,"Mid-Market","SMB"))</x:f>
        <x:v>SMB</x:v>
      </x:c>
      <x:c r="U1234" t="str">
        <x:f>IF(I1234="Closed Won","Won",IF(I1234="Closed Lost","Lost","Open"))</x:f>
        <x:v>Won</x:v>
      </x:c>
      <x:c r="V1234" s="22" t="n">
        <x:f>IF(U1234="Won",L1234*(1-M1234),0)</x:f>
        <x:v>5544</x:v>
      </x:c>
      <x:c r="W1234" s="22" t="n">
        <x:f>IF(U1234="Open",L1234*N1234,0)</x:f>
        <x:v>0</x:v>
      </x:c>
      <x:c r="X1234" s="26" t="n">
        <x:f>IF(U1234="Open","",IFERROR(K1234-B1234,""))</x:f>
        <x:v>82</x:v>
      </x:c>
      <x:c r="Y1234" s="26" t="n">
        <x:f>IF(U1234="Open",Lookups!$B$2-B1234,X1234)</x:f>
        <x:v>82</x:v>
      </x:c>
      <x:c r="Z1234" t="str">
        <x:f>IF(AND(U1234="Open",Y1234&gt;30),"STALE","OK")</x:f>
        <x:v>OK</x:v>
      </x:c>
      <x:c r="AA1234" t="str">
        <x:f>TEXT(B1234,"yyyy-mm")</x:f>
        <x:v>2026-05</x:v>
      </x:c>
      <x:c r="AB1234" t="str">
        <x:f>IF(K1234="","",TEXT(K1234,"yyyy-mm"))</x:f>
        <x:v>2026-07</x:v>
      </x:c>
      <x:c r="AC1234" t="str">
        <x:f>"Q"&amp;ROUNDUP(MONTH(B1234)/3,0)&amp;"-"&amp;YEAR(B1234)</x:f>
        <x:v>Q2-2026</x:v>
      </x:c>
      <x:c r="AD1234" s="26" t="n">
        <x:f>MIN(100,IF(H1234="Enterprise",30,IF(H1234="Mid-Market",22,14))+IF(T1234="Enterprise",25,IF(T1234="Mid-Market",18,10))+IF(Q1234="Referral",25,IF(Q1234="Organic Search",20,IF(Q1234="Email",18,14)))+IF(G1234="Technology",10,5))</x:f>
        <x:v>47</x:v>
      </x:c>
      <x:c r="AE1234" t="str">
        <x:f>IF(U1234&lt;&gt;"Open",U1234,IF(N1234&gt;=0.8,"Commit",IF(N1234&gt;=0.5,"Best Case","Pipeline")))</x:f>
        <x:v>Won</x:v>
      </x:c>
    </x:row>
    <x:row r="1235">
      <x:c r="A1235" t="str">
        <x:v>L01234</x:v>
      </x:c>
      <x:c r="B1235" s="10" t="n">
        <x:v>45791</x:v>
      </x:c>
      <x:c r="C1235" t="str">
        <x:v>Chi Le</x:v>
      </x:c>
      <x:c r="D1235" t="str">
        <x:v>South</x:v>
      </x:c>
      <x:c r="E1235" t="str">
        <x:v>SEM - Google</x:v>
      </x:c>
      <x:c r="F1235" t="str">
        <x:v>CRM-CORE</x:v>
      </x:c>
      <x:c r="G1235" t="str">
        <x:v>Financial Services</x:v>
      </x:c>
      <x:c r="H1235" t="str">
        <x:v>Mid-Market</x:v>
      </x:c>
      <x:c r="I1235" t="str">
        <x:v>Closed Won</x:v>
      </x:c>
      <x:c r="J1235" s="10" t="n">
        <x:v>45845</x:v>
      </x:c>
      <x:c r="K1235" s="10" t="n">
        <x:v>45845</x:v>
      </x:c>
      <x:c r="L1235" s="22" t="n">
        <x:v>12300</x:v>
      </x:c>
      <x:c r="M1235" s="24" t="n">
        <x:v>0.08</x:v>
      </x:c>
      <x:c r="N1235" s="24" t="n">
        <x:v>1</x:v>
      </x:c>
      <x:c r="O1235" t="str"/>
      <x:c r="P1235" t="n">
        <x:v>6</x:v>
      </x:c>
      <x:c r="Q1235" t="str">
        <x:f>IFERROR(XLOOKUP(E1235,Lookups!$A$5:$A$24,Lookups!$B$5:$B$24),"Other")</x:f>
        <x:v>Paid Search</x:v>
      </x:c>
      <x:c r="R1235" t="str">
        <x:f>IFERROR(XLOOKUP(F1235,Lookups!$D$5:$D$10,Lookups!$E$5:$E$10),"Unknown Product")</x:f>
        <x:v>NexaCRM Core</x:v>
      </x:c>
      <x:c r="S1235" t="str">
        <x:f>IFERROR(XLOOKUP(F1235,Lookups!$D$5:$D$10,Lookups!$F$5:$F$10),"Unknown")</x:f>
        <x:v>CRM</x:v>
      </x:c>
      <x:c r="T1235" t="str">
        <x:f>IF(L1235&gt;=50000,"Enterprise",IF(L1235&gt;=20000,"Mid-Market","SMB"))</x:f>
        <x:v>SMB</x:v>
      </x:c>
      <x:c r="U1235" t="str">
        <x:f>IF(I1235="Closed Won","Won",IF(I1235="Closed Lost","Lost","Open"))</x:f>
        <x:v>Won</x:v>
      </x:c>
      <x:c r="V1235" s="22" t="n">
        <x:f>IF(U1235="Won",L1235*(1-M1235),0)</x:f>
        <x:v>11316</x:v>
      </x:c>
      <x:c r="W1235" s="22" t="n">
        <x:f>IF(U1235="Open",L1235*N1235,0)</x:f>
        <x:v>0</x:v>
      </x:c>
      <x:c r="X1235" s="26" t="n">
        <x:f>IF(U1235="Open","",IFERROR(K1235-B1235,""))</x:f>
        <x:v>54</x:v>
      </x:c>
      <x:c r="Y1235" s="26" t="n">
        <x:f>IF(U1235="Open",Lookups!$B$2-B1235,X1235)</x:f>
        <x:v>54</x:v>
      </x:c>
      <x:c r="Z1235" t="str">
        <x:f>IF(AND(U1235="Open",Y1235&gt;30),"STALE","OK")</x:f>
        <x:v>OK</x:v>
      </x:c>
      <x:c r="AA1235" t="str">
        <x:f>TEXT(B1235,"yyyy-mm")</x:f>
        <x:v>2025-05</x:v>
      </x:c>
      <x:c r="AB1235" t="str">
        <x:f>IF(K1235="","",TEXT(K1235,"yyyy-mm"))</x:f>
        <x:v>2025-07</x:v>
      </x:c>
      <x:c r="AC1235" t="str">
        <x:f>"Q"&amp;ROUNDUP(MONTH(B1235)/3,0)&amp;"-"&amp;YEAR(B1235)</x:f>
        <x:v>Q2-2025</x:v>
      </x:c>
      <x:c r="AD1235" s="26" t="n">
        <x:f>MIN(100,IF(H1235="Enterprise",30,IF(H1235="Mid-Market",22,14))+IF(T1235="Enterprise",25,IF(T1235="Mid-Market",18,10))+IF(Q1235="Referral",25,IF(Q1235="Organic Search",20,IF(Q1235="Email",18,14)))+IF(G1235="Technology",10,5))</x:f>
        <x:v>51</x:v>
      </x:c>
      <x:c r="AE1235" t="str">
        <x:f>IF(U1235&lt;&gt;"Open",U1235,IF(N1235&gt;=0.8,"Commit",IF(N1235&gt;=0.5,"Best Case","Pipeline")))</x:f>
        <x:v>Won</x:v>
      </x:c>
    </x:row>
    <x:row r="1236">
      <x:c r="A1236" t="str">
        <x:v>L01235</x:v>
      </x:c>
      <x:c r="B1236" s="10" t="n">
        <x:v>45696</x:v>
      </x:c>
      <x:c r="C1236" t="str">
        <x:v>Quynh Vu</x:v>
      </x:c>
      <x:c r="D1236" t="str">
        <x:v>North</x:v>
      </x:c>
      <x:c r="E1236" t="str">
        <x:v>Outbound</x:v>
      </x:c>
      <x:c r="F1236" t="str">
        <x:v>MKT-AUTO</x:v>
      </x:c>
      <x:c r="G1236" t="str">
        <x:v>Healthcare</x:v>
      </x:c>
      <x:c r="H1236" t="str">
        <x:v>SMB</x:v>
      </x:c>
      <x:c r="I1236" t="str">
        <x:v>Closed Lost</x:v>
      </x:c>
      <x:c r="J1236" s="10" t="n">
        <x:v>45765</x:v>
      </x:c>
      <x:c r="K1236" s="10" t="n">
        <x:v>45765</x:v>
      </x:c>
      <x:c r="L1236" s="22" t="n">
        <x:v>17200</x:v>
      </x:c>
      <x:c r="M1236" s="24" t="n">
        <x:v>0</x:v>
      </x:c>
      <x:c r="N1236" s="24" t="n">
        <x:v>0</x:v>
      </x:c>
      <x:c r="O1236" t="str">
        <x:v>Price</x:v>
      </x:c>
      <x:c r="P1236" t="n">
        <x:v>4</x:v>
      </x:c>
      <x:c r="Q1236" t="str">
        <x:f>IFERROR(XLOOKUP(E1236,Lookups!$A$5:$A$24,Lookups!$B$5:$B$24),"Other")</x:f>
        <x:v>Outbound</x:v>
      </x:c>
      <x:c r="R1236" t="str">
        <x:f>IFERROR(XLOOKUP(F1236,Lookups!$D$5:$D$10,Lookups!$E$5:$E$10),"Unknown Product")</x:f>
        <x:v>Marketing Automation</x:v>
      </x:c>
      <x:c r="S1236" t="str">
        <x:f>IFERROR(XLOOKUP(F1236,Lookups!$D$5:$D$10,Lookups!$F$5:$F$10),"Unknown")</x:f>
        <x:v>Marketing</x:v>
      </x:c>
      <x:c r="T1236" t="str">
        <x:f>IF(L1236&gt;=50000,"Enterprise",IF(L1236&gt;=20000,"Mid-Market","SMB"))</x:f>
        <x:v>SMB</x:v>
      </x:c>
      <x:c r="U1236" t="str">
        <x:f>IF(I1236="Closed Won","Won",IF(I1236="Closed Lost","Lost","Open"))</x:f>
        <x:v>Lost</x:v>
      </x:c>
      <x:c r="V1236" s="22" t="n">
        <x:f>IF(U1236="Won",L1236*(1-M1236),0)</x:f>
        <x:v>0</x:v>
      </x:c>
      <x:c r="W1236" s="22" t="n">
        <x:f>IF(U1236="Open",L1236*N1236,0)</x:f>
        <x:v>0</x:v>
      </x:c>
      <x:c r="X1236" s="26" t="n">
        <x:f>IF(U1236="Open","",IFERROR(K1236-B1236,""))</x:f>
        <x:v>69</x:v>
      </x:c>
      <x:c r="Y1236" s="26" t="n">
        <x:f>IF(U1236="Open",Lookups!$B$2-B1236,X1236)</x:f>
        <x:v>69</x:v>
      </x:c>
      <x:c r="Z1236" t="str">
        <x:f>IF(AND(U1236="Open",Y1236&gt;30),"STALE","OK")</x:f>
        <x:v>OK</x:v>
      </x:c>
      <x:c r="AA1236" t="str">
        <x:f>TEXT(B1236,"yyyy-mm")</x:f>
        <x:v>2025-02</x:v>
      </x:c>
      <x:c r="AB1236" t="str">
        <x:f>IF(K1236="","",TEXT(K1236,"yyyy-mm"))</x:f>
        <x:v>2025-04</x:v>
      </x:c>
      <x:c r="AC1236" t="str">
        <x:f>"Q"&amp;ROUNDUP(MONTH(B1236)/3,0)&amp;"-"&amp;YEAR(B1236)</x:f>
        <x:v>Q1-2025</x:v>
      </x:c>
      <x:c r="AD1236" s="26" t="n">
        <x:f>MIN(100,IF(H1236="Enterprise",30,IF(H1236="Mid-Market",22,14))+IF(T1236="Enterprise",25,IF(T1236="Mid-Market",18,10))+IF(Q1236="Referral",25,IF(Q1236="Organic Search",20,IF(Q1236="Email",18,14)))+IF(G1236="Technology",10,5))</x:f>
        <x:v>43</x:v>
      </x:c>
      <x:c r="AE1236" t="str">
        <x:f>IF(U1236&lt;&gt;"Open",U1236,IF(N1236&gt;=0.8,"Commit",IF(N1236&gt;=0.5,"Best Case","Pipeline")))</x:f>
        <x:v>Lost</x:v>
      </x:c>
    </x:row>
    <x:row r="1237">
      <x:c r="A1237" t="str">
        <x:v>L01236</x:v>
      </x:c>
      <x:c r="B1237" s="10" t="n">
        <x:v>45908</x:v>
      </x:c>
      <x:c r="C1237" t="str">
        <x:v>Tuan Bui</x:v>
      </x:c>
      <x:c r="D1237" t="str">
        <x:v>Central</x:v>
      </x:c>
      <x:c r="E1237" t="str">
        <x:v>SDR Outreach</x:v>
      </x:c>
      <x:c r="F1237" t="str">
        <x:v>CRM-PRO</x:v>
      </x:c>
      <x:c r="G1237" t="str">
        <x:v>Technology</x:v>
      </x:c>
      <x:c r="H1237" t="str">
        <x:v>SMB</x:v>
      </x:c>
      <x:c r="I1237" t="str">
        <x:v>Closed Won</x:v>
      </x:c>
      <x:c r="J1237" s="10" t="n">
        <x:v>45994</x:v>
      </x:c>
      <x:c r="K1237" s="10" t="n">
        <x:v>45994</x:v>
      </x:c>
      <x:c r="L1237" s="22" t="n">
        <x:v>14400</x:v>
      </x:c>
      <x:c r="M1237" s="24" t="n">
        <x:v>0.12</x:v>
      </x:c>
      <x:c r="N1237" s="24" t="n">
        <x:v>1</x:v>
      </x:c>
      <x:c r="O1237" t="str"/>
      <x:c r="P1237" t="n">
        <x:v>6</x:v>
      </x:c>
      <x:c r="Q1237" t="str">
        <x:f>IFERROR(XLOOKUP(E1237,Lookups!$A$5:$A$24,Lookups!$B$5:$B$24),"Other")</x:f>
        <x:v>Outbound</x:v>
      </x:c>
      <x:c r="R1237" t="str">
        <x:f>IFERROR(XLOOKUP(F1237,Lookups!$D$5:$D$10,Lookups!$E$5:$E$10),"Unknown Product")</x:f>
        <x:v>NexaCRM Pro</x:v>
      </x:c>
      <x:c r="S1237" t="str">
        <x:f>IFERROR(XLOOKUP(F1237,Lookups!$D$5:$D$10,Lookups!$F$5:$F$10),"Unknown")</x:f>
        <x:v>CRM</x:v>
      </x:c>
      <x:c r="T1237" t="str">
        <x:f>IF(L1237&gt;=50000,"Enterprise",IF(L1237&gt;=20000,"Mid-Market","SMB"))</x:f>
        <x:v>SMB</x:v>
      </x:c>
      <x:c r="U1237" t="str">
        <x:f>IF(I1237="Closed Won","Won",IF(I1237="Closed Lost","Lost","Open"))</x:f>
        <x:v>Won</x:v>
      </x:c>
      <x:c r="V1237" s="22" t="n">
        <x:f>IF(U1237="Won",L1237*(1-M1237),0)</x:f>
        <x:v>12672</x:v>
      </x:c>
      <x:c r="W1237" s="22" t="n">
        <x:f>IF(U1237="Open",L1237*N1237,0)</x:f>
        <x:v>0</x:v>
      </x:c>
      <x:c r="X1237" s="26" t="n">
        <x:f>IF(U1237="Open","",IFERROR(K1237-B1237,""))</x:f>
        <x:v>86</x:v>
      </x:c>
      <x:c r="Y1237" s="26" t="n">
        <x:f>IF(U1237="Open",Lookups!$B$2-B1237,X1237)</x:f>
        <x:v>86</x:v>
      </x:c>
      <x:c r="Z1237" t="str">
        <x:f>IF(AND(U1237="Open",Y1237&gt;30),"STALE","OK")</x:f>
        <x:v>OK</x:v>
      </x:c>
      <x:c r="AA1237" t="str">
        <x:f>TEXT(B1237,"yyyy-mm")</x:f>
        <x:v>2025-09</x:v>
      </x:c>
      <x:c r="AB1237" t="str">
        <x:f>IF(K1237="","",TEXT(K1237,"yyyy-mm"))</x:f>
        <x:v>2025-12</x:v>
      </x:c>
      <x:c r="AC1237" t="str">
        <x:f>"Q"&amp;ROUNDUP(MONTH(B1237)/3,0)&amp;"-"&amp;YEAR(B1237)</x:f>
        <x:v>Q3-2025</x:v>
      </x:c>
      <x:c r="AD1237" s="26" t="n">
        <x:f>MIN(100,IF(H1237="Enterprise",30,IF(H1237="Mid-Market",22,14))+IF(T1237="Enterprise",25,IF(T1237="Mid-Market",18,10))+IF(Q1237="Referral",25,IF(Q1237="Organic Search",20,IF(Q1237="Email",18,14)))+IF(G1237="Technology",10,5))</x:f>
        <x:v>48</x:v>
      </x:c>
      <x:c r="AE1237" t="str">
        <x:f>IF(U1237&lt;&gt;"Open",U1237,IF(N1237&gt;=0.8,"Commit",IF(N1237&gt;=0.5,"Best Case","Pipeline")))</x:f>
        <x:v>Won</x:v>
      </x:c>
    </x:row>
    <x:row r="1238">
      <x:c r="A1238" t="str">
        <x:v>L01237</x:v>
      </x:c>
      <x:c r="B1238" s="10" t="n">
        <x:v>45936</x:v>
      </x:c>
      <x:c r="C1238" t="str">
        <x:v>Tuan Bui</x:v>
      </x:c>
      <x:c r="D1238" t="str">
        <x:v>Central</x:v>
      </x:c>
      <x:c r="E1238" t="str">
        <x:v>email nurture</x:v>
      </x:c>
      <x:c r="F1238" t="str">
        <x:v>BI-PLUS</x:v>
      </x:c>
      <x:c r="G1238" t="str">
        <x:v>Financial Services</x:v>
      </x:c>
      <x:c r="H1238" t="str">
        <x:v>Mid-Market</x:v>
      </x:c>
      <x:c r="I1238" t="str">
        <x:v>Closed Won</x:v>
      </x:c>
      <x:c r="J1238" s="10" t="n">
        <x:v>45962</x:v>
      </x:c>
      <x:c r="K1238" s="10" t="n">
        <x:v>45962</x:v>
      </x:c>
      <x:c r="L1238" s="22" t="n">
        <x:v>31600</x:v>
      </x:c>
      <x:c r="M1238" s="24" t="n">
        <x:v>0.03</x:v>
      </x:c>
      <x:c r="N1238" s="24" t="n">
        <x:v>1</x:v>
      </x:c>
      <x:c r="O1238" t="str"/>
      <x:c r="P1238" t="n">
        <x:v>6</x:v>
      </x:c>
      <x:c r="Q1238" t="str">
        <x:f>IFERROR(XLOOKUP(E1238,Lookups!$A$5:$A$24,Lookups!$B$5:$B$24),"Other")</x:f>
        <x:v>Email</x:v>
      </x:c>
      <x:c r="R1238" t="str">
        <x:f>IFERROR(XLOOKUP(F1238,Lookups!$D$5:$D$10,Lookups!$E$5:$E$10),"Unknown Product")</x:f>
        <x:v>Analytics Plus</x:v>
      </x:c>
      <x:c r="S1238" t="str">
        <x:f>IFERROR(XLOOKUP(F1238,Lookups!$D$5:$D$10,Lookups!$F$5:$F$10),"Unknown")</x:f>
        <x:v>Analytics</x:v>
      </x:c>
      <x:c r="T1238" t="str">
        <x:f>IF(L1238&gt;=50000,"Enterprise",IF(L1238&gt;=20000,"Mid-Market","SMB"))</x:f>
        <x:v>Mid-Market</x:v>
      </x:c>
      <x:c r="U1238" t="str">
        <x:f>IF(I1238="Closed Won","Won",IF(I1238="Closed Lost","Lost","Open"))</x:f>
        <x:v>Won</x:v>
      </x:c>
      <x:c r="V1238" s="22" t="n">
        <x:f>IF(U1238="Won",L1238*(1-M1238),0)</x:f>
        <x:v>30652</x:v>
      </x:c>
      <x:c r="W1238" s="22" t="n">
        <x:f>IF(U1238="Open",L1238*N1238,0)</x:f>
        <x:v>0</x:v>
      </x:c>
      <x:c r="X1238" s="26" t="n">
        <x:f>IF(U1238="Open","",IFERROR(K1238-B1238,""))</x:f>
        <x:v>26</x:v>
      </x:c>
      <x:c r="Y1238" s="26" t="n">
        <x:f>IF(U1238="Open",Lookups!$B$2-B1238,X1238)</x:f>
        <x:v>26</x:v>
      </x:c>
      <x:c r="Z1238" t="str">
        <x:f>IF(AND(U1238="Open",Y1238&gt;30),"STALE","OK")</x:f>
        <x:v>OK</x:v>
      </x:c>
      <x:c r="AA1238" t="str">
        <x:f>TEXT(B1238,"yyyy-mm")</x:f>
        <x:v>2025-10</x:v>
      </x:c>
      <x:c r="AB1238" t="str">
        <x:f>IF(K1238="","",TEXT(K1238,"yyyy-mm"))</x:f>
        <x:v>2025-11</x:v>
      </x:c>
      <x:c r="AC1238" t="str">
        <x:f>"Q"&amp;ROUNDUP(MONTH(B1238)/3,0)&amp;"-"&amp;YEAR(B1238)</x:f>
        <x:v>Q4-2025</x:v>
      </x:c>
      <x:c r="AD1238" s="26" t="n">
        <x:f>MIN(100,IF(H1238="Enterprise",30,IF(H1238="Mid-Market",22,14))+IF(T1238="Enterprise",25,IF(T1238="Mid-Market",18,10))+IF(Q1238="Referral",25,IF(Q1238="Organic Search",20,IF(Q1238="Email",18,14)))+IF(G1238="Technology",10,5))</x:f>
        <x:v>63</x:v>
      </x:c>
      <x:c r="AE1238" t="str">
        <x:f>IF(U1238&lt;&gt;"Open",U1238,IF(N1238&gt;=0.8,"Commit",IF(N1238&gt;=0.5,"Best Case","Pipeline")))</x:f>
        <x:v>Won</x:v>
      </x:c>
    </x:row>
    <x:row r="1239">
      <x:c r="A1239" t="str">
        <x:v>L01238</x:v>
      </x:c>
      <x:c r="B1239" s="10" t="n">
        <x:v>45985</x:v>
      </x:c>
      <x:c r="C1239" t="str">
        <x:v>Duy Pham</x:v>
      </x:c>
      <x:c r="D1239" t="str">
        <x:v>South</x:v>
      </x:c>
      <x:c r="E1239" t="str">
        <x:v>Referral</x:v>
      </x:c>
      <x:c r="F1239" t="str">
        <x:v>CRM-CORE</x:v>
      </x:c>
      <x:c r="G1239" t="str">
        <x:v>Professional Services</x:v>
      </x:c>
      <x:c r="H1239" t="str">
        <x:v>SMB</x:v>
      </x:c>
      <x:c r="I1239" t="str">
        <x:v>Closed Lost</x:v>
      </x:c>
      <x:c r="J1239" s="10" t="n">
        <x:v>46070</x:v>
      </x:c>
      <x:c r="K1239" s="10" t="n">
        <x:v>46070</x:v>
      </x:c>
      <x:c r="L1239" s="22" t="n">
        <x:v>9800</x:v>
      </x:c>
      <x:c r="M1239" s="24" t="n">
        <x:v>0</x:v>
      </x:c>
      <x:c r="N1239" s="24" t="n">
        <x:v>0</x:v>
      </x:c>
      <x:c r="O1239" t="str">
        <x:v>Price</x:v>
      </x:c>
      <x:c r="P1239" t="n">
        <x:v>3</x:v>
      </x:c>
      <x:c r="Q1239" t="str">
        <x:f>IFERROR(XLOOKUP(E1239,Lookups!$A$5:$A$24,Lookups!$B$5:$B$24),"Other")</x:f>
        <x:v>Referral</x:v>
      </x:c>
      <x:c r="R1239" t="str">
        <x:f>IFERROR(XLOOKUP(F1239,Lookups!$D$5:$D$10,Lookups!$E$5:$E$10),"Unknown Product")</x:f>
        <x:v>NexaCRM Core</x:v>
      </x:c>
      <x:c r="S1239" t="str">
        <x:f>IFERROR(XLOOKUP(F1239,Lookups!$D$5:$D$10,Lookups!$F$5:$F$10),"Unknown")</x:f>
        <x:v>CRM</x:v>
      </x:c>
      <x:c r="T1239" t="str">
        <x:f>IF(L1239&gt;=50000,"Enterprise",IF(L1239&gt;=20000,"Mid-Market","SMB"))</x:f>
        <x:v>SMB</x:v>
      </x:c>
      <x:c r="U1239" t="str">
        <x:f>IF(I1239="Closed Won","Won",IF(I1239="Closed Lost","Lost","Open"))</x:f>
        <x:v>Lost</x:v>
      </x:c>
      <x:c r="V1239" s="22" t="n">
        <x:f>IF(U1239="Won",L1239*(1-M1239),0)</x:f>
        <x:v>0</x:v>
      </x:c>
      <x:c r="W1239" s="22" t="n">
        <x:f>IF(U1239="Open",L1239*N1239,0)</x:f>
        <x:v>0</x:v>
      </x:c>
      <x:c r="X1239" s="26" t="n">
        <x:f>IF(U1239="Open","",IFERROR(K1239-B1239,""))</x:f>
        <x:v>85</x:v>
      </x:c>
      <x:c r="Y1239" s="26" t="n">
        <x:f>IF(U1239="Open",Lookups!$B$2-B1239,X1239)</x:f>
        <x:v>85</x:v>
      </x:c>
      <x:c r="Z1239" t="str">
        <x:f>IF(AND(U1239="Open",Y1239&gt;30),"STALE","OK")</x:f>
        <x:v>OK</x:v>
      </x:c>
      <x:c r="AA1239" t="str">
        <x:f>TEXT(B1239,"yyyy-mm")</x:f>
        <x:v>2025-11</x:v>
      </x:c>
      <x:c r="AB1239" t="str">
        <x:f>IF(K1239="","",TEXT(K1239,"yyyy-mm"))</x:f>
        <x:v>2026-02</x:v>
      </x:c>
      <x:c r="AC1239" t="str">
        <x:f>"Q"&amp;ROUNDUP(MONTH(B1239)/3,0)&amp;"-"&amp;YEAR(B1239)</x:f>
        <x:v>Q4-2025</x:v>
      </x:c>
      <x:c r="AD1239" s="26" t="n">
        <x:f>MIN(100,IF(H1239="Enterprise",30,IF(H1239="Mid-Market",22,14))+IF(T1239="Enterprise",25,IF(T1239="Mid-Market",18,10))+IF(Q1239="Referral",25,IF(Q1239="Organic Search",20,IF(Q1239="Email",18,14)))+IF(G1239="Technology",10,5))</x:f>
        <x:v>54</x:v>
      </x:c>
      <x:c r="AE1239" t="str">
        <x:f>IF(U1239&lt;&gt;"Open",U1239,IF(N1239&gt;=0.8,"Commit",IF(N1239&gt;=0.5,"Best Case","Pipeline")))</x:f>
        <x:v>Lost</x:v>
      </x:c>
    </x:row>
    <x:row r="1240">
      <x:c r="A1240" t="str">
        <x:v>L01239</x:v>
      </x:c>
      <x:c r="B1240" s="10" t="n">
        <x:v>45836</x:v>
      </x:c>
      <x:c r="C1240" t="str">
        <x:v>Minh Do</x:v>
      </x:c>
      <x:c r="D1240" t="str">
        <x:v>North</x:v>
      </x:c>
      <x:c r="E1240" t="str">
        <x:v>Outbound</x:v>
      </x:c>
      <x:c r="F1240" t="str">
        <x:v>CRM-CORE</x:v>
      </x:c>
      <x:c r="G1240" t="str">
        <x:v>Technology</x:v>
      </x:c>
      <x:c r="H1240" t="str">
        <x:v>SMB</x:v>
      </x:c>
      <x:c r="I1240" t="str">
        <x:v>Negotiation</x:v>
      </x:c>
      <x:c r="J1240" s="10" t="n">
        <x:v>46185</x:v>
      </x:c>
      <x:c r="K1240" s="10"/>
      <x:c r="L1240" s="22" t="n">
        <x:v>10300</x:v>
      </x:c>
      <x:c r="M1240" s="24" t="n">
        <x:v>0</x:v>
      </x:c>
      <x:c r="N1240" s="24" t="n">
        <x:v>0.85</x:v>
      </x:c>
      <x:c r="O1240" t="str"/>
      <x:c r="P1240" t="n">
        <x:v>5</x:v>
      </x:c>
      <x:c r="Q1240" t="str">
        <x:f>IFERROR(XLOOKUP(E1240,Lookups!$A$5:$A$24,Lookups!$B$5:$B$24),"Other")</x:f>
        <x:v>Outbound</x:v>
      </x:c>
      <x:c r="R1240" t="str">
        <x:f>IFERROR(XLOOKUP(F1240,Lookups!$D$5:$D$10,Lookups!$E$5:$E$10),"Unknown Product")</x:f>
        <x:v>NexaCRM Core</x:v>
      </x:c>
      <x:c r="S1240" t="str">
        <x:f>IFERROR(XLOOKUP(F1240,Lookups!$D$5:$D$10,Lookups!$F$5:$F$10),"Unknown")</x:f>
        <x:v>CRM</x:v>
      </x:c>
      <x:c r="T1240" t="str">
        <x:f>IF(L1240&gt;=50000,"Enterprise",IF(L1240&gt;=20000,"Mid-Market","SMB"))</x:f>
        <x:v>SMB</x:v>
      </x:c>
      <x:c r="U1240" t="str">
        <x:f>IF(I1240="Closed Won","Won",IF(I1240="Closed Lost","Lost","Open"))</x:f>
        <x:v>Open</x:v>
      </x:c>
      <x:c r="V1240" s="22" t="n">
        <x:f>IF(U1240="Won",L1240*(1-M1240),0)</x:f>
        <x:v>0</x:v>
      </x:c>
      <x:c r="W1240" s="22" t="n">
        <x:f>IF(U1240="Open",L1240*N1240,0)</x:f>
        <x:v>8755</x:v>
      </x:c>
      <x:c r="X1240" s="26" t="str">
        <x:f>IF(U1240="Open","",IFERROR(K1240-B1240,""))</x:f>
      </x:c>
      <x:c r="Y1240" s="26" t="n">
        <x:f>IF(U1240="Open",Lookups!$B$2-B1240,X1240)</x:f>
        <x:v>430</x:v>
      </x:c>
      <x:c r="Z1240" t="str">
        <x:f>IF(AND(U1240="Open",Y1240&gt;30),"STALE","OK")</x:f>
        <x:v>STALE</x:v>
      </x:c>
      <x:c r="AA1240" t="str">
        <x:f>TEXT(B1240,"yyyy-mm")</x:f>
        <x:v>2025-06</x:v>
      </x:c>
      <x:c r="AB1240" t="str">
        <x:f>IF(K1240="","",TEXT(K1240,"yyyy-mm"))</x:f>
      </x:c>
      <x:c r="AC1240" t="str">
        <x:f>"Q"&amp;ROUNDUP(MONTH(B1240)/3,0)&amp;"-"&amp;YEAR(B1240)</x:f>
        <x:v>Q2-2025</x:v>
      </x:c>
      <x:c r="AD1240" s="26" t="n">
        <x:f>MIN(100,IF(H1240="Enterprise",30,IF(H1240="Mid-Market",22,14))+IF(T1240="Enterprise",25,IF(T1240="Mid-Market",18,10))+IF(Q1240="Referral",25,IF(Q1240="Organic Search",20,IF(Q1240="Email",18,14)))+IF(G1240="Technology",10,5))</x:f>
        <x:v>48</x:v>
      </x:c>
      <x:c r="AE1240" t="str">
        <x:f>IF(U1240&lt;&gt;"Open",U1240,IF(N1240&gt;=0.8,"Commit",IF(N1240&gt;=0.5,"Best Case","Pipeline")))</x:f>
        <x:v>Commit</x:v>
      </x:c>
    </x:row>
    <x:row r="1241">
      <x:c r="A1241" t="str">
        <x:v>L01240</x:v>
      </x:c>
      <x:c r="B1241" s="10" t="n">
        <x:v>46081</x:v>
      </x:c>
      <x:c r="C1241" t="str">
        <x:v>An Nguyen</x:v>
      </x:c>
      <x:c r="D1241" t="str">
        <x:v>South</x:v>
      </x:c>
      <x:c r="E1241" t="str">
        <x:v>Partner Referral</x:v>
      </x:c>
      <x:c r="F1241" t="str">
        <x:v>CRM-CORE</x:v>
      </x:c>
      <x:c r="G1241" t="str">
        <x:v>Financial Services</x:v>
      </x:c>
      <x:c r="H1241" t="str">
        <x:v>SMB</x:v>
      </x:c>
      <x:c r="I1241" t="str">
        <x:v>Closed Lost</x:v>
      </x:c>
      <x:c r="J1241" s="10" t="n">
        <x:v>46150</x:v>
      </x:c>
      <x:c r="K1241" s="10" t="n">
        <x:v>46150</x:v>
      </x:c>
      <x:c r="L1241" s="22" t="n">
        <x:v>4700</x:v>
      </x:c>
      <x:c r="M1241" s="24" t="n">
        <x:v>0</x:v>
      </x:c>
      <x:c r="N1241" s="24" t="n">
        <x:v>0</x:v>
      </x:c>
      <x:c r="O1241" t="str">
        <x:v>Timing</x:v>
      </x:c>
      <x:c r="P1241" t="n">
        <x:v>5</x:v>
      </x:c>
      <x:c r="Q1241" t="str">
        <x:f>IFERROR(XLOOKUP(E1241,Lookups!$A$5:$A$24,Lookups!$B$5:$B$24),"Other")</x:f>
        <x:v>Referral</x:v>
      </x:c>
      <x:c r="R1241" t="str">
        <x:f>IFERROR(XLOOKUP(F1241,Lookups!$D$5:$D$10,Lookups!$E$5:$E$10),"Unknown Product")</x:f>
        <x:v>NexaCRM Core</x:v>
      </x:c>
      <x:c r="S1241" t="str">
        <x:f>IFERROR(XLOOKUP(F1241,Lookups!$D$5:$D$10,Lookups!$F$5:$F$10),"Unknown")</x:f>
        <x:v>CRM</x:v>
      </x:c>
      <x:c r="T1241" t="str">
        <x:f>IF(L1241&gt;=50000,"Enterprise",IF(L1241&gt;=20000,"Mid-Market","SMB"))</x:f>
        <x:v>SMB</x:v>
      </x:c>
      <x:c r="U1241" t="str">
        <x:f>IF(I1241="Closed Won","Won",IF(I1241="Closed Lost","Lost","Open"))</x:f>
        <x:v>Lost</x:v>
      </x:c>
      <x:c r="V1241" s="22" t="n">
        <x:f>IF(U1241="Won",L1241*(1-M1241),0)</x:f>
        <x:v>0</x:v>
      </x:c>
      <x:c r="W1241" s="22" t="n">
        <x:f>IF(U1241="Open",L1241*N1241,0)</x:f>
        <x:v>0</x:v>
      </x:c>
      <x:c r="X1241" s="26" t="n">
        <x:f>IF(U1241="Open","",IFERROR(K1241-B1241,""))</x:f>
        <x:v>69</x:v>
      </x:c>
      <x:c r="Y1241" s="26" t="n">
        <x:f>IF(U1241="Open",Lookups!$B$2-B1241,X1241)</x:f>
        <x:v>69</x:v>
      </x:c>
      <x:c r="Z1241" t="str">
        <x:f>IF(AND(U1241="Open",Y1241&gt;30),"STALE","OK")</x:f>
        <x:v>OK</x:v>
      </x:c>
      <x:c r="AA1241" t="str">
        <x:f>TEXT(B1241,"yyyy-mm")</x:f>
        <x:v>2026-02</x:v>
      </x:c>
      <x:c r="AB1241" t="str">
        <x:f>IF(K1241="","",TEXT(K1241,"yyyy-mm"))</x:f>
        <x:v>2026-05</x:v>
      </x:c>
      <x:c r="AC1241" t="str">
        <x:f>"Q"&amp;ROUNDUP(MONTH(B1241)/3,0)&amp;"-"&amp;YEAR(B1241)</x:f>
        <x:v>Q1-2026</x:v>
      </x:c>
      <x:c r="AD1241" s="26" t="n">
        <x:f>MIN(100,IF(H1241="Enterprise",30,IF(H1241="Mid-Market",22,14))+IF(T1241="Enterprise",25,IF(T1241="Mid-Market",18,10))+IF(Q1241="Referral",25,IF(Q1241="Organic Search",20,IF(Q1241="Email",18,14)))+IF(G1241="Technology",10,5))</x:f>
        <x:v>54</x:v>
      </x:c>
      <x:c r="AE1241" t="str">
        <x:f>IF(U1241&lt;&gt;"Open",U1241,IF(N1241&gt;=0.8,"Commit",IF(N1241&gt;=0.5,"Best Case","Pipeline")))</x:f>
        <x:v>Lost</x:v>
      </x:c>
    </x:row>
    <x:row r="1242">
      <x:c r="A1242" t="str">
        <x:v>L01241</x:v>
      </x:c>
      <x:c r="B1242" s="10" t="n">
        <x:v>46242</x:v>
      </x:c>
      <x:c r="C1242" t="str">
        <x:v>Tuan Bui</x:v>
      </x:c>
      <x:c r="D1242" t="str">
        <x:v>Central</x:v>
      </x:c>
      <x:c r="E1242" t="str">
        <x:v>SEO</x:v>
      </x:c>
      <x:c r="F1242" t="str">
        <x:v>CS-CLOUD</x:v>
      </x:c>
      <x:c r="G1242" t="str">
        <x:v>Healthcare</x:v>
      </x:c>
      <x:c r="H1242" t="str">
        <x:v>SMB</x:v>
      </x:c>
      <x:c r="I1242" t="str">
        <x:v>Closed Won</x:v>
      </x:c>
      <x:c r="J1242" s="10" t="n">
        <x:v>46266</x:v>
      </x:c>
      <x:c r="K1242" s="10" t="n">
        <x:v>46266</x:v>
      </x:c>
      <x:c r="L1242" s="22" t="n">
        <x:v>19600</x:v>
      </x:c>
      <x:c r="M1242" s="24" t="n">
        <x:v>0.03</x:v>
      </x:c>
      <x:c r="N1242" s="24" t="n">
        <x:v>1</x:v>
      </x:c>
      <x:c r="O1242" t="str"/>
      <x:c r="P1242" t="n">
        <x:v>6</x:v>
      </x:c>
      <x:c r="Q1242" t="str">
        <x:f>IFERROR(XLOOKUP(E1242,Lookups!$A$5:$A$24,Lookups!$B$5:$B$24),"Other")</x:f>
        <x:v>Organic Search</x:v>
      </x:c>
      <x:c r="R1242" t="str">
        <x:f>IFERROR(XLOOKUP(F1242,Lookups!$D$5:$D$10,Lookups!$E$5:$E$10),"Unknown Product")</x:f>
        <x:v>Service Cloud</x:v>
      </x:c>
      <x:c r="S1242" t="str">
        <x:f>IFERROR(XLOOKUP(F1242,Lookups!$D$5:$D$10,Lookups!$F$5:$F$10),"Unknown")</x:f>
        <x:v>Customer Service</x:v>
      </x:c>
      <x:c r="T1242" t="str">
        <x:f>IF(L1242&gt;=50000,"Enterprise",IF(L1242&gt;=20000,"Mid-Market","SMB"))</x:f>
        <x:v>SMB</x:v>
      </x:c>
      <x:c r="U1242" t="str">
        <x:f>IF(I1242="Closed Won","Won",IF(I1242="Closed Lost","Lost","Open"))</x:f>
        <x:v>Won</x:v>
      </x:c>
      <x:c r="V1242" s="22" t="n">
        <x:f>IF(U1242="Won",L1242*(1-M1242),0)</x:f>
        <x:v>19012</x:v>
      </x:c>
      <x:c r="W1242" s="22" t="n">
        <x:f>IF(U1242="Open",L1242*N1242,0)</x:f>
        <x:v>0</x:v>
      </x:c>
      <x:c r="X1242" s="26" t="n">
        <x:f>IF(U1242="Open","",IFERROR(K1242-B1242,""))</x:f>
        <x:v>24</x:v>
      </x:c>
      <x:c r="Y1242" s="26" t="n">
        <x:f>IF(U1242="Open",Lookups!$B$2-B1242,X1242)</x:f>
        <x:v>24</x:v>
      </x:c>
      <x:c r="Z1242" t="str">
        <x:f>IF(AND(U1242="Open",Y1242&gt;30),"STALE","OK")</x:f>
        <x:v>OK</x:v>
      </x:c>
      <x:c r="AA1242" t="str">
        <x:f>TEXT(B1242,"yyyy-mm")</x:f>
        <x:v>2026-08</x:v>
      </x:c>
      <x:c r="AB1242" t="str">
        <x:f>IF(K1242="","",TEXT(K1242,"yyyy-mm"))</x:f>
        <x:v>2026-09</x:v>
      </x:c>
      <x:c r="AC1242" t="str">
        <x:f>"Q"&amp;ROUNDUP(MONTH(B1242)/3,0)&amp;"-"&amp;YEAR(B1242)</x:f>
        <x:v>Q3-2026</x:v>
      </x:c>
      <x:c r="AD1242" s="26" t="n">
        <x:f>MIN(100,IF(H1242="Enterprise",30,IF(H1242="Mid-Market",22,14))+IF(T1242="Enterprise",25,IF(T1242="Mid-Market",18,10))+IF(Q1242="Referral",25,IF(Q1242="Organic Search",20,IF(Q1242="Email",18,14)))+IF(G1242="Technology",10,5))</x:f>
        <x:v>49</x:v>
      </x:c>
      <x:c r="AE1242" t="str">
        <x:f>IF(U1242&lt;&gt;"Open",U1242,IF(N1242&gt;=0.8,"Commit",IF(N1242&gt;=0.5,"Best Case","Pipeline")))</x:f>
        <x:v>Won</x:v>
      </x:c>
    </x:row>
    <x:row r="1243">
      <x:c r="A1243" t="str">
        <x:v>L01242</x:v>
      </x:c>
      <x:c r="B1243" s="10" t="n">
        <x:v>45855</x:v>
      </x:c>
      <x:c r="C1243" t="str">
        <x:v>Minh Do</x:v>
      </x:c>
      <x:c r="D1243" t="str">
        <x:v>North</x:v>
      </x:c>
      <x:c r="E1243" t="str">
        <x:v>Google Organic</x:v>
      </x:c>
      <x:c r="F1243" t="str">
        <x:v>CS-CLOUD</x:v>
      </x:c>
      <x:c r="G1243" t="str">
        <x:v>Manufacturing</x:v>
      </x:c>
      <x:c r="H1243" t="str">
        <x:v>Mid-Market</x:v>
      </x:c>
      <x:c r="I1243" t="str">
        <x:v>Negotiation</x:v>
      </x:c>
      <x:c r="J1243" s="10" t="n">
        <x:v>46224</x:v>
      </x:c>
      <x:c r="K1243" s="10"/>
      <x:c r="L1243" s="22" t="n">
        <x:v>32300</x:v>
      </x:c>
      <x:c r="M1243" s="24" t="n">
        <x:v>0</x:v>
      </x:c>
      <x:c r="N1243" s="24" t="n">
        <x:v>0.85</x:v>
      </x:c>
      <x:c r="O1243" t="str"/>
      <x:c r="P1243" t="n">
        <x:v>5</x:v>
      </x:c>
      <x:c r="Q1243" t="str">
        <x:f>IFERROR(XLOOKUP(E1243,Lookups!$A$5:$A$24,Lookups!$B$5:$B$24),"Other")</x:f>
        <x:v>Organic Search</x:v>
      </x:c>
      <x:c r="R1243" t="str">
        <x:f>IFERROR(XLOOKUP(F1243,Lookups!$D$5:$D$10,Lookups!$E$5:$E$10),"Unknown Product")</x:f>
        <x:v>Service Cloud</x:v>
      </x:c>
      <x:c r="S1243" t="str">
        <x:f>IFERROR(XLOOKUP(F1243,Lookups!$D$5:$D$10,Lookups!$F$5:$F$10),"Unknown")</x:f>
        <x:v>Customer Service</x:v>
      </x:c>
      <x:c r="T1243" t="str">
        <x:f>IF(L1243&gt;=50000,"Enterprise",IF(L1243&gt;=20000,"Mid-Market","SMB"))</x:f>
        <x:v>Mid-Market</x:v>
      </x:c>
      <x:c r="U1243" t="str">
        <x:f>IF(I1243="Closed Won","Won",IF(I1243="Closed Lost","Lost","Open"))</x:f>
        <x:v>Open</x:v>
      </x:c>
      <x:c r="V1243" s="22" t="n">
        <x:f>IF(U1243="Won",L1243*(1-M1243),0)</x:f>
        <x:v>0</x:v>
      </x:c>
      <x:c r="W1243" s="22" t="n">
        <x:f>IF(U1243="Open",L1243*N1243,0)</x:f>
        <x:v>27455</x:v>
      </x:c>
      <x:c r="X1243" s="26" t="str">
        <x:f>IF(U1243="Open","",IFERROR(K1243-B1243,""))</x:f>
      </x:c>
      <x:c r="Y1243" s="26" t="n">
        <x:f>IF(U1243="Open",Lookups!$B$2-B1243,X1243)</x:f>
        <x:v>411</x:v>
      </x:c>
      <x:c r="Z1243" t="str">
        <x:f>IF(AND(U1243="Open",Y1243&gt;30),"STALE","OK")</x:f>
        <x:v>STALE</x:v>
      </x:c>
      <x:c r="AA1243" t="str">
        <x:f>TEXT(B1243,"yyyy-mm")</x:f>
        <x:v>2025-07</x:v>
      </x:c>
      <x:c r="AB1243" t="str">
        <x:f>IF(K1243="","",TEXT(K1243,"yyyy-mm"))</x:f>
      </x:c>
      <x:c r="AC1243" t="str">
        <x:f>"Q"&amp;ROUNDUP(MONTH(B1243)/3,0)&amp;"-"&amp;YEAR(B1243)</x:f>
        <x:v>Q3-2025</x:v>
      </x:c>
      <x:c r="AD1243" s="26" t="n">
        <x:f>MIN(100,IF(H1243="Enterprise",30,IF(H1243="Mid-Market",22,14))+IF(T1243="Enterprise",25,IF(T1243="Mid-Market",18,10))+IF(Q1243="Referral",25,IF(Q1243="Organic Search",20,IF(Q1243="Email",18,14)))+IF(G1243="Technology",10,5))</x:f>
        <x:v>65</x:v>
      </x:c>
      <x:c r="AE1243" t="str">
        <x:f>IF(U1243&lt;&gt;"Open",U1243,IF(N1243&gt;=0.8,"Commit",IF(N1243&gt;=0.5,"Best Case","Pipeline")))</x:f>
        <x:v>Commit</x:v>
      </x:c>
    </x:row>
    <x:row r="1244">
      <x:c r="A1244" t="str">
        <x:v>L01243</x:v>
      </x:c>
      <x:c r="B1244" s="10" t="n">
        <x:v>45676</x:v>
      </x:c>
      <x:c r="C1244" t="str">
        <x:v>Minh Do</x:v>
      </x:c>
      <x:c r="D1244" t="str">
        <x:v>North</x:v>
      </x:c>
      <x:c r="E1244" t="str">
        <x:v>LinkedIn Ads</x:v>
      </x:c>
      <x:c r="F1244" t="str">
        <x:v>CRM-CORE</x:v>
      </x:c>
      <x:c r="G1244" t="str">
        <x:v>Financial Services</x:v>
      </x:c>
      <x:c r="H1244" t="str">
        <x:v>Mid-Market</x:v>
      </x:c>
      <x:c r="I1244" t="str">
        <x:v>Closed Won</x:v>
      </x:c>
      <x:c r="J1244" s="10" t="n">
        <x:v>45738</x:v>
      </x:c>
      <x:c r="K1244" s="10" t="n">
        <x:v>45738</x:v>
      </x:c>
      <x:c r="L1244" s="22" t="n">
        <x:v>17200</x:v>
      </x:c>
      <x:c r="M1244" s="24" t="n">
        <x:v>0.08</x:v>
      </x:c>
      <x:c r="N1244" s="24" t="n">
        <x:v>1</x:v>
      </x:c>
      <x:c r="O1244" t="str"/>
      <x:c r="P1244" t="n">
        <x:v>6</x:v>
      </x:c>
      <x:c r="Q1244" t="str">
        <x:f>IFERROR(XLOOKUP(E1244,Lookups!$A$5:$A$24,Lookups!$B$5:$B$24),"Other")</x:f>
        <x:v>LinkedIn</x:v>
      </x:c>
      <x:c r="R1244" t="str">
        <x:f>IFERROR(XLOOKUP(F1244,Lookups!$D$5:$D$10,Lookups!$E$5:$E$10),"Unknown Product")</x:f>
        <x:v>NexaCRM Core</x:v>
      </x:c>
      <x:c r="S1244" t="str">
        <x:f>IFERROR(XLOOKUP(F1244,Lookups!$D$5:$D$10,Lookups!$F$5:$F$10),"Unknown")</x:f>
        <x:v>CRM</x:v>
      </x:c>
      <x:c r="T1244" t="str">
        <x:f>IF(L1244&gt;=50000,"Enterprise",IF(L1244&gt;=20000,"Mid-Market","SMB"))</x:f>
        <x:v>SMB</x:v>
      </x:c>
      <x:c r="U1244" t="str">
        <x:f>IF(I1244="Closed Won","Won",IF(I1244="Closed Lost","Lost","Open"))</x:f>
        <x:v>Won</x:v>
      </x:c>
      <x:c r="V1244" s="22" t="n">
        <x:f>IF(U1244="Won",L1244*(1-M1244),0)</x:f>
        <x:v>15824</x:v>
      </x:c>
      <x:c r="W1244" s="22" t="n">
        <x:f>IF(U1244="Open",L1244*N1244,0)</x:f>
        <x:v>0</x:v>
      </x:c>
      <x:c r="X1244" s="26" t="n">
        <x:f>IF(U1244="Open","",IFERROR(K1244-B1244,""))</x:f>
        <x:v>62</x:v>
      </x:c>
      <x:c r="Y1244" s="26" t="n">
        <x:f>IF(U1244="Open",Lookups!$B$2-B1244,X1244)</x:f>
        <x:v>62</x:v>
      </x:c>
      <x:c r="Z1244" t="str">
        <x:f>IF(AND(U1244="Open",Y1244&gt;30),"STALE","OK")</x:f>
        <x:v>OK</x:v>
      </x:c>
      <x:c r="AA1244" t="str">
        <x:f>TEXT(B1244,"yyyy-mm")</x:f>
        <x:v>2025-01</x:v>
      </x:c>
      <x:c r="AB1244" t="str">
        <x:f>IF(K1244="","",TEXT(K1244,"yyyy-mm"))</x:f>
        <x:v>2025-03</x:v>
      </x:c>
      <x:c r="AC1244" t="str">
        <x:f>"Q"&amp;ROUNDUP(MONTH(B1244)/3,0)&amp;"-"&amp;YEAR(B1244)</x:f>
        <x:v>Q1-2025</x:v>
      </x:c>
      <x:c r="AD1244" s="26" t="n">
        <x:f>MIN(100,IF(H1244="Enterprise",30,IF(H1244="Mid-Market",22,14))+IF(T1244="Enterprise",25,IF(T1244="Mid-Market",18,10))+IF(Q1244="Referral",25,IF(Q1244="Organic Search",20,IF(Q1244="Email",18,14)))+IF(G1244="Technology",10,5))</x:f>
        <x:v>51</x:v>
      </x:c>
      <x:c r="AE1244" t="str">
        <x:f>IF(U1244&lt;&gt;"Open",U1244,IF(N1244&gt;=0.8,"Commit",IF(N1244&gt;=0.5,"Best Case","Pipeline")))</x:f>
        <x:v>Won</x:v>
      </x:c>
    </x:row>
    <x:row r="1245">
      <x:c r="A1245" t="str">
        <x:v>L01244</x:v>
      </x:c>
      <x:c r="B1245" s="10" t="n">
        <x:v>45677</x:v>
      </x:c>
      <x:c r="C1245" t="str">
        <x:v>Ha Vo</x:v>
      </x:c>
      <x:c r="D1245" t="str">
        <x:v>North</x:v>
      </x:c>
      <x:c r="E1245" t="str">
        <x:v>Cold Email</x:v>
      </x:c>
      <x:c r="F1245" t="str">
        <x:v>CRM-CORE</x:v>
      </x:c>
      <x:c r="G1245" t="str">
        <x:v>Professional Services</x:v>
      </x:c>
      <x:c r="H1245" t="str">
        <x:v>SMB</x:v>
      </x:c>
      <x:c r="I1245" t="str">
        <x:v>Closed Lost</x:v>
      </x:c>
      <x:c r="J1245" s="10" t="n">
        <x:v>45721</x:v>
      </x:c>
      <x:c r="K1245" s="10" t="n">
        <x:v>45721</x:v>
      </x:c>
      <x:c r="L1245" s="22" t="n">
        <x:v>6300</x:v>
      </x:c>
      <x:c r="M1245" s="24" t="n">
        <x:v>0</x:v>
      </x:c>
      <x:c r="N1245" s="24" t="n">
        <x:v>0</x:v>
      </x:c>
      <x:c r="O1245" t="str">
        <x:v>Timing</x:v>
      </x:c>
      <x:c r="P1245" t="n">
        <x:v>3</x:v>
      </x:c>
      <x:c r="Q1245" t="str">
        <x:f>IFERROR(XLOOKUP(E1245,Lookups!$A$5:$A$24,Lookups!$B$5:$B$24),"Other")</x:f>
        <x:v>Outbound</x:v>
      </x:c>
      <x:c r="R1245" t="str">
        <x:f>IFERROR(XLOOKUP(F1245,Lookups!$D$5:$D$10,Lookups!$E$5:$E$10),"Unknown Product")</x:f>
        <x:v>NexaCRM Core</x:v>
      </x:c>
      <x:c r="S1245" t="str">
        <x:f>IFERROR(XLOOKUP(F1245,Lookups!$D$5:$D$10,Lookups!$F$5:$F$10),"Unknown")</x:f>
        <x:v>CRM</x:v>
      </x:c>
      <x:c r="T1245" t="str">
        <x:f>IF(L1245&gt;=50000,"Enterprise",IF(L1245&gt;=20000,"Mid-Market","SMB"))</x:f>
        <x:v>SMB</x:v>
      </x:c>
      <x:c r="U1245" t="str">
        <x:f>IF(I1245="Closed Won","Won",IF(I1245="Closed Lost","Lost","Open"))</x:f>
        <x:v>Lost</x:v>
      </x:c>
      <x:c r="V1245" s="22" t="n">
        <x:f>IF(U1245="Won",L1245*(1-M1245),0)</x:f>
        <x:v>0</x:v>
      </x:c>
      <x:c r="W1245" s="22" t="n">
        <x:f>IF(U1245="Open",L1245*N1245,0)</x:f>
        <x:v>0</x:v>
      </x:c>
      <x:c r="X1245" s="26" t="n">
        <x:f>IF(U1245="Open","",IFERROR(K1245-B1245,""))</x:f>
        <x:v>44</x:v>
      </x:c>
      <x:c r="Y1245" s="26" t="n">
        <x:f>IF(U1245="Open",Lookups!$B$2-B1245,X1245)</x:f>
        <x:v>44</x:v>
      </x:c>
      <x:c r="Z1245" t="str">
        <x:f>IF(AND(U1245="Open",Y1245&gt;30),"STALE","OK")</x:f>
        <x:v>OK</x:v>
      </x:c>
      <x:c r="AA1245" t="str">
        <x:f>TEXT(B1245,"yyyy-mm")</x:f>
        <x:v>2025-01</x:v>
      </x:c>
      <x:c r="AB1245" t="str">
        <x:f>IF(K1245="","",TEXT(K1245,"yyyy-mm"))</x:f>
        <x:v>2025-03</x:v>
      </x:c>
      <x:c r="AC1245" t="str">
        <x:f>"Q"&amp;ROUNDUP(MONTH(B1245)/3,0)&amp;"-"&amp;YEAR(B1245)</x:f>
        <x:v>Q1-2025</x:v>
      </x:c>
      <x:c r="AD1245" s="26" t="n">
        <x:f>MIN(100,IF(H1245="Enterprise",30,IF(H1245="Mid-Market",22,14))+IF(T1245="Enterprise",25,IF(T1245="Mid-Market",18,10))+IF(Q1245="Referral",25,IF(Q1245="Organic Search",20,IF(Q1245="Email",18,14)))+IF(G1245="Technology",10,5))</x:f>
        <x:v>43</x:v>
      </x:c>
      <x:c r="AE1245" t="str">
        <x:f>IF(U1245&lt;&gt;"Open",U1245,IF(N1245&gt;=0.8,"Commit",IF(N1245&gt;=0.5,"Best Case","Pipeline")))</x:f>
        <x:v>Lost</x:v>
      </x:c>
    </x:row>
    <x:row r="1246">
      <x:c r="A1246" t="str">
        <x:v>L01245</x:v>
      </x:c>
      <x:c r="B1246" s="10" t="n">
        <x:v>45669</x:v>
      </x:c>
      <x:c r="C1246" t="str">
        <x:v>Tuan Bui</x:v>
      </x:c>
      <x:c r="D1246" t="str">
        <x:v>Central</x:v>
      </x:c>
      <x:c r="E1246" t="str">
        <x:v>Unknown Event</x:v>
      </x:c>
      <x:c r="F1246" t="str">
        <x:v>MKT-AUTO</x:v>
      </x:c>
      <x:c r="G1246" t="str">
        <x:v>Financial Services</x:v>
      </x:c>
      <x:c r="H1246" t="str">
        <x:v>Enterprise</x:v>
      </x:c>
      <x:c r="I1246" t="str">
        <x:v>Closed Lost</x:v>
      </x:c>
      <x:c r="J1246" s="10" t="n">
        <x:v>45726</x:v>
      </x:c>
      <x:c r="K1246" s="10" t="n">
        <x:v>45726</x:v>
      </x:c>
      <x:c r="L1246" s="22" t="n">
        <x:v>45900</x:v>
      </x:c>
      <x:c r="M1246" s="24" t="n">
        <x:v>0</x:v>
      </x:c>
      <x:c r="N1246" s="24" t="n">
        <x:v>0</x:v>
      </x:c>
      <x:c r="O1246" t="str">
        <x:v>No Decision</x:v>
      </x:c>
      <x:c r="P1246" t="n">
        <x:v>4</x:v>
      </x:c>
      <x:c r="Q1246" t="str">
        <x:f>IFERROR(XLOOKUP(E1246,Lookups!$A$5:$A$24,Lookups!$B$5:$B$24),"Other")</x:f>
        <x:v>Other</x:v>
      </x:c>
      <x:c r="R1246" t="str">
        <x:f>IFERROR(XLOOKUP(F1246,Lookups!$D$5:$D$10,Lookups!$E$5:$E$10),"Unknown Product")</x:f>
        <x:v>Marketing Automation</x:v>
      </x:c>
      <x:c r="S1246" t="str">
        <x:f>IFERROR(XLOOKUP(F1246,Lookups!$D$5:$D$10,Lookups!$F$5:$F$10),"Unknown")</x:f>
        <x:v>Marketing</x:v>
      </x:c>
      <x:c r="T1246" t="str">
        <x:f>IF(L1246&gt;=50000,"Enterprise",IF(L1246&gt;=20000,"Mid-Market","SMB"))</x:f>
        <x:v>Mid-Market</x:v>
      </x:c>
      <x:c r="U1246" t="str">
        <x:f>IF(I1246="Closed Won","Won",IF(I1246="Closed Lost","Lost","Open"))</x:f>
        <x:v>Lost</x:v>
      </x:c>
      <x:c r="V1246" s="22" t="n">
        <x:f>IF(U1246="Won",L1246*(1-M1246),0)</x:f>
        <x:v>0</x:v>
      </x:c>
      <x:c r="W1246" s="22" t="n">
        <x:f>IF(U1246="Open",L1246*N1246,0)</x:f>
        <x:v>0</x:v>
      </x:c>
      <x:c r="X1246" s="26" t="n">
        <x:f>IF(U1246="Open","",IFERROR(K1246-B1246,""))</x:f>
        <x:v>57</x:v>
      </x:c>
      <x:c r="Y1246" s="26" t="n">
        <x:f>IF(U1246="Open",Lookups!$B$2-B1246,X1246)</x:f>
        <x:v>57</x:v>
      </x:c>
      <x:c r="Z1246" t="str">
        <x:f>IF(AND(U1246="Open",Y1246&gt;30),"STALE","OK")</x:f>
        <x:v>OK</x:v>
      </x:c>
      <x:c r="AA1246" t="str">
        <x:f>TEXT(B1246,"yyyy-mm")</x:f>
        <x:v>2025-01</x:v>
      </x:c>
      <x:c r="AB1246" t="str">
        <x:f>IF(K1246="","",TEXT(K1246,"yyyy-mm"))</x:f>
        <x:v>2025-03</x:v>
      </x:c>
      <x:c r="AC1246" t="str">
        <x:f>"Q"&amp;ROUNDUP(MONTH(B1246)/3,0)&amp;"-"&amp;YEAR(B1246)</x:f>
        <x:v>Q1-2025</x:v>
      </x:c>
      <x:c r="AD1246" s="26" t="n">
        <x:f>MIN(100,IF(H1246="Enterprise",30,IF(H1246="Mid-Market",22,14))+IF(T1246="Enterprise",25,IF(T1246="Mid-Market",18,10))+IF(Q1246="Referral",25,IF(Q1246="Organic Search",20,IF(Q1246="Email",18,14)))+IF(G1246="Technology",10,5))</x:f>
        <x:v>67</x:v>
      </x:c>
      <x:c r="AE1246" t="str">
        <x:f>IF(U1246&lt;&gt;"Open",U1246,IF(N1246&gt;=0.8,"Commit",IF(N1246&gt;=0.5,"Best Case","Pipeline")))</x:f>
        <x:v>Lost</x:v>
      </x:c>
    </x:row>
    <x:row r="1247">
      <x:c r="A1247" t="str">
        <x:v>L01246</x:v>
      </x:c>
      <x:c r="B1247" s="10" t="n">
        <x:v>46177</x:v>
      </x:c>
      <x:c r="C1247" t="str">
        <x:v>Minh Do</x:v>
      </x:c>
      <x:c r="D1247" t="str">
        <x:v>North</x:v>
      </x:c>
      <x:c r="E1247" t="str">
        <x:v>SDR Outreach</x:v>
      </x:c>
      <x:c r="F1247" t="str">
        <x:v>CRM-PRO</x:v>
      </x:c>
      <x:c r="G1247" t="str">
        <x:v>Financial Services</x:v>
      </x:c>
      <x:c r="H1247" t="str">
        <x:v>SMB</x:v>
      </x:c>
      <x:c r="I1247" t="str">
        <x:v>Closed Won</x:v>
      </x:c>
      <x:c r="J1247" s="10" t="n">
        <x:v>46196</x:v>
      </x:c>
      <x:c r="K1247" s="10" t="n">
        <x:v>46196</x:v>
      </x:c>
      <x:c r="L1247" s="22" t="n">
        <x:v>15000</x:v>
      </x:c>
      <x:c r="M1247" s="24" t="n">
        <x:v>0</x:v>
      </x:c>
      <x:c r="N1247" s="24" t="n">
        <x:v>1</x:v>
      </x:c>
      <x:c r="O1247" t="str"/>
      <x:c r="P1247" t="n">
        <x:v>6</x:v>
      </x:c>
      <x:c r="Q1247" t="str">
        <x:f>IFERROR(XLOOKUP(E1247,Lookups!$A$5:$A$24,Lookups!$B$5:$B$24),"Other")</x:f>
        <x:v>Outbound</x:v>
      </x:c>
      <x:c r="R1247" t="str">
        <x:f>IFERROR(XLOOKUP(F1247,Lookups!$D$5:$D$10,Lookups!$E$5:$E$10),"Unknown Product")</x:f>
        <x:v>NexaCRM Pro</x:v>
      </x:c>
      <x:c r="S1247" t="str">
        <x:f>IFERROR(XLOOKUP(F1247,Lookups!$D$5:$D$10,Lookups!$F$5:$F$10),"Unknown")</x:f>
        <x:v>CRM</x:v>
      </x:c>
      <x:c r="T1247" t="str">
        <x:f>IF(L1247&gt;=50000,"Enterprise",IF(L1247&gt;=20000,"Mid-Market","SMB"))</x:f>
        <x:v>SMB</x:v>
      </x:c>
      <x:c r="U1247" t="str">
        <x:f>IF(I1247="Closed Won","Won",IF(I1247="Closed Lost","Lost","Open"))</x:f>
        <x:v>Won</x:v>
      </x:c>
      <x:c r="V1247" s="22" t="n">
        <x:f>IF(U1247="Won",L1247*(1-M1247),0)</x:f>
        <x:v>15000</x:v>
      </x:c>
      <x:c r="W1247" s="22" t="n">
        <x:f>IF(U1247="Open",L1247*N1247,0)</x:f>
        <x:v>0</x:v>
      </x:c>
      <x:c r="X1247" s="26" t="n">
        <x:f>IF(U1247="Open","",IFERROR(K1247-B1247,""))</x:f>
        <x:v>19</x:v>
      </x:c>
      <x:c r="Y1247" s="26" t="n">
        <x:f>IF(U1247="Open",Lookups!$B$2-B1247,X1247)</x:f>
        <x:v>19</x:v>
      </x:c>
      <x:c r="Z1247" t="str">
        <x:f>IF(AND(U1247="Open",Y1247&gt;30),"STALE","OK")</x:f>
        <x:v>OK</x:v>
      </x:c>
      <x:c r="AA1247" t="str">
        <x:f>TEXT(B1247,"yyyy-mm")</x:f>
        <x:v>2026-06</x:v>
      </x:c>
      <x:c r="AB1247" t="str">
        <x:f>IF(K1247="","",TEXT(K1247,"yyyy-mm"))</x:f>
        <x:v>2026-06</x:v>
      </x:c>
      <x:c r="AC1247" t="str">
        <x:f>"Q"&amp;ROUNDUP(MONTH(B1247)/3,0)&amp;"-"&amp;YEAR(B1247)</x:f>
        <x:v>Q2-2026</x:v>
      </x:c>
      <x:c r="AD1247" s="26" t="n">
        <x:f>MIN(100,IF(H1247="Enterprise",30,IF(H1247="Mid-Market",22,14))+IF(T1247="Enterprise",25,IF(T1247="Mid-Market",18,10))+IF(Q1247="Referral",25,IF(Q1247="Organic Search",20,IF(Q1247="Email",18,14)))+IF(G1247="Technology",10,5))</x:f>
        <x:v>43</x:v>
      </x:c>
      <x:c r="AE1247" t="str">
        <x:f>IF(U1247&lt;&gt;"Open",U1247,IF(N1247&gt;=0.8,"Commit",IF(N1247&gt;=0.5,"Best Case","Pipeline")))</x:f>
        <x:v>Won</x:v>
      </x:c>
    </x:row>
    <x:row r="1248">
      <x:c r="A1248" t="str">
        <x:v>L01247</x:v>
      </x:c>
      <x:c r="B1248" s="10" t="n">
        <x:v>46083</x:v>
      </x:c>
      <x:c r="C1248" t="str">
        <x:v>Quynh Vu</x:v>
      </x:c>
      <x:c r="D1248" t="str">
        <x:v>North</x:v>
      </x:c>
      <x:c r="E1248" t="str">
        <x:v>SEO</x:v>
      </x:c>
      <x:c r="F1248" t="str">
        <x:v>BI-PLUS</x:v>
      </x:c>
      <x:c r="G1248" t="str">
        <x:v>Technology</x:v>
      </x:c>
      <x:c r="H1248" t="str">
        <x:v>Enterprise</x:v>
      </x:c>
      <x:c r="I1248" t="str">
        <x:v>Closed Won</x:v>
      </x:c>
      <x:c r="J1248" s="10" t="n">
        <x:v>46219</x:v>
      </x:c>
      <x:c r="K1248" s="10" t="n">
        <x:v>46219</x:v>
      </x:c>
      <x:c r="L1248" s="22" t="n">
        <x:v>46900</x:v>
      </x:c>
      <x:c r="M1248" s="24" t="n">
        <x:v>0</x:v>
      </x:c>
      <x:c r="N1248" s="24" t="n">
        <x:v>1</x:v>
      </x:c>
      <x:c r="O1248" t="str"/>
      <x:c r="P1248" t="n">
        <x:v>6</x:v>
      </x:c>
      <x:c r="Q1248" t="str">
        <x:f>IFERROR(XLOOKUP(E1248,Lookups!$A$5:$A$24,Lookups!$B$5:$B$24),"Other")</x:f>
        <x:v>Organic Search</x:v>
      </x:c>
      <x:c r="R1248" t="str">
        <x:f>IFERROR(XLOOKUP(F1248,Lookups!$D$5:$D$10,Lookups!$E$5:$E$10),"Unknown Product")</x:f>
        <x:v>Analytics Plus</x:v>
      </x:c>
      <x:c r="S1248" t="str">
        <x:f>IFERROR(XLOOKUP(F1248,Lookups!$D$5:$D$10,Lookups!$F$5:$F$10),"Unknown")</x:f>
        <x:v>Analytics</x:v>
      </x:c>
      <x:c r="T1248" t="str">
        <x:f>IF(L1248&gt;=50000,"Enterprise",IF(L1248&gt;=20000,"Mid-Market","SMB"))</x:f>
        <x:v>Mid-Market</x:v>
      </x:c>
      <x:c r="U1248" t="str">
        <x:f>IF(I1248="Closed Won","Won",IF(I1248="Closed Lost","Lost","Open"))</x:f>
        <x:v>Won</x:v>
      </x:c>
      <x:c r="V1248" s="22" t="n">
        <x:f>IF(U1248="Won",L1248*(1-M1248),0)</x:f>
        <x:v>46900</x:v>
      </x:c>
      <x:c r="W1248" s="22" t="n">
        <x:f>IF(U1248="Open",L1248*N1248,0)</x:f>
        <x:v>0</x:v>
      </x:c>
      <x:c r="X1248" s="26" t="n">
        <x:f>IF(U1248="Open","",IFERROR(K1248-B1248,""))</x:f>
        <x:v>136</x:v>
      </x:c>
      <x:c r="Y1248" s="26" t="n">
        <x:f>IF(U1248="Open",Lookups!$B$2-B1248,X1248)</x:f>
        <x:v>136</x:v>
      </x:c>
      <x:c r="Z1248" t="str">
        <x:f>IF(AND(U1248="Open",Y1248&gt;30),"STALE","OK")</x:f>
        <x:v>OK</x:v>
      </x:c>
      <x:c r="AA1248" t="str">
        <x:f>TEXT(B1248,"yyyy-mm")</x:f>
        <x:v>2026-03</x:v>
      </x:c>
      <x:c r="AB1248" t="str">
        <x:f>IF(K1248="","",TEXT(K1248,"yyyy-mm"))</x:f>
        <x:v>2026-07</x:v>
      </x:c>
      <x:c r="AC1248" t="str">
        <x:f>"Q"&amp;ROUNDUP(MONTH(B1248)/3,0)&amp;"-"&amp;YEAR(B1248)</x:f>
        <x:v>Q1-2026</x:v>
      </x:c>
      <x:c r="AD1248" s="26" t="n">
        <x:f>MIN(100,IF(H1248="Enterprise",30,IF(H1248="Mid-Market",22,14))+IF(T1248="Enterprise",25,IF(T1248="Mid-Market",18,10))+IF(Q1248="Referral",25,IF(Q1248="Organic Search",20,IF(Q1248="Email",18,14)))+IF(G1248="Technology",10,5))</x:f>
        <x:v>78</x:v>
      </x:c>
      <x:c r="AE1248" t="str">
        <x:f>IF(U1248&lt;&gt;"Open",U1248,IF(N1248&gt;=0.8,"Commit",IF(N1248&gt;=0.5,"Best Case","Pipeline")))</x:f>
        <x:v>Won</x:v>
      </x:c>
    </x:row>
    <x:row r="1249">
      <x:c r="A1249" t="str">
        <x:v>L01248</x:v>
      </x:c>
      <x:c r="B1249" s="10" t="n">
        <x:v>45740</x:v>
      </x:c>
      <x:c r="C1249" t="str">
        <x:v>Ha Vo</x:v>
      </x:c>
      <x:c r="D1249" t="str">
        <x:v>North</x:v>
      </x:c>
      <x:c r="E1249" t="str">
        <x:v>linkedin</x:v>
      </x:c>
      <x:c r="F1249" t="str">
        <x:v>CRM-CORE</x:v>
      </x:c>
      <x:c r="G1249" t="str">
        <x:v>Financial Services</x:v>
      </x:c>
      <x:c r="H1249" t="str">
        <x:v>SMB</x:v>
      </x:c>
      <x:c r="I1249" t="str">
        <x:v>Closed Lost</x:v>
      </x:c>
      <x:c r="J1249" s="10" t="n">
        <x:v>45762</x:v>
      </x:c>
      <x:c r="K1249" s="10" t="n">
        <x:v>45762</x:v>
      </x:c>
      <x:c r="L1249" s="22" t="n">
        <x:v>10300</x:v>
      </x:c>
      <x:c r="M1249" s="24" t="n">
        <x:v>0</x:v>
      </x:c>
      <x:c r="N1249" s="24" t="n">
        <x:v>0</x:v>
      </x:c>
      <x:c r="O1249" t="str">
        <x:v>No Decision</x:v>
      </x:c>
      <x:c r="P1249" t="n">
        <x:v>2</x:v>
      </x:c>
      <x:c r="Q1249" t="str">
        <x:f>IFERROR(XLOOKUP(E1249,Lookups!$A$5:$A$24,Lookups!$B$5:$B$24),"Other")</x:f>
        <x:v>LinkedIn</x:v>
      </x:c>
      <x:c r="R1249" t="str">
        <x:f>IFERROR(XLOOKUP(F1249,Lookups!$D$5:$D$10,Lookups!$E$5:$E$10),"Unknown Product")</x:f>
        <x:v>NexaCRM Core</x:v>
      </x:c>
      <x:c r="S1249" t="str">
        <x:f>IFERROR(XLOOKUP(F1249,Lookups!$D$5:$D$10,Lookups!$F$5:$F$10),"Unknown")</x:f>
        <x:v>CRM</x:v>
      </x:c>
      <x:c r="T1249" t="str">
        <x:f>IF(L1249&gt;=50000,"Enterprise",IF(L1249&gt;=20000,"Mid-Market","SMB"))</x:f>
        <x:v>SMB</x:v>
      </x:c>
      <x:c r="U1249" t="str">
        <x:f>IF(I1249="Closed Won","Won",IF(I1249="Closed Lost","Lost","Open"))</x:f>
        <x:v>Lost</x:v>
      </x:c>
      <x:c r="V1249" s="22" t="n">
        <x:f>IF(U1249="Won",L1249*(1-M1249),0)</x:f>
        <x:v>0</x:v>
      </x:c>
      <x:c r="W1249" s="22" t="n">
        <x:f>IF(U1249="Open",L1249*N1249,0)</x:f>
        <x:v>0</x:v>
      </x:c>
      <x:c r="X1249" s="26" t="n">
        <x:f>IF(U1249="Open","",IFERROR(K1249-B1249,""))</x:f>
        <x:v>22</x:v>
      </x:c>
      <x:c r="Y1249" s="26" t="n">
        <x:f>IF(U1249="Open",Lookups!$B$2-B1249,X1249)</x:f>
        <x:v>22</x:v>
      </x:c>
      <x:c r="Z1249" t="str">
        <x:f>IF(AND(U1249="Open",Y1249&gt;30),"STALE","OK")</x:f>
        <x:v>OK</x:v>
      </x:c>
      <x:c r="AA1249" t="str">
        <x:f>TEXT(B1249,"yyyy-mm")</x:f>
        <x:v>2025-03</x:v>
      </x:c>
      <x:c r="AB1249" t="str">
        <x:f>IF(K1249="","",TEXT(K1249,"yyyy-mm"))</x:f>
        <x:v>2025-04</x:v>
      </x:c>
      <x:c r="AC1249" t="str">
        <x:f>"Q"&amp;ROUNDUP(MONTH(B1249)/3,0)&amp;"-"&amp;YEAR(B1249)</x:f>
        <x:v>Q1-2025</x:v>
      </x:c>
      <x:c r="AD1249" s="26" t="n">
        <x:f>MIN(100,IF(H1249="Enterprise",30,IF(H1249="Mid-Market",22,14))+IF(T1249="Enterprise",25,IF(T1249="Mid-Market",18,10))+IF(Q1249="Referral",25,IF(Q1249="Organic Search",20,IF(Q1249="Email",18,14)))+IF(G1249="Technology",10,5))</x:f>
        <x:v>43</x:v>
      </x:c>
      <x:c r="AE1249" t="str">
        <x:f>IF(U1249&lt;&gt;"Open",U1249,IF(N1249&gt;=0.8,"Commit",IF(N1249&gt;=0.5,"Best Case","Pipeline")))</x:f>
        <x:v>Lost</x:v>
      </x:c>
    </x:row>
    <x:row r="1250">
      <x:c r="A1250" t="str">
        <x:v>L01249</x:v>
      </x:c>
      <x:c r="B1250" s="10" t="n">
        <x:v>45969</x:v>
      </x:c>
      <x:c r="C1250" t="str">
        <x:v>Quynh Vu</x:v>
      </x:c>
      <x:c r="D1250" t="str">
        <x:v>North</x:v>
      </x:c>
      <x:c r="E1250" t="str">
        <x:v>Email Campaign</x:v>
      </x:c>
      <x:c r="F1250" t="str">
        <x:v>BI-PLUS</x:v>
      </x:c>
      <x:c r="G1250" t="str">
        <x:v>Technology</x:v>
      </x:c>
      <x:c r="H1250" t="str">
        <x:v>SMB</x:v>
      </x:c>
      <x:c r="I1250" t="str">
        <x:v>Closed Lost</x:v>
      </x:c>
      <x:c r="J1250" s="10" t="n">
        <x:v>46013</x:v>
      </x:c>
      <x:c r="K1250" s="10" t="n">
        <x:v>46013</x:v>
      </x:c>
      <x:c r="L1250" s="22" t="n">
        <x:v>28400</x:v>
      </x:c>
      <x:c r="M1250" s="24" t="n">
        <x:v>0</x:v>
      </x:c>
      <x:c r="N1250" s="24" t="n">
        <x:v>0</x:v>
      </x:c>
      <x:c r="O1250" t="str">
        <x:v>Competitor</x:v>
      </x:c>
      <x:c r="P1250" t="n">
        <x:v>2</x:v>
      </x:c>
      <x:c r="Q1250" t="str">
        <x:f>IFERROR(XLOOKUP(E1250,Lookups!$A$5:$A$24,Lookups!$B$5:$B$24),"Other")</x:f>
        <x:v>Email</x:v>
      </x:c>
      <x:c r="R1250" t="str">
        <x:f>IFERROR(XLOOKUP(F1250,Lookups!$D$5:$D$10,Lookups!$E$5:$E$10),"Unknown Product")</x:f>
        <x:v>Analytics Plus</x:v>
      </x:c>
      <x:c r="S1250" t="str">
        <x:f>IFERROR(XLOOKUP(F1250,Lookups!$D$5:$D$10,Lookups!$F$5:$F$10),"Unknown")</x:f>
        <x:v>Analytics</x:v>
      </x:c>
      <x:c r="T1250" t="str">
        <x:f>IF(L1250&gt;=50000,"Enterprise",IF(L1250&gt;=20000,"Mid-Market","SMB"))</x:f>
        <x:v>Mid-Market</x:v>
      </x:c>
      <x:c r="U1250" t="str">
        <x:f>IF(I1250="Closed Won","Won",IF(I1250="Closed Lost","Lost","Open"))</x:f>
        <x:v>Lost</x:v>
      </x:c>
      <x:c r="V1250" s="22" t="n">
        <x:f>IF(U1250="Won",L1250*(1-M1250),0)</x:f>
        <x:v>0</x:v>
      </x:c>
      <x:c r="W1250" s="22" t="n">
        <x:f>IF(U1250="Open",L1250*N1250,0)</x:f>
        <x:v>0</x:v>
      </x:c>
      <x:c r="X1250" s="26" t="n">
        <x:f>IF(U1250="Open","",IFERROR(K1250-B1250,""))</x:f>
        <x:v>44</x:v>
      </x:c>
      <x:c r="Y1250" s="26" t="n">
        <x:f>IF(U1250="Open",Lookups!$B$2-B1250,X1250)</x:f>
        <x:v>44</x:v>
      </x:c>
      <x:c r="Z1250" t="str">
        <x:f>IF(AND(U1250="Open",Y1250&gt;30),"STALE","OK")</x:f>
        <x:v>OK</x:v>
      </x:c>
      <x:c r="AA1250" t="str">
        <x:f>TEXT(B1250,"yyyy-mm")</x:f>
        <x:v>2025-11</x:v>
      </x:c>
      <x:c r="AB1250" t="str">
        <x:f>IF(K1250="","",TEXT(K1250,"yyyy-mm"))</x:f>
        <x:v>2025-12</x:v>
      </x:c>
      <x:c r="AC1250" t="str">
        <x:f>"Q"&amp;ROUNDUP(MONTH(B1250)/3,0)&amp;"-"&amp;YEAR(B1250)</x:f>
        <x:v>Q4-2025</x:v>
      </x:c>
      <x:c r="AD1250" s="26" t="n">
        <x:f>MIN(100,IF(H1250="Enterprise",30,IF(H1250="Mid-Market",22,14))+IF(T1250="Enterprise",25,IF(T1250="Mid-Market",18,10))+IF(Q1250="Referral",25,IF(Q1250="Organic Search",20,IF(Q1250="Email",18,14)))+IF(G1250="Technology",10,5))</x:f>
        <x:v>60</x:v>
      </x:c>
      <x:c r="AE1250" t="str">
        <x:f>IF(U1250&lt;&gt;"Open",U1250,IF(N1250&gt;=0.8,"Commit",IF(N1250&gt;=0.5,"Best Case","Pipeline")))</x:f>
        <x:v>Lost</x:v>
      </x:c>
    </x:row>
    <x:row r="1251">
      <x:c r="A1251" t="str">
        <x:v>L01250</x:v>
      </x:c>
      <x:c r="B1251" s="10" t="n">
        <x:v>46073</x:v>
      </x:c>
      <x:c r="C1251" t="str">
        <x:v>Minh Do</x:v>
      </x:c>
      <x:c r="D1251" t="str">
        <x:v>North</x:v>
      </x:c>
      <x:c r="E1251" t="str">
        <x:v>SEO</x:v>
      </x:c>
      <x:c r="F1251" t="str">
        <x:v>CRM-CORE</x:v>
      </x:c>
      <x:c r="G1251" t="str">
        <x:v>Financial Services</x:v>
      </x:c>
      <x:c r="H1251" t="str">
        <x:v>Mid-Market</x:v>
      </x:c>
      <x:c r="I1251" t="str">
        <x:v>Closed Lost</x:v>
      </x:c>
      <x:c r="J1251" s="10" t="n">
        <x:v>46109</x:v>
      </x:c>
      <x:c r="K1251" s="10" t="n">
        <x:v>46109</x:v>
      </x:c>
      <x:c r="L1251" s="22" t="n">
        <x:v>17100</x:v>
      </x:c>
      <x:c r="M1251" s="24" t="n">
        <x:v>0</x:v>
      </x:c>
      <x:c r="N1251" s="24" t="n">
        <x:v>0</x:v>
      </x:c>
      <x:c r="O1251" t="str">
        <x:v>Timing</x:v>
      </x:c>
      <x:c r="P1251" t="n">
        <x:v>3</x:v>
      </x:c>
      <x:c r="Q1251" t="str">
        <x:f>IFERROR(XLOOKUP(E1251,Lookups!$A$5:$A$24,Lookups!$B$5:$B$24),"Other")</x:f>
        <x:v>Organic Search</x:v>
      </x:c>
      <x:c r="R1251" t="str">
        <x:f>IFERROR(XLOOKUP(F1251,Lookups!$D$5:$D$10,Lookups!$E$5:$E$10),"Unknown Product")</x:f>
        <x:v>NexaCRM Core</x:v>
      </x:c>
      <x:c r="S1251" t="str">
        <x:f>IFERROR(XLOOKUP(F1251,Lookups!$D$5:$D$10,Lookups!$F$5:$F$10),"Unknown")</x:f>
        <x:v>CRM</x:v>
      </x:c>
      <x:c r="T1251" t="str">
        <x:f>IF(L1251&gt;=50000,"Enterprise",IF(L1251&gt;=20000,"Mid-Market","SMB"))</x:f>
        <x:v>SMB</x:v>
      </x:c>
      <x:c r="U1251" t="str">
        <x:f>IF(I1251="Closed Won","Won",IF(I1251="Closed Lost","Lost","Open"))</x:f>
        <x:v>Lost</x:v>
      </x:c>
      <x:c r="V1251" s="22" t="n">
        <x:f>IF(U1251="Won",L1251*(1-M1251),0)</x:f>
        <x:v>0</x:v>
      </x:c>
      <x:c r="W1251" s="22" t="n">
        <x:f>IF(U1251="Open",L1251*N1251,0)</x:f>
        <x:v>0</x:v>
      </x:c>
      <x:c r="X1251" s="26" t="n">
        <x:f>IF(U1251="Open","",IFERROR(K1251-B1251,""))</x:f>
        <x:v>36</x:v>
      </x:c>
      <x:c r="Y1251" s="26" t="n">
        <x:f>IF(U1251="Open",Lookups!$B$2-B1251,X1251)</x:f>
        <x:v>36</x:v>
      </x:c>
      <x:c r="Z1251" t="str">
        <x:f>IF(AND(U1251="Open",Y1251&gt;30),"STALE","OK")</x:f>
        <x:v>OK</x:v>
      </x:c>
      <x:c r="AA1251" t="str">
        <x:f>TEXT(B1251,"yyyy-mm")</x:f>
        <x:v>2026-02</x:v>
      </x:c>
      <x:c r="AB1251" t="str">
        <x:f>IF(K1251="","",TEXT(K1251,"yyyy-mm"))</x:f>
        <x:v>2026-03</x:v>
      </x:c>
      <x:c r="AC1251" t="str">
        <x:f>"Q"&amp;ROUNDUP(MONTH(B1251)/3,0)&amp;"-"&amp;YEAR(B1251)</x:f>
        <x:v>Q1-2026</x:v>
      </x:c>
      <x:c r="AD1251" s="26" t="n">
        <x:f>MIN(100,IF(H1251="Enterprise",30,IF(H1251="Mid-Market",22,14))+IF(T1251="Enterprise",25,IF(T1251="Mid-Market",18,10))+IF(Q1251="Referral",25,IF(Q1251="Organic Search",20,IF(Q1251="Email",18,14)))+IF(G1251="Technology",10,5))</x:f>
        <x:v>57</x:v>
      </x:c>
      <x:c r="AE1251" t="str">
        <x:f>IF(U1251&lt;&gt;"Open",U1251,IF(N1251&gt;=0.8,"Commit",IF(N1251&gt;=0.5,"Best Case","Pipeline")))</x:f>
        <x:v>Lost</x:v>
      </x:c>
    </x:row>
    <x:row r="1252">
      <x:c r="A1252" t="str">
        <x:v>L01251</x:v>
      </x:c>
      <x:c r="B1252" s="10" t="n">
        <x:v>46186</x:v>
      </x:c>
      <x:c r="C1252" t="str">
        <x:v>Tuan Bui</x:v>
      </x:c>
      <x:c r="D1252" t="str">
        <x:v>Central</x:v>
      </x:c>
      <x:c r="E1252" t="str">
        <x:v>SDR Outreach</x:v>
      </x:c>
      <x:c r="F1252" t="str">
        <x:v>BI-PLUS</x:v>
      </x:c>
      <x:c r="G1252" t="str">
        <x:v>Manufacturing</x:v>
      </x:c>
      <x:c r="H1252" t="str">
        <x:v>Mid-Market</x:v>
      </x:c>
      <x:c r="I1252" t="str">
        <x:v>Demo / Meeting</x:v>
      </x:c>
      <x:c r="J1252" s="10" t="n">
        <x:v>46241</x:v>
      </x:c>
      <x:c r="K1252" s="10"/>
      <x:c r="L1252" s="22" t="n">
        <x:v>44200</x:v>
      </x:c>
      <x:c r="M1252" s="24" t="n">
        <x:v>0.03</x:v>
      </x:c>
      <x:c r="N1252" s="24" t="n">
        <x:v>0.4</x:v>
      </x:c>
      <x:c r="O1252" t="str"/>
      <x:c r="P1252" t="n">
        <x:v>3</x:v>
      </x:c>
      <x:c r="Q1252" t="str">
        <x:f>IFERROR(XLOOKUP(E1252,Lookups!$A$5:$A$24,Lookups!$B$5:$B$24),"Other")</x:f>
        <x:v>Outbound</x:v>
      </x:c>
      <x:c r="R1252" t="str">
        <x:f>IFERROR(XLOOKUP(F1252,Lookups!$D$5:$D$10,Lookups!$E$5:$E$10),"Unknown Product")</x:f>
        <x:v>Analytics Plus</x:v>
      </x:c>
      <x:c r="S1252" t="str">
        <x:f>IFERROR(XLOOKUP(F1252,Lookups!$D$5:$D$10,Lookups!$F$5:$F$10),"Unknown")</x:f>
        <x:v>Analytics</x:v>
      </x:c>
      <x:c r="T1252" t="str">
        <x:f>IF(L1252&gt;=50000,"Enterprise",IF(L1252&gt;=20000,"Mid-Market","SMB"))</x:f>
        <x:v>Mid-Market</x:v>
      </x:c>
      <x:c r="U1252" t="str">
        <x:f>IF(I1252="Closed Won","Won",IF(I1252="Closed Lost","Lost","Open"))</x:f>
        <x:v>Open</x:v>
      </x:c>
      <x:c r="V1252" s="22" t="n">
        <x:f>IF(U1252="Won",L1252*(1-M1252),0)</x:f>
        <x:v>0</x:v>
      </x:c>
      <x:c r="W1252" s="22" t="n">
        <x:f>IF(U1252="Open",L1252*N1252,0)</x:f>
        <x:v>17680</x:v>
      </x:c>
      <x:c r="X1252" s="26" t="str">
        <x:f>IF(U1252="Open","",IFERROR(K1252-B1252,""))</x:f>
      </x:c>
      <x:c r="Y1252" s="26" t="n">
        <x:f>IF(U1252="Open",Lookups!$B$2-B1252,X1252)</x:f>
        <x:v>80</x:v>
      </x:c>
      <x:c r="Z1252" t="str">
        <x:f>IF(AND(U1252="Open",Y1252&gt;30),"STALE","OK")</x:f>
        <x:v>STALE</x:v>
      </x:c>
      <x:c r="AA1252" t="str">
        <x:f>TEXT(B1252,"yyyy-mm")</x:f>
        <x:v>2026-06</x:v>
      </x:c>
      <x:c r="AB1252" t="str">
        <x:f>IF(K1252="","",TEXT(K1252,"yyyy-mm"))</x:f>
      </x:c>
      <x:c r="AC1252" t="str">
        <x:f>"Q"&amp;ROUNDUP(MONTH(B1252)/3,0)&amp;"-"&amp;YEAR(B1252)</x:f>
        <x:v>Q2-2026</x:v>
      </x:c>
      <x:c r="AD1252" s="26" t="n">
        <x:f>MIN(100,IF(H1252="Enterprise",30,IF(H1252="Mid-Market",22,14))+IF(T1252="Enterprise",25,IF(T1252="Mid-Market",18,10))+IF(Q1252="Referral",25,IF(Q1252="Organic Search",20,IF(Q1252="Email",18,14)))+IF(G1252="Technology",10,5))</x:f>
        <x:v>59</x:v>
      </x:c>
      <x:c r="AE1252" t="str">
        <x:f>IF(U1252&lt;&gt;"Open",U1252,IF(N1252&gt;=0.8,"Commit",IF(N1252&gt;=0.5,"Best Case","Pipeline")))</x:f>
        <x:v>Pipeline</x:v>
      </x:c>
    </x:row>
    <x:row r="1253">
      <x:c r="A1253" t="str">
        <x:v>L01252</x:v>
      </x:c>
      <x:c r="B1253" s="10" t="n">
        <x:v>45929</x:v>
      </x:c>
      <x:c r="C1253" t="str">
        <x:v>Duy Pham</x:v>
      </x:c>
      <x:c r="D1253" t="str">
        <x:v>South</x:v>
      </x:c>
      <x:c r="E1253" t="str">
        <x:v>customer referral</x:v>
      </x:c>
      <x:c r="F1253" t="str">
        <x:v>CRM-PRO</x:v>
      </x:c>
      <x:c r="G1253" t="str">
        <x:v>Education</x:v>
      </x:c>
      <x:c r="H1253" t="str">
        <x:v>Mid-Market</x:v>
      </x:c>
      <x:c r="I1253" t="str">
        <x:v>Closed Won</x:v>
      </x:c>
      <x:c r="J1253" s="10" t="n">
        <x:v>45947</x:v>
      </x:c>
      <x:c r="K1253" s="10" t="n">
        <x:v>45947</x:v>
      </x:c>
      <x:c r="L1253" s="22" t="n">
        <x:v>36400</x:v>
      </x:c>
      <x:c r="M1253" s="24" t="n">
        <x:v>0</x:v>
      </x:c>
      <x:c r="N1253" s="24" t="n">
        <x:v>1</x:v>
      </x:c>
      <x:c r="O1253" t="str"/>
      <x:c r="P1253" t="n">
        <x:v>6</x:v>
      </x:c>
      <x:c r="Q1253" t="str">
        <x:f>IFERROR(XLOOKUP(E1253,Lookups!$A$5:$A$24,Lookups!$B$5:$B$24),"Other")</x:f>
        <x:v>Referral</x:v>
      </x:c>
      <x:c r="R1253" t="str">
        <x:f>IFERROR(XLOOKUP(F1253,Lookups!$D$5:$D$10,Lookups!$E$5:$E$10),"Unknown Product")</x:f>
        <x:v>NexaCRM Pro</x:v>
      </x:c>
      <x:c r="S1253" t="str">
        <x:f>IFERROR(XLOOKUP(F1253,Lookups!$D$5:$D$10,Lookups!$F$5:$F$10),"Unknown")</x:f>
        <x:v>CRM</x:v>
      </x:c>
      <x:c r="T1253" t="str">
        <x:f>IF(L1253&gt;=50000,"Enterprise",IF(L1253&gt;=20000,"Mid-Market","SMB"))</x:f>
        <x:v>Mid-Market</x:v>
      </x:c>
      <x:c r="U1253" t="str">
        <x:f>IF(I1253="Closed Won","Won",IF(I1253="Closed Lost","Lost","Open"))</x:f>
        <x:v>Won</x:v>
      </x:c>
      <x:c r="V1253" s="22" t="n">
        <x:f>IF(U1253="Won",L1253*(1-M1253),0)</x:f>
        <x:v>36400</x:v>
      </x:c>
      <x:c r="W1253" s="22" t="n">
        <x:f>IF(U1253="Open",L1253*N1253,0)</x:f>
        <x:v>0</x:v>
      </x:c>
      <x:c r="X1253" s="26" t="n">
        <x:f>IF(U1253="Open","",IFERROR(K1253-B1253,""))</x:f>
        <x:v>18</x:v>
      </x:c>
      <x:c r="Y1253" s="26" t="n">
        <x:f>IF(U1253="Open",Lookups!$B$2-B1253,X1253)</x:f>
        <x:v>18</x:v>
      </x:c>
      <x:c r="Z1253" t="str">
        <x:f>IF(AND(U1253="Open",Y1253&gt;30),"STALE","OK")</x:f>
        <x:v>OK</x:v>
      </x:c>
      <x:c r="AA1253" t="str">
        <x:f>TEXT(B1253,"yyyy-mm")</x:f>
        <x:v>2025-09</x:v>
      </x:c>
      <x:c r="AB1253" t="str">
        <x:f>IF(K1253="","",TEXT(K1253,"yyyy-mm"))</x:f>
        <x:v>2025-10</x:v>
      </x:c>
      <x:c r="AC1253" t="str">
        <x:f>"Q"&amp;ROUNDUP(MONTH(B1253)/3,0)&amp;"-"&amp;YEAR(B1253)</x:f>
        <x:v>Q3-2025</x:v>
      </x:c>
      <x:c r="AD1253" s="26" t="n">
        <x:f>MIN(100,IF(H1253="Enterprise",30,IF(H1253="Mid-Market",22,14))+IF(T1253="Enterprise",25,IF(T1253="Mid-Market",18,10))+IF(Q1253="Referral",25,IF(Q1253="Organic Search",20,IF(Q1253="Email",18,14)))+IF(G1253="Technology",10,5))</x:f>
        <x:v>70</x:v>
      </x:c>
      <x:c r="AE1253" t="str">
        <x:f>IF(U1253&lt;&gt;"Open",U1253,IF(N1253&gt;=0.8,"Commit",IF(N1253&gt;=0.5,"Best Case","Pipeline")))</x:f>
        <x:v>Won</x:v>
      </x:c>
    </x:row>
    <x:row r="1254">
      <x:c r="A1254" t="str">
        <x:v>L01253</x:v>
      </x:c>
      <x:c r="B1254" s="10" t="n">
        <x:v>45850</x:v>
      </x:c>
      <x:c r="C1254" t="str">
        <x:v>Quynh Vu</x:v>
      </x:c>
      <x:c r="D1254" t="str">
        <x:v>North</x:v>
      </x:c>
      <x:c r="E1254" t="str">
        <x:v>LinkedIn Ads</x:v>
      </x:c>
      <x:c r="F1254" t="str">
        <x:v>CS-CLOUD</x:v>
      </x:c>
      <x:c r="G1254" t="str">
        <x:v>Professional Services</x:v>
      </x:c>
      <x:c r="H1254" t="str">
        <x:v>Mid-Market</x:v>
      </x:c>
      <x:c r="I1254" t="str">
        <x:v>Negotiation</x:v>
      </x:c>
      <x:c r="J1254" s="10" t="n">
        <x:v>46114</x:v>
      </x:c>
      <x:c r="K1254" s="10"/>
      <x:c r="L1254" s="22" t="n">
        <x:v>50100</x:v>
      </x:c>
      <x:c r="M1254" s="24" t="n">
        <x:v>0</x:v>
      </x:c>
      <x:c r="N1254" s="24" t="n">
        <x:v>0.85</x:v>
      </x:c>
      <x:c r="O1254" t="str"/>
      <x:c r="P1254" t="n">
        <x:v>5</x:v>
      </x:c>
      <x:c r="Q1254" t="str">
        <x:f>IFERROR(XLOOKUP(E1254,Lookups!$A$5:$A$24,Lookups!$B$5:$B$24),"Other")</x:f>
        <x:v>LinkedIn</x:v>
      </x:c>
      <x:c r="R1254" t="str">
        <x:f>IFERROR(XLOOKUP(F1254,Lookups!$D$5:$D$10,Lookups!$E$5:$E$10),"Unknown Product")</x:f>
        <x:v>Service Cloud</x:v>
      </x:c>
      <x:c r="S1254" t="str">
        <x:f>IFERROR(XLOOKUP(F1254,Lookups!$D$5:$D$10,Lookups!$F$5:$F$10),"Unknown")</x:f>
        <x:v>Customer Service</x:v>
      </x:c>
      <x:c r="T1254" t="str">
        <x:f>IF(L1254&gt;=50000,"Enterprise",IF(L1254&gt;=20000,"Mid-Market","SMB"))</x:f>
        <x:v>Enterprise</x:v>
      </x:c>
      <x:c r="U1254" t="str">
        <x:f>IF(I1254="Closed Won","Won",IF(I1254="Closed Lost","Lost","Open"))</x:f>
        <x:v>Open</x:v>
      </x:c>
      <x:c r="V1254" s="22" t="n">
        <x:f>IF(U1254="Won",L1254*(1-M1254),0)</x:f>
        <x:v>0</x:v>
      </x:c>
      <x:c r="W1254" s="22" t="n">
        <x:f>IF(U1254="Open",L1254*N1254,0)</x:f>
        <x:v>42585</x:v>
      </x:c>
      <x:c r="X1254" s="26" t="str">
        <x:f>IF(U1254="Open","",IFERROR(K1254-B1254,""))</x:f>
      </x:c>
      <x:c r="Y1254" s="26" t="n">
        <x:f>IF(U1254="Open",Lookups!$B$2-B1254,X1254)</x:f>
        <x:v>416</x:v>
      </x:c>
      <x:c r="Z1254" t="str">
        <x:f>IF(AND(U1254="Open",Y1254&gt;30),"STALE","OK")</x:f>
        <x:v>STALE</x:v>
      </x:c>
      <x:c r="AA1254" t="str">
        <x:f>TEXT(B1254,"yyyy-mm")</x:f>
        <x:v>2025-07</x:v>
      </x:c>
      <x:c r="AB1254" t="str">
        <x:f>IF(K1254="","",TEXT(K1254,"yyyy-mm"))</x:f>
      </x:c>
      <x:c r="AC1254" t="str">
        <x:f>"Q"&amp;ROUNDUP(MONTH(B1254)/3,0)&amp;"-"&amp;YEAR(B1254)</x:f>
        <x:v>Q3-2025</x:v>
      </x:c>
      <x:c r="AD1254" s="26" t="n">
        <x:f>MIN(100,IF(H1254="Enterprise",30,IF(H1254="Mid-Market",22,14))+IF(T1254="Enterprise",25,IF(T1254="Mid-Market",18,10))+IF(Q1254="Referral",25,IF(Q1254="Organic Search",20,IF(Q1254="Email",18,14)))+IF(G1254="Technology",10,5))</x:f>
        <x:v>66</x:v>
      </x:c>
      <x:c r="AE1254" t="str">
        <x:f>IF(U1254&lt;&gt;"Open",U1254,IF(N1254&gt;=0.8,"Commit",IF(N1254&gt;=0.5,"Best Case","Pipeline")))</x:f>
        <x:v>Commit</x:v>
      </x:c>
    </x:row>
    <x:row r="1255">
      <x:c r="A1255" t="str">
        <x:v>L01254</x:v>
      </x:c>
      <x:c r="B1255" s="10" t="n">
        <x:v>45660</x:v>
      </x:c>
      <x:c r="C1255" t="str">
        <x:v>Minh Do</x:v>
      </x:c>
      <x:c r="D1255" t="str">
        <x:v>North</x:v>
      </x:c>
      <x:c r="E1255" t="str">
        <x:v>virtual event</x:v>
      </x:c>
      <x:c r="F1255" t="str">
        <x:v>REV-OPS</x:v>
      </x:c>
      <x:c r="G1255" t="str">
        <x:v>Professional Services</x:v>
      </x:c>
      <x:c r="H1255" t="str">
        <x:v>SMB</x:v>
      </x:c>
      <x:c r="I1255" t="str">
        <x:v>Closed Lost</x:v>
      </x:c>
      <x:c r="J1255" s="10" t="n">
        <x:v>45717</x:v>
      </x:c>
      <x:c r="K1255" s="10" t="n">
        <x:v>45717</x:v>
      </x:c>
      <x:c r="L1255" s="22" t="n">
        <x:v>44800</x:v>
      </x:c>
      <x:c r="M1255" s="24" t="n">
        <x:v>0</x:v>
      </x:c>
      <x:c r="N1255" s="24" t="n">
        <x:v>0</x:v>
      </x:c>
      <x:c r="O1255" t="str">
        <x:v>Competitor</x:v>
      </x:c>
      <x:c r="P1255" t="n">
        <x:v>2</x:v>
      </x:c>
      <x:c r="Q1255" t="str">
        <x:f>IFERROR(XLOOKUP(E1255,Lookups!$A$5:$A$24,Lookups!$B$5:$B$24),"Other")</x:f>
        <x:v>Webinar</x:v>
      </x:c>
      <x:c r="R1255" t="str">
        <x:f>IFERROR(XLOOKUP(F1255,Lookups!$D$5:$D$10,Lookups!$E$5:$E$10),"Unknown Product")</x:f>
        <x:v>Revenue Operations Suite</x:v>
      </x:c>
      <x:c r="S1255" t="str">
        <x:f>IFERROR(XLOOKUP(F1255,Lookups!$D$5:$D$10,Lookups!$F$5:$F$10),"Unknown")</x:f>
        <x:v>Revenue Ops</x:v>
      </x:c>
      <x:c r="T1255" t="str">
        <x:f>IF(L1255&gt;=50000,"Enterprise",IF(L1255&gt;=20000,"Mid-Market","SMB"))</x:f>
        <x:v>Mid-Market</x:v>
      </x:c>
      <x:c r="U1255" t="str">
        <x:f>IF(I1255="Closed Won","Won",IF(I1255="Closed Lost","Lost","Open"))</x:f>
        <x:v>Lost</x:v>
      </x:c>
      <x:c r="V1255" s="22" t="n">
        <x:f>IF(U1255="Won",L1255*(1-M1255),0)</x:f>
        <x:v>0</x:v>
      </x:c>
      <x:c r="W1255" s="22" t="n">
        <x:f>IF(U1255="Open",L1255*N1255,0)</x:f>
        <x:v>0</x:v>
      </x:c>
      <x:c r="X1255" s="26" t="n">
        <x:f>IF(U1255="Open","",IFERROR(K1255-B1255,""))</x:f>
        <x:v>57</x:v>
      </x:c>
      <x:c r="Y1255" s="26" t="n">
        <x:f>IF(U1255="Open",Lookups!$B$2-B1255,X1255)</x:f>
        <x:v>57</x:v>
      </x:c>
      <x:c r="Z1255" t="str">
        <x:f>IF(AND(U1255="Open",Y1255&gt;30),"STALE","OK")</x:f>
        <x:v>OK</x:v>
      </x:c>
      <x:c r="AA1255" t="str">
        <x:f>TEXT(B1255,"yyyy-mm")</x:f>
        <x:v>2025-01</x:v>
      </x:c>
      <x:c r="AB1255" t="str">
        <x:f>IF(K1255="","",TEXT(K1255,"yyyy-mm"))</x:f>
        <x:v>2025-03</x:v>
      </x:c>
      <x:c r="AC1255" t="str">
        <x:f>"Q"&amp;ROUNDUP(MONTH(B1255)/3,0)&amp;"-"&amp;YEAR(B1255)</x:f>
        <x:v>Q1-2025</x:v>
      </x:c>
      <x:c r="AD1255" s="26" t="n">
        <x:f>MIN(100,IF(H1255="Enterprise",30,IF(H1255="Mid-Market",22,14))+IF(T1255="Enterprise",25,IF(T1255="Mid-Market",18,10))+IF(Q1255="Referral",25,IF(Q1255="Organic Search",20,IF(Q1255="Email",18,14)))+IF(G1255="Technology",10,5))</x:f>
        <x:v>51</x:v>
      </x:c>
      <x:c r="AE1255" t="str">
        <x:f>IF(U1255&lt;&gt;"Open",U1255,IF(N1255&gt;=0.8,"Commit",IF(N1255&gt;=0.5,"Best Case","Pipeline")))</x:f>
        <x:v>Lost</x:v>
      </x:c>
    </x:row>
    <x:row r="1256">
      <x:c r="A1256" t="str">
        <x:v>L01255</x:v>
      </x:c>
      <x:c r="B1256" s="10" t="n">
        <x:v>45717</x:v>
      </x:c>
      <x:c r="C1256" t="str">
        <x:v>Tuan Bui</x:v>
      </x:c>
      <x:c r="D1256" t="str">
        <x:v>Central</x:v>
      </x:c>
      <x:c r="E1256" t="str">
        <x:v>email nurture</x:v>
      </x:c>
      <x:c r="F1256" t="str">
        <x:v>REV-OPS</x:v>
      </x:c>
      <x:c r="G1256" t="str">
        <x:v>Professional Services</x:v>
      </x:c>
      <x:c r="H1256" t="str">
        <x:v>Mid-Market</x:v>
      </x:c>
      <x:c r="I1256" t="str">
        <x:v>Closed Won</x:v>
      </x:c>
      <x:c r="J1256" s="10" t="n">
        <x:v>45772</x:v>
      </x:c>
      <x:c r="K1256" s="10" t="n">
        <x:v>45772</x:v>
      </x:c>
      <x:c r="L1256" s="22" t="n">
        <x:v>56400</x:v>
      </x:c>
      <x:c r="M1256" s="24" t="n">
        <x:v>0.03</x:v>
      </x:c>
      <x:c r="N1256" s="24" t="n">
        <x:v>1</x:v>
      </x:c>
      <x:c r="O1256" t="str"/>
      <x:c r="P1256" t="n">
        <x:v>6</x:v>
      </x:c>
      <x:c r="Q1256" t="str">
        <x:f>IFERROR(XLOOKUP(E1256,Lookups!$A$5:$A$24,Lookups!$B$5:$B$24),"Other")</x:f>
        <x:v>Email</x:v>
      </x:c>
      <x:c r="R1256" t="str">
        <x:f>IFERROR(XLOOKUP(F1256,Lookups!$D$5:$D$10,Lookups!$E$5:$E$10),"Unknown Product")</x:f>
        <x:v>Revenue Operations Suite</x:v>
      </x:c>
      <x:c r="S1256" t="str">
        <x:f>IFERROR(XLOOKUP(F1256,Lookups!$D$5:$D$10,Lookups!$F$5:$F$10),"Unknown")</x:f>
        <x:v>Revenue Ops</x:v>
      </x:c>
      <x:c r="T1256" t="str">
        <x:f>IF(L1256&gt;=50000,"Enterprise",IF(L1256&gt;=20000,"Mid-Market","SMB"))</x:f>
        <x:v>Enterprise</x:v>
      </x:c>
      <x:c r="U1256" t="str">
        <x:f>IF(I1256="Closed Won","Won",IF(I1256="Closed Lost","Lost","Open"))</x:f>
        <x:v>Won</x:v>
      </x:c>
      <x:c r="V1256" s="22" t="n">
        <x:f>IF(U1256="Won",L1256*(1-M1256),0)</x:f>
        <x:v>54708</x:v>
      </x:c>
      <x:c r="W1256" s="22" t="n">
        <x:f>IF(U1256="Open",L1256*N1256,0)</x:f>
        <x:v>0</x:v>
      </x:c>
      <x:c r="X1256" s="26" t="n">
        <x:f>IF(U1256="Open","",IFERROR(K1256-B1256,""))</x:f>
        <x:v>55</x:v>
      </x:c>
      <x:c r="Y1256" s="26" t="n">
        <x:f>IF(U1256="Open",Lookups!$B$2-B1256,X1256)</x:f>
        <x:v>55</x:v>
      </x:c>
      <x:c r="Z1256" t="str">
        <x:f>IF(AND(U1256="Open",Y1256&gt;30),"STALE","OK")</x:f>
        <x:v>OK</x:v>
      </x:c>
      <x:c r="AA1256" t="str">
        <x:f>TEXT(B1256,"yyyy-mm")</x:f>
        <x:v>2025-03</x:v>
      </x:c>
      <x:c r="AB1256" t="str">
        <x:f>IF(K1256="","",TEXT(K1256,"yyyy-mm"))</x:f>
        <x:v>2025-04</x:v>
      </x:c>
      <x:c r="AC1256" t="str">
        <x:f>"Q"&amp;ROUNDUP(MONTH(B1256)/3,0)&amp;"-"&amp;YEAR(B1256)</x:f>
        <x:v>Q1-2025</x:v>
      </x:c>
      <x:c r="AD1256" s="26" t="n">
        <x:f>MIN(100,IF(H1256="Enterprise",30,IF(H1256="Mid-Market",22,14))+IF(T1256="Enterprise",25,IF(T1256="Mid-Market",18,10))+IF(Q1256="Referral",25,IF(Q1256="Organic Search",20,IF(Q1256="Email",18,14)))+IF(G1256="Technology",10,5))</x:f>
        <x:v>70</x:v>
      </x:c>
      <x:c r="AE1256" t="str">
        <x:f>IF(U1256&lt;&gt;"Open",U1256,IF(N1256&gt;=0.8,"Commit",IF(N1256&gt;=0.5,"Best Case","Pipeline")))</x:f>
        <x:v>Won</x:v>
      </x:c>
    </x:row>
    <x:row r="1257">
      <x:c r="A1257" t="str">
        <x:v>L01256</x:v>
      </x:c>
      <x:c r="B1257" s="10" t="n">
        <x:v>46030</x:v>
      </x:c>
      <x:c r="C1257" t="str">
        <x:v>Duy Pham</x:v>
      </x:c>
      <x:c r="D1257" t="str">
        <x:v>South</x:v>
      </x:c>
      <x:c r="E1257" t="str">
        <x:v>Google Organic</x:v>
      </x:c>
      <x:c r="F1257" t="str">
        <x:v>MKT-AUTO</x:v>
      </x:c>
      <x:c r="G1257" t="str">
        <x:v>Retail</x:v>
      </x:c>
      <x:c r="H1257" t="str">
        <x:v>SMB</x:v>
      </x:c>
      <x:c r="I1257" t="str">
        <x:v>Negotiation</x:v>
      </x:c>
      <x:c r="J1257" s="10" t="n">
        <x:v>46157</x:v>
      </x:c>
      <x:c r="K1257" s="10"/>
      <x:c r="L1257" s="22" t="n">
        <x:v>16100</x:v>
      </x:c>
      <x:c r="M1257" s="24" t="n">
        <x:v>0</x:v>
      </x:c>
      <x:c r="N1257" s="24" t="n">
        <x:v>0.85</x:v>
      </x:c>
      <x:c r="O1257" t="str"/>
      <x:c r="P1257" t="n">
        <x:v>5</x:v>
      </x:c>
      <x:c r="Q1257" t="str">
        <x:f>IFERROR(XLOOKUP(E1257,Lookups!$A$5:$A$24,Lookups!$B$5:$B$24),"Other")</x:f>
        <x:v>Organic Search</x:v>
      </x:c>
      <x:c r="R1257" t="str">
        <x:f>IFERROR(XLOOKUP(F1257,Lookups!$D$5:$D$10,Lookups!$E$5:$E$10),"Unknown Product")</x:f>
        <x:v>Marketing Automation</x:v>
      </x:c>
      <x:c r="S1257" t="str">
        <x:f>IFERROR(XLOOKUP(F1257,Lookups!$D$5:$D$10,Lookups!$F$5:$F$10),"Unknown")</x:f>
        <x:v>Marketing</x:v>
      </x:c>
      <x:c r="T1257" t="str">
        <x:f>IF(L1257&gt;=50000,"Enterprise",IF(L1257&gt;=20000,"Mid-Market","SMB"))</x:f>
        <x:v>SMB</x:v>
      </x:c>
      <x:c r="U1257" t="str">
        <x:f>IF(I1257="Closed Won","Won",IF(I1257="Closed Lost","Lost","Open"))</x:f>
        <x:v>Open</x:v>
      </x:c>
      <x:c r="V1257" s="22" t="n">
        <x:f>IF(U1257="Won",L1257*(1-M1257),0)</x:f>
        <x:v>0</x:v>
      </x:c>
      <x:c r="W1257" s="22" t="n">
        <x:f>IF(U1257="Open",L1257*N1257,0)</x:f>
        <x:v>13685</x:v>
      </x:c>
      <x:c r="X1257" s="26" t="str">
        <x:f>IF(U1257="Open","",IFERROR(K1257-B1257,""))</x:f>
      </x:c>
      <x:c r="Y1257" s="26" t="n">
        <x:f>IF(U1257="Open",Lookups!$B$2-B1257,X1257)</x:f>
        <x:v>236</x:v>
      </x:c>
      <x:c r="Z1257" t="str">
        <x:f>IF(AND(U1257="Open",Y1257&gt;30),"STALE","OK")</x:f>
        <x:v>STALE</x:v>
      </x:c>
      <x:c r="AA1257" t="str">
        <x:f>TEXT(B1257,"yyyy-mm")</x:f>
        <x:v>2026-01</x:v>
      </x:c>
      <x:c r="AB1257" t="str">
        <x:f>IF(K1257="","",TEXT(K1257,"yyyy-mm"))</x:f>
      </x:c>
      <x:c r="AC1257" t="str">
        <x:f>"Q"&amp;ROUNDUP(MONTH(B1257)/3,0)&amp;"-"&amp;YEAR(B1257)</x:f>
        <x:v>Q1-2026</x:v>
      </x:c>
      <x:c r="AD1257" s="26" t="n">
        <x:f>MIN(100,IF(H1257="Enterprise",30,IF(H1257="Mid-Market",22,14))+IF(T1257="Enterprise",25,IF(T1257="Mid-Market",18,10))+IF(Q1257="Referral",25,IF(Q1257="Organic Search",20,IF(Q1257="Email",18,14)))+IF(G1257="Technology",10,5))</x:f>
        <x:v>49</x:v>
      </x:c>
      <x:c r="AE1257" t="str">
        <x:f>IF(U1257&lt;&gt;"Open",U1257,IF(N1257&gt;=0.8,"Commit",IF(N1257&gt;=0.5,"Best Case","Pipeline")))</x:f>
        <x:v>Commit</x:v>
      </x:c>
    </x:row>
    <x:row r="1258">
      <x:c r="A1258" t="str">
        <x:v>L01257</x:v>
      </x:c>
      <x:c r="B1258" s="10" t="n">
        <x:v>45782</x:v>
      </x:c>
      <x:c r="C1258" t="str">
        <x:v>Tuan Bui</x:v>
      </x:c>
      <x:c r="D1258" t="str">
        <x:v>Central</x:v>
      </x:c>
      <x:c r="E1258" t="str">
        <x:v>LI Ads</x:v>
      </x:c>
      <x:c r="F1258" t="str">
        <x:v>CRM-CORE</x:v>
      </x:c>
      <x:c r="G1258" t="str">
        <x:v>Manufacturing</x:v>
      </x:c>
      <x:c r="H1258" t="str">
        <x:v>SMB</x:v>
      </x:c>
      <x:c r="I1258" t="str">
        <x:v>Closed Lost</x:v>
      </x:c>
      <x:c r="J1258" s="10" t="n">
        <x:v>45837</x:v>
      </x:c>
      <x:c r="K1258" s="10" t="n">
        <x:v>45837</x:v>
      </x:c>
      <x:c r="L1258" s="22" t="n">
        <x:v>8200</x:v>
      </x:c>
      <x:c r="M1258" s="24" t="n">
        <x:v>0</x:v>
      </x:c>
      <x:c r="N1258" s="24" t="n">
        <x:v>0</x:v>
      </x:c>
      <x:c r="O1258" t="str">
        <x:v>Budget</x:v>
      </x:c>
      <x:c r="P1258" t="n">
        <x:v>4</x:v>
      </x:c>
      <x:c r="Q1258" t="str">
        <x:f>IFERROR(XLOOKUP(E1258,Lookups!$A$5:$A$24,Lookups!$B$5:$B$24),"Other")</x:f>
        <x:v>LinkedIn</x:v>
      </x:c>
      <x:c r="R1258" t="str">
        <x:f>IFERROR(XLOOKUP(F1258,Lookups!$D$5:$D$10,Lookups!$E$5:$E$10),"Unknown Product")</x:f>
        <x:v>NexaCRM Core</x:v>
      </x:c>
      <x:c r="S1258" t="str">
        <x:f>IFERROR(XLOOKUP(F1258,Lookups!$D$5:$D$10,Lookups!$F$5:$F$10),"Unknown")</x:f>
        <x:v>CRM</x:v>
      </x:c>
      <x:c r="T1258" t="str">
        <x:f>IF(L1258&gt;=50000,"Enterprise",IF(L1258&gt;=20000,"Mid-Market","SMB"))</x:f>
        <x:v>SMB</x:v>
      </x:c>
      <x:c r="U1258" t="str">
        <x:f>IF(I1258="Closed Won","Won",IF(I1258="Closed Lost","Lost","Open"))</x:f>
        <x:v>Lost</x:v>
      </x:c>
      <x:c r="V1258" s="22" t="n">
        <x:f>IF(U1258="Won",L1258*(1-M1258),0)</x:f>
        <x:v>0</x:v>
      </x:c>
      <x:c r="W1258" s="22" t="n">
        <x:f>IF(U1258="Open",L1258*N1258,0)</x:f>
        <x:v>0</x:v>
      </x:c>
      <x:c r="X1258" s="26" t="n">
        <x:f>IF(U1258="Open","",IFERROR(K1258-B1258,""))</x:f>
        <x:v>55</x:v>
      </x:c>
      <x:c r="Y1258" s="26" t="n">
        <x:f>IF(U1258="Open",Lookups!$B$2-B1258,X1258)</x:f>
        <x:v>55</x:v>
      </x:c>
      <x:c r="Z1258" t="str">
        <x:f>IF(AND(U1258="Open",Y1258&gt;30),"STALE","OK")</x:f>
        <x:v>OK</x:v>
      </x:c>
      <x:c r="AA1258" t="str">
        <x:f>TEXT(B1258,"yyyy-mm")</x:f>
        <x:v>2025-05</x:v>
      </x:c>
      <x:c r="AB1258" t="str">
        <x:f>IF(K1258="","",TEXT(K1258,"yyyy-mm"))</x:f>
        <x:v>2025-06</x:v>
      </x:c>
      <x:c r="AC1258" t="str">
        <x:f>"Q"&amp;ROUNDUP(MONTH(B1258)/3,0)&amp;"-"&amp;YEAR(B1258)</x:f>
        <x:v>Q2-2025</x:v>
      </x:c>
      <x:c r="AD1258" s="26" t="n">
        <x:f>MIN(100,IF(H1258="Enterprise",30,IF(H1258="Mid-Market",22,14))+IF(T1258="Enterprise",25,IF(T1258="Mid-Market",18,10))+IF(Q1258="Referral",25,IF(Q1258="Organic Search",20,IF(Q1258="Email",18,14)))+IF(G1258="Technology",10,5))</x:f>
        <x:v>43</x:v>
      </x:c>
      <x:c r="AE1258" t="str">
        <x:f>IF(U1258&lt;&gt;"Open",U1258,IF(N1258&gt;=0.8,"Commit",IF(N1258&gt;=0.5,"Best Case","Pipeline")))</x:f>
        <x:v>Lost</x:v>
      </x:c>
    </x:row>
    <x:row r="1259">
      <x:c r="A1259" t="str">
        <x:v>L01258</x:v>
      </x:c>
      <x:c r="B1259" s="10" t="n">
        <x:v>46204</x:v>
      </x:c>
      <x:c r="C1259" t="str">
        <x:v>Chi Le</x:v>
      </x:c>
      <x:c r="D1259" t="str">
        <x:v>South</x:v>
      </x:c>
      <x:c r="E1259" t="str">
        <x:v>newsletter</x:v>
      </x:c>
      <x:c r="F1259" t="str">
        <x:v>BI-PLUS</x:v>
      </x:c>
      <x:c r="G1259" t="str">
        <x:v>Education</x:v>
      </x:c>
      <x:c r="H1259" t="str">
        <x:v>SMB</x:v>
      </x:c>
      <x:c r="I1259" t="str">
        <x:v>Closed Won</x:v>
      </x:c>
      <x:c r="J1259" s="10" t="n">
        <x:v>46266</x:v>
      </x:c>
      <x:c r="K1259" s="10" t="n">
        <x:v>46266</x:v>
      </x:c>
      <x:c r="L1259" s="22" t="n">
        <x:v>25900</x:v>
      </x:c>
      <x:c r="M1259" s="24" t="n">
        <x:v>0</x:v>
      </x:c>
      <x:c r="N1259" s="24" t="n">
        <x:v>1</x:v>
      </x:c>
      <x:c r="O1259" t="str"/>
      <x:c r="P1259" t="n">
        <x:v>6</x:v>
      </x:c>
      <x:c r="Q1259" t="str">
        <x:f>IFERROR(XLOOKUP(E1259,Lookups!$A$5:$A$24,Lookups!$B$5:$B$24),"Other")</x:f>
        <x:v>Email</x:v>
      </x:c>
      <x:c r="R1259" t="str">
        <x:f>IFERROR(XLOOKUP(F1259,Lookups!$D$5:$D$10,Lookups!$E$5:$E$10),"Unknown Product")</x:f>
        <x:v>Analytics Plus</x:v>
      </x:c>
      <x:c r="S1259" t="str">
        <x:f>IFERROR(XLOOKUP(F1259,Lookups!$D$5:$D$10,Lookups!$F$5:$F$10),"Unknown")</x:f>
        <x:v>Analytics</x:v>
      </x:c>
      <x:c r="T1259" t="str">
        <x:f>IF(L1259&gt;=50000,"Enterprise",IF(L1259&gt;=20000,"Mid-Market","SMB"))</x:f>
        <x:v>Mid-Market</x:v>
      </x:c>
      <x:c r="U1259" t="str">
        <x:f>IF(I1259="Closed Won","Won",IF(I1259="Closed Lost","Lost","Open"))</x:f>
        <x:v>Won</x:v>
      </x:c>
      <x:c r="V1259" s="22" t="n">
        <x:f>IF(U1259="Won",L1259*(1-M1259),0)</x:f>
        <x:v>25900</x:v>
      </x:c>
      <x:c r="W1259" s="22" t="n">
        <x:f>IF(U1259="Open",L1259*N1259,0)</x:f>
        <x:v>0</x:v>
      </x:c>
      <x:c r="X1259" s="26" t="n">
        <x:f>IF(U1259="Open","",IFERROR(K1259-B1259,""))</x:f>
        <x:v>62</x:v>
      </x:c>
      <x:c r="Y1259" s="26" t="n">
        <x:f>IF(U1259="Open",Lookups!$B$2-B1259,X1259)</x:f>
        <x:v>62</x:v>
      </x:c>
      <x:c r="Z1259" t="str">
        <x:f>IF(AND(U1259="Open",Y1259&gt;30),"STALE","OK")</x:f>
        <x:v>OK</x:v>
      </x:c>
      <x:c r="AA1259" t="str">
        <x:f>TEXT(B1259,"yyyy-mm")</x:f>
        <x:v>2026-07</x:v>
      </x:c>
      <x:c r="AB1259" t="str">
        <x:f>IF(K1259="","",TEXT(K1259,"yyyy-mm"))</x:f>
        <x:v>2026-09</x:v>
      </x:c>
      <x:c r="AC1259" t="str">
        <x:f>"Q"&amp;ROUNDUP(MONTH(B1259)/3,0)&amp;"-"&amp;YEAR(B1259)</x:f>
        <x:v>Q3-2026</x:v>
      </x:c>
      <x:c r="AD1259" s="26" t="n">
        <x:f>MIN(100,IF(H1259="Enterprise",30,IF(H1259="Mid-Market",22,14))+IF(T1259="Enterprise",25,IF(T1259="Mid-Market",18,10))+IF(Q1259="Referral",25,IF(Q1259="Organic Search",20,IF(Q1259="Email",18,14)))+IF(G1259="Technology",10,5))</x:f>
        <x:v>55</x:v>
      </x:c>
      <x:c r="AE1259" t="str">
        <x:f>IF(U1259&lt;&gt;"Open",U1259,IF(N1259&gt;=0.8,"Commit",IF(N1259&gt;=0.5,"Best Case","Pipeline")))</x:f>
        <x:v>Won</x:v>
      </x:c>
    </x:row>
    <x:row r="1260">
      <x:c r="A1260" t="str">
        <x:v>L01259</x:v>
      </x:c>
      <x:c r="B1260" s="10" t="n">
        <x:v>46044</x:v>
      </x:c>
      <x:c r="C1260" t="str">
        <x:v>Chi Le</x:v>
      </x:c>
      <x:c r="D1260" t="str">
        <x:v>South</x:v>
      </x:c>
      <x:c r="E1260" t="str">
        <x:v>Cold Email</x:v>
      </x:c>
      <x:c r="F1260" t="str">
        <x:v>CRM-PRO</x:v>
      </x:c>
      <x:c r="G1260" t="str">
        <x:v>Technology</x:v>
      </x:c>
      <x:c r="H1260" t="str">
        <x:v>Mid-Market</x:v>
      </x:c>
      <x:c r="I1260" t="str">
        <x:v>Closed Lost</x:v>
      </x:c>
      <x:c r="J1260" s="10" t="n">
        <x:v>46108</x:v>
      </x:c>
      <x:c r="K1260" s="10" t="n">
        <x:v>46108</x:v>
      </x:c>
      <x:c r="L1260" s="22" t="n">
        <x:v>39700</x:v>
      </x:c>
      <x:c r="M1260" s="24" t="n">
        <x:v>0</x:v>
      </x:c>
      <x:c r="N1260" s="24" t="n">
        <x:v>0</x:v>
      </x:c>
      <x:c r="O1260" t="str">
        <x:v>Price</x:v>
      </x:c>
      <x:c r="P1260" t="n">
        <x:v>3</x:v>
      </x:c>
      <x:c r="Q1260" t="str">
        <x:f>IFERROR(XLOOKUP(E1260,Lookups!$A$5:$A$24,Lookups!$B$5:$B$24),"Other")</x:f>
        <x:v>Outbound</x:v>
      </x:c>
      <x:c r="R1260" t="str">
        <x:f>IFERROR(XLOOKUP(F1260,Lookups!$D$5:$D$10,Lookups!$E$5:$E$10),"Unknown Product")</x:f>
        <x:v>NexaCRM Pro</x:v>
      </x:c>
      <x:c r="S1260" t="str">
        <x:f>IFERROR(XLOOKUP(F1260,Lookups!$D$5:$D$10,Lookups!$F$5:$F$10),"Unknown")</x:f>
        <x:v>CRM</x:v>
      </x:c>
      <x:c r="T1260" t="str">
        <x:f>IF(L1260&gt;=50000,"Enterprise",IF(L1260&gt;=20000,"Mid-Market","SMB"))</x:f>
        <x:v>Mid-Market</x:v>
      </x:c>
      <x:c r="U1260" t="str">
        <x:f>IF(I1260="Closed Won","Won",IF(I1260="Closed Lost","Lost","Open"))</x:f>
        <x:v>Lost</x:v>
      </x:c>
      <x:c r="V1260" s="22" t="n">
        <x:f>IF(U1260="Won",L1260*(1-M1260),0)</x:f>
        <x:v>0</x:v>
      </x:c>
      <x:c r="W1260" s="22" t="n">
        <x:f>IF(U1260="Open",L1260*N1260,0)</x:f>
        <x:v>0</x:v>
      </x:c>
      <x:c r="X1260" s="26" t="n">
        <x:f>IF(U1260="Open","",IFERROR(K1260-B1260,""))</x:f>
        <x:v>64</x:v>
      </x:c>
      <x:c r="Y1260" s="26" t="n">
        <x:f>IF(U1260="Open",Lookups!$B$2-B1260,X1260)</x:f>
        <x:v>64</x:v>
      </x:c>
      <x:c r="Z1260" t="str">
        <x:f>IF(AND(U1260="Open",Y1260&gt;30),"STALE","OK")</x:f>
        <x:v>OK</x:v>
      </x:c>
      <x:c r="AA1260" t="str">
        <x:f>TEXT(B1260,"yyyy-mm")</x:f>
        <x:v>2026-01</x:v>
      </x:c>
      <x:c r="AB1260" t="str">
        <x:f>IF(K1260="","",TEXT(K1260,"yyyy-mm"))</x:f>
        <x:v>2026-03</x:v>
      </x:c>
      <x:c r="AC1260" t="str">
        <x:f>"Q"&amp;ROUNDUP(MONTH(B1260)/3,0)&amp;"-"&amp;YEAR(B1260)</x:f>
        <x:v>Q1-2026</x:v>
      </x:c>
      <x:c r="AD1260" s="26" t="n">
        <x:f>MIN(100,IF(H1260="Enterprise",30,IF(H1260="Mid-Market",22,14))+IF(T1260="Enterprise",25,IF(T1260="Mid-Market",18,10))+IF(Q1260="Referral",25,IF(Q1260="Organic Search",20,IF(Q1260="Email",18,14)))+IF(G1260="Technology",10,5))</x:f>
        <x:v>64</x:v>
      </x:c>
      <x:c r="AE1260" t="str">
        <x:f>IF(U1260&lt;&gt;"Open",U1260,IF(N1260&gt;=0.8,"Commit",IF(N1260&gt;=0.5,"Best Case","Pipeline")))</x:f>
        <x:v>Lost</x:v>
      </x:c>
    </x:row>
    <x:row r="1261">
      <x:c r="A1261" t="str">
        <x:v>L01260</x:v>
      </x:c>
      <x:c r="B1261" s="10" t="n">
        <x:v>45831</x:v>
      </x:c>
      <x:c r="C1261" t="str">
        <x:v>Chi Le</x:v>
      </x:c>
      <x:c r="D1261" t="str">
        <x:v>South</x:v>
      </x:c>
      <x:c r="E1261" t="str">
        <x:v>SDR Outreach</x:v>
      </x:c>
      <x:c r="F1261" t="str">
        <x:v>MKT-AUTO</x:v>
      </x:c>
      <x:c r="G1261" t="str">
        <x:v>Healthcare</x:v>
      </x:c>
      <x:c r="H1261" t="str">
        <x:v>Mid-Market</x:v>
      </x:c>
      <x:c r="I1261" t="str">
        <x:v>Negotiation</x:v>
      </x:c>
      <x:c r="J1261" s="10" t="n">
        <x:v>46015</x:v>
      </x:c>
      <x:c r="K1261" s="10"/>
      <x:c r="L1261" s="22" t="n">
        <x:v>17500</x:v>
      </x:c>
      <x:c r="M1261" s="24" t="n">
        <x:v>0</x:v>
      </x:c>
      <x:c r="N1261" s="24" t="n">
        <x:v>0.85</x:v>
      </x:c>
      <x:c r="O1261" t="str"/>
      <x:c r="P1261" t="n">
        <x:v>5</x:v>
      </x:c>
      <x:c r="Q1261" t="str">
        <x:f>IFERROR(XLOOKUP(E1261,Lookups!$A$5:$A$24,Lookups!$B$5:$B$24),"Other")</x:f>
        <x:v>Outbound</x:v>
      </x:c>
      <x:c r="R1261" t="str">
        <x:f>IFERROR(XLOOKUP(F1261,Lookups!$D$5:$D$10,Lookups!$E$5:$E$10),"Unknown Product")</x:f>
        <x:v>Marketing Automation</x:v>
      </x:c>
      <x:c r="S1261" t="str">
        <x:f>IFERROR(XLOOKUP(F1261,Lookups!$D$5:$D$10,Lookups!$F$5:$F$10),"Unknown")</x:f>
        <x:v>Marketing</x:v>
      </x:c>
      <x:c r="T1261" t="str">
        <x:f>IF(L1261&gt;=50000,"Enterprise",IF(L1261&gt;=20000,"Mid-Market","SMB"))</x:f>
        <x:v>SMB</x:v>
      </x:c>
      <x:c r="U1261" t="str">
        <x:f>IF(I1261="Closed Won","Won",IF(I1261="Closed Lost","Lost","Open"))</x:f>
        <x:v>Open</x:v>
      </x:c>
      <x:c r="V1261" s="22" t="n">
        <x:f>IF(U1261="Won",L1261*(1-M1261),0)</x:f>
        <x:v>0</x:v>
      </x:c>
      <x:c r="W1261" s="22" t="n">
        <x:f>IF(U1261="Open",L1261*N1261,0)</x:f>
        <x:v>14875</x:v>
      </x:c>
      <x:c r="X1261" s="26" t="str">
        <x:f>IF(U1261="Open","",IFERROR(K1261-B1261,""))</x:f>
      </x:c>
      <x:c r="Y1261" s="26" t="n">
        <x:f>IF(U1261="Open",Lookups!$B$2-B1261,X1261)</x:f>
        <x:v>435</x:v>
      </x:c>
      <x:c r="Z1261" t="str">
        <x:f>IF(AND(U1261="Open",Y1261&gt;30),"STALE","OK")</x:f>
        <x:v>STALE</x:v>
      </x:c>
      <x:c r="AA1261" t="str">
        <x:f>TEXT(B1261,"yyyy-mm")</x:f>
        <x:v>2025-06</x:v>
      </x:c>
      <x:c r="AB1261" t="str">
        <x:f>IF(K1261="","",TEXT(K1261,"yyyy-mm"))</x:f>
      </x:c>
      <x:c r="AC1261" t="str">
        <x:f>"Q"&amp;ROUNDUP(MONTH(B1261)/3,0)&amp;"-"&amp;YEAR(B1261)</x:f>
        <x:v>Q2-2025</x:v>
      </x:c>
      <x:c r="AD1261" s="26" t="n">
        <x:f>MIN(100,IF(H1261="Enterprise",30,IF(H1261="Mid-Market",22,14))+IF(T1261="Enterprise",25,IF(T1261="Mid-Market",18,10))+IF(Q1261="Referral",25,IF(Q1261="Organic Search",20,IF(Q1261="Email",18,14)))+IF(G1261="Technology",10,5))</x:f>
        <x:v>51</x:v>
      </x:c>
      <x:c r="AE1261" t="str">
        <x:f>IF(U1261&lt;&gt;"Open",U1261,IF(N1261&gt;=0.8,"Commit",IF(N1261&gt;=0.5,"Best Case","Pipeline")))</x:f>
        <x:v>Commit</x:v>
      </x:c>
    </x:row>
    <x:row r="1262">
      <x:c r="A1262" t="str">
        <x:v>L01261</x:v>
      </x:c>
      <x:c r="B1262" s="10" t="n">
        <x:v>46202</x:v>
      </x:c>
      <x:c r="C1262" t="str">
        <x:v>Chi Le</x:v>
      </x:c>
      <x:c r="D1262" t="str">
        <x:v>South</x:v>
      </x:c>
      <x:c r="E1262" t="str">
        <x:v>google cpc</x:v>
      </x:c>
      <x:c r="F1262" t="str">
        <x:v>REV-OPS</x:v>
      </x:c>
      <x:c r="G1262" t="str">
        <x:v>Healthcare</x:v>
      </x:c>
      <x:c r="H1262" t="str">
        <x:v>SMB</x:v>
      </x:c>
      <x:c r="I1262" t="str">
        <x:v>Closed Lost</x:v>
      </x:c>
      <x:c r="J1262" s="10" t="n">
        <x:v>46266</x:v>
      </x:c>
      <x:c r="K1262" s="10" t="n">
        <x:v>46266</x:v>
      </x:c>
      <x:c r="L1262" s="22" t="n">
        <x:v>30700</x:v>
      </x:c>
      <x:c r="M1262" s="24" t="n">
        <x:v>0</x:v>
      </x:c>
      <x:c r="N1262" s="24" t="n">
        <x:v>0</x:v>
      </x:c>
      <x:c r="O1262" t="str">
        <x:v>Competitor</x:v>
      </x:c>
      <x:c r="P1262" t="n">
        <x:v>4</x:v>
      </x:c>
      <x:c r="Q1262" t="str">
        <x:f>IFERROR(XLOOKUP(E1262,Lookups!$A$5:$A$24,Lookups!$B$5:$B$24),"Other")</x:f>
        <x:v>Paid Search</x:v>
      </x:c>
      <x:c r="R1262" t="str">
        <x:f>IFERROR(XLOOKUP(F1262,Lookups!$D$5:$D$10,Lookups!$E$5:$E$10),"Unknown Product")</x:f>
        <x:v>Revenue Operations Suite</x:v>
      </x:c>
      <x:c r="S1262" t="str">
        <x:f>IFERROR(XLOOKUP(F1262,Lookups!$D$5:$D$10,Lookups!$F$5:$F$10),"Unknown")</x:f>
        <x:v>Revenue Ops</x:v>
      </x:c>
      <x:c r="T1262" t="str">
        <x:f>IF(L1262&gt;=50000,"Enterprise",IF(L1262&gt;=20000,"Mid-Market","SMB"))</x:f>
        <x:v>Mid-Market</x:v>
      </x:c>
      <x:c r="U1262" t="str">
        <x:f>IF(I1262="Closed Won","Won",IF(I1262="Closed Lost","Lost","Open"))</x:f>
        <x:v>Lost</x:v>
      </x:c>
      <x:c r="V1262" s="22" t="n">
        <x:f>IF(U1262="Won",L1262*(1-M1262),0)</x:f>
        <x:v>0</x:v>
      </x:c>
      <x:c r="W1262" s="22" t="n">
        <x:f>IF(U1262="Open",L1262*N1262,0)</x:f>
        <x:v>0</x:v>
      </x:c>
      <x:c r="X1262" s="26" t="n">
        <x:f>IF(U1262="Open","",IFERROR(K1262-B1262,""))</x:f>
        <x:v>64</x:v>
      </x:c>
      <x:c r="Y1262" s="26" t="n">
        <x:f>IF(U1262="Open",Lookups!$B$2-B1262,X1262)</x:f>
        <x:v>64</x:v>
      </x:c>
      <x:c r="Z1262" t="str">
        <x:f>IF(AND(U1262="Open",Y1262&gt;30),"STALE","OK")</x:f>
        <x:v>OK</x:v>
      </x:c>
      <x:c r="AA1262" t="str">
        <x:f>TEXT(B1262,"yyyy-mm")</x:f>
        <x:v>2026-06</x:v>
      </x:c>
      <x:c r="AB1262" t="str">
        <x:f>IF(K1262="","",TEXT(K1262,"yyyy-mm"))</x:f>
        <x:v>2026-09</x:v>
      </x:c>
      <x:c r="AC1262" t="str">
        <x:f>"Q"&amp;ROUNDUP(MONTH(B1262)/3,0)&amp;"-"&amp;YEAR(B1262)</x:f>
        <x:v>Q2-2026</x:v>
      </x:c>
      <x:c r="AD1262" s="26" t="n">
        <x:f>MIN(100,IF(H1262="Enterprise",30,IF(H1262="Mid-Market",22,14))+IF(T1262="Enterprise",25,IF(T1262="Mid-Market",18,10))+IF(Q1262="Referral",25,IF(Q1262="Organic Search",20,IF(Q1262="Email",18,14)))+IF(G1262="Technology",10,5))</x:f>
        <x:v>51</x:v>
      </x:c>
      <x:c r="AE1262" t="str">
        <x:f>IF(U1262&lt;&gt;"Open",U1262,IF(N1262&gt;=0.8,"Commit",IF(N1262&gt;=0.5,"Best Case","Pipeline")))</x:f>
        <x:v>Lost</x:v>
      </x:c>
    </x:row>
    <x:row r="1263">
      <x:c r="A1263" t="str">
        <x:v>L01262</x:v>
      </x:c>
      <x:c r="B1263" s="10" t="n">
        <x:v>45887</x:v>
      </x:c>
      <x:c r="C1263" t="str">
        <x:v>An Nguyen</x:v>
      </x:c>
      <x:c r="D1263" t="str">
        <x:v>South</x:v>
      </x:c>
      <x:c r="E1263" t="str">
        <x:v>Partner Referral</x:v>
      </x:c>
      <x:c r="F1263" t="str">
        <x:v>CRM-CORE</x:v>
      </x:c>
      <x:c r="G1263" t="str">
        <x:v>Manufacturing</x:v>
      </x:c>
      <x:c r="H1263" t="str">
        <x:v>Enterprise</x:v>
      </x:c>
      <x:c r="I1263" t="str">
        <x:v>Negotiation</x:v>
      </x:c>
      <x:c r="J1263" s="10" t="n">
        <x:v>46151</x:v>
      </x:c>
      <x:c r="K1263" s="10"/>
      <x:c r="L1263" s="22" t="n">
        <x:v>36300</x:v>
      </x:c>
      <x:c r="M1263" s="24" t="n">
        <x:v>0</x:v>
      </x:c>
      <x:c r="N1263" s="24" t="n">
        <x:v>0.85</x:v>
      </x:c>
      <x:c r="O1263" t="str"/>
      <x:c r="P1263" t="n">
        <x:v>5</x:v>
      </x:c>
      <x:c r="Q1263" t="str">
        <x:f>IFERROR(XLOOKUP(E1263,Lookups!$A$5:$A$24,Lookups!$B$5:$B$24),"Other")</x:f>
        <x:v>Referral</x:v>
      </x:c>
      <x:c r="R1263" t="str">
        <x:f>IFERROR(XLOOKUP(F1263,Lookups!$D$5:$D$10,Lookups!$E$5:$E$10),"Unknown Product")</x:f>
        <x:v>NexaCRM Core</x:v>
      </x:c>
      <x:c r="S1263" t="str">
        <x:f>IFERROR(XLOOKUP(F1263,Lookups!$D$5:$D$10,Lookups!$F$5:$F$10),"Unknown")</x:f>
        <x:v>CRM</x:v>
      </x:c>
      <x:c r="T1263" t="str">
        <x:f>IF(L1263&gt;=50000,"Enterprise",IF(L1263&gt;=20000,"Mid-Market","SMB"))</x:f>
        <x:v>Mid-Market</x:v>
      </x:c>
      <x:c r="U1263" t="str">
        <x:f>IF(I1263="Closed Won","Won",IF(I1263="Closed Lost","Lost","Open"))</x:f>
        <x:v>Open</x:v>
      </x:c>
      <x:c r="V1263" s="22" t="n">
        <x:f>IF(U1263="Won",L1263*(1-M1263),0)</x:f>
        <x:v>0</x:v>
      </x:c>
      <x:c r="W1263" s="22" t="n">
        <x:f>IF(U1263="Open",L1263*N1263,0)</x:f>
        <x:v>30855</x:v>
      </x:c>
      <x:c r="X1263" s="26" t="str">
        <x:f>IF(U1263="Open","",IFERROR(K1263-B1263,""))</x:f>
      </x:c>
      <x:c r="Y1263" s="26" t="n">
        <x:f>IF(U1263="Open",Lookups!$B$2-B1263,X1263)</x:f>
        <x:v>379</x:v>
      </x:c>
      <x:c r="Z1263" t="str">
        <x:f>IF(AND(U1263="Open",Y1263&gt;30),"STALE","OK")</x:f>
        <x:v>STALE</x:v>
      </x:c>
      <x:c r="AA1263" t="str">
        <x:f>TEXT(B1263,"yyyy-mm")</x:f>
        <x:v>2025-08</x:v>
      </x:c>
      <x:c r="AB1263" t="str">
        <x:f>IF(K1263="","",TEXT(K1263,"yyyy-mm"))</x:f>
      </x:c>
      <x:c r="AC1263" t="str">
        <x:f>"Q"&amp;ROUNDUP(MONTH(B1263)/3,0)&amp;"-"&amp;YEAR(B1263)</x:f>
        <x:v>Q3-2025</x:v>
      </x:c>
      <x:c r="AD1263" s="26" t="n">
        <x:f>MIN(100,IF(H1263="Enterprise",30,IF(H1263="Mid-Market",22,14))+IF(T1263="Enterprise",25,IF(T1263="Mid-Market",18,10))+IF(Q1263="Referral",25,IF(Q1263="Organic Search",20,IF(Q1263="Email",18,14)))+IF(G1263="Technology",10,5))</x:f>
        <x:v>78</x:v>
      </x:c>
      <x:c r="AE1263" t="str">
        <x:f>IF(U1263&lt;&gt;"Open",U1263,IF(N1263&gt;=0.8,"Commit",IF(N1263&gt;=0.5,"Best Case","Pipeline")))</x:f>
        <x:v>Commit</x:v>
      </x:c>
    </x:row>
    <x:row r="1264">
      <x:c r="A1264" t="str">
        <x:v>L01263</x:v>
      </x:c>
      <x:c r="B1264" s="10" t="n">
        <x:v>46210</x:v>
      </x:c>
      <x:c r="C1264" t="str">
        <x:v>Chi Le</x:v>
      </x:c>
      <x:c r="D1264" t="str">
        <x:v>South</x:v>
      </x:c>
      <x:c r="E1264" t="str">
        <x:v>linkedin</x:v>
      </x:c>
      <x:c r="F1264" t="str">
        <x:v>MKT-AUTO</x:v>
      </x:c>
      <x:c r="G1264" t="str">
        <x:v>Technology</x:v>
      </x:c>
      <x:c r="H1264" t="str">
        <x:v>Enterprise</x:v>
      </x:c>
      <x:c r="I1264" t="str">
        <x:v>Qualified</x:v>
      </x:c>
      <x:c r="J1264" s="10" t="n">
        <x:v>46257</x:v>
      </x:c>
      <x:c r="K1264" s="10"/>
      <x:c r="L1264" s="22" t="n">
        <x:v>36300</x:v>
      </x:c>
      <x:c r="M1264" s="24" t="n">
        <x:v>0.05</x:v>
      </x:c>
      <x:c r="N1264" s="24" t="n">
        <x:v>0.2</x:v>
      </x:c>
      <x:c r="O1264" t="str"/>
      <x:c r="P1264" t="n">
        <x:v>2</x:v>
      </x:c>
      <x:c r="Q1264" t="str">
        <x:f>IFERROR(XLOOKUP(E1264,Lookups!$A$5:$A$24,Lookups!$B$5:$B$24),"Other")</x:f>
        <x:v>LinkedIn</x:v>
      </x:c>
      <x:c r="R1264" t="str">
        <x:f>IFERROR(XLOOKUP(F1264,Lookups!$D$5:$D$10,Lookups!$E$5:$E$10),"Unknown Product")</x:f>
        <x:v>Marketing Automation</x:v>
      </x:c>
      <x:c r="S1264" t="str">
        <x:f>IFERROR(XLOOKUP(F1264,Lookups!$D$5:$D$10,Lookups!$F$5:$F$10),"Unknown")</x:f>
        <x:v>Marketing</x:v>
      </x:c>
      <x:c r="T1264" t="str">
        <x:f>IF(L1264&gt;=50000,"Enterprise",IF(L1264&gt;=20000,"Mid-Market","SMB"))</x:f>
        <x:v>Mid-Market</x:v>
      </x:c>
      <x:c r="U1264" t="str">
        <x:f>IF(I1264="Closed Won","Won",IF(I1264="Closed Lost","Lost","Open"))</x:f>
        <x:v>Open</x:v>
      </x:c>
      <x:c r="V1264" s="22" t="n">
        <x:f>IF(U1264="Won",L1264*(1-M1264),0)</x:f>
        <x:v>0</x:v>
      </x:c>
      <x:c r="W1264" s="22" t="n">
        <x:f>IF(U1264="Open",L1264*N1264,0)</x:f>
        <x:v>7260</x:v>
      </x:c>
      <x:c r="X1264" s="26" t="str">
        <x:f>IF(U1264="Open","",IFERROR(K1264-B1264,""))</x:f>
      </x:c>
      <x:c r="Y1264" s="26" t="n">
        <x:f>IF(U1264="Open",Lookups!$B$2-B1264,X1264)</x:f>
        <x:v>56</x:v>
      </x:c>
      <x:c r="Z1264" t="str">
        <x:f>IF(AND(U1264="Open",Y1264&gt;30),"STALE","OK")</x:f>
        <x:v>STALE</x:v>
      </x:c>
      <x:c r="AA1264" t="str">
        <x:f>TEXT(B1264,"yyyy-mm")</x:f>
        <x:v>2026-07</x:v>
      </x:c>
      <x:c r="AB1264" t="str">
        <x:f>IF(K1264="","",TEXT(K1264,"yyyy-mm"))</x:f>
      </x:c>
      <x:c r="AC1264" t="str">
        <x:f>"Q"&amp;ROUNDUP(MONTH(B1264)/3,0)&amp;"-"&amp;YEAR(B1264)</x:f>
        <x:v>Q3-2026</x:v>
      </x:c>
      <x:c r="AD1264" s="26" t="n">
        <x:f>MIN(100,IF(H1264="Enterprise",30,IF(H1264="Mid-Market",22,14))+IF(T1264="Enterprise",25,IF(T1264="Mid-Market",18,10))+IF(Q1264="Referral",25,IF(Q1264="Organic Search",20,IF(Q1264="Email",18,14)))+IF(G1264="Technology",10,5))</x:f>
        <x:v>72</x:v>
      </x:c>
      <x:c r="AE1264" t="str">
        <x:f>IF(U1264&lt;&gt;"Open",U1264,IF(N1264&gt;=0.8,"Commit",IF(N1264&gt;=0.5,"Best Case","Pipeline")))</x:f>
        <x:v>Pipeline</x:v>
      </x:c>
    </x:row>
    <x:row r="1265">
      <x:c r="A1265" t="str">
        <x:v>L01264</x:v>
      </x:c>
      <x:c r="B1265" s="10" t="n">
        <x:v>45677</x:v>
      </x:c>
      <x:c r="C1265" t="str">
        <x:v>Bao Tran</x:v>
      </x:c>
      <x:c r="D1265" t="str">
        <x:v>South</x:v>
      </x:c>
      <x:c r="E1265" t="str">
        <x:v>newsletter</x:v>
      </x:c>
      <x:c r="F1265" t="str">
        <x:v>CRM-CORE</x:v>
      </x:c>
      <x:c r="G1265" t="str">
        <x:v>Financial Services</x:v>
      </x:c>
      <x:c r="H1265" t="str">
        <x:v>SMB</x:v>
      </x:c>
      <x:c r="I1265" t="str">
        <x:v>Closed Lost</x:v>
      </x:c>
      <x:c r="J1265" s="10" t="n">
        <x:v>45709</x:v>
      </x:c>
      <x:c r="K1265" s="10" t="n">
        <x:v>45709</x:v>
      </x:c>
      <x:c r="L1265" s="22" t="n">
        <x:v>8100</x:v>
      </x:c>
      <x:c r="M1265" s="24" t="n">
        <x:v>0</x:v>
      </x:c>
      <x:c r="N1265" s="24" t="n">
        <x:v>0</x:v>
      </x:c>
      <x:c r="O1265" t="str">
        <x:v>Price</x:v>
      </x:c>
      <x:c r="P1265" t="n">
        <x:v>4</x:v>
      </x:c>
      <x:c r="Q1265" t="str">
        <x:f>IFERROR(XLOOKUP(E1265,Lookups!$A$5:$A$24,Lookups!$B$5:$B$24),"Other")</x:f>
        <x:v>Email</x:v>
      </x:c>
      <x:c r="R1265" t="str">
        <x:f>IFERROR(XLOOKUP(F1265,Lookups!$D$5:$D$10,Lookups!$E$5:$E$10),"Unknown Product")</x:f>
        <x:v>NexaCRM Core</x:v>
      </x:c>
      <x:c r="S1265" t="str">
        <x:f>IFERROR(XLOOKUP(F1265,Lookups!$D$5:$D$10,Lookups!$F$5:$F$10),"Unknown")</x:f>
        <x:v>CRM</x:v>
      </x:c>
      <x:c r="T1265" t="str">
        <x:f>IF(L1265&gt;=50000,"Enterprise",IF(L1265&gt;=20000,"Mid-Market","SMB"))</x:f>
        <x:v>SMB</x:v>
      </x:c>
      <x:c r="U1265" t="str">
        <x:f>IF(I1265="Closed Won","Won",IF(I1265="Closed Lost","Lost","Open"))</x:f>
        <x:v>Lost</x:v>
      </x:c>
      <x:c r="V1265" s="22" t="n">
        <x:f>IF(U1265="Won",L1265*(1-M1265),0)</x:f>
        <x:v>0</x:v>
      </x:c>
      <x:c r="W1265" s="22" t="n">
        <x:f>IF(U1265="Open",L1265*N1265,0)</x:f>
        <x:v>0</x:v>
      </x:c>
      <x:c r="X1265" s="26" t="n">
        <x:f>IF(U1265="Open","",IFERROR(K1265-B1265,""))</x:f>
        <x:v>32</x:v>
      </x:c>
      <x:c r="Y1265" s="26" t="n">
        <x:f>IF(U1265="Open",Lookups!$B$2-B1265,X1265)</x:f>
        <x:v>32</x:v>
      </x:c>
      <x:c r="Z1265" t="str">
        <x:f>IF(AND(U1265="Open",Y1265&gt;30),"STALE","OK")</x:f>
        <x:v>OK</x:v>
      </x:c>
      <x:c r="AA1265" t="str">
        <x:f>TEXT(B1265,"yyyy-mm")</x:f>
        <x:v>2025-01</x:v>
      </x:c>
      <x:c r="AB1265" t="str">
        <x:f>IF(K1265="","",TEXT(K1265,"yyyy-mm"))</x:f>
        <x:v>2025-02</x:v>
      </x:c>
      <x:c r="AC1265" t="str">
        <x:f>"Q"&amp;ROUNDUP(MONTH(B1265)/3,0)&amp;"-"&amp;YEAR(B1265)</x:f>
        <x:v>Q1-2025</x:v>
      </x:c>
      <x:c r="AD1265" s="26" t="n">
        <x:f>MIN(100,IF(H1265="Enterprise",30,IF(H1265="Mid-Market",22,14))+IF(T1265="Enterprise",25,IF(T1265="Mid-Market",18,10))+IF(Q1265="Referral",25,IF(Q1265="Organic Search",20,IF(Q1265="Email",18,14)))+IF(G1265="Technology",10,5))</x:f>
        <x:v>47</x:v>
      </x:c>
      <x:c r="AE1265" t="str">
        <x:f>IF(U1265&lt;&gt;"Open",U1265,IF(N1265&gt;=0.8,"Commit",IF(N1265&gt;=0.5,"Best Case","Pipeline")))</x:f>
        <x:v>Lost</x:v>
      </x:c>
    </x:row>
    <x:row r="1266">
      <x:c r="A1266" t="str">
        <x:v>L01265</x:v>
      </x:c>
      <x:c r="B1266" s="10" t="n">
        <x:v>45982</x:v>
      </x:c>
      <x:c r="C1266" t="str">
        <x:v>An Nguyen</x:v>
      </x:c>
      <x:c r="D1266" t="str">
        <x:v>South</x:v>
      </x:c>
      <x:c r="E1266" t="str">
        <x:v>google cpc</x:v>
      </x:c>
      <x:c r="F1266" t="str">
        <x:v>CRM-PRO</x:v>
      </x:c>
      <x:c r="G1266" t="str">
        <x:v>Healthcare</x:v>
      </x:c>
      <x:c r="H1266" t="str">
        <x:v>Mid-Market</x:v>
      </x:c>
      <x:c r="I1266" t="str">
        <x:v>Closed Won</x:v>
      </x:c>
      <x:c r="J1266" s="10" t="n">
        <x:v>46030</x:v>
      </x:c>
      <x:c r="K1266" s="10" t="n">
        <x:v>46030</x:v>
      </x:c>
      <x:c r="L1266" s="22" t="n">
        <x:v>36700</x:v>
      </x:c>
      <x:c r="M1266" s="24" t="n">
        <x:v>0.05</x:v>
      </x:c>
      <x:c r="N1266" s="24" t="n">
        <x:v>1</x:v>
      </x:c>
      <x:c r="O1266" t="str"/>
      <x:c r="P1266" t="n">
        <x:v>6</x:v>
      </x:c>
      <x:c r="Q1266" t="str">
        <x:f>IFERROR(XLOOKUP(E1266,Lookups!$A$5:$A$24,Lookups!$B$5:$B$24),"Other")</x:f>
        <x:v>Paid Search</x:v>
      </x:c>
      <x:c r="R1266" t="str">
        <x:f>IFERROR(XLOOKUP(F1266,Lookups!$D$5:$D$10,Lookups!$E$5:$E$10),"Unknown Product")</x:f>
        <x:v>NexaCRM Pro</x:v>
      </x:c>
      <x:c r="S1266" t="str">
        <x:f>IFERROR(XLOOKUP(F1266,Lookups!$D$5:$D$10,Lookups!$F$5:$F$10),"Unknown")</x:f>
        <x:v>CRM</x:v>
      </x:c>
      <x:c r="T1266" t="str">
        <x:f>IF(L1266&gt;=50000,"Enterprise",IF(L1266&gt;=20000,"Mid-Market","SMB"))</x:f>
        <x:v>Mid-Market</x:v>
      </x:c>
      <x:c r="U1266" t="str">
        <x:f>IF(I1266="Closed Won","Won",IF(I1266="Closed Lost","Lost","Open"))</x:f>
        <x:v>Won</x:v>
      </x:c>
      <x:c r="V1266" s="22" t="n">
        <x:f>IF(U1266="Won",L1266*(1-M1266),0)</x:f>
        <x:v>34865</x:v>
      </x:c>
      <x:c r="W1266" s="22" t="n">
        <x:f>IF(U1266="Open",L1266*N1266,0)</x:f>
        <x:v>0</x:v>
      </x:c>
      <x:c r="X1266" s="26" t="n">
        <x:f>IF(U1266="Open","",IFERROR(K1266-B1266,""))</x:f>
        <x:v>48</x:v>
      </x:c>
      <x:c r="Y1266" s="26" t="n">
        <x:f>IF(U1266="Open",Lookups!$B$2-B1266,X1266)</x:f>
        <x:v>48</x:v>
      </x:c>
      <x:c r="Z1266" t="str">
        <x:f>IF(AND(U1266="Open",Y1266&gt;30),"STALE","OK")</x:f>
        <x:v>OK</x:v>
      </x:c>
      <x:c r="AA1266" t="str">
        <x:f>TEXT(B1266,"yyyy-mm")</x:f>
        <x:v>2025-11</x:v>
      </x:c>
      <x:c r="AB1266" t="str">
        <x:f>IF(K1266="","",TEXT(K1266,"yyyy-mm"))</x:f>
        <x:v>2026-01</x:v>
      </x:c>
      <x:c r="AC1266" t="str">
        <x:f>"Q"&amp;ROUNDUP(MONTH(B1266)/3,0)&amp;"-"&amp;YEAR(B1266)</x:f>
        <x:v>Q4-2025</x:v>
      </x:c>
      <x:c r="AD1266" s="26" t="n">
        <x:f>MIN(100,IF(H1266="Enterprise",30,IF(H1266="Mid-Market",22,14))+IF(T1266="Enterprise",25,IF(T1266="Mid-Market",18,10))+IF(Q1266="Referral",25,IF(Q1266="Organic Search",20,IF(Q1266="Email",18,14)))+IF(G1266="Technology",10,5))</x:f>
        <x:v>59</x:v>
      </x:c>
      <x:c r="AE1266" t="str">
        <x:f>IF(U1266&lt;&gt;"Open",U1266,IF(N1266&gt;=0.8,"Commit",IF(N1266&gt;=0.5,"Best Case","Pipeline")))</x:f>
        <x:v>Won</x:v>
      </x:c>
    </x:row>
    <x:row r="1267">
      <x:c r="A1267" t="str">
        <x:v>L01266</x:v>
      </x:c>
      <x:c r="B1267" s="10" t="n">
        <x:v>46014</x:v>
      </x:c>
      <x:c r="C1267" t="str">
        <x:v>An Nguyen</x:v>
      </x:c>
      <x:c r="D1267" t="str">
        <x:v>South</x:v>
      </x:c>
      <x:c r="E1267" t="str">
        <x:v>customer referral</x:v>
      </x:c>
      <x:c r="F1267" t="str">
        <x:v>CS-CLOUD</x:v>
      </x:c>
      <x:c r="G1267" t="str">
        <x:v>Technology</x:v>
      </x:c>
      <x:c r="H1267" t="str">
        <x:v>Mid-Market</x:v>
      </x:c>
      <x:c r="I1267" t="str">
        <x:v>Closed Won</x:v>
      </x:c>
      <x:c r="J1267" s="10" t="n">
        <x:v>46103</x:v>
      </x:c>
      <x:c r="K1267" s="10" t="n">
        <x:v>46103</x:v>
      </x:c>
      <x:c r="L1267" s="22" t="n">
        <x:v>28100</x:v>
      </x:c>
      <x:c r="M1267" s="24" t="n">
        <x:v>0.1</x:v>
      </x:c>
      <x:c r="N1267" s="24" t="n">
        <x:v>1</x:v>
      </x:c>
      <x:c r="O1267" t="str"/>
      <x:c r="P1267" t="n">
        <x:v>6</x:v>
      </x:c>
      <x:c r="Q1267" t="str">
        <x:f>IFERROR(XLOOKUP(E1267,Lookups!$A$5:$A$24,Lookups!$B$5:$B$24),"Other")</x:f>
        <x:v>Referral</x:v>
      </x:c>
      <x:c r="R1267" t="str">
        <x:f>IFERROR(XLOOKUP(F1267,Lookups!$D$5:$D$10,Lookups!$E$5:$E$10),"Unknown Product")</x:f>
        <x:v>Service Cloud</x:v>
      </x:c>
      <x:c r="S1267" t="str">
        <x:f>IFERROR(XLOOKUP(F1267,Lookups!$D$5:$D$10,Lookups!$F$5:$F$10),"Unknown")</x:f>
        <x:v>Customer Service</x:v>
      </x:c>
      <x:c r="T1267" t="str">
        <x:f>IF(L1267&gt;=50000,"Enterprise",IF(L1267&gt;=20000,"Mid-Market","SMB"))</x:f>
        <x:v>Mid-Market</x:v>
      </x:c>
      <x:c r="U1267" t="str">
        <x:f>IF(I1267="Closed Won","Won",IF(I1267="Closed Lost","Lost","Open"))</x:f>
        <x:v>Won</x:v>
      </x:c>
      <x:c r="V1267" s="22" t="n">
        <x:f>IF(U1267="Won",L1267*(1-M1267),0)</x:f>
        <x:v>25290</x:v>
      </x:c>
      <x:c r="W1267" s="22" t="n">
        <x:f>IF(U1267="Open",L1267*N1267,0)</x:f>
        <x:v>0</x:v>
      </x:c>
      <x:c r="X1267" s="26" t="n">
        <x:f>IF(U1267="Open","",IFERROR(K1267-B1267,""))</x:f>
        <x:v>89</x:v>
      </x:c>
      <x:c r="Y1267" s="26" t="n">
        <x:f>IF(U1267="Open",Lookups!$B$2-B1267,X1267)</x:f>
        <x:v>89</x:v>
      </x:c>
      <x:c r="Z1267" t="str">
        <x:f>IF(AND(U1267="Open",Y1267&gt;30),"STALE","OK")</x:f>
        <x:v>OK</x:v>
      </x:c>
      <x:c r="AA1267" t="str">
        <x:f>TEXT(B1267,"yyyy-mm")</x:f>
        <x:v>2025-12</x:v>
      </x:c>
      <x:c r="AB1267" t="str">
        <x:f>IF(K1267="","",TEXT(K1267,"yyyy-mm"))</x:f>
        <x:v>2026-03</x:v>
      </x:c>
      <x:c r="AC1267" t="str">
        <x:f>"Q"&amp;ROUNDUP(MONTH(B1267)/3,0)&amp;"-"&amp;YEAR(B1267)</x:f>
        <x:v>Q4-2025</x:v>
      </x:c>
      <x:c r="AD1267" s="26" t="n">
        <x:f>MIN(100,IF(H1267="Enterprise",30,IF(H1267="Mid-Market",22,14))+IF(T1267="Enterprise",25,IF(T1267="Mid-Market",18,10))+IF(Q1267="Referral",25,IF(Q1267="Organic Search",20,IF(Q1267="Email",18,14)))+IF(G1267="Technology",10,5))</x:f>
        <x:v>75</x:v>
      </x:c>
      <x:c r="AE1267" t="str">
        <x:f>IF(U1267&lt;&gt;"Open",U1267,IF(N1267&gt;=0.8,"Commit",IF(N1267&gt;=0.5,"Best Case","Pipeline")))</x:f>
        <x:v>Won</x:v>
      </x:c>
    </x:row>
    <x:row r="1268">
      <x:c r="A1268" t="str">
        <x:v>L01267</x:v>
      </x:c>
      <x:c r="B1268" s="10" t="n">
        <x:v>45970</x:v>
      </x:c>
      <x:c r="C1268" t="str">
        <x:v>Minh Do</x:v>
      </x:c>
      <x:c r="D1268" t="str">
        <x:v>North</x:v>
      </x:c>
      <x:c r="E1268" t="str">
        <x:v>linkedin</x:v>
      </x:c>
      <x:c r="F1268" t="str">
        <x:v>BI-PLUS</x:v>
      </x:c>
      <x:c r="G1268" t="str">
        <x:v>Healthcare</x:v>
      </x:c>
      <x:c r="H1268" t="str">
        <x:v>Enterprise</x:v>
      </x:c>
      <x:c r="I1268" t="str">
        <x:v>Closed Lost</x:v>
      </x:c>
      <x:c r="J1268" s="10" t="n">
        <x:v>46034</x:v>
      </x:c>
      <x:c r="K1268" s="10" t="n">
        <x:v>46034</x:v>
      </x:c>
      <x:c r="L1268" s="22" t="n">
        <x:v>96400</x:v>
      </x:c>
      <x:c r="M1268" s="24" t="n">
        <x:v>0</x:v>
      </x:c>
      <x:c r="N1268" s="24" t="n">
        <x:v>0</x:v>
      </x:c>
      <x:c r="O1268" t="str">
        <x:v>Competitor</x:v>
      </x:c>
      <x:c r="P1268" t="n">
        <x:v>2</x:v>
      </x:c>
      <x:c r="Q1268" t="str">
        <x:f>IFERROR(XLOOKUP(E1268,Lookups!$A$5:$A$24,Lookups!$B$5:$B$24),"Other")</x:f>
        <x:v>LinkedIn</x:v>
      </x:c>
      <x:c r="R1268" t="str">
        <x:f>IFERROR(XLOOKUP(F1268,Lookups!$D$5:$D$10,Lookups!$E$5:$E$10),"Unknown Product")</x:f>
        <x:v>Analytics Plus</x:v>
      </x:c>
      <x:c r="S1268" t="str">
        <x:f>IFERROR(XLOOKUP(F1268,Lookups!$D$5:$D$10,Lookups!$F$5:$F$10),"Unknown")</x:f>
        <x:v>Analytics</x:v>
      </x:c>
      <x:c r="T1268" t="str">
        <x:f>IF(L1268&gt;=50000,"Enterprise",IF(L1268&gt;=20000,"Mid-Market","SMB"))</x:f>
        <x:v>Enterprise</x:v>
      </x:c>
      <x:c r="U1268" t="str">
        <x:f>IF(I1268="Closed Won","Won",IF(I1268="Closed Lost","Lost","Open"))</x:f>
        <x:v>Lost</x:v>
      </x:c>
      <x:c r="V1268" s="22" t="n">
        <x:f>IF(U1268="Won",L1268*(1-M1268),0)</x:f>
        <x:v>0</x:v>
      </x:c>
      <x:c r="W1268" s="22" t="n">
        <x:f>IF(U1268="Open",L1268*N1268,0)</x:f>
        <x:v>0</x:v>
      </x:c>
      <x:c r="X1268" s="26" t="n">
        <x:f>IF(U1268="Open","",IFERROR(K1268-B1268,""))</x:f>
        <x:v>64</x:v>
      </x:c>
      <x:c r="Y1268" s="26" t="n">
        <x:f>IF(U1268="Open",Lookups!$B$2-B1268,X1268)</x:f>
        <x:v>64</x:v>
      </x:c>
      <x:c r="Z1268" t="str">
        <x:f>IF(AND(U1268="Open",Y1268&gt;30),"STALE","OK")</x:f>
        <x:v>OK</x:v>
      </x:c>
      <x:c r="AA1268" t="str">
        <x:f>TEXT(B1268,"yyyy-mm")</x:f>
        <x:v>2025-11</x:v>
      </x:c>
      <x:c r="AB1268" t="str">
        <x:f>IF(K1268="","",TEXT(K1268,"yyyy-mm"))</x:f>
        <x:v>2026-01</x:v>
      </x:c>
      <x:c r="AC1268" t="str">
        <x:f>"Q"&amp;ROUNDUP(MONTH(B1268)/3,0)&amp;"-"&amp;YEAR(B1268)</x:f>
        <x:v>Q4-2025</x:v>
      </x:c>
      <x:c r="AD1268" s="26" t="n">
        <x:f>MIN(100,IF(H1268="Enterprise",30,IF(H1268="Mid-Market",22,14))+IF(T1268="Enterprise",25,IF(T1268="Mid-Market",18,10))+IF(Q1268="Referral",25,IF(Q1268="Organic Search",20,IF(Q1268="Email",18,14)))+IF(G1268="Technology",10,5))</x:f>
        <x:v>74</x:v>
      </x:c>
      <x:c r="AE1268" t="str">
        <x:f>IF(U1268&lt;&gt;"Open",U1268,IF(N1268&gt;=0.8,"Commit",IF(N1268&gt;=0.5,"Best Case","Pipeline")))</x:f>
        <x:v>Lost</x:v>
      </x:c>
    </x:row>
    <x:row r="1269">
      <x:c r="A1269" t="str">
        <x:v>L01268</x:v>
      </x:c>
      <x:c r="B1269" s="10" t="n">
        <x:v>46191</x:v>
      </x:c>
      <x:c r="C1269" t="str">
        <x:v>Tuan Bui</x:v>
      </x:c>
      <x:c r="D1269" t="str">
        <x:v>Central</x:v>
      </x:c>
      <x:c r="E1269" t="str">
        <x:v>customer referral</x:v>
      </x:c>
      <x:c r="F1269" t="str">
        <x:v>MKT-AUTO</x:v>
      </x:c>
      <x:c r="G1269" t="str">
        <x:v>Financial Services</x:v>
      </x:c>
      <x:c r="H1269" t="str">
        <x:v>Mid-Market</x:v>
      </x:c>
      <x:c r="I1269" t="str">
        <x:v>Closed Won</x:v>
      </x:c>
      <x:c r="J1269" s="10" t="n">
        <x:v>46236</x:v>
      </x:c>
      <x:c r="K1269" s="10" t="n">
        <x:v>46236</x:v>
      </x:c>
      <x:c r="L1269" s="22" t="n">
        <x:v>31300</x:v>
      </x:c>
      <x:c r="M1269" s="24" t="n">
        <x:v>0.03</x:v>
      </x:c>
      <x:c r="N1269" s="24" t="n">
        <x:v>1</x:v>
      </x:c>
      <x:c r="O1269" t="str"/>
      <x:c r="P1269" t="n">
        <x:v>6</x:v>
      </x:c>
      <x:c r="Q1269" t="str">
        <x:f>IFERROR(XLOOKUP(E1269,Lookups!$A$5:$A$24,Lookups!$B$5:$B$24),"Other")</x:f>
        <x:v>Referral</x:v>
      </x:c>
      <x:c r="R1269" t="str">
        <x:f>IFERROR(XLOOKUP(F1269,Lookups!$D$5:$D$10,Lookups!$E$5:$E$10),"Unknown Product")</x:f>
        <x:v>Marketing Automation</x:v>
      </x:c>
      <x:c r="S1269" t="str">
        <x:f>IFERROR(XLOOKUP(F1269,Lookups!$D$5:$D$10,Lookups!$F$5:$F$10),"Unknown")</x:f>
        <x:v>Marketing</x:v>
      </x:c>
      <x:c r="T1269" t="str">
        <x:f>IF(L1269&gt;=50000,"Enterprise",IF(L1269&gt;=20000,"Mid-Market","SMB"))</x:f>
        <x:v>Mid-Market</x:v>
      </x:c>
      <x:c r="U1269" t="str">
        <x:f>IF(I1269="Closed Won","Won",IF(I1269="Closed Lost","Lost","Open"))</x:f>
        <x:v>Won</x:v>
      </x:c>
      <x:c r="V1269" s="22" t="n">
        <x:f>IF(U1269="Won",L1269*(1-M1269),0)</x:f>
        <x:v>30361</x:v>
      </x:c>
      <x:c r="W1269" s="22" t="n">
        <x:f>IF(U1269="Open",L1269*N1269,0)</x:f>
        <x:v>0</x:v>
      </x:c>
      <x:c r="X1269" s="26" t="n">
        <x:f>IF(U1269="Open","",IFERROR(K1269-B1269,""))</x:f>
        <x:v>45</x:v>
      </x:c>
      <x:c r="Y1269" s="26" t="n">
        <x:f>IF(U1269="Open",Lookups!$B$2-B1269,X1269)</x:f>
        <x:v>45</x:v>
      </x:c>
      <x:c r="Z1269" t="str">
        <x:f>IF(AND(U1269="Open",Y1269&gt;30),"STALE","OK")</x:f>
        <x:v>OK</x:v>
      </x:c>
      <x:c r="AA1269" t="str">
        <x:f>TEXT(B1269,"yyyy-mm")</x:f>
        <x:v>2026-06</x:v>
      </x:c>
      <x:c r="AB1269" t="str">
        <x:f>IF(K1269="","",TEXT(K1269,"yyyy-mm"))</x:f>
        <x:v>2026-08</x:v>
      </x:c>
      <x:c r="AC1269" t="str">
        <x:f>"Q"&amp;ROUNDUP(MONTH(B1269)/3,0)&amp;"-"&amp;YEAR(B1269)</x:f>
        <x:v>Q2-2026</x:v>
      </x:c>
      <x:c r="AD1269" s="26" t="n">
        <x:f>MIN(100,IF(H1269="Enterprise",30,IF(H1269="Mid-Market",22,14))+IF(T1269="Enterprise",25,IF(T1269="Mid-Market",18,10))+IF(Q1269="Referral",25,IF(Q1269="Organic Search",20,IF(Q1269="Email",18,14)))+IF(G1269="Technology",10,5))</x:f>
        <x:v>70</x:v>
      </x:c>
      <x:c r="AE1269" t="str">
        <x:f>IF(U1269&lt;&gt;"Open",U1269,IF(N1269&gt;=0.8,"Commit",IF(N1269&gt;=0.5,"Best Case","Pipeline")))</x:f>
        <x:v>Won</x:v>
      </x:c>
    </x:row>
    <x:row r="1270">
      <x:c r="A1270" t="str">
        <x:v>L01269</x:v>
      </x:c>
      <x:c r="B1270" s="10" t="n">
        <x:v>45903</x:v>
      </x:c>
      <x:c r="C1270" t="str">
        <x:v>Chi Le</x:v>
      </x:c>
      <x:c r="D1270" t="str">
        <x:v>South</x:v>
      </x:c>
      <x:c r="E1270" t="str">
        <x:v>Partner Referral</x:v>
      </x:c>
      <x:c r="F1270" t="str">
        <x:v>CRM-PRO</x:v>
      </x:c>
      <x:c r="G1270" t="str">
        <x:v>Professional Services</x:v>
      </x:c>
      <x:c r="H1270" t="str">
        <x:v>Mid-Market</x:v>
      </x:c>
      <x:c r="I1270" t="str">
        <x:v>Closed Lost</x:v>
      </x:c>
      <x:c r="J1270" s="10" t="n">
        <x:v>45959</x:v>
      </x:c>
      <x:c r="K1270" s="10" t="n">
        <x:v>45959</x:v>
      </x:c>
      <x:c r="L1270" s="22" t="n">
        <x:v>37700</x:v>
      </x:c>
      <x:c r="M1270" s="24" t="n">
        <x:v>0</x:v>
      </x:c>
      <x:c r="N1270" s="24" t="n">
        <x:v>0</x:v>
      </x:c>
      <x:c r="O1270" t="str">
        <x:v>Competitor</x:v>
      </x:c>
      <x:c r="P1270" t="n">
        <x:v>4</x:v>
      </x:c>
      <x:c r="Q1270" t="str">
        <x:f>IFERROR(XLOOKUP(E1270,Lookups!$A$5:$A$24,Lookups!$B$5:$B$24),"Other")</x:f>
        <x:v>Referral</x:v>
      </x:c>
      <x:c r="R1270" t="str">
        <x:f>IFERROR(XLOOKUP(F1270,Lookups!$D$5:$D$10,Lookups!$E$5:$E$10),"Unknown Product")</x:f>
        <x:v>NexaCRM Pro</x:v>
      </x:c>
      <x:c r="S1270" t="str">
        <x:f>IFERROR(XLOOKUP(F1270,Lookups!$D$5:$D$10,Lookups!$F$5:$F$10),"Unknown")</x:f>
        <x:v>CRM</x:v>
      </x:c>
      <x:c r="T1270" t="str">
        <x:f>IF(L1270&gt;=50000,"Enterprise",IF(L1270&gt;=20000,"Mid-Market","SMB"))</x:f>
        <x:v>Mid-Market</x:v>
      </x:c>
      <x:c r="U1270" t="str">
        <x:f>IF(I1270="Closed Won","Won",IF(I1270="Closed Lost","Lost","Open"))</x:f>
        <x:v>Lost</x:v>
      </x:c>
      <x:c r="V1270" s="22" t="n">
        <x:f>IF(U1270="Won",L1270*(1-M1270),0)</x:f>
        <x:v>0</x:v>
      </x:c>
      <x:c r="W1270" s="22" t="n">
        <x:f>IF(U1270="Open",L1270*N1270,0)</x:f>
        <x:v>0</x:v>
      </x:c>
      <x:c r="X1270" s="26" t="n">
        <x:f>IF(U1270="Open","",IFERROR(K1270-B1270,""))</x:f>
        <x:v>56</x:v>
      </x:c>
      <x:c r="Y1270" s="26" t="n">
        <x:f>IF(U1270="Open",Lookups!$B$2-B1270,X1270)</x:f>
        <x:v>56</x:v>
      </x:c>
      <x:c r="Z1270" t="str">
        <x:f>IF(AND(U1270="Open",Y1270&gt;30),"STALE","OK")</x:f>
        <x:v>OK</x:v>
      </x:c>
      <x:c r="AA1270" t="str">
        <x:f>TEXT(B1270,"yyyy-mm")</x:f>
        <x:v>2025-09</x:v>
      </x:c>
      <x:c r="AB1270" t="str">
        <x:f>IF(K1270="","",TEXT(K1270,"yyyy-mm"))</x:f>
        <x:v>2025-10</x:v>
      </x:c>
      <x:c r="AC1270" t="str">
        <x:f>"Q"&amp;ROUNDUP(MONTH(B1270)/3,0)&amp;"-"&amp;YEAR(B1270)</x:f>
        <x:v>Q3-2025</x:v>
      </x:c>
      <x:c r="AD1270" s="26" t="n">
        <x:f>MIN(100,IF(H1270="Enterprise",30,IF(H1270="Mid-Market",22,14))+IF(T1270="Enterprise",25,IF(T1270="Mid-Market",18,10))+IF(Q1270="Referral",25,IF(Q1270="Organic Search",20,IF(Q1270="Email",18,14)))+IF(G1270="Technology",10,5))</x:f>
        <x:v>70</x:v>
      </x:c>
      <x:c r="AE1270" t="str">
        <x:f>IF(U1270&lt;&gt;"Open",U1270,IF(N1270&gt;=0.8,"Commit",IF(N1270&gt;=0.5,"Best Case","Pipeline")))</x:f>
        <x:v>Lost</x:v>
      </x:c>
    </x:row>
    <x:row r="1271">
      <x:c r="A1271" t="str">
        <x:v>L01270</x:v>
      </x:c>
      <x:c r="B1271" s="10" t="n">
        <x:v>46053</x:v>
      </x:c>
      <x:c r="C1271" t="str">
        <x:v>Tuan Bui</x:v>
      </x:c>
      <x:c r="D1271" t="str">
        <x:v>Central</x:v>
      </x:c>
      <x:c r="E1271" t="str">
        <x:v>Google Ads</x:v>
      </x:c>
      <x:c r="F1271" t="str">
        <x:v>CRM-CORE</x:v>
      </x:c>
      <x:c r="G1271" t="str">
        <x:v>Retail</x:v>
      </x:c>
      <x:c r="H1271" t="str">
        <x:v>Enterprise</x:v>
      </x:c>
      <x:c r="I1271" t="str">
        <x:v>Closed Won</x:v>
      </x:c>
      <x:c r="J1271" s="10" t="n">
        <x:v>46136</x:v>
      </x:c>
      <x:c r="K1271" s="10" t="n">
        <x:v>46136</x:v>
      </x:c>
      <x:c r="L1271" s="22" t="n">
        <x:v>36000</x:v>
      </x:c>
      <x:c r="M1271" s="24" t="n">
        <x:v>0.05</x:v>
      </x:c>
      <x:c r="N1271" s="24" t="n">
        <x:v>1</x:v>
      </x:c>
      <x:c r="O1271" t="str"/>
      <x:c r="P1271" t="n">
        <x:v>6</x:v>
      </x:c>
      <x:c r="Q1271" t="str">
        <x:f>IFERROR(XLOOKUP(E1271,Lookups!$A$5:$A$24,Lookups!$B$5:$B$24),"Other")</x:f>
        <x:v>Paid Search</x:v>
      </x:c>
      <x:c r="R1271" t="str">
        <x:f>IFERROR(XLOOKUP(F1271,Lookups!$D$5:$D$10,Lookups!$E$5:$E$10),"Unknown Product")</x:f>
        <x:v>NexaCRM Core</x:v>
      </x:c>
      <x:c r="S1271" t="str">
        <x:f>IFERROR(XLOOKUP(F1271,Lookups!$D$5:$D$10,Lookups!$F$5:$F$10),"Unknown")</x:f>
        <x:v>CRM</x:v>
      </x:c>
      <x:c r="T1271" t="str">
        <x:f>IF(L1271&gt;=50000,"Enterprise",IF(L1271&gt;=20000,"Mid-Market","SMB"))</x:f>
        <x:v>Mid-Market</x:v>
      </x:c>
      <x:c r="U1271" t="str">
        <x:f>IF(I1271="Closed Won","Won",IF(I1271="Closed Lost","Lost","Open"))</x:f>
        <x:v>Won</x:v>
      </x:c>
      <x:c r="V1271" s="22" t="n">
        <x:f>IF(U1271="Won",L1271*(1-M1271),0)</x:f>
        <x:v>34200</x:v>
      </x:c>
      <x:c r="W1271" s="22" t="n">
        <x:f>IF(U1271="Open",L1271*N1271,0)</x:f>
        <x:v>0</x:v>
      </x:c>
      <x:c r="X1271" s="26" t="n">
        <x:f>IF(U1271="Open","",IFERROR(K1271-B1271,""))</x:f>
        <x:v>83</x:v>
      </x:c>
      <x:c r="Y1271" s="26" t="n">
        <x:f>IF(U1271="Open",Lookups!$B$2-B1271,X1271)</x:f>
        <x:v>83</x:v>
      </x:c>
      <x:c r="Z1271" t="str">
        <x:f>IF(AND(U1271="Open",Y1271&gt;30),"STALE","OK")</x:f>
        <x:v>OK</x:v>
      </x:c>
      <x:c r="AA1271" t="str">
        <x:f>TEXT(B1271,"yyyy-mm")</x:f>
        <x:v>2026-01</x:v>
      </x:c>
      <x:c r="AB1271" t="str">
        <x:f>IF(K1271="","",TEXT(K1271,"yyyy-mm"))</x:f>
        <x:v>2026-04</x:v>
      </x:c>
      <x:c r="AC1271" t="str">
        <x:f>"Q"&amp;ROUNDUP(MONTH(B1271)/3,0)&amp;"-"&amp;YEAR(B1271)</x:f>
        <x:v>Q1-2026</x:v>
      </x:c>
      <x:c r="AD1271" s="26" t="n">
        <x:f>MIN(100,IF(H1271="Enterprise",30,IF(H1271="Mid-Market",22,14))+IF(T1271="Enterprise",25,IF(T1271="Mid-Market",18,10))+IF(Q1271="Referral",25,IF(Q1271="Organic Search",20,IF(Q1271="Email",18,14)))+IF(G1271="Technology",10,5))</x:f>
        <x:v>67</x:v>
      </x:c>
      <x:c r="AE1271" t="str">
        <x:f>IF(U1271&lt;&gt;"Open",U1271,IF(N1271&gt;=0.8,"Commit",IF(N1271&gt;=0.5,"Best Case","Pipeline")))</x:f>
        <x:v>Won</x:v>
      </x:c>
    </x:row>
    <x:row r="1272">
      <x:c r="A1272" t="str">
        <x:v>L01271</x:v>
      </x:c>
      <x:c r="B1272" s="10" t="n">
        <x:v>46007</x:v>
      </x:c>
      <x:c r="C1272" t="str">
        <x:v>Minh Do</x:v>
      </x:c>
      <x:c r="D1272" t="str">
        <x:v>North</x:v>
      </x:c>
      <x:c r="E1272" t="str">
        <x:v>virtual event</x:v>
      </x:c>
      <x:c r="F1272" t="str">
        <x:v>CRM-PRO</x:v>
      </x:c>
      <x:c r="G1272" t="str">
        <x:v>Education</x:v>
      </x:c>
      <x:c r="H1272" t="str">
        <x:v>Enterprise</x:v>
      </x:c>
      <x:c r="I1272" t="str">
        <x:v>Closed Lost</x:v>
      </x:c>
      <x:c r="J1272" s="10" t="n">
        <x:v>46052</x:v>
      </x:c>
      <x:c r="K1272" s="10" t="n">
        <x:v>46052</x:v>
      </x:c>
      <x:c r="L1272" s="22" t="n">
        <x:v>67000</x:v>
      </x:c>
      <x:c r="M1272" s="24" t="n">
        <x:v>0</x:v>
      </x:c>
      <x:c r="N1272" s="24" t="n">
        <x:v>0</x:v>
      </x:c>
      <x:c r="O1272" t="str">
        <x:v>Timing</x:v>
      </x:c>
      <x:c r="P1272" t="n">
        <x:v>3</x:v>
      </x:c>
      <x:c r="Q1272" t="str">
        <x:f>IFERROR(XLOOKUP(E1272,Lookups!$A$5:$A$24,Lookups!$B$5:$B$24),"Other")</x:f>
        <x:v>Webinar</x:v>
      </x:c>
      <x:c r="R1272" t="str">
        <x:f>IFERROR(XLOOKUP(F1272,Lookups!$D$5:$D$10,Lookups!$E$5:$E$10),"Unknown Product")</x:f>
        <x:v>NexaCRM Pro</x:v>
      </x:c>
      <x:c r="S1272" t="str">
        <x:f>IFERROR(XLOOKUP(F1272,Lookups!$D$5:$D$10,Lookups!$F$5:$F$10),"Unknown")</x:f>
        <x:v>CRM</x:v>
      </x:c>
      <x:c r="T1272" t="str">
        <x:f>IF(L1272&gt;=50000,"Enterprise",IF(L1272&gt;=20000,"Mid-Market","SMB"))</x:f>
        <x:v>Enterprise</x:v>
      </x:c>
      <x:c r="U1272" t="str">
        <x:f>IF(I1272="Closed Won","Won",IF(I1272="Closed Lost","Lost","Open"))</x:f>
        <x:v>Lost</x:v>
      </x:c>
      <x:c r="V1272" s="22" t="n">
        <x:f>IF(U1272="Won",L1272*(1-M1272),0)</x:f>
        <x:v>0</x:v>
      </x:c>
      <x:c r="W1272" s="22" t="n">
        <x:f>IF(U1272="Open",L1272*N1272,0)</x:f>
        <x:v>0</x:v>
      </x:c>
      <x:c r="X1272" s="26" t="n">
        <x:f>IF(U1272="Open","",IFERROR(K1272-B1272,""))</x:f>
        <x:v>45</x:v>
      </x:c>
      <x:c r="Y1272" s="26" t="n">
        <x:f>IF(U1272="Open",Lookups!$B$2-B1272,X1272)</x:f>
        <x:v>45</x:v>
      </x:c>
      <x:c r="Z1272" t="str">
        <x:f>IF(AND(U1272="Open",Y1272&gt;30),"STALE","OK")</x:f>
        <x:v>OK</x:v>
      </x:c>
      <x:c r="AA1272" t="str">
        <x:f>TEXT(B1272,"yyyy-mm")</x:f>
        <x:v>2025-12</x:v>
      </x:c>
      <x:c r="AB1272" t="str">
        <x:f>IF(K1272="","",TEXT(K1272,"yyyy-mm"))</x:f>
        <x:v>2026-01</x:v>
      </x:c>
      <x:c r="AC1272" t="str">
        <x:f>"Q"&amp;ROUNDUP(MONTH(B1272)/3,0)&amp;"-"&amp;YEAR(B1272)</x:f>
        <x:v>Q4-2025</x:v>
      </x:c>
      <x:c r="AD1272" s="26" t="n">
        <x:f>MIN(100,IF(H1272="Enterprise",30,IF(H1272="Mid-Market",22,14))+IF(T1272="Enterprise",25,IF(T1272="Mid-Market",18,10))+IF(Q1272="Referral",25,IF(Q1272="Organic Search",20,IF(Q1272="Email",18,14)))+IF(G1272="Technology",10,5))</x:f>
        <x:v>74</x:v>
      </x:c>
      <x:c r="AE1272" t="str">
        <x:f>IF(U1272&lt;&gt;"Open",U1272,IF(N1272&gt;=0.8,"Commit",IF(N1272&gt;=0.5,"Best Case","Pipeline")))</x:f>
        <x:v>Lost</x:v>
      </x:c>
    </x:row>
    <x:row r="1273">
      <x:c r="A1273" t="str">
        <x:v>L01272</x:v>
      </x:c>
      <x:c r="B1273" s="10" t="n">
        <x:v>46034</x:v>
      </x:c>
      <x:c r="C1273" t="str">
        <x:v>Bao Tran</x:v>
      </x:c>
      <x:c r="D1273" t="str">
        <x:v>South</x:v>
      </x:c>
      <x:c r="E1273" t="str">
        <x:v>Cold Email</x:v>
      </x:c>
      <x:c r="F1273" t="str">
        <x:v>REV-OPS</x:v>
      </x:c>
      <x:c r="G1273" t="str">
        <x:v>Healthcare</x:v>
      </x:c>
      <x:c r="H1273" t="str">
        <x:v>Enterprise</x:v>
      </x:c>
      <x:c r="I1273" t="str">
        <x:v>Closed Lost</x:v>
      </x:c>
      <x:c r="J1273" s="10" t="n">
        <x:v>46060</x:v>
      </x:c>
      <x:c r="K1273" s="10" t="n">
        <x:v>46060</x:v>
      </x:c>
      <x:c r="L1273" s="22" t="n">
        <x:v>160000</x:v>
      </x:c>
      <x:c r="M1273" s="24" t="n">
        <x:v>0</x:v>
      </x:c>
      <x:c r="N1273" s="24" t="n">
        <x:v>0</x:v>
      </x:c>
      <x:c r="O1273" t="str">
        <x:v>Budget</x:v>
      </x:c>
      <x:c r="P1273" t="n">
        <x:v>4</x:v>
      </x:c>
      <x:c r="Q1273" t="str">
        <x:f>IFERROR(XLOOKUP(E1273,Lookups!$A$5:$A$24,Lookups!$B$5:$B$24),"Other")</x:f>
        <x:v>Outbound</x:v>
      </x:c>
      <x:c r="R1273" t="str">
        <x:f>IFERROR(XLOOKUP(F1273,Lookups!$D$5:$D$10,Lookups!$E$5:$E$10),"Unknown Product")</x:f>
        <x:v>Revenue Operations Suite</x:v>
      </x:c>
      <x:c r="S1273" t="str">
        <x:f>IFERROR(XLOOKUP(F1273,Lookups!$D$5:$D$10,Lookups!$F$5:$F$10),"Unknown")</x:f>
        <x:v>Revenue Ops</x:v>
      </x:c>
      <x:c r="T1273" t="str">
        <x:f>IF(L1273&gt;=50000,"Enterprise",IF(L1273&gt;=20000,"Mid-Market","SMB"))</x:f>
        <x:v>Enterprise</x:v>
      </x:c>
      <x:c r="U1273" t="str">
        <x:f>IF(I1273="Closed Won","Won",IF(I1273="Closed Lost","Lost","Open"))</x:f>
        <x:v>Lost</x:v>
      </x:c>
      <x:c r="V1273" s="22" t="n">
        <x:f>IF(U1273="Won",L1273*(1-M1273),0)</x:f>
        <x:v>0</x:v>
      </x:c>
      <x:c r="W1273" s="22" t="n">
        <x:f>IF(U1273="Open",L1273*N1273,0)</x:f>
        <x:v>0</x:v>
      </x:c>
      <x:c r="X1273" s="26" t="n">
        <x:f>IF(U1273="Open","",IFERROR(K1273-B1273,""))</x:f>
        <x:v>26</x:v>
      </x:c>
      <x:c r="Y1273" s="26" t="n">
        <x:f>IF(U1273="Open",Lookups!$B$2-B1273,X1273)</x:f>
        <x:v>26</x:v>
      </x:c>
      <x:c r="Z1273" t="str">
        <x:f>IF(AND(U1273="Open",Y1273&gt;30),"STALE","OK")</x:f>
        <x:v>OK</x:v>
      </x:c>
      <x:c r="AA1273" t="str">
        <x:f>TEXT(B1273,"yyyy-mm")</x:f>
        <x:v>2026-01</x:v>
      </x:c>
      <x:c r="AB1273" t="str">
        <x:f>IF(K1273="","",TEXT(K1273,"yyyy-mm"))</x:f>
        <x:v>2026-02</x:v>
      </x:c>
      <x:c r="AC1273" t="str">
        <x:f>"Q"&amp;ROUNDUP(MONTH(B1273)/3,0)&amp;"-"&amp;YEAR(B1273)</x:f>
        <x:v>Q1-2026</x:v>
      </x:c>
      <x:c r="AD1273" s="26" t="n">
        <x:f>MIN(100,IF(H1273="Enterprise",30,IF(H1273="Mid-Market",22,14))+IF(T1273="Enterprise",25,IF(T1273="Mid-Market",18,10))+IF(Q1273="Referral",25,IF(Q1273="Organic Search",20,IF(Q1273="Email",18,14)))+IF(G1273="Technology",10,5))</x:f>
        <x:v>74</x:v>
      </x:c>
      <x:c r="AE1273" t="str">
        <x:f>IF(U1273&lt;&gt;"Open",U1273,IF(N1273&gt;=0.8,"Commit",IF(N1273&gt;=0.5,"Best Case","Pipeline")))</x:f>
        <x:v>Lost</x:v>
      </x:c>
    </x:row>
    <x:row r="1274">
      <x:c r="A1274" t="str">
        <x:v>L01273</x:v>
      </x:c>
      <x:c r="B1274" s="10" t="n">
        <x:v>45686</x:v>
      </x:c>
      <x:c r="C1274" t="str">
        <x:v>Ha Vo</x:v>
      </x:c>
      <x:c r="D1274" t="str">
        <x:v>North</x:v>
      </x:c>
      <x:c r="E1274" t="str">
        <x:v>customer referral</x:v>
      </x:c>
      <x:c r="F1274" t="str">
        <x:v>REV-OPS</x:v>
      </x:c>
      <x:c r="G1274" t="str">
        <x:v>Education</x:v>
      </x:c>
      <x:c r="H1274" t="str">
        <x:v>Mid-Market</x:v>
      </x:c>
      <x:c r="I1274" t="str">
        <x:v>Closed Lost</x:v>
      </x:c>
      <x:c r="J1274" s="10" t="n">
        <x:v>45737</x:v>
      </x:c>
      <x:c r="K1274" s="10" t="n">
        <x:v>45737</x:v>
      </x:c>
      <x:c r="L1274" s="22" t="n">
        <x:v>46900</x:v>
      </x:c>
      <x:c r="M1274" s="24" t="n">
        <x:v>0</x:v>
      </x:c>
      <x:c r="N1274" s="24" t="n">
        <x:v>0</x:v>
      </x:c>
      <x:c r="O1274" t="str">
        <x:v>Timing</x:v>
      </x:c>
      <x:c r="P1274" t="n">
        <x:v>4</x:v>
      </x:c>
      <x:c r="Q1274" t="str">
        <x:f>IFERROR(XLOOKUP(E1274,Lookups!$A$5:$A$24,Lookups!$B$5:$B$24),"Other")</x:f>
        <x:v>Referral</x:v>
      </x:c>
      <x:c r="R1274" t="str">
        <x:f>IFERROR(XLOOKUP(F1274,Lookups!$D$5:$D$10,Lookups!$E$5:$E$10),"Unknown Product")</x:f>
        <x:v>Revenue Operations Suite</x:v>
      </x:c>
      <x:c r="S1274" t="str">
        <x:f>IFERROR(XLOOKUP(F1274,Lookups!$D$5:$D$10,Lookups!$F$5:$F$10),"Unknown")</x:f>
        <x:v>Revenue Ops</x:v>
      </x:c>
      <x:c r="T1274" t="str">
        <x:f>IF(L1274&gt;=50000,"Enterprise",IF(L1274&gt;=20000,"Mid-Market","SMB"))</x:f>
        <x:v>Mid-Market</x:v>
      </x:c>
      <x:c r="U1274" t="str">
        <x:f>IF(I1274="Closed Won","Won",IF(I1274="Closed Lost","Lost","Open"))</x:f>
        <x:v>Lost</x:v>
      </x:c>
      <x:c r="V1274" s="22" t="n">
        <x:f>IF(U1274="Won",L1274*(1-M1274),0)</x:f>
        <x:v>0</x:v>
      </x:c>
      <x:c r="W1274" s="22" t="n">
        <x:f>IF(U1274="Open",L1274*N1274,0)</x:f>
        <x:v>0</x:v>
      </x:c>
      <x:c r="X1274" s="26" t="n">
        <x:f>IF(U1274="Open","",IFERROR(K1274-B1274,""))</x:f>
        <x:v>51</x:v>
      </x:c>
      <x:c r="Y1274" s="26" t="n">
        <x:f>IF(U1274="Open",Lookups!$B$2-B1274,X1274)</x:f>
        <x:v>51</x:v>
      </x:c>
      <x:c r="Z1274" t="str">
        <x:f>IF(AND(U1274="Open",Y1274&gt;30),"STALE","OK")</x:f>
        <x:v>OK</x:v>
      </x:c>
      <x:c r="AA1274" t="str">
        <x:f>TEXT(B1274,"yyyy-mm")</x:f>
        <x:v>2025-01</x:v>
      </x:c>
      <x:c r="AB1274" t="str">
        <x:f>IF(K1274="","",TEXT(K1274,"yyyy-mm"))</x:f>
        <x:v>2025-03</x:v>
      </x:c>
      <x:c r="AC1274" t="str">
        <x:f>"Q"&amp;ROUNDUP(MONTH(B1274)/3,0)&amp;"-"&amp;YEAR(B1274)</x:f>
        <x:v>Q1-2025</x:v>
      </x:c>
      <x:c r="AD1274" s="26" t="n">
        <x:f>MIN(100,IF(H1274="Enterprise",30,IF(H1274="Mid-Market",22,14))+IF(T1274="Enterprise",25,IF(T1274="Mid-Market",18,10))+IF(Q1274="Referral",25,IF(Q1274="Organic Search",20,IF(Q1274="Email",18,14)))+IF(G1274="Technology",10,5))</x:f>
        <x:v>70</x:v>
      </x:c>
      <x:c r="AE1274" t="str">
        <x:f>IF(U1274&lt;&gt;"Open",U1274,IF(N1274&gt;=0.8,"Commit",IF(N1274&gt;=0.5,"Best Case","Pipeline")))</x:f>
        <x:v>Lost</x:v>
      </x:c>
    </x:row>
    <x:row r="1275">
      <x:c r="A1275" t="str">
        <x:v>L01274</x:v>
      </x:c>
      <x:c r="B1275" s="10" t="n">
        <x:v>45793</x:v>
      </x:c>
      <x:c r="C1275" t="str">
        <x:v>Duy Pham</x:v>
      </x:c>
      <x:c r="D1275" t="str">
        <x:v>South</x:v>
      </x:c>
      <x:c r="E1275" t="str">
        <x:v>google cpc</x:v>
      </x:c>
      <x:c r="F1275" t="str">
        <x:v>CRM-CORE</x:v>
      </x:c>
      <x:c r="G1275" t="str">
        <x:v>Education</x:v>
      </x:c>
      <x:c r="H1275" t="str">
        <x:v>SMB</x:v>
      </x:c>
      <x:c r="I1275" t="str">
        <x:v>Closed Lost</x:v>
      </x:c>
      <x:c r="J1275" s="10" t="n">
        <x:v>45821</x:v>
      </x:c>
      <x:c r="K1275" s="10" t="n">
        <x:v>45821</x:v>
      </x:c>
      <x:c r="L1275" s="22" t="n">
        <x:v>5500</x:v>
      </x:c>
      <x:c r="M1275" s="24" t="n">
        <x:v>0</x:v>
      </x:c>
      <x:c r="N1275" s="24" t="n">
        <x:v>0</x:v>
      </x:c>
      <x:c r="O1275" t="str">
        <x:v>Timing</x:v>
      </x:c>
      <x:c r="P1275" t="n">
        <x:v>4</x:v>
      </x:c>
      <x:c r="Q1275" t="str">
        <x:f>IFERROR(XLOOKUP(E1275,Lookups!$A$5:$A$24,Lookups!$B$5:$B$24),"Other")</x:f>
        <x:v>Paid Search</x:v>
      </x:c>
      <x:c r="R1275" t="str">
        <x:f>IFERROR(XLOOKUP(F1275,Lookups!$D$5:$D$10,Lookups!$E$5:$E$10),"Unknown Product")</x:f>
        <x:v>NexaCRM Core</x:v>
      </x:c>
      <x:c r="S1275" t="str">
        <x:f>IFERROR(XLOOKUP(F1275,Lookups!$D$5:$D$10,Lookups!$F$5:$F$10),"Unknown")</x:f>
        <x:v>CRM</x:v>
      </x:c>
      <x:c r="T1275" t="str">
        <x:f>IF(L1275&gt;=50000,"Enterprise",IF(L1275&gt;=20000,"Mid-Market","SMB"))</x:f>
        <x:v>SMB</x:v>
      </x:c>
      <x:c r="U1275" t="str">
        <x:f>IF(I1275="Closed Won","Won",IF(I1275="Closed Lost","Lost","Open"))</x:f>
        <x:v>Lost</x:v>
      </x:c>
      <x:c r="V1275" s="22" t="n">
        <x:f>IF(U1275="Won",L1275*(1-M1275),0)</x:f>
        <x:v>0</x:v>
      </x:c>
      <x:c r="W1275" s="22" t="n">
        <x:f>IF(U1275="Open",L1275*N1275,0)</x:f>
        <x:v>0</x:v>
      </x:c>
      <x:c r="X1275" s="26" t="n">
        <x:f>IF(U1275="Open","",IFERROR(K1275-B1275,""))</x:f>
        <x:v>28</x:v>
      </x:c>
      <x:c r="Y1275" s="26" t="n">
        <x:f>IF(U1275="Open",Lookups!$B$2-B1275,X1275)</x:f>
        <x:v>28</x:v>
      </x:c>
      <x:c r="Z1275" t="str">
        <x:f>IF(AND(U1275="Open",Y1275&gt;30),"STALE","OK")</x:f>
        <x:v>OK</x:v>
      </x:c>
      <x:c r="AA1275" t="str">
        <x:f>TEXT(B1275,"yyyy-mm")</x:f>
        <x:v>2025-05</x:v>
      </x:c>
      <x:c r="AB1275" t="str">
        <x:f>IF(K1275="","",TEXT(K1275,"yyyy-mm"))</x:f>
        <x:v>2025-06</x:v>
      </x:c>
      <x:c r="AC1275" t="str">
        <x:f>"Q"&amp;ROUNDUP(MONTH(B1275)/3,0)&amp;"-"&amp;YEAR(B1275)</x:f>
        <x:v>Q2-2025</x:v>
      </x:c>
      <x:c r="AD1275" s="26" t="n">
        <x:f>MIN(100,IF(H1275="Enterprise",30,IF(H1275="Mid-Market",22,14))+IF(T1275="Enterprise",25,IF(T1275="Mid-Market",18,10))+IF(Q1275="Referral",25,IF(Q1275="Organic Search",20,IF(Q1275="Email",18,14)))+IF(G1275="Technology",10,5))</x:f>
        <x:v>43</x:v>
      </x:c>
      <x:c r="AE1275" t="str">
        <x:f>IF(U1275&lt;&gt;"Open",U1275,IF(N1275&gt;=0.8,"Commit",IF(N1275&gt;=0.5,"Best Case","Pipeline")))</x:f>
        <x:v>Lost</x:v>
      </x:c>
    </x:row>
    <x:row r="1276">
      <x:c r="A1276" t="str">
        <x:v>L01275</x:v>
      </x:c>
      <x:c r="B1276" s="10" t="n">
        <x:v>45662</x:v>
      </x:c>
      <x:c r="C1276" t="str">
        <x:v>Ha Vo</x:v>
      </x:c>
      <x:c r="D1276" t="str">
        <x:v>North</x:v>
      </x:c>
      <x:c r="E1276" t="str">
        <x:v>Email Campaign</x:v>
      </x:c>
      <x:c r="F1276" t="str">
        <x:v>MKT-AUTO</x:v>
      </x:c>
      <x:c r="G1276" t="str">
        <x:v>Healthcare</x:v>
      </x:c>
      <x:c r="H1276" t="str">
        <x:v>Mid-Market</x:v>
      </x:c>
      <x:c r="I1276" t="str">
        <x:v>Closed Lost</x:v>
      </x:c>
      <x:c r="J1276" s="10" t="n">
        <x:v>45717</x:v>
      </x:c>
      <x:c r="K1276" s="10" t="n">
        <x:v>45717</x:v>
      </x:c>
      <x:c r="L1276" s="22" t="n">
        <x:v>30500</x:v>
      </x:c>
      <x:c r="M1276" s="24" t="n">
        <x:v>0</x:v>
      </x:c>
      <x:c r="N1276" s="24" t="n">
        <x:v>0</x:v>
      </x:c>
      <x:c r="O1276" t="str">
        <x:v>No Decision</x:v>
      </x:c>
      <x:c r="P1276" t="n">
        <x:v>2</x:v>
      </x:c>
      <x:c r="Q1276" t="str">
        <x:f>IFERROR(XLOOKUP(E1276,Lookups!$A$5:$A$24,Lookups!$B$5:$B$24),"Other")</x:f>
        <x:v>Email</x:v>
      </x:c>
      <x:c r="R1276" t="str">
        <x:f>IFERROR(XLOOKUP(F1276,Lookups!$D$5:$D$10,Lookups!$E$5:$E$10),"Unknown Product")</x:f>
        <x:v>Marketing Automation</x:v>
      </x:c>
      <x:c r="S1276" t="str">
        <x:f>IFERROR(XLOOKUP(F1276,Lookups!$D$5:$D$10,Lookups!$F$5:$F$10),"Unknown")</x:f>
        <x:v>Marketing</x:v>
      </x:c>
      <x:c r="T1276" t="str">
        <x:f>IF(L1276&gt;=50000,"Enterprise",IF(L1276&gt;=20000,"Mid-Market","SMB"))</x:f>
        <x:v>Mid-Market</x:v>
      </x:c>
      <x:c r="U1276" t="str">
        <x:f>IF(I1276="Closed Won","Won",IF(I1276="Closed Lost","Lost","Open"))</x:f>
        <x:v>Lost</x:v>
      </x:c>
      <x:c r="V1276" s="22" t="n">
        <x:f>IF(U1276="Won",L1276*(1-M1276),0)</x:f>
        <x:v>0</x:v>
      </x:c>
      <x:c r="W1276" s="22" t="n">
        <x:f>IF(U1276="Open",L1276*N1276,0)</x:f>
        <x:v>0</x:v>
      </x:c>
      <x:c r="X1276" s="26" t="n">
        <x:f>IF(U1276="Open","",IFERROR(K1276-B1276,""))</x:f>
        <x:v>55</x:v>
      </x:c>
      <x:c r="Y1276" s="26" t="n">
        <x:f>IF(U1276="Open",Lookups!$B$2-B1276,X1276)</x:f>
        <x:v>55</x:v>
      </x:c>
      <x:c r="Z1276" t="str">
        <x:f>IF(AND(U1276="Open",Y1276&gt;30),"STALE","OK")</x:f>
        <x:v>OK</x:v>
      </x:c>
      <x:c r="AA1276" t="str">
        <x:f>TEXT(B1276,"yyyy-mm")</x:f>
        <x:v>2025-01</x:v>
      </x:c>
      <x:c r="AB1276" t="str">
        <x:f>IF(K1276="","",TEXT(K1276,"yyyy-mm"))</x:f>
        <x:v>2025-03</x:v>
      </x:c>
      <x:c r="AC1276" t="str">
        <x:f>"Q"&amp;ROUNDUP(MONTH(B1276)/3,0)&amp;"-"&amp;YEAR(B1276)</x:f>
        <x:v>Q1-2025</x:v>
      </x:c>
      <x:c r="AD1276" s="26" t="n">
        <x:f>MIN(100,IF(H1276="Enterprise",30,IF(H1276="Mid-Market",22,14))+IF(T1276="Enterprise",25,IF(T1276="Mid-Market",18,10))+IF(Q1276="Referral",25,IF(Q1276="Organic Search",20,IF(Q1276="Email",18,14)))+IF(G1276="Technology",10,5))</x:f>
        <x:v>63</x:v>
      </x:c>
      <x:c r="AE1276" t="str">
        <x:f>IF(U1276&lt;&gt;"Open",U1276,IF(N1276&gt;=0.8,"Commit",IF(N1276&gt;=0.5,"Best Case","Pipeline")))</x:f>
        <x:v>Lost</x:v>
      </x:c>
    </x:row>
    <x:row r="1277">
      <x:c r="A1277" t="str">
        <x:v>L01276</x:v>
      </x:c>
      <x:c r="B1277" s="10" t="n">
        <x:v>45947</x:v>
      </x:c>
      <x:c r="C1277" t="str">
        <x:v>Minh Do</x:v>
      </x:c>
      <x:c r="D1277" t="str">
        <x:v>North</x:v>
      </x:c>
      <x:c r="E1277" t="str">
        <x:v>customer referral</x:v>
      </x:c>
      <x:c r="F1277" t="str">
        <x:v>CRM-PRO</x:v>
      </x:c>
      <x:c r="G1277" t="str">
        <x:v>Retail</x:v>
      </x:c>
      <x:c r="H1277" t="str">
        <x:v>SMB</x:v>
      </x:c>
      <x:c r="I1277" t="str">
        <x:v>Closed Lost</x:v>
      </x:c>
      <x:c r="J1277" s="10" t="n">
        <x:v>45997</x:v>
      </x:c>
      <x:c r="K1277" s="10" t="n">
        <x:v>45997</x:v>
      </x:c>
      <x:c r="L1277" s="22" t="n">
        <x:v>23300</x:v>
      </x:c>
      <x:c r="M1277" s="24" t="n">
        <x:v>0</x:v>
      </x:c>
      <x:c r="N1277" s="24" t="n">
        <x:v>0</x:v>
      </x:c>
      <x:c r="O1277" t="str">
        <x:v>Timing</x:v>
      </x:c>
      <x:c r="P1277" t="n">
        <x:v>5</x:v>
      </x:c>
      <x:c r="Q1277" t="str">
        <x:f>IFERROR(XLOOKUP(E1277,Lookups!$A$5:$A$24,Lookups!$B$5:$B$24),"Other")</x:f>
        <x:v>Referral</x:v>
      </x:c>
      <x:c r="R1277" t="str">
        <x:f>IFERROR(XLOOKUP(F1277,Lookups!$D$5:$D$10,Lookups!$E$5:$E$10),"Unknown Product")</x:f>
        <x:v>NexaCRM Pro</x:v>
      </x:c>
      <x:c r="S1277" t="str">
        <x:f>IFERROR(XLOOKUP(F1277,Lookups!$D$5:$D$10,Lookups!$F$5:$F$10),"Unknown")</x:f>
        <x:v>CRM</x:v>
      </x:c>
      <x:c r="T1277" t="str">
        <x:f>IF(L1277&gt;=50000,"Enterprise",IF(L1277&gt;=20000,"Mid-Market","SMB"))</x:f>
        <x:v>Mid-Market</x:v>
      </x:c>
      <x:c r="U1277" t="str">
        <x:f>IF(I1277="Closed Won","Won",IF(I1277="Closed Lost","Lost","Open"))</x:f>
        <x:v>Lost</x:v>
      </x:c>
      <x:c r="V1277" s="22" t="n">
        <x:f>IF(U1277="Won",L1277*(1-M1277),0)</x:f>
        <x:v>0</x:v>
      </x:c>
      <x:c r="W1277" s="22" t="n">
        <x:f>IF(U1277="Open",L1277*N1277,0)</x:f>
        <x:v>0</x:v>
      </x:c>
      <x:c r="X1277" s="26" t="n">
        <x:f>IF(U1277="Open","",IFERROR(K1277-B1277,""))</x:f>
        <x:v>50</x:v>
      </x:c>
      <x:c r="Y1277" s="26" t="n">
        <x:f>IF(U1277="Open",Lookups!$B$2-B1277,X1277)</x:f>
        <x:v>50</x:v>
      </x:c>
      <x:c r="Z1277" t="str">
        <x:f>IF(AND(U1277="Open",Y1277&gt;30),"STALE","OK")</x:f>
        <x:v>OK</x:v>
      </x:c>
      <x:c r="AA1277" t="str">
        <x:f>TEXT(B1277,"yyyy-mm")</x:f>
        <x:v>2025-10</x:v>
      </x:c>
      <x:c r="AB1277" t="str">
        <x:f>IF(K1277="","",TEXT(K1277,"yyyy-mm"))</x:f>
        <x:v>2025-12</x:v>
      </x:c>
      <x:c r="AC1277" t="str">
        <x:f>"Q"&amp;ROUNDUP(MONTH(B1277)/3,0)&amp;"-"&amp;YEAR(B1277)</x:f>
        <x:v>Q4-2025</x:v>
      </x:c>
      <x:c r="AD1277" s="26" t="n">
        <x:f>MIN(100,IF(H1277="Enterprise",30,IF(H1277="Mid-Market",22,14))+IF(T1277="Enterprise",25,IF(T1277="Mid-Market",18,10))+IF(Q1277="Referral",25,IF(Q1277="Organic Search",20,IF(Q1277="Email",18,14)))+IF(G1277="Technology",10,5))</x:f>
        <x:v>62</x:v>
      </x:c>
      <x:c r="AE1277" t="str">
        <x:f>IF(U1277&lt;&gt;"Open",U1277,IF(N1277&gt;=0.8,"Commit",IF(N1277&gt;=0.5,"Best Case","Pipeline")))</x:f>
        <x:v>Lost</x:v>
      </x:c>
    </x:row>
    <x:row r="1278">
      <x:c r="A1278" t="str">
        <x:v>L01277</x:v>
      </x:c>
      <x:c r="B1278" s="10" t="n">
        <x:v>45919</x:v>
      </x:c>
      <x:c r="C1278" t="str">
        <x:v>Quynh Vu</x:v>
      </x:c>
      <x:c r="D1278" t="str">
        <x:v>North</x:v>
      </x:c>
      <x:c r="E1278" t="str">
        <x:v>SEM - Google</x:v>
      </x:c>
      <x:c r="F1278" t="str">
        <x:v>CRM-PRO</x:v>
      </x:c>
      <x:c r="G1278" t="str">
        <x:v>Education</x:v>
      </x:c>
      <x:c r="H1278" t="str">
        <x:v>Mid-Market</x:v>
      </x:c>
      <x:c r="I1278" t="str">
        <x:v>Closed Won</x:v>
      </x:c>
      <x:c r="J1278" s="10" t="n">
        <x:v>45981</x:v>
      </x:c>
      <x:c r="K1278" s="10" t="n">
        <x:v>45981</x:v>
      </x:c>
      <x:c r="L1278" s="22" t="n">
        <x:v>20800</x:v>
      </x:c>
      <x:c r="M1278" s="24" t="n">
        <x:v>0.12</x:v>
      </x:c>
      <x:c r="N1278" s="24" t="n">
        <x:v>1</x:v>
      </x:c>
      <x:c r="O1278" t="str"/>
      <x:c r="P1278" t="n">
        <x:v>6</x:v>
      </x:c>
      <x:c r="Q1278" t="str">
        <x:f>IFERROR(XLOOKUP(E1278,Lookups!$A$5:$A$24,Lookups!$B$5:$B$24),"Other")</x:f>
        <x:v>Paid Search</x:v>
      </x:c>
      <x:c r="R1278" t="str">
        <x:f>IFERROR(XLOOKUP(F1278,Lookups!$D$5:$D$10,Lookups!$E$5:$E$10),"Unknown Product")</x:f>
        <x:v>NexaCRM Pro</x:v>
      </x:c>
      <x:c r="S1278" t="str">
        <x:f>IFERROR(XLOOKUP(F1278,Lookups!$D$5:$D$10,Lookups!$F$5:$F$10),"Unknown")</x:f>
        <x:v>CRM</x:v>
      </x:c>
      <x:c r="T1278" t="str">
        <x:f>IF(L1278&gt;=50000,"Enterprise",IF(L1278&gt;=20000,"Mid-Market","SMB"))</x:f>
        <x:v>Mid-Market</x:v>
      </x:c>
      <x:c r="U1278" t="str">
        <x:f>IF(I1278="Closed Won","Won",IF(I1278="Closed Lost","Lost","Open"))</x:f>
        <x:v>Won</x:v>
      </x:c>
      <x:c r="V1278" s="22" t="n">
        <x:f>IF(U1278="Won",L1278*(1-M1278),0)</x:f>
        <x:v>18304</x:v>
      </x:c>
      <x:c r="W1278" s="22" t="n">
        <x:f>IF(U1278="Open",L1278*N1278,0)</x:f>
        <x:v>0</x:v>
      </x:c>
      <x:c r="X1278" s="26" t="n">
        <x:f>IF(U1278="Open","",IFERROR(K1278-B1278,""))</x:f>
        <x:v>62</x:v>
      </x:c>
      <x:c r="Y1278" s="26" t="n">
        <x:f>IF(U1278="Open",Lookups!$B$2-B1278,X1278)</x:f>
        <x:v>62</x:v>
      </x:c>
      <x:c r="Z1278" t="str">
        <x:f>IF(AND(U1278="Open",Y1278&gt;30),"STALE","OK")</x:f>
        <x:v>OK</x:v>
      </x:c>
      <x:c r="AA1278" t="str">
        <x:f>TEXT(B1278,"yyyy-mm")</x:f>
        <x:v>2025-09</x:v>
      </x:c>
      <x:c r="AB1278" t="str">
        <x:f>IF(K1278="","",TEXT(K1278,"yyyy-mm"))</x:f>
        <x:v>2025-11</x:v>
      </x:c>
      <x:c r="AC1278" t="str">
        <x:f>"Q"&amp;ROUNDUP(MONTH(B1278)/3,0)&amp;"-"&amp;YEAR(B1278)</x:f>
        <x:v>Q3-2025</x:v>
      </x:c>
      <x:c r="AD1278" s="26" t="n">
        <x:f>MIN(100,IF(H1278="Enterprise",30,IF(H1278="Mid-Market",22,14))+IF(T1278="Enterprise",25,IF(T1278="Mid-Market",18,10))+IF(Q1278="Referral",25,IF(Q1278="Organic Search",20,IF(Q1278="Email",18,14)))+IF(G1278="Technology",10,5))</x:f>
        <x:v>59</x:v>
      </x:c>
      <x:c r="AE1278" t="str">
        <x:f>IF(U1278&lt;&gt;"Open",U1278,IF(N1278&gt;=0.8,"Commit",IF(N1278&gt;=0.5,"Best Case","Pipeline")))</x:f>
        <x:v>Won</x:v>
      </x:c>
    </x:row>
    <x:row r="1279">
      <x:c r="A1279" t="str">
        <x:v>L01278</x:v>
      </x:c>
      <x:c r="B1279" s="10" t="n">
        <x:v>46060</x:v>
      </x:c>
      <x:c r="C1279" t="str">
        <x:v>Minh Do</x:v>
      </x:c>
      <x:c r="D1279" t="str">
        <x:v>North</x:v>
      </x:c>
      <x:c r="E1279" t="str">
        <x:v>organic search</x:v>
      </x:c>
      <x:c r="F1279" t="str">
        <x:v>BI-PLUS</x:v>
      </x:c>
      <x:c r="G1279" t="str">
        <x:v>Education</x:v>
      </x:c>
      <x:c r="H1279" t="str">
        <x:v>SMB</x:v>
      </x:c>
      <x:c r="I1279" t="str">
        <x:v>Closed Lost</x:v>
      </x:c>
      <x:c r="J1279" s="10" t="n">
        <x:v>46109</x:v>
      </x:c>
      <x:c r="K1279" s="10" t="n">
        <x:v>46109</x:v>
      </x:c>
      <x:c r="L1279" s="22" t="n">
        <x:v>23900</x:v>
      </x:c>
      <x:c r="M1279" s="24" t="n">
        <x:v>0</x:v>
      </x:c>
      <x:c r="N1279" s="24" t="n">
        <x:v>0</x:v>
      </x:c>
      <x:c r="O1279" t="str">
        <x:v>Feature Gap</x:v>
      </x:c>
      <x:c r="P1279" t="n">
        <x:v>2</x:v>
      </x:c>
      <x:c r="Q1279" t="str">
        <x:f>IFERROR(XLOOKUP(E1279,Lookups!$A$5:$A$24,Lookups!$B$5:$B$24),"Other")</x:f>
        <x:v>Organic Search</x:v>
      </x:c>
      <x:c r="R1279" t="str">
        <x:f>IFERROR(XLOOKUP(F1279,Lookups!$D$5:$D$10,Lookups!$E$5:$E$10),"Unknown Product")</x:f>
        <x:v>Analytics Plus</x:v>
      </x:c>
      <x:c r="S1279" t="str">
        <x:f>IFERROR(XLOOKUP(F1279,Lookups!$D$5:$D$10,Lookups!$F$5:$F$10),"Unknown")</x:f>
        <x:v>Analytics</x:v>
      </x:c>
      <x:c r="T1279" t="str">
        <x:f>IF(L1279&gt;=50000,"Enterprise",IF(L1279&gt;=20000,"Mid-Market","SMB"))</x:f>
        <x:v>Mid-Market</x:v>
      </x:c>
      <x:c r="U1279" t="str">
        <x:f>IF(I1279="Closed Won","Won",IF(I1279="Closed Lost","Lost","Open"))</x:f>
        <x:v>Lost</x:v>
      </x:c>
      <x:c r="V1279" s="22" t="n">
        <x:f>IF(U1279="Won",L1279*(1-M1279),0)</x:f>
        <x:v>0</x:v>
      </x:c>
      <x:c r="W1279" s="22" t="n">
        <x:f>IF(U1279="Open",L1279*N1279,0)</x:f>
        <x:v>0</x:v>
      </x:c>
      <x:c r="X1279" s="26" t="n">
        <x:f>IF(U1279="Open","",IFERROR(K1279-B1279,""))</x:f>
        <x:v>49</x:v>
      </x:c>
      <x:c r="Y1279" s="26" t="n">
        <x:f>IF(U1279="Open",Lookups!$B$2-B1279,X1279)</x:f>
        <x:v>49</x:v>
      </x:c>
      <x:c r="Z1279" t="str">
        <x:f>IF(AND(U1279="Open",Y1279&gt;30),"STALE","OK")</x:f>
        <x:v>OK</x:v>
      </x:c>
      <x:c r="AA1279" t="str">
        <x:f>TEXT(B1279,"yyyy-mm")</x:f>
        <x:v>2026-02</x:v>
      </x:c>
      <x:c r="AB1279" t="str">
        <x:f>IF(K1279="","",TEXT(K1279,"yyyy-mm"))</x:f>
        <x:v>2026-03</x:v>
      </x:c>
      <x:c r="AC1279" t="str">
        <x:f>"Q"&amp;ROUNDUP(MONTH(B1279)/3,0)&amp;"-"&amp;YEAR(B1279)</x:f>
        <x:v>Q1-2026</x:v>
      </x:c>
      <x:c r="AD1279" s="26" t="n">
        <x:f>MIN(100,IF(H1279="Enterprise",30,IF(H1279="Mid-Market",22,14))+IF(T1279="Enterprise",25,IF(T1279="Mid-Market",18,10))+IF(Q1279="Referral",25,IF(Q1279="Organic Search",20,IF(Q1279="Email",18,14)))+IF(G1279="Technology",10,5))</x:f>
        <x:v>57</x:v>
      </x:c>
      <x:c r="AE1279" t="str">
        <x:f>IF(U1279&lt;&gt;"Open",U1279,IF(N1279&gt;=0.8,"Commit",IF(N1279&gt;=0.5,"Best Case","Pipeline")))</x:f>
        <x:v>Lost</x:v>
      </x:c>
    </x:row>
    <x:row r="1280">
      <x:c r="A1280" t="str">
        <x:v>L01279</x:v>
      </x:c>
      <x:c r="B1280" s="10" t="n">
        <x:v>46201</x:v>
      </x:c>
      <x:c r="C1280" t="str">
        <x:v>Quynh Vu</x:v>
      </x:c>
      <x:c r="D1280" t="str">
        <x:v>North</x:v>
      </x:c>
      <x:c r="E1280" t="str">
        <x:v>SDR Outreach</x:v>
      </x:c>
      <x:c r="F1280" t="str">
        <x:v>CRM-CORE</x:v>
      </x:c>
      <x:c r="G1280" t="str">
        <x:v>Manufacturing</x:v>
      </x:c>
      <x:c r="H1280" t="str">
        <x:v>Mid-Market</x:v>
      </x:c>
      <x:c r="I1280" t="str">
        <x:v>Closed Won</x:v>
      </x:c>
      <x:c r="J1280" s="10" t="n">
        <x:v>46252</x:v>
      </x:c>
      <x:c r="K1280" s="10" t="n">
        <x:v>46252</x:v>
      </x:c>
      <x:c r="L1280" s="22" t="n">
        <x:v>10400</x:v>
      </x:c>
      <x:c r="M1280" s="24" t="n">
        <x:v>0.1</x:v>
      </x:c>
      <x:c r="N1280" s="24" t="n">
        <x:v>1</x:v>
      </x:c>
      <x:c r="O1280" t="str"/>
      <x:c r="P1280" t="n">
        <x:v>6</x:v>
      </x:c>
      <x:c r="Q1280" t="str">
        <x:f>IFERROR(XLOOKUP(E1280,Lookups!$A$5:$A$24,Lookups!$B$5:$B$24),"Other")</x:f>
        <x:v>Outbound</x:v>
      </x:c>
      <x:c r="R1280" t="str">
        <x:f>IFERROR(XLOOKUP(F1280,Lookups!$D$5:$D$10,Lookups!$E$5:$E$10),"Unknown Product")</x:f>
        <x:v>NexaCRM Core</x:v>
      </x:c>
      <x:c r="S1280" t="str">
        <x:f>IFERROR(XLOOKUP(F1280,Lookups!$D$5:$D$10,Lookups!$F$5:$F$10),"Unknown")</x:f>
        <x:v>CRM</x:v>
      </x:c>
      <x:c r="T1280" t="str">
        <x:f>IF(L1280&gt;=50000,"Enterprise",IF(L1280&gt;=20000,"Mid-Market","SMB"))</x:f>
        <x:v>SMB</x:v>
      </x:c>
      <x:c r="U1280" t="str">
        <x:f>IF(I1280="Closed Won","Won",IF(I1280="Closed Lost","Lost","Open"))</x:f>
        <x:v>Won</x:v>
      </x:c>
      <x:c r="V1280" s="22" t="n">
        <x:f>IF(U1280="Won",L1280*(1-M1280),0)</x:f>
        <x:v>9360</x:v>
      </x:c>
      <x:c r="W1280" s="22" t="n">
        <x:f>IF(U1280="Open",L1280*N1280,0)</x:f>
        <x:v>0</x:v>
      </x:c>
      <x:c r="X1280" s="26" t="n">
        <x:f>IF(U1280="Open","",IFERROR(K1280-B1280,""))</x:f>
        <x:v>51</x:v>
      </x:c>
      <x:c r="Y1280" s="26" t="n">
        <x:f>IF(U1280="Open",Lookups!$B$2-B1280,X1280)</x:f>
        <x:v>51</x:v>
      </x:c>
      <x:c r="Z1280" t="str">
        <x:f>IF(AND(U1280="Open",Y1280&gt;30),"STALE","OK")</x:f>
        <x:v>OK</x:v>
      </x:c>
      <x:c r="AA1280" t="str">
        <x:f>TEXT(B1280,"yyyy-mm")</x:f>
        <x:v>2026-06</x:v>
      </x:c>
      <x:c r="AB1280" t="str">
        <x:f>IF(K1280="","",TEXT(K1280,"yyyy-mm"))</x:f>
        <x:v>2026-08</x:v>
      </x:c>
      <x:c r="AC1280" t="str">
        <x:f>"Q"&amp;ROUNDUP(MONTH(B1280)/3,0)&amp;"-"&amp;YEAR(B1280)</x:f>
        <x:v>Q2-2026</x:v>
      </x:c>
      <x:c r="AD1280" s="26" t="n">
        <x:f>MIN(100,IF(H1280="Enterprise",30,IF(H1280="Mid-Market",22,14))+IF(T1280="Enterprise",25,IF(T1280="Mid-Market",18,10))+IF(Q1280="Referral",25,IF(Q1280="Organic Search",20,IF(Q1280="Email",18,14)))+IF(G1280="Technology",10,5))</x:f>
        <x:v>51</x:v>
      </x:c>
      <x:c r="AE1280" t="str">
        <x:f>IF(U1280&lt;&gt;"Open",U1280,IF(N1280&gt;=0.8,"Commit",IF(N1280&gt;=0.5,"Best Case","Pipeline")))</x:f>
        <x:v>Won</x:v>
      </x:c>
    </x:row>
    <x:row r="1281">
      <x:c r="A1281" t="str">
        <x:v>L01280</x:v>
      </x:c>
      <x:c r="B1281" s="10" t="n">
        <x:v>45988</x:v>
      </x:c>
      <x:c r="C1281" t="str">
        <x:v>Tuan Bui</x:v>
      </x:c>
      <x:c r="D1281" t="str">
        <x:v>Central</x:v>
      </x:c>
      <x:c r="E1281" t="str">
        <x:v>Outbound</x:v>
      </x:c>
      <x:c r="F1281" t="str">
        <x:v>CRM-PRO</x:v>
      </x:c>
      <x:c r="G1281" t="str">
        <x:v>Healthcare</x:v>
      </x:c>
      <x:c r="H1281" t="str">
        <x:v>SMB</x:v>
      </x:c>
      <x:c r="I1281" t="str">
        <x:v>Closed Lost</x:v>
      </x:c>
      <x:c r="J1281" s="10" t="n">
        <x:v>46041</x:v>
      </x:c>
      <x:c r="K1281" s="10" t="n">
        <x:v>46041</x:v>
      </x:c>
      <x:c r="L1281" s="22" t="n">
        <x:v>18300</x:v>
      </x:c>
      <x:c r="M1281" s="24" t="n">
        <x:v>0</x:v>
      </x:c>
      <x:c r="N1281" s="24" t="n">
        <x:v>0</x:v>
      </x:c>
      <x:c r="O1281" t="str">
        <x:v>No Decision</x:v>
      </x:c>
      <x:c r="P1281" t="n">
        <x:v>2</x:v>
      </x:c>
      <x:c r="Q1281" t="str">
        <x:f>IFERROR(XLOOKUP(E1281,Lookups!$A$5:$A$24,Lookups!$B$5:$B$24),"Other")</x:f>
        <x:v>Outbound</x:v>
      </x:c>
      <x:c r="R1281" t="str">
        <x:f>IFERROR(XLOOKUP(F1281,Lookups!$D$5:$D$10,Lookups!$E$5:$E$10),"Unknown Product")</x:f>
        <x:v>NexaCRM Pro</x:v>
      </x:c>
      <x:c r="S1281" t="str">
        <x:f>IFERROR(XLOOKUP(F1281,Lookups!$D$5:$D$10,Lookups!$F$5:$F$10),"Unknown")</x:f>
        <x:v>CRM</x:v>
      </x:c>
      <x:c r="T1281" t="str">
        <x:f>IF(L1281&gt;=50000,"Enterprise",IF(L1281&gt;=20000,"Mid-Market","SMB"))</x:f>
        <x:v>SMB</x:v>
      </x:c>
      <x:c r="U1281" t="str">
        <x:f>IF(I1281="Closed Won","Won",IF(I1281="Closed Lost","Lost","Open"))</x:f>
        <x:v>Lost</x:v>
      </x:c>
      <x:c r="V1281" s="22" t="n">
        <x:f>IF(U1281="Won",L1281*(1-M1281),0)</x:f>
        <x:v>0</x:v>
      </x:c>
      <x:c r="W1281" s="22" t="n">
        <x:f>IF(U1281="Open",L1281*N1281,0)</x:f>
        <x:v>0</x:v>
      </x:c>
      <x:c r="X1281" s="26" t="n">
        <x:f>IF(U1281="Open","",IFERROR(K1281-B1281,""))</x:f>
        <x:v>53</x:v>
      </x:c>
      <x:c r="Y1281" s="26" t="n">
        <x:f>IF(U1281="Open",Lookups!$B$2-B1281,X1281)</x:f>
        <x:v>53</x:v>
      </x:c>
      <x:c r="Z1281" t="str">
        <x:f>IF(AND(U1281="Open",Y1281&gt;30),"STALE","OK")</x:f>
        <x:v>OK</x:v>
      </x:c>
      <x:c r="AA1281" t="str">
        <x:f>TEXT(B1281,"yyyy-mm")</x:f>
        <x:v>2025-11</x:v>
      </x:c>
      <x:c r="AB1281" t="str">
        <x:f>IF(K1281="","",TEXT(K1281,"yyyy-mm"))</x:f>
        <x:v>2026-01</x:v>
      </x:c>
      <x:c r="AC1281" t="str">
        <x:f>"Q"&amp;ROUNDUP(MONTH(B1281)/3,0)&amp;"-"&amp;YEAR(B1281)</x:f>
        <x:v>Q4-2025</x:v>
      </x:c>
      <x:c r="AD1281" s="26" t="n">
        <x:f>MIN(100,IF(H1281="Enterprise",30,IF(H1281="Mid-Market",22,14))+IF(T1281="Enterprise",25,IF(T1281="Mid-Market",18,10))+IF(Q1281="Referral",25,IF(Q1281="Organic Search",20,IF(Q1281="Email",18,14)))+IF(G1281="Technology",10,5))</x:f>
        <x:v>43</x:v>
      </x:c>
      <x:c r="AE1281" t="str">
        <x:f>IF(U1281&lt;&gt;"Open",U1281,IF(N1281&gt;=0.8,"Commit",IF(N1281&gt;=0.5,"Best Case","Pipeline")))</x:f>
        <x:v>Lost</x:v>
      </x:c>
    </x:row>
    <x:row r="1282">
      <x:c r="A1282" t="str">
        <x:v>L01281</x:v>
      </x:c>
      <x:c r="B1282" s="10" t="n">
        <x:v>45848</x:v>
      </x:c>
      <x:c r="C1282" t="str">
        <x:v>An Nguyen</x:v>
      </x:c>
      <x:c r="D1282" t="str">
        <x:v>South</x:v>
      </x:c>
      <x:c r="E1282" t="str">
        <x:v>newsletter</x:v>
      </x:c>
      <x:c r="F1282" t="str">
        <x:v>CRM-CORE</x:v>
      </x:c>
      <x:c r="G1282" t="str">
        <x:v>Professional Services</x:v>
      </x:c>
      <x:c r="H1282" t="str">
        <x:v>Mid-Market</x:v>
      </x:c>
      <x:c r="I1282" t="str">
        <x:v>Closed Lost</x:v>
      </x:c>
      <x:c r="J1282" s="10" t="n">
        <x:v>45856</x:v>
      </x:c>
      <x:c r="K1282" s="10" t="n">
        <x:v>45856</x:v>
      </x:c>
      <x:c r="L1282" s="22" t="n">
        <x:v>12400</x:v>
      </x:c>
      <x:c r="M1282" s="24" t="n">
        <x:v>0</x:v>
      </x:c>
      <x:c r="N1282" s="24" t="n">
        <x:v>0</x:v>
      </x:c>
      <x:c r="O1282" t="str">
        <x:v>Budget</x:v>
      </x:c>
      <x:c r="P1282" t="n">
        <x:v>3</x:v>
      </x:c>
      <x:c r="Q1282" t="str">
        <x:f>IFERROR(XLOOKUP(E1282,Lookups!$A$5:$A$24,Lookups!$B$5:$B$24),"Other")</x:f>
        <x:v>Email</x:v>
      </x:c>
      <x:c r="R1282" t="str">
        <x:f>IFERROR(XLOOKUP(F1282,Lookups!$D$5:$D$10,Lookups!$E$5:$E$10),"Unknown Product")</x:f>
        <x:v>NexaCRM Core</x:v>
      </x:c>
      <x:c r="S1282" t="str">
        <x:f>IFERROR(XLOOKUP(F1282,Lookups!$D$5:$D$10,Lookups!$F$5:$F$10),"Unknown")</x:f>
        <x:v>CRM</x:v>
      </x:c>
      <x:c r="T1282" t="str">
        <x:f>IF(L1282&gt;=50000,"Enterprise",IF(L1282&gt;=20000,"Mid-Market","SMB"))</x:f>
        <x:v>SMB</x:v>
      </x:c>
      <x:c r="U1282" t="str">
        <x:f>IF(I1282="Closed Won","Won",IF(I1282="Closed Lost","Lost","Open"))</x:f>
        <x:v>Lost</x:v>
      </x:c>
      <x:c r="V1282" s="22" t="n">
        <x:f>IF(U1282="Won",L1282*(1-M1282),0)</x:f>
        <x:v>0</x:v>
      </x:c>
      <x:c r="W1282" s="22" t="n">
        <x:f>IF(U1282="Open",L1282*N1282,0)</x:f>
        <x:v>0</x:v>
      </x:c>
      <x:c r="X1282" s="26" t="n">
        <x:f>IF(U1282="Open","",IFERROR(K1282-B1282,""))</x:f>
        <x:v>8</x:v>
      </x:c>
      <x:c r="Y1282" s="26" t="n">
        <x:f>IF(U1282="Open",Lookups!$B$2-B1282,X1282)</x:f>
        <x:v>8</x:v>
      </x:c>
      <x:c r="Z1282" t="str">
        <x:f>IF(AND(U1282="Open",Y1282&gt;30),"STALE","OK")</x:f>
        <x:v>OK</x:v>
      </x:c>
      <x:c r="AA1282" t="str">
        <x:f>TEXT(B1282,"yyyy-mm")</x:f>
        <x:v>2025-07</x:v>
      </x:c>
      <x:c r="AB1282" t="str">
        <x:f>IF(K1282="","",TEXT(K1282,"yyyy-mm"))</x:f>
        <x:v>2025-07</x:v>
      </x:c>
      <x:c r="AC1282" t="str">
        <x:f>"Q"&amp;ROUNDUP(MONTH(B1282)/3,0)&amp;"-"&amp;YEAR(B1282)</x:f>
        <x:v>Q3-2025</x:v>
      </x:c>
      <x:c r="AD1282" s="26" t="n">
        <x:f>MIN(100,IF(H1282="Enterprise",30,IF(H1282="Mid-Market",22,14))+IF(T1282="Enterprise",25,IF(T1282="Mid-Market",18,10))+IF(Q1282="Referral",25,IF(Q1282="Organic Search",20,IF(Q1282="Email",18,14)))+IF(G1282="Technology",10,5))</x:f>
        <x:v>55</x:v>
      </x:c>
      <x:c r="AE1282" t="str">
        <x:f>IF(U1282&lt;&gt;"Open",U1282,IF(N1282&gt;=0.8,"Commit",IF(N1282&gt;=0.5,"Best Case","Pipeline")))</x:f>
        <x:v>Lost</x:v>
      </x:c>
    </x:row>
    <x:row r="1283">
      <x:c r="A1283" t="str">
        <x:v>L01282</x:v>
      </x:c>
      <x:c r="B1283" s="10" t="n">
        <x:v>45774</x:v>
      </x:c>
      <x:c r="C1283" t="str">
        <x:v>Bao Tran</x:v>
      </x:c>
      <x:c r="D1283" t="str">
        <x:v>South</x:v>
      </x:c>
      <x:c r="E1283" t="str">
        <x:v>google cpc</x:v>
      </x:c>
      <x:c r="F1283" t="str">
        <x:v>MKT-AUTO</x:v>
      </x:c>
      <x:c r="G1283" t="str">
        <x:v>Education</x:v>
      </x:c>
      <x:c r="H1283" t="str">
        <x:v>SMB</x:v>
      </x:c>
      <x:c r="I1283" t="str">
        <x:v>Closed Lost</x:v>
      </x:c>
      <x:c r="J1283" s="10" t="n">
        <x:v>45827</x:v>
      </x:c>
      <x:c r="K1283" s="10" t="n">
        <x:v>45827</x:v>
      </x:c>
      <x:c r="L1283" s="22" t="n">
        <x:v>13900</x:v>
      </x:c>
      <x:c r="M1283" s="24" t="n">
        <x:v>0</x:v>
      </x:c>
      <x:c r="N1283" s="24" t="n">
        <x:v>0</x:v>
      </x:c>
      <x:c r="O1283" t="str">
        <x:v>Competitor</x:v>
      </x:c>
      <x:c r="P1283" t="n">
        <x:v>4</x:v>
      </x:c>
      <x:c r="Q1283" t="str">
        <x:f>IFERROR(XLOOKUP(E1283,Lookups!$A$5:$A$24,Lookups!$B$5:$B$24),"Other")</x:f>
        <x:v>Paid Search</x:v>
      </x:c>
      <x:c r="R1283" t="str">
        <x:f>IFERROR(XLOOKUP(F1283,Lookups!$D$5:$D$10,Lookups!$E$5:$E$10),"Unknown Product")</x:f>
        <x:v>Marketing Automation</x:v>
      </x:c>
      <x:c r="S1283" t="str">
        <x:f>IFERROR(XLOOKUP(F1283,Lookups!$D$5:$D$10,Lookups!$F$5:$F$10),"Unknown")</x:f>
        <x:v>Marketing</x:v>
      </x:c>
      <x:c r="T1283" t="str">
        <x:f>IF(L1283&gt;=50000,"Enterprise",IF(L1283&gt;=20000,"Mid-Market","SMB"))</x:f>
        <x:v>SMB</x:v>
      </x:c>
      <x:c r="U1283" t="str">
        <x:f>IF(I1283="Closed Won","Won",IF(I1283="Closed Lost","Lost","Open"))</x:f>
        <x:v>Lost</x:v>
      </x:c>
      <x:c r="V1283" s="22" t="n">
        <x:f>IF(U1283="Won",L1283*(1-M1283),0)</x:f>
        <x:v>0</x:v>
      </x:c>
      <x:c r="W1283" s="22" t="n">
        <x:f>IF(U1283="Open",L1283*N1283,0)</x:f>
        <x:v>0</x:v>
      </x:c>
      <x:c r="X1283" s="26" t="n">
        <x:f>IF(U1283="Open","",IFERROR(K1283-B1283,""))</x:f>
        <x:v>53</x:v>
      </x:c>
      <x:c r="Y1283" s="26" t="n">
        <x:f>IF(U1283="Open",Lookups!$B$2-B1283,X1283)</x:f>
        <x:v>53</x:v>
      </x:c>
      <x:c r="Z1283" t="str">
        <x:f>IF(AND(U1283="Open",Y1283&gt;30),"STALE","OK")</x:f>
        <x:v>OK</x:v>
      </x:c>
      <x:c r="AA1283" t="str">
        <x:f>TEXT(B1283,"yyyy-mm")</x:f>
        <x:v>2025-04</x:v>
      </x:c>
      <x:c r="AB1283" t="str">
        <x:f>IF(K1283="","",TEXT(K1283,"yyyy-mm"))</x:f>
        <x:v>2025-06</x:v>
      </x:c>
      <x:c r="AC1283" t="str">
        <x:f>"Q"&amp;ROUNDUP(MONTH(B1283)/3,0)&amp;"-"&amp;YEAR(B1283)</x:f>
        <x:v>Q2-2025</x:v>
      </x:c>
      <x:c r="AD1283" s="26" t="n">
        <x:f>MIN(100,IF(H1283="Enterprise",30,IF(H1283="Mid-Market",22,14))+IF(T1283="Enterprise",25,IF(T1283="Mid-Market",18,10))+IF(Q1283="Referral",25,IF(Q1283="Organic Search",20,IF(Q1283="Email",18,14)))+IF(G1283="Technology",10,5))</x:f>
        <x:v>43</x:v>
      </x:c>
      <x:c r="AE1283" t="str">
        <x:f>IF(U1283&lt;&gt;"Open",U1283,IF(N1283&gt;=0.8,"Commit",IF(N1283&gt;=0.5,"Best Case","Pipeline")))</x:f>
        <x:v>Lost</x:v>
      </x:c>
    </x:row>
    <x:row r="1284">
      <x:c r="A1284" t="str">
        <x:v>L01283</x:v>
      </x:c>
      <x:c r="B1284" s="10" t="n">
        <x:v>46085</x:v>
      </x:c>
      <x:c r="C1284" t="str">
        <x:v>Minh Do</x:v>
      </x:c>
      <x:c r="D1284" t="str">
        <x:v>North</x:v>
      </x:c>
      <x:c r="E1284" t="str">
        <x:v>virtual event</x:v>
      </x:c>
      <x:c r="F1284" t="str">
        <x:v>CRM-PRO</x:v>
      </x:c>
      <x:c r="G1284" t="str">
        <x:v>Technology</x:v>
      </x:c>
      <x:c r="H1284" t="str">
        <x:v>Enterprise</x:v>
      </x:c>
      <x:c r="I1284" t="str">
        <x:v>Closed Lost</x:v>
      </x:c>
      <x:c r="J1284" s="10" t="n">
        <x:v>46122</x:v>
      </x:c>
      <x:c r="K1284" s="10" t="n">
        <x:v>46122</x:v>
      </x:c>
      <x:c r="L1284" s="22" t="n">
        <x:v>62800</x:v>
      </x:c>
      <x:c r="M1284" s="24" t="n">
        <x:v>0</x:v>
      </x:c>
      <x:c r="N1284" s="24" t="n">
        <x:v>0</x:v>
      </x:c>
      <x:c r="O1284" t="str">
        <x:v>Competitor</x:v>
      </x:c>
      <x:c r="P1284" t="n">
        <x:v>5</x:v>
      </x:c>
      <x:c r="Q1284" t="str">
        <x:f>IFERROR(XLOOKUP(E1284,Lookups!$A$5:$A$24,Lookups!$B$5:$B$24),"Other")</x:f>
        <x:v>Webinar</x:v>
      </x:c>
      <x:c r="R1284" t="str">
        <x:f>IFERROR(XLOOKUP(F1284,Lookups!$D$5:$D$10,Lookups!$E$5:$E$10),"Unknown Product")</x:f>
        <x:v>NexaCRM Pro</x:v>
      </x:c>
      <x:c r="S1284" t="str">
        <x:f>IFERROR(XLOOKUP(F1284,Lookups!$D$5:$D$10,Lookups!$F$5:$F$10),"Unknown")</x:f>
        <x:v>CRM</x:v>
      </x:c>
      <x:c r="T1284" t="str">
        <x:f>IF(L1284&gt;=50000,"Enterprise",IF(L1284&gt;=20000,"Mid-Market","SMB"))</x:f>
        <x:v>Enterprise</x:v>
      </x:c>
      <x:c r="U1284" t="str">
        <x:f>IF(I1284="Closed Won","Won",IF(I1284="Closed Lost","Lost","Open"))</x:f>
        <x:v>Lost</x:v>
      </x:c>
      <x:c r="V1284" s="22" t="n">
        <x:f>IF(U1284="Won",L1284*(1-M1284),0)</x:f>
        <x:v>0</x:v>
      </x:c>
      <x:c r="W1284" s="22" t="n">
        <x:f>IF(U1284="Open",L1284*N1284,0)</x:f>
        <x:v>0</x:v>
      </x:c>
      <x:c r="X1284" s="26" t="n">
        <x:f>IF(U1284="Open","",IFERROR(K1284-B1284,""))</x:f>
        <x:v>37</x:v>
      </x:c>
      <x:c r="Y1284" s="26" t="n">
        <x:f>IF(U1284="Open",Lookups!$B$2-B1284,X1284)</x:f>
        <x:v>37</x:v>
      </x:c>
      <x:c r="Z1284" t="str">
        <x:f>IF(AND(U1284="Open",Y1284&gt;30),"STALE","OK")</x:f>
        <x:v>OK</x:v>
      </x:c>
      <x:c r="AA1284" t="str">
        <x:f>TEXT(B1284,"yyyy-mm")</x:f>
        <x:v>2026-03</x:v>
      </x:c>
      <x:c r="AB1284" t="str">
        <x:f>IF(K1284="","",TEXT(K1284,"yyyy-mm"))</x:f>
        <x:v>2026-04</x:v>
      </x:c>
      <x:c r="AC1284" t="str">
        <x:f>"Q"&amp;ROUNDUP(MONTH(B1284)/3,0)&amp;"-"&amp;YEAR(B1284)</x:f>
        <x:v>Q1-2026</x:v>
      </x:c>
      <x:c r="AD1284" s="26" t="n">
        <x:f>MIN(100,IF(H1284="Enterprise",30,IF(H1284="Mid-Market",22,14))+IF(T1284="Enterprise",25,IF(T1284="Mid-Market",18,10))+IF(Q1284="Referral",25,IF(Q1284="Organic Search",20,IF(Q1284="Email",18,14)))+IF(G1284="Technology",10,5))</x:f>
        <x:v>79</x:v>
      </x:c>
      <x:c r="AE1284" t="str">
        <x:f>IF(U1284&lt;&gt;"Open",U1284,IF(N1284&gt;=0.8,"Commit",IF(N1284&gt;=0.5,"Best Case","Pipeline")))</x:f>
        <x:v>Lost</x:v>
      </x:c>
    </x:row>
    <x:row r="1285">
      <x:c r="A1285" t="str">
        <x:v>L01284</x:v>
      </x:c>
      <x:c r="B1285" s="10" t="n">
        <x:v>46101</x:v>
      </x:c>
      <x:c r="C1285" t="str">
        <x:v>Ha Vo</x:v>
      </x:c>
      <x:c r="D1285" t="str">
        <x:v>North</x:v>
      </x:c>
      <x:c r="E1285" t="str">
        <x:v>Referral</x:v>
      </x:c>
      <x:c r="F1285" t="str">
        <x:v>CS-CLOUD</x:v>
      </x:c>
      <x:c r="G1285" t="str">
        <x:v>Education</x:v>
      </x:c>
      <x:c r="H1285" t="str">
        <x:v>SMB</x:v>
      </x:c>
      <x:c r="I1285" t="str">
        <x:v>Closed Lost</x:v>
      </x:c>
      <x:c r="J1285" s="10" t="n">
        <x:v>46141</x:v>
      </x:c>
      <x:c r="K1285" s="10" t="n">
        <x:v>46141</x:v>
      </x:c>
      <x:c r="L1285" s="22" t="n">
        <x:v>14300</x:v>
      </x:c>
      <x:c r="M1285" s="24" t="n">
        <x:v>0</x:v>
      </x:c>
      <x:c r="N1285" s="24" t="n">
        <x:v>0</x:v>
      </x:c>
      <x:c r="O1285" t="str">
        <x:v>Price</x:v>
      </x:c>
      <x:c r="P1285" t="n">
        <x:v>4</x:v>
      </x:c>
      <x:c r="Q1285" t="str">
        <x:f>IFERROR(XLOOKUP(E1285,Lookups!$A$5:$A$24,Lookups!$B$5:$B$24),"Other")</x:f>
        <x:v>Referral</x:v>
      </x:c>
      <x:c r="R1285" t="str">
        <x:f>IFERROR(XLOOKUP(F1285,Lookups!$D$5:$D$10,Lookups!$E$5:$E$10),"Unknown Product")</x:f>
        <x:v>Service Cloud</x:v>
      </x:c>
      <x:c r="S1285" t="str">
        <x:f>IFERROR(XLOOKUP(F1285,Lookups!$D$5:$D$10,Lookups!$F$5:$F$10),"Unknown")</x:f>
        <x:v>Customer Service</x:v>
      </x:c>
      <x:c r="T1285" t="str">
        <x:f>IF(L1285&gt;=50000,"Enterprise",IF(L1285&gt;=20000,"Mid-Market","SMB"))</x:f>
        <x:v>SMB</x:v>
      </x:c>
      <x:c r="U1285" t="str">
        <x:f>IF(I1285="Closed Won","Won",IF(I1285="Closed Lost","Lost","Open"))</x:f>
        <x:v>Lost</x:v>
      </x:c>
      <x:c r="V1285" s="22" t="n">
        <x:f>IF(U1285="Won",L1285*(1-M1285),0)</x:f>
        <x:v>0</x:v>
      </x:c>
      <x:c r="W1285" s="22" t="n">
        <x:f>IF(U1285="Open",L1285*N1285,0)</x:f>
        <x:v>0</x:v>
      </x:c>
      <x:c r="X1285" s="26" t="n">
        <x:f>IF(U1285="Open","",IFERROR(K1285-B1285,""))</x:f>
        <x:v>40</x:v>
      </x:c>
      <x:c r="Y1285" s="26" t="n">
        <x:f>IF(U1285="Open",Lookups!$B$2-B1285,X1285)</x:f>
        <x:v>40</x:v>
      </x:c>
      <x:c r="Z1285" t="str">
        <x:f>IF(AND(U1285="Open",Y1285&gt;30),"STALE","OK")</x:f>
        <x:v>OK</x:v>
      </x:c>
      <x:c r="AA1285" t="str">
        <x:f>TEXT(B1285,"yyyy-mm")</x:f>
        <x:v>2026-03</x:v>
      </x:c>
      <x:c r="AB1285" t="str">
        <x:f>IF(K1285="","",TEXT(K1285,"yyyy-mm"))</x:f>
        <x:v>2026-04</x:v>
      </x:c>
      <x:c r="AC1285" t="str">
        <x:f>"Q"&amp;ROUNDUP(MONTH(B1285)/3,0)&amp;"-"&amp;YEAR(B1285)</x:f>
        <x:v>Q1-2026</x:v>
      </x:c>
      <x:c r="AD1285" s="26" t="n">
        <x:f>MIN(100,IF(H1285="Enterprise",30,IF(H1285="Mid-Market",22,14))+IF(T1285="Enterprise",25,IF(T1285="Mid-Market",18,10))+IF(Q1285="Referral",25,IF(Q1285="Organic Search",20,IF(Q1285="Email",18,14)))+IF(G1285="Technology",10,5))</x:f>
        <x:v>54</x:v>
      </x:c>
      <x:c r="AE1285" t="str">
        <x:f>IF(U1285&lt;&gt;"Open",U1285,IF(N1285&gt;=0.8,"Commit",IF(N1285&gt;=0.5,"Best Case","Pipeline")))</x:f>
        <x:v>Lost</x:v>
      </x:c>
    </x:row>
    <x:row r="1286">
      <x:c r="A1286" t="str">
        <x:v>L01285</x:v>
      </x:c>
      <x:c r="B1286" s="10" t="n">
        <x:v>45944</x:v>
      </x:c>
      <x:c r="C1286" t="str">
        <x:v>Ha Vo</x:v>
      </x:c>
      <x:c r="D1286" t="str">
        <x:v>North</x:v>
      </x:c>
      <x:c r="E1286" t="str">
        <x:v>email nurture</x:v>
      </x:c>
      <x:c r="F1286" t="str">
        <x:v>CRM-CORE</x:v>
      </x:c>
      <x:c r="G1286" t="str">
        <x:v>Retail</x:v>
      </x:c>
      <x:c r="H1286" t="str">
        <x:v>Mid-Market</x:v>
      </x:c>
      <x:c r="I1286" t="str">
        <x:v>Closed Won</x:v>
      </x:c>
      <x:c r="J1286" s="10" t="n">
        <x:v>45995</x:v>
      </x:c>
      <x:c r="K1286" s="10" t="n">
        <x:v>45995</x:v>
      </x:c>
      <x:c r="L1286" s="22" t="n">
        <x:v>17000</x:v>
      </x:c>
      <x:c r="M1286" s="24" t="n">
        <x:v>0.05</x:v>
      </x:c>
      <x:c r="N1286" s="24" t="n">
        <x:v>1</x:v>
      </x:c>
      <x:c r="O1286" t="str"/>
      <x:c r="P1286" t="n">
        <x:v>6</x:v>
      </x:c>
      <x:c r="Q1286" t="str">
        <x:f>IFERROR(XLOOKUP(E1286,Lookups!$A$5:$A$24,Lookups!$B$5:$B$24),"Other")</x:f>
        <x:v>Email</x:v>
      </x:c>
      <x:c r="R1286" t="str">
        <x:f>IFERROR(XLOOKUP(F1286,Lookups!$D$5:$D$10,Lookups!$E$5:$E$10),"Unknown Product")</x:f>
        <x:v>NexaCRM Core</x:v>
      </x:c>
      <x:c r="S1286" t="str">
        <x:f>IFERROR(XLOOKUP(F1286,Lookups!$D$5:$D$10,Lookups!$F$5:$F$10),"Unknown")</x:f>
        <x:v>CRM</x:v>
      </x:c>
      <x:c r="T1286" t="str">
        <x:f>IF(L1286&gt;=50000,"Enterprise",IF(L1286&gt;=20000,"Mid-Market","SMB"))</x:f>
        <x:v>SMB</x:v>
      </x:c>
      <x:c r="U1286" t="str">
        <x:f>IF(I1286="Closed Won","Won",IF(I1286="Closed Lost","Lost","Open"))</x:f>
        <x:v>Won</x:v>
      </x:c>
      <x:c r="V1286" s="22" t="n">
        <x:f>IF(U1286="Won",L1286*(1-M1286),0)</x:f>
        <x:v>16150</x:v>
      </x:c>
      <x:c r="W1286" s="22" t="n">
        <x:f>IF(U1286="Open",L1286*N1286,0)</x:f>
        <x:v>0</x:v>
      </x:c>
      <x:c r="X1286" s="26" t="n">
        <x:f>IF(U1286="Open","",IFERROR(K1286-B1286,""))</x:f>
        <x:v>51</x:v>
      </x:c>
      <x:c r="Y1286" s="26" t="n">
        <x:f>IF(U1286="Open",Lookups!$B$2-B1286,X1286)</x:f>
        <x:v>51</x:v>
      </x:c>
      <x:c r="Z1286" t="str">
        <x:f>IF(AND(U1286="Open",Y1286&gt;30),"STALE","OK")</x:f>
        <x:v>OK</x:v>
      </x:c>
      <x:c r="AA1286" t="str">
        <x:f>TEXT(B1286,"yyyy-mm")</x:f>
        <x:v>2025-10</x:v>
      </x:c>
      <x:c r="AB1286" t="str">
        <x:f>IF(K1286="","",TEXT(K1286,"yyyy-mm"))</x:f>
        <x:v>2025-12</x:v>
      </x:c>
      <x:c r="AC1286" t="str">
        <x:f>"Q"&amp;ROUNDUP(MONTH(B1286)/3,0)&amp;"-"&amp;YEAR(B1286)</x:f>
        <x:v>Q4-2025</x:v>
      </x:c>
      <x:c r="AD1286" s="26" t="n">
        <x:f>MIN(100,IF(H1286="Enterprise",30,IF(H1286="Mid-Market",22,14))+IF(T1286="Enterprise",25,IF(T1286="Mid-Market",18,10))+IF(Q1286="Referral",25,IF(Q1286="Organic Search",20,IF(Q1286="Email",18,14)))+IF(G1286="Technology",10,5))</x:f>
        <x:v>55</x:v>
      </x:c>
      <x:c r="AE1286" t="str">
        <x:f>IF(U1286&lt;&gt;"Open",U1286,IF(N1286&gt;=0.8,"Commit",IF(N1286&gt;=0.5,"Best Case","Pipeline")))</x:f>
        <x:v>Won</x:v>
      </x:c>
    </x:row>
    <x:row r="1287">
      <x:c r="A1287" t="str">
        <x:v>L01286</x:v>
      </x:c>
      <x:c r="B1287" s="10" t="n">
        <x:v>45863</x:v>
      </x:c>
      <x:c r="C1287" t="str">
        <x:v>Duy Pham</x:v>
      </x:c>
      <x:c r="D1287" t="str">
        <x:v>South</x:v>
      </x:c>
      <x:c r="E1287" t="str">
        <x:v>customer referral</x:v>
      </x:c>
      <x:c r="F1287" t="str">
        <x:v>CRM-CORE</x:v>
      </x:c>
      <x:c r="G1287" t="str">
        <x:v>Professional Services</x:v>
      </x:c>
      <x:c r="H1287" t="str">
        <x:v>SMB</x:v>
      </x:c>
      <x:c r="I1287" t="str">
        <x:v>Closed Lost</x:v>
      </x:c>
      <x:c r="J1287" s="10" t="n">
        <x:v>45886</x:v>
      </x:c>
      <x:c r="K1287" s="10" t="n">
        <x:v>45886</x:v>
      </x:c>
      <x:c r="L1287" s="22" t="n">
        <x:v>7000</x:v>
      </x:c>
      <x:c r="M1287" s="24" t="n">
        <x:v>0</x:v>
      </x:c>
      <x:c r="N1287" s="24" t="n">
        <x:v>0</x:v>
      </x:c>
      <x:c r="O1287" t="str">
        <x:v>Price</x:v>
      </x:c>
      <x:c r="P1287" t="n">
        <x:v>3</x:v>
      </x:c>
      <x:c r="Q1287" t="str">
        <x:f>IFERROR(XLOOKUP(E1287,Lookups!$A$5:$A$24,Lookups!$B$5:$B$24),"Other")</x:f>
        <x:v>Referral</x:v>
      </x:c>
      <x:c r="R1287" t="str">
        <x:f>IFERROR(XLOOKUP(F1287,Lookups!$D$5:$D$10,Lookups!$E$5:$E$10),"Unknown Product")</x:f>
        <x:v>NexaCRM Core</x:v>
      </x:c>
      <x:c r="S1287" t="str">
        <x:f>IFERROR(XLOOKUP(F1287,Lookups!$D$5:$D$10,Lookups!$F$5:$F$10),"Unknown")</x:f>
        <x:v>CRM</x:v>
      </x:c>
      <x:c r="T1287" t="str">
        <x:f>IF(L1287&gt;=50000,"Enterprise",IF(L1287&gt;=20000,"Mid-Market","SMB"))</x:f>
        <x:v>SMB</x:v>
      </x:c>
      <x:c r="U1287" t="str">
        <x:f>IF(I1287="Closed Won","Won",IF(I1287="Closed Lost","Lost","Open"))</x:f>
        <x:v>Lost</x:v>
      </x:c>
      <x:c r="V1287" s="22" t="n">
        <x:f>IF(U1287="Won",L1287*(1-M1287),0)</x:f>
        <x:v>0</x:v>
      </x:c>
      <x:c r="W1287" s="22" t="n">
        <x:f>IF(U1287="Open",L1287*N1287,0)</x:f>
        <x:v>0</x:v>
      </x:c>
      <x:c r="X1287" s="26" t="n">
        <x:f>IF(U1287="Open","",IFERROR(K1287-B1287,""))</x:f>
        <x:v>23</x:v>
      </x:c>
      <x:c r="Y1287" s="26" t="n">
        <x:f>IF(U1287="Open",Lookups!$B$2-B1287,X1287)</x:f>
        <x:v>23</x:v>
      </x:c>
      <x:c r="Z1287" t="str">
        <x:f>IF(AND(U1287="Open",Y1287&gt;30),"STALE","OK")</x:f>
        <x:v>OK</x:v>
      </x:c>
      <x:c r="AA1287" t="str">
        <x:f>TEXT(B1287,"yyyy-mm")</x:f>
        <x:v>2025-07</x:v>
      </x:c>
      <x:c r="AB1287" t="str">
        <x:f>IF(K1287="","",TEXT(K1287,"yyyy-mm"))</x:f>
        <x:v>2025-08</x:v>
      </x:c>
      <x:c r="AC1287" t="str">
        <x:f>"Q"&amp;ROUNDUP(MONTH(B1287)/3,0)&amp;"-"&amp;YEAR(B1287)</x:f>
        <x:v>Q3-2025</x:v>
      </x:c>
      <x:c r="AD1287" s="26" t="n">
        <x:f>MIN(100,IF(H1287="Enterprise",30,IF(H1287="Mid-Market",22,14))+IF(T1287="Enterprise",25,IF(T1287="Mid-Market",18,10))+IF(Q1287="Referral",25,IF(Q1287="Organic Search",20,IF(Q1287="Email",18,14)))+IF(G1287="Technology",10,5))</x:f>
        <x:v>54</x:v>
      </x:c>
      <x:c r="AE1287" t="str">
        <x:f>IF(U1287&lt;&gt;"Open",U1287,IF(N1287&gt;=0.8,"Commit",IF(N1287&gt;=0.5,"Best Case","Pipeline")))</x:f>
        <x:v>Lost</x:v>
      </x:c>
    </x:row>
    <x:row r="1288">
      <x:c r="A1288" t="str">
        <x:v>L01287</x:v>
      </x:c>
      <x:c r="B1288" s="10" t="n">
        <x:v>46186</x:v>
      </x:c>
      <x:c r="C1288" t="str">
        <x:v>An Nguyen</x:v>
      </x:c>
      <x:c r="D1288" t="str">
        <x:v>South</x:v>
      </x:c>
      <x:c r="E1288" t="str">
        <x:v>Unknown Event</x:v>
      </x:c>
      <x:c r="F1288" t="str">
        <x:v>REV-OPS</x:v>
      </x:c>
      <x:c r="G1288" t="str">
        <x:v>Professional Services</x:v>
      </x:c>
      <x:c r="H1288" t="str">
        <x:v>SMB</x:v>
      </x:c>
      <x:c r="I1288" t="str">
        <x:v>Demo / Meeting</x:v>
      </x:c>
      <x:c r="J1288" s="10" t="n">
        <x:v>46220</x:v>
      </x:c>
      <x:c r="K1288" s="10"/>
      <x:c r="L1288" s="22" t="n">
        <x:v>32100</x:v>
      </x:c>
      <x:c r="M1288" s="24" t="n">
        <x:v>0.03</x:v>
      </x:c>
      <x:c r="N1288" s="24" t="n">
        <x:v>0.4</x:v>
      </x:c>
      <x:c r="O1288" t="str"/>
      <x:c r="P1288" t="n">
        <x:v>3</x:v>
      </x:c>
      <x:c r="Q1288" t="str">
        <x:f>IFERROR(XLOOKUP(E1288,Lookups!$A$5:$A$24,Lookups!$B$5:$B$24),"Other")</x:f>
        <x:v>Other</x:v>
      </x:c>
      <x:c r="R1288" t="str">
        <x:f>IFERROR(XLOOKUP(F1288,Lookups!$D$5:$D$10,Lookups!$E$5:$E$10),"Unknown Product")</x:f>
        <x:v>Revenue Operations Suite</x:v>
      </x:c>
      <x:c r="S1288" t="str">
        <x:f>IFERROR(XLOOKUP(F1288,Lookups!$D$5:$D$10,Lookups!$F$5:$F$10),"Unknown")</x:f>
        <x:v>Revenue Ops</x:v>
      </x:c>
      <x:c r="T1288" t="str">
        <x:f>IF(L1288&gt;=50000,"Enterprise",IF(L1288&gt;=20000,"Mid-Market","SMB"))</x:f>
        <x:v>Mid-Market</x:v>
      </x:c>
      <x:c r="U1288" t="str">
        <x:f>IF(I1288="Closed Won","Won",IF(I1288="Closed Lost","Lost","Open"))</x:f>
        <x:v>Open</x:v>
      </x:c>
      <x:c r="V1288" s="22" t="n">
        <x:f>IF(U1288="Won",L1288*(1-M1288),0)</x:f>
        <x:v>0</x:v>
      </x:c>
      <x:c r="W1288" s="22" t="n">
        <x:f>IF(U1288="Open",L1288*N1288,0)</x:f>
        <x:v>12840</x:v>
      </x:c>
      <x:c r="X1288" s="26" t="str">
        <x:f>IF(U1288="Open","",IFERROR(K1288-B1288,""))</x:f>
      </x:c>
      <x:c r="Y1288" s="26" t="n">
        <x:f>IF(U1288="Open",Lookups!$B$2-B1288,X1288)</x:f>
        <x:v>80</x:v>
      </x:c>
      <x:c r="Z1288" t="str">
        <x:f>IF(AND(U1288="Open",Y1288&gt;30),"STALE","OK")</x:f>
        <x:v>STALE</x:v>
      </x:c>
      <x:c r="AA1288" t="str">
        <x:f>TEXT(B1288,"yyyy-mm")</x:f>
        <x:v>2026-06</x:v>
      </x:c>
      <x:c r="AB1288" t="str">
        <x:f>IF(K1288="","",TEXT(K1288,"yyyy-mm"))</x:f>
      </x:c>
      <x:c r="AC1288" t="str">
        <x:f>"Q"&amp;ROUNDUP(MONTH(B1288)/3,0)&amp;"-"&amp;YEAR(B1288)</x:f>
        <x:v>Q2-2026</x:v>
      </x:c>
      <x:c r="AD1288" s="26" t="n">
        <x:f>MIN(100,IF(H1288="Enterprise",30,IF(H1288="Mid-Market",22,14))+IF(T1288="Enterprise",25,IF(T1288="Mid-Market",18,10))+IF(Q1288="Referral",25,IF(Q1288="Organic Search",20,IF(Q1288="Email",18,14)))+IF(G1288="Technology",10,5))</x:f>
        <x:v>51</x:v>
      </x:c>
      <x:c r="AE1288" t="str">
        <x:f>IF(U1288&lt;&gt;"Open",U1288,IF(N1288&gt;=0.8,"Commit",IF(N1288&gt;=0.5,"Best Case","Pipeline")))</x:f>
        <x:v>Pipeline</x:v>
      </x:c>
    </x:row>
    <x:row r="1289">
      <x:c r="A1289" t="str">
        <x:v>L01288</x:v>
      </x:c>
      <x:c r="B1289" s="10" t="n">
        <x:v>45958</x:v>
      </x:c>
      <x:c r="C1289" t="str">
        <x:v>Bao Tran</x:v>
      </x:c>
      <x:c r="D1289" t="str">
        <x:v>South</x:v>
      </x:c>
      <x:c r="E1289" t="str">
        <x:v>Cold Email</x:v>
      </x:c>
      <x:c r="F1289" t="str">
        <x:v>REV-OPS</x:v>
      </x:c>
      <x:c r="G1289" t="str">
        <x:v>Manufacturing</x:v>
      </x:c>
      <x:c r="H1289" t="str">
        <x:v>SMB</x:v>
      </x:c>
      <x:c r="I1289" t="str">
        <x:v>Closed Lost</x:v>
      </x:c>
      <x:c r="J1289" s="10" t="n">
        <x:v>46038</x:v>
      </x:c>
      <x:c r="K1289" s="10" t="n">
        <x:v>46038</x:v>
      </x:c>
      <x:c r="L1289" s="22" t="n">
        <x:v>32100</x:v>
      </x:c>
      <x:c r="M1289" s="24" t="n">
        <x:v>0</x:v>
      </x:c>
      <x:c r="N1289" s="24" t="n">
        <x:v>0</x:v>
      </x:c>
      <x:c r="O1289" t="str">
        <x:v>No Decision</x:v>
      </x:c>
      <x:c r="P1289" t="n">
        <x:v>4</x:v>
      </x:c>
      <x:c r="Q1289" t="str">
        <x:f>IFERROR(XLOOKUP(E1289,Lookups!$A$5:$A$24,Lookups!$B$5:$B$24),"Other")</x:f>
        <x:v>Outbound</x:v>
      </x:c>
      <x:c r="R1289" t="str">
        <x:f>IFERROR(XLOOKUP(F1289,Lookups!$D$5:$D$10,Lookups!$E$5:$E$10),"Unknown Product")</x:f>
        <x:v>Revenue Operations Suite</x:v>
      </x:c>
      <x:c r="S1289" t="str">
        <x:f>IFERROR(XLOOKUP(F1289,Lookups!$D$5:$D$10,Lookups!$F$5:$F$10),"Unknown")</x:f>
        <x:v>Revenue Ops</x:v>
      </x:c>
      <x:c r="T1289" t="str">
        <x:f>IF(L1289&gt;=50000,"Enterprise",IF(L1289&gt;=20000,"Mid-Market","SMB"))</x:f>
        <x:v>Mid-Market</x:v>
      </x:c>
      <x:c r="U1289" t="str">
        <x:f>IF(I1289="Closed Won","Won",IF(I1289="Closed Lost","Lost","Open"))</x:f>
        <x:v>Lost</x:v>
      </x:c>
      <x:c r="V1289" s="22" t="n">
        <x:f>IF(U1289="Won",L1289*(1-M1289),0)</x:f>
        <x:v>0</x:v>
      </x:c>
      <x:c r="W1289" s="22" t="n">
        <x:f>IF(U1289="Open",L1289*N1289,0)</x:f>
        <x:v>0</x:v>
      </x:c>
      <x:c r="X1289" s="26" t="n">
        <x:f>IF(U1289="Open","",IFERROR(K1289-B1289,""))</x:f>
        <x:v>80</x:v>
      </x:c>
      <x:c r="Y1289" s="26" t="n">
        <x:f>IF(U1289="Open",Lookups!$B$2-B1289,X1289)</x:f>
        <x:v>80</x:v>
      </x:c>
      <x:c r="Z1289" t="str">
        <x:f>IF(AND(U1289="Open",Y1289&gt;30),"STALE","OK")</x:f>
        <x:v>OK</x:v>
      </x:c>
      <x:c r="AA1289" t="str">
        <x:f>TEXT(B1289,"yyyy-mm")</x:f>
        <x:v>2025-10</x:v>
      </x:c>
      <x:c r="AB1289" t="str">
        <x:f>IF(K1289="","",TEXT(K1289,"yyyy-mm"))</x:f>
        <x:v>2026-01</x:v>
      </x:c>
      <x:c r="AC1289" t="str">
        <x:f>"Q"&amp;ROUNDUP(MONTH(B1289)/3,0)&amp;"-"&amp;YEAR(B1289)</x:f>
        <x:v>Q4-2025</x:v>
      </x:c>
      <x:c r="AD1289" s="26" t="n">
        <x:f>MIN(100,IF(H1289="Enterprise",30,IF(H1289="Mid-Market",22,14))+IF(T1289="Enterprise",25,IF(T1289="Mid-Market",18,10))+IF(Q1289="Referral",25,IF(Q1289="Organic Search",20,IF(Q1289="Email",18,14)))+IF(G1289="Technology",10,5))</x:f>
        <x:v>51</x:v>
      </x:c>
      <x:c r="AE1289" t="str">
        <x:f>IF(U1289&lt;&gt;"Open",U1289,IF(N1289&gt;=0.8,"Commit",IF(N1289&gt;=0.5,"Best Case","Pipeline")))</x:f>
        <x:v>Lost</x:v>
      </x:c>
    </x:row>
    <x:row r="1290">
      <x:c r="A1290" t="str">
        <x:v>L01289</x:v>
      </x:c>
      <x:c r="B1290" s="10" t="n">
        <x:v>45715</x:v>
      </x:c>
      <x:c r="C1290" t="str">
        <x:v>Bao Tran</x:v>
      </x:c>
      <x:c r="D1290" t="str">
        <x:v>South</x:v>
      </x:c>
      <x:c r="E1290" t="str">
        <x:v>customer referral</x:v>
      </x:c>
      <x:c r="F1290" t="str">
        <x:v>BI-PLUS</x:v>
      </x:c>
      <x:c r="G1290" t="str">
        <x:v>Retail</x:v>
      </x:c>
      <x:c r="H1290" t="str">
        <x:v>SMB</x:v>
      </x:c>
      <x:c r="I1290" t="str">
        <x:v>Closed Won</x:v>
      </x:c>
      <x:c r="J1290" s="10" t="n">
        <x:v>45773</x:v>
      </x:c>
      <x:c r="K1290" s="10" t="n">
        <x:v>45773</x:v>
      </x:c>
      <x:c r="L1290" s="22" t="n">
        <x:v>27400</x:v>
      </x:c>
      <x:c r="M1290" s="24" t="n">
        <x:v>0.03</x:v>
      </x:c>
      <x:c r="N1290" s="24" t="n">
        <x:v>1</x:v>
      </x:c>
      <x:c r="O1290" t="str"/>
      <x:c r="P1290" t="n">
        <x:v>6</x:v>
      </x:c>
      <x:c r="Q1290" t="str">
        <x:f>IFERROR(XLOOKUP(E1290,Lookups!$A$5:$A$24,Lookups!$B$5:$B$24),"Other")</x:f>
        <x:v>Referral</x:v>
      </x:c>
      <x:c r="R1290" t="str">
        <x:f>IFERROR(XLOOKUP(F1290,Lookups!$D$5:$D$10,Lookups!$E$5:$E$10),"Unknown Product")</x:f>
        <x:v>Analytics Plus</x:v>
      </x:c>
      <x:c r="S1290" t="str">
        <x:f>IFERROR(XLOOKUP(F1290,Lookups!$D$5:$D$10,Lookups!$F$5:$F$10),"Unknown")</x:f>
        <x:v>Analytics</x:v>
      </x:c>
      <x:c r="T1290" t="str">
        <x:f>IF(L1290&gt;=50000,"Enterprise",IF(L1290&gt;=20000,"Mid-Market","SMB"))</x:f>
        <x:v>Mid-Market</x:v>
      </x:c>
      <x:c r="U1290" t="str">
        <x:f>IF(I1290="Closed Won","Won",IF(I1290="Closed Lost","Lost","Open"))</x:f>
        <x:v>Won</x:v>
      </x:c>
      <x:c r="V1290" s="22" t="n">
        <x:f>IF(U1290="Won",L1290*(1-M1290),0)</x:f>
        <x:v>26578</x:v>
      </x:c>
      <x:c r="W1290" s="22" t="n">
        <x:f>IF(U1290="Open",L1290*N1290,0)</x:f>
        <x:v>0</x:v>
      </x:c>
      <x:c r="X1290" s="26" t="n">
        <x:f>IF(U1290="Open","",IFERROR(K1290-B1290,""))</x:f>
        <x:v>58</x:v>
      </x:c>
      <x:c r="Y1290" s="26" t="n">
        <x:f>IF(U1290="Open",Lookups!$B$2-B1290,X1290)</x:f>
        <x:v>58</x:v>
      </x:c>
      <x:c r="Z1290" t="str">
        <x:f>IF(AND(U1290="Open",Y1290&gt;30),"STALE","OK")</x:f>
        <x:v>OK</x:v>
      </x:c>
      <x:c r="AA1290" t="str">
        <x:f>TEXT(B1290,"yyyy-mm")</x:f>
        <x:v>2025-02</x:v>
      </x:c>
      <x:c r="AB1290" t="str">
        <x:f>IF(K1290="","",TEXT(K1290,"yyyy-mm"))</x:f>
        <x:v>2025-04</x:v>
      </x:c>
      <x:c r="AC1290" t="str">
        <x:f>"Q"&amp;ROUNDUP(MONTH(B1290)/3,0)&amp;"-"&amp;YEAR(B1290)</x:f>
        <x:v>Q1-2025</x:v>
      </x:c>
      <x:c r="AD1290" s="26" t="n">
        <x:f>MIN(100,IF(H1290="Enterprise",30,IF(H1290="Mid-Market",22,14))+IF(T1290="Enterprise",25,IF(T1290="Mid-Market",18,10))+IF(Q1290="Referral",25,IF(Q1290="Organic Search",20,IF(Q1290="Email",18,14)))+IF(G1290="Technology",10,5))</x:f>
        <x:v>62</x:v>
      </x:c>
      <x:c r="AE1290" t="str">
        <x:f>IF(U1290&lt;&gt;"Open",U1290,IF(N1290&gt;=0.8,"Commit",IF(N1290&gt;=0.5,"Best Case","Pipeline")))</x:f>
        <x:v>Won</x:v>
      </x:c>
    </x:row>
    <x:row r="1291">
      <x:c r="A1291" t="str">
        <x:v>L01290</x:v>
      </x:c>
      <x:c r="B1291" s="10" t="n">
        <x:v>45901</x:v>
      </x:c>
      <x:c r="C1291" t="str">
        <x:v>An Nguyen</x:v>
      </x:c>
      <x:c r="D1291" t="str">
        <x:v>South</x:v>
      </x:c>
      <x:c r="E1291" t="str">
        <x:v>customer referral</x:v>
      </x:c>
      <x:c r="F1291" t="str">
        <x:v>CS-CLOUD</x:v>
      </x:c>
      <x:c r="G1291" t="str">
        <x:v>Education</x:v>
      </x:c>
      <x:c r="H1291" t="str">
        <x:v>SMB</x:v>
      </x:c>
      <x:c r="I1291" t="str">
        <x:v>Closed Lost</x:v>
      </x:c>
      <x:c r="J1291" s="10" t="n">
        <x:v>45977</x:v>
      </x:c>
      <x:c r="K1291" s="10" t="n">
        <x:v>45977</x:v>
      </x:c>
      <x:c r="L1291" s="22" t="n">
        <x:v>25000</x:v>
      </x:c>
      <x:c r="M1291" s="24" t="n">
        <x:v>0</x:v>
      </x:c>
      <x:c r="N1291" s="24" t="n">
        <x:v>0</x:v>
      </x:c>
      <x:c r="O1291" t="str">
        <x:v>Feature Gap</x:v>
      </x:c>
      <x:c r="P1291" t="n">
        <x:v>3</x:v>
      </x:c>
      <x:c r="Q1291" t="str">
        <x:f>IFERROR(XLOOKUP(E1291,Lookups!$A$5:$A$24,Lookups!$B$5:$B$24),"Other")</x:f>
        <x:v>Referral</x:v>
      </x:c>
      <x:c r="R1291" t="str">
        <x:f>IFERROR(XLOOKUP(F1291,Lookups!$D$5:$D$10,Lookups!$E$5:$E$10),"Unknown Product")</x:f>
        <x:v>Service Cloud</x:v>
      </x:c>
      <x:c r="S1291" t="str">
        <x:f>IFERROR(XLOOKUP(F1291,Lookups!$D$5:$D$10,Lookups!$F$5:$F$10),"Unknown")</x:f>
        <x:v>Customer Service</x:v>
      </x:c>
      <x:c r="T1291" t="str">
        <x:f>IF(L1291&gt;=50000,"Enterprise",IF(L1291&gt;=20000,"Mid-Market","SMB"))</x:f>
        <x:v>Mid-Market</x:v>
      </x:c>
      <x:c r="U1291" t="str">
        <x:f>IF(I1291="Closed Won","Won",IF(I1291="Closed Lost","Lost","Open"))</x:f>
        <x:v>Lost</x:v>
      </x:c>
      <x:c r="V1291" s="22" t="n">
        <x:f>IF(U1291="Won",L1291*(1-M1291),0)</x:f>
        <x:v>0</x:v>
      </x:c>
      <x:c r="W1291" s="22" t="n">
        <x:f>IF(U1291="Open",L1291*N1291,0)</x:f>
        <x:v>0</x:v>
      </x:c>
      <x:c r="X1291" s="26" t="n">
        <x:f>IF(U1291="Open","",IFERROR(K1291-B1291,""))</x:f>
        <x:v>76</x:v>
      </x:c>
      <x:c r="Y1291" s="26" t="n">
        <x:f>IF(U1291="Open",Lookups!$B$2-B1291,X1291)</x:f>
        <x:v>76</x:v>
      </x:c>
      <x:c r="Z1291" t="str">
        <x:f>IF(AND(U1291="Open",Y1291&gt;30),"STALE","OK")</x:f>
        <x:v>OK</x:v>
      </x:c>
      <x:c r="AA1291" t="str">
        <x:f>TEXT(B1291,"yyyy-mm")</x:f>
        <x:v>2025-09</x:v>
      </x:c>
      <x:c r="AB1291" t="str">
        <x:f>IF(K1291="","",TEXT(K1291,"yyyy-mm"))</x:f>
        <x:v>2025-11</x:v>
      </x:c>
      <x:c r="AC1291" t="str">
        <x:f>"Q"&amp;ROUNDUP(MONTH(B1291)/3,0)&amp;"-"&amp;YEAR(B1291)</x:f>
        <x:v>Q3-2025</x:v>
      </x:c>
      <x:c r="AD1291" s="26" t="n">
        <x:f>MIN(100,IF(H1291="Enterprise",30,IF(H1291="Mid-Market",22,14))+IF(T1291="Enterprise",25,IF(T1291="Mid-Market",18,10))+IF(Q1291="Referral",25,IF(Q1291="Organic Search",20,IF(Q1291="Email",18,14)))+IF(G1291="Technology",10,5))</x:f>
        <x:v>62</x:v>
      </x:c>
      <x:c r="AE1291" t="str">
        <x:f>IF(U1291&lt;&gt;"Open",U1291,IF(N1291&gt;=0.8,"Commit",IF(N1291&gt;=0.5,"Best Case","Pipeline")))</x:f>
        <x:v>Lost</x:v>
      </x:c>
    </x:row>
    <x:row r="1292">
      <x:c r="A1292" t="str">
        <x:v>L01291</x:v>
      </x:c>
      <x:c r="B1292" s="10" t="n">
        <x:v>46132</x:v>
      </x:c>
      <x:c r="C1292" t="str">
        <x:v>Minh Do</x:v>
      </x:c>
      <x:c r="D1292" t="str">
        <x:v>North</x:v>
      </x:c>
      <x:c r="E1292" t="str">
        <x:v>SEO</x:v>
      </x:c>
      <x:c r="F1292" t="str">
        <x:v>CRM-CORE</x:v>
      </x:c>
      <x:c r="G1292" t="str">
        <x:v>Professional Services</x:v>
      </x:c>
      <x:c r="H1292" t="str">
        <x:v>Mid-Market</x:v>
      </x:c>
      <x:c r="I1292" t="str">
        <x:v>Closed Lost</x:v>
      </x:c>
      <x:c r="J1292" s="10" t="n">
        <x:v>46146</x:v>
      </x:c>
      <x:c r="K1292" s="10" t="n">
        <x:v>46146</x:v>
      </x:c>
      <x:c r="L1292" s="22" t="n">
        <x:v>14700</x:v>
      </x:c>
      <x:c r="M1292" s="24" t="n">
        <x:v>0</x:v>
      </x:c>
      <x:c r="N1292" s="24" t="n">
        <x:v>0</x:v>
      </x:c>
      <x:c r="O1292" t="str">
        <x:v>Competitor</x:v>
      </x:c>
      <x:c r="P1292" t="n">
        <x:v>4</x:v>
      </x:c>
      <x:c r="Q1292" t="str">
        <x:f>IFERROR(XLOOKUP(E1292,Lookups!$A$5:$A$24,Lookups!$B$5:$B$24),"Other")</x:f>
        <x:v>Organic Search</x:v>
      </x:c>
      <x:c r="R1292" t="str">
        <x:f>IFERROR(XLOOKUP(F1292,Lookups!$D$5:$D$10,Lookups!$E$5:$E$10),"Unknown Product")</x:f>
        <x:v>NexaCRM Core</x:v>
      </x:c>
      <x:c r="S1292" t="str">
        <x:f>IFERROR(XLOOKUP(F1292,Lookups!$D$5:$D$10,Lookups!$F$5:$F$10),"Unknown")</x:f>
        <x:v>CRM</x:v>
      </x:c>
      <x:c r="T1292" t="str">
        <x:f>IF(L1292&gt;=50000,"Enterprise",IF(L1292&gt;=20000,"Mid-Market","SMB"))</x:f>
        <x:v>SMB</x:v>
      </x:c>
      <x:c r="U1292" t="str">
        <x:f>IF(I1292="Closed Won","Won",IF(I1292="Closed Lost","Lost","Open"))</x:f>
        <x:v>Lost</x:v>
      </x:c>
      <x:c r="V1292" s="22" t="n">
        <x:f>IF(U1292="Won",L1292*(1-M1292),0)</x:f>
        <x:v>0</x:v>
      </x:c>
      <x:c r="W1292" s="22" t="n">
        <x:f>IF(U1292="Open",L1292*N1292,0)</x:f>
        <x:v>0</x:v>
      </x:c>
      <x:c r="X1292" s="26" t="n">
        <x:f>IF(U1292="Open","",IFERROR(K1292-B1292,""))</x:f>
        <x:v>14</x:v>
      </x:c>
      <x:c r="Y1292" s="26" t="n">
        <x:f>IF(U1292="Open",Lookups!$B$2-B1292,X1292)</x:f>
        <x:v>14</x:v>
      </x:c>
      <x:c r="Z1292" t="str">
        <x:f>IF(AND(U1292="Open",Y1292&gt;30),"STALE","OK")</x:f>
        <x:v>OK</x:v>
      </x:c>
      <x:c r="AA1292" t="str">
        <x:f>TEXT(B1292,"yyyy-mm")</x:f>
        <x:v>2026-04</x:v>
      </x:c>
      <x:c r="AB1292" t="str">
        <x:f>IF(K1292="","",TEXT(K1292,"yyyy-mm"))</x:f>
        <x:v>2026-05</x:v>
      </x:c>
      <x:c r="AC1292" t="str">
        <x:f>"Q"&amp;ROUNDUP(MONTH(B1292)/3,0)&amp;"-"&amp;YEAR(B1292)</x:f>
        <x:v>Q2-2026</x:v>
      </x:c>
      <x:c r="AD1292" s="26" t="n">
        <x:f>MIN(100,IF(H1292="Enterprise",30,IF(H1292="Mid-Market",22,14))+IF(T1292="Enterprise",25,IF(T1292="Mid-Market",18,10))+IF(Q1292="Referral",25,IF(Q1292="Organic Search",20,IF(Q1292="Email",18,14)))+IF(G1292="Technology",10,5))</x:f>
        <x:v>57</x:v>
      </x:c>
      <x:c r="AE1292" t="str">
        <x:f>IF(U1292&lt;&gt;"Open",U1292,IF(N1292&gt;=0.8,"Commit",IF(N1292&gt;=0.5,"Best Case","Pipeline")))</x:f>
        <x:v>Lost</x:v>
      </x:c>
    </x:row>
    <x:row r="1293">
      <x:c r="A1293" t="str">
        <x:v>L01292</x:v>
      </x:c>
      <x:c r="B1293" s="10" t="n">
        <x:v>45918</x:v>
      </x:c>
      <x:c r="C1293" t="str">
        <x:v>Duy Pham</x:v>
      </x:c>
      <x:c r="D1293" t="str">
        <x:v>South</x:v>
      </x:c>
      <x:c r="E1293" t="str">
        <x:v>SEM - Google</x:v>
      </x:c>
      <x:c r="F1293" t="str">
        <x:v>REV-OPS</x:v>
      </x:c>
      <x:c r="G1293" t="str">
        <x:v>Manufacturing</x:v>
      </x:c>
      <x:c r="H1293" t="str">
        <x:v>Mid-Market</x:v>
      </x:c>
      <x:c r="I1293" t="str">
        <x:v>Closed Lost</x:v>
      </x:c>
      <x:c r="J1293" s="10" t="n">
        <x:v>45962</x:v>
      </x:c>
      <x:c r="K1293" s="10" t="n">
        <x:v>45962</x:v>
      </x:c>
      <x:c r="L1293" s="22" t="n">
        <x:v>48100</x:v>
      </x:c>
      <x:c r="M1293" s="24" t="n">
        <x:v>0</x:v>
      </x:c>
      <x:c r="N1293" s="24" t="n">
        <x:v>0</x:v>
      </x:c>
      <x:c r="O1293" t="str">
        <x:v>Competitor</x:v>
      </x:c>
      <x:c r="P1293" t="n">
        <x:v>5</x:v>
      </x:c>
      <x:c r="Q1293" t="str">
        <x:f>IFERROR(XLOOKUP(E1293,Lookups!$A$5:$A$24,Lookups!$B$5:$B$24),"Other")</x:f>
        <x:v>Paid Search</x:v>
      </x:c>
      <x:c r="R1293" t="str">
        <x:f>IFERROR(XLOOKUP(F1293,Lookups!$D$5:$D$10,Lookups!$E$5:$E$10),"Unknown Product")</x:f>
        <x:v>Revenue Operations Suite</x:v>
      </x:c>
      <x:c r="S1293" t="str">
        <x:f>IFERROR(XLOOKUP(F1293,Lookups!$D$5:$D$10,Lookups!$F$5:$F$10),"Unknown")</x:f>
        <x:v>Revenue Ops</x:v>
      </x:c>
      <x:c r="T1293" t="str">
        <x:f>IF(L1293&gt;=50000,"Enterprise",IF(L1293&gt;=20000,"Mid-Market","SMB"))</x:f>
        <x:v>Mid-Market</x:v>
      </x:c>
      <x:c r="U1293" t="str">
        <x:f>IF(I1293="Closed Won","Won",IF(I1293="Closed Lost","Lost","Open"))</x:f>
        <x:v>Lost</x:v>
      </x:c>
      <x:c r="V1293" s="22" t="n">
        <x:f>IF(U1293="Won",L1293*(1-M1293),0)</x:f>
        <x:v>0</x:v>
      </x:c>
      <x:c r="W1293" s="22" t="n">
        <x:f>IF(U1293="Open",L1293*N1293,0)</x:f>
        <x:v>0</x:v>
      </x:c>
      <x:c r="X1293" s="26" t="n">
        <x:f>IF(U1293="Open","",IFERROR(K1293-B1293,""))</x:f>
        <x:v>44</x:v>
      </x:c>
      <x:c r="Y1293" s="26" t="n">
        <x:f>IF(U1293="Open",Lookups!$B$2-B1293,X1293)</x:f>
        <x:v>44</x:v>
      </x:c>
      <x:c r="Z1293" t="str">
        <x:f>IF(AND(U1293="Open",Y1293&gt;30),"STALE","OK")</x:f>
        <x:v>OK</x:v>
      </x:c>
      <x:c r="AA1293" t="str">
        <x:f>TEXT(B1293,"yyyy-mm")</x:f>
        <x:v>2025-09</x:v>
      </x:c>
      <x:c r="AB1293" t="str">
        <x:f>IF(K1293="","",TEXT(K1293,"yyyy-mm"))</x:f>
        <x:v>2025-11</x:v>
      </x:c>
      <x:c r="AC1293" t="str">
        <x:f>"Q"&amp;ROUNDUP(MONTH(B1293)/3,0)&amp;"-"&amp;YEAR(B1293)</x:f>
        <x:v>Q3-2025</x:v>
      </x:c>
      <x:c r="AD1293" s="26" t="n">
        <x:f>MIN(100,IF(H1293="Enterprise",30,IF(H1293="Mid-Market",22,14))+IF(T1293="Enterprise",25,IF(T1293="Mid-Market",18,10))+IF(Q1293="Referral",25,IF(Q1293="Organic Search",20,IF(Q1293="Email",18,14)))+IF(G1293="Technology",10,5))</x:f>
        <x:v>59</x:v>
      </x:c>
      <x:c r="AE1293" t="str">
        <x:f>IF(U1293&lt;&gt;"Open",U1293,IF(N1293&gt;=0.8,"Commit",IF(N1293&gt;=0.5,"Best Case","Pipeline")))</x:f>
        <x:v>Lost</x:v>
      </x:c>
    </x:row>
    <x:row r="1294">
      <x:c r="A1294" t="str">
        <x:v>L01293</x:v>
      </x:c>
      <x:c r="B1294" s="10" t="n">
        <x:v>45867</x:v>
      </x:c>
      <x:c r="C1294" t="str">
        <x:v>Bao Tran</x:v>
      </x:c>
      <x:c r="D1294" t="str">
        <x:v>South</x:v>
      </x:c>
      <x:c r="E1294" t="str">
        <x:v>virtual event</x:v>
      </x:c>
      <x:c r="F1294" t="str">
        <x:v>REV-OPS</x:v>
      </x:c>
      <x:c r="G1294" t="str">
        <x:v>Healthcare</x:v>
      </x:c>
      <x:c r="H1294" t="str">
        <x:v>SMB</x:v>
      </x:c>
      <x:c r="I1294" t="str">
        <x:v>Closed Won</x:v>
      </x:c>
      <x:c r="J1294" s="10" t="n">
        <x:v>45911</x:v>
      </x:c>
      <x:c r="K1294" s="10" t="n">
        <x:v>45911</x:v>
      </x:c>
      <x:c r="L1294" s="22" t="n">
        <x:v>34900</x:v>
      </x:c>
      <x:c r="M1294" s="24" t="n">
        <x:v>0.05</x:v>
      </x:c>
      <x:c r="N1294" s="24" t="n">
        <x:v>1</x:v>
      </x:c>
      <x:c r="O1294" t="str"/>
      <x:c r="P1294" t="n">
        <x:v>6</x:v>
      </x:c>
      <x:c r="Q1294" t="str">
        <x:f>IFERROR(XLOOKUP(E1294,Lookups!$A$5:$A$24,Lookups!$B$5:$B$24),"Other")</x:f>
        <x:v>Webinar</x:v>
      </x:c>
      <x:c r="R1294" t="str">
        <x:f>IFERROR(XLOOKUP(F1294,Lookups!$D$5:$D$10,Lookups!$E$5:$E$10),"Unknown Product")</x:f>
        <x:v>Revenue Operations Suite</x:v>
      </x:c>
      <x:c r="S1294" t="str">
        <x:f>IFERROR(XLOOKUP(F1294,Lookups!$D$5:$D$10,Lookups!$F$5:$F$10),"Unknown")</x:f>
        <x:v>Revenue Ops</x:v>
      </x:c>
      <x:c r="T1294" t="str">
        <x:f>IF(L1294&gt;=50000,"Enterprise",IF(L1294&gt;=20000,"Mid-Market","SMB"))</x:f>
        <x:v>Mid-Market</x:v>
      </x:c>
      <x:c r="U1294" t="str">
        <x:f>IF(I1294="Closed Won","Won",IF(I1294="Closed Lost","Lost","Open"))</x:f>
        <x:v>Won</x:v>
      </x:c>
      <x:c r="V1294" s="22" t="n">
        <x:f>IF(U1294="Won",L1294*(1-M1294),0)</x:f>
        <x:v>33155</x:v>
      </x:c>
      <x:c r="W1294" s="22" t="n">
        <x:f>IF(U1294="Open",L1294*N1294,0)</x:f>
        <x:v>0</x:v>
      </x:c>
      <x:c r="X1294" s="26" t="n">
        <x:f>IF(U1294="Open","",IFERROR(K1294-B1294,""))</x:f>
        <x:v>44</x:v>
      </x:c>
      <x:c r="Y1294" s="26" t="n">
        <x:f>IF(U1294="Open",Lookups!$B$2-B1294,X1294)</x:f>
        <x:v>44</x:v>
      </x:c>
      <x:c r="Z1294" t="str">
        <x:f>IF(AND(U1294="Open",Y1294&gt;30),"STALE","OK")</x:f>
        <x:v>OK</x:v>
      </x:c>
      <x:c r="AA1294" t="str">
        <x:f>TEXT(B1294,"yyyy-mm")</x:f>
        <x:v>2025-07</x:v>
      </x:c>
      <x:c r="AB1294" t="str">
        <x:f>IF(K1294="","",TEXT(K1294,"yyyy-mm"))</x:f>
        <x:v>2025-09</x:v>
      </x:c>
      <x:c r="AC1294" t="str">
        <x:f>"Q"&amp;ROUNDUP(MONTH(B1294)/3,0)&amp;"-"&amp;YEAR(B1294)</x:f>
        <x:v>Q3-2025</x:v>
      </x:c>
      <x:c r="AD1294" s="26" t="n">
        <x:f>MIN(100,IF(H1294="Enterprise",30,IF(H1294="Mid-Market",22,14))+IF(T1294="Enterprise",25,IF(T1294="Mid-Market",18,10))+IF(Q1294="Referral",25,IF(Q1294="Organic Search",20,IF(Q1294="Email",18,14)))+IF(G1294="Technology",10,5))</x:f>
        <x:v>51</x:v>
      </x:c>
      <x:c r="AE1294" t="str">
        <x:f>IF(U1294&lt;&gt;"Open",U1294,IF(N1294&gt;=0.8,"Commit",IF(N1294&gt;=0.5,"Best Case","Pipeline")))</x:f>
        <x:v>Won</x:v>
      </x:c>
    </x:row>
    <x:row r="1295">
      <x:c r="A1295" t="str">
        <x:v>L01294</x:v>
      </x:c>
      <x:c r="B1295" s="10" t="n">
        <x:v>45719</x:v>
      </x:c>
      <x:c r="C1295" t="str">
        <x:v>Bao Tran</x:v>
      </x:c>
      <x:c r="D1295" t="str">
        <x:v>South</x:v>
      </x:c>
      <x:c r="E1295" t="str">
        <x:v>Referral</x:v>
      </x:c>
      <x:c r="F1295" t="str">
        <x:v>BI-PLUS</x:v>
      </x:c>
      <x:c r="G1295" t="str">
        <x:v>Manufacturing</x:v>
      </x:c>
      <x:c r="H1295" t="str">
        <x:v>Enterprise</x:v>
      </x:c>
      <x:c r="I1295" t="str">
        <x:v>Closed Won</x:v>
      </x:c>
      <x:c r="J1295" s="10" t="n">
        <x:v>45807</x:v>
      </x:c>
      <x:c r="K1295" s="10" t="n">
        <x:v>45807</x:v>
      </x:c>
      <x:c r="L1295" s="22" t="n">
        <x:v>69300</x:v>
      </x:c>
      <x:c r="M1295" s="24" t="n">
        <x:v>0.05</x:v>
      </x:c>
      <x:c r="N1295" s="24" t="n">
        <x:v>1</x:v>
      </x:c>
      <x:c r="O1295" t="str"/>
      <x:c r="P1295" t="n">
        <x:v>6</x:v>
      </x:c>
      <x:c r="Q1295" t="str">
        <x:f>IFERROR(XLOOKUP(E1295,Lookups!$A$5:$A$24,Lookups!$B$5:$B$24),"Other")</x:f>
        <x:v>Referral</x:v>
      </x:c>
      <x:c r="R1295" t="str">
        <x:f>IFERROR(XLOOKUP(F1295,Lookups!$D$5:$D$10,Lookups!$E$5:$E$10),"Unknown Product")</x:f>
        <x:v>Analytics Plus</x:v>
      </x:c>
      <x:c r="S1295" t="str">
        <x:f>IFERROR(XLOOKUP(F1295,Lookups!$D$5:$D$10,Lookups!$F$5:$F$10),"Unknown")</x:f>
        <x:v>Analytics</x:v>
      </x:c>
      <x:c r="T1295" t="str">
        <x:f>IF(L1295&gt;=50000,"Enterprise",IF(L1295&gt;=20000,"Mid-Market","SMB"))</x:f>
        <x:v>Enterprise</x:v>
      </x:c>
      <x:c r="U1295" t="str">
        <x:f>IF(I1295="Closed Won","Won",IF(I1295="Closed Lost","Lost","Open"))</x:f>
        <x:v>Won</x:v>
      </x:c>
      <x:c r="V1295" s="22" t="n">
        <x:f>IF(U1295="Won",L1295*(1-M1295),0)</x:f>
        <x:v>65835</x:v>
      </x:c>
      <x:c r="W1295" s="22" t="n">
        <x:f>IF(U1295="Open",L1295*N1295,0)</x:f>
        <x:v>0</x:v>
      </x:c>
      <x:c r="X1295" s="26" t="n">
        <x:f>IF(U1295="Open","",IFERROR(K1295-B1295,""))</x:f>
        <x:v>88</x:v>
      </x:c>
      <x:c r="Y1295" s="26" t="n">
        <x:f>IF(U1295="Open",Lookups!$B$2-B1295,X1295)</x:f>
        <x:v>88</x:v>
      </x:c>
      <x:c r="Z1295" t="str">
        <x:f>IF(AND(U1295="Open",Y1295&gt;30),"STALE","OK")</x:f>
        <x:v>OK</x:v>
      </x:c>
      <x:c r="AA1295" t="str">
        <x:f>TEXT(B1295,"yyyy-mm")</x:f>
        <x:v>2025-03</x:v>
      </x:c>
      <x:c r="AB1295" t="str">
        <x:f>IF(K1295="","",TEXT(K1295,"yyyy-mm"))</x:f>
        <x:v>2025-05</x:v>
      </x:c>
      <x:c r="AC1295" t="str">
        <x:f>"Q"&amp;ROUNDUP(MONTH(B1295)/3,0)&amp;"-"&amp;YEAR(B1295)</x:f>
        <x:v>Q1-2025</x:v>
      </x:c>
      <x:c r="AD1295" s="26" t="n">
        <x:f>MIN(100,IF(H1295="Enterprise",30,IF(H1295="Mid-Market",22,14))+IF(T1295="Enterprise",25,IF(T1295="Mid-Market",18,10))+IF(Q1295="Referral",25,IF(Q1295="Organic Search",20,IF(Q1295="Email",18,14)))+IF(G1295="Technology",10,5))</x:f>
        <x:v>85</x:v>
      </x:c>
      <x:c r="AE1295" t="str">
        <x:f>IF(U1295&lt;&gt;"Open",U1295,IF(N1295&gt;=0.8,"Commit",IF(N1295&gt;=0.5,"Best Case","Pipeline")))</x:f>
        <x:v>Won</x:v>
      </x:c>
    </x:row>
    <x:row r="1296">
      <x:c r="A1296" t="str">
        <x:v>L01295</x:v>
      </x:c>
      <x:c r="B1296" s="10" t="n">
        <x:v>45817</x:v>
      </x:c>
      <x:c r="C1296" t="str">
        <x:v>Chi Le</x:v>
      </x:c>
      <x:c r="D1296" t="str">
        <x:v>South</x:v>
      </x:c>
      <x:c r="E1296" t="str">
        <x:v>Cold Email</x:v>
      </x:c>
      <x:c r="F1296" t="str">
        <x:v>CRM-PRO</x:v>
      </x:c>
      <x:c r="G1296" t="str">
        <x:v>Healthcare</x:v>
      </x:c>
      <x:c r="H1296" t="str">
        <x:v>SMB</x:v>
      </x:c>
      <x:c r="I1296" t="str">
        <x:v>Closed Lost</x:v>
      </x:c>
      <x:c r="J1296" s="10" t="n">
        <x:v>45866</x:v>
      </x:c>
      <x:c r="K1296" s="10" t="n">
        <x:v>45866</x:v>
      </x:c>
      <x:c r="L1296" s="22" t="n">
        <x:v>17400</x:v>
      </x:c>
      <x:c r="M1296" s="24" t="n">
        <x:v>0</x:v>
      </x:c>
      <x:c r="N1296" s="24" t="n">
        <x:v>0</x:v>
      </x:c>
      <x:c r="O1296" t="str">
        <x:v>No Decision</x:v>
      </x:c>
      <x:c r="P1296" t="n">
        <x:v>2</x:v>
      </x:c>
      <x:c r="Q1296" t="str">
        <x:f>IFERROR(XLOOKUP(E1296,Lookups!$A$5:$A$24,Lookups!$B$5:$B$24),"Other")</x:f>
        <x:v>Outbound</x:v>
      </x:c>
      <x:c r="R1296" t="str">
        <x:f>IFERROR(XLOOKUP(F1296,Lookups!$D$5:$D$10,Lookups!$E$5:$E$10),"Unknown Product")</x:f>
        <x:v>NexaCRM Pro</x:v>
      </x:c>
      <x:c r="S1296" t="str">
        <x:f>IFERROR(XLOOKUP(F1296,Lookups!$D$5:$D$10,Lookups!$F$5:$F$10),"Unknown")</x:f>
        <x:v>CRM</x:v>
      </x:c>
      <x:c r="T1296" t="str">
        <x:f>IF(L1296&gt;=50000,"Enterprise",IF(L1296&gt;=20000,"Mid-Market","SMB"))</x:f>
        <x:v>SMB</x:v>
      </x:c>
      <x:c r="U1296" t="str">
        <x:f>IF(I1296="Closed Won","Won",IF(I1296="Closed Lost","Lost","Open"))</x:f>
        <x:v>Lost</x:v>
      </x:c>
      <x:c r="V1296" s="22" t="n">
        <x:f>IF(U1296="Won",L1296*(1-M1296),0)</x:f>
        <x:v>0</x:v>
      </x:c>
      <x:c r="W1296" s="22" t="n">
        <x:f>IF(U1296="Open",L1296*N1296,0)</x:f>
        <x:v>0</x:v>
      </x:c>
      <x:c r="X1296" s="26" t="n">
        <x:f>IF(U1296="Open","",IFERROR(K1296-B1296,""))</x:f>
        <x:v>49</x:v>
      </x:c>
      <x:c r="Y1296" s="26" t="n">
        <x:f>IF(U1296="Open",Lookups!$B$2-B1296,X1296)</x:f>
        <x:v>49</x:v>
      </x:c>
      <x:c r="Z1296" t="str">
        <x:f>IF(AND(U1296="Open",Y1296&gt;30),"STALE","OK")</x:f>
        <x:v>OK</x:v>
      </x:c>
      <x:c r="AA1296" t="str">
        <x:f>TEXT(B1296,"yyyy-mm")</x:f>
        <x:v>2025-06</x:v>
      </x:c>
      <x:c r="AB1296" t="str">
        <x:f>IF(K1296="","",TEXT(K1296,"yyyy-mm"))</x:f>
        <x:v>2025-07</x:v>
      </x:c>
      <x:c r="AC1296" t="str">
        <x:f>"Q"&amp;ROUNDUP(MONTH(B1296)/3,0)&amp;"-"&amp;YEAR(B1296)</x:f>
        <x:v>Q2-2025</x:v>
      </x:c>
      <x:c r="AD1296" s="26" t="n">
        <x:f>MIN(100,IF(H1296="Enterprise",30,IF(H1296="Mid-Market",22,14))+IF(T1296="Enterprise",25,IF(T1296="Mid-Market",18,10))+IF(Q1296="Referral",25,IF(Q1296="Organic Search",20,IF(Q1296="Email",18,14)))+IF(G1296="Technology",10,5))</x:f>
        <x:v>43</x:v>
      </x:c>
      <x:c r="AE1296" t="str">
        <x:f>IF(U1296&lt;&gt;"Open",U1296,IF(N1296&gt;=0.8,"Commit",IF(N1296&gt;=0.5,"Best Case","Pipeline")))</x:f>
        <x:v>Lost</x:v>
      </x:c>
    </x:row>
    <x:row r="1297">
      <x:c r="A1297" t="str">
        <x:v>L01296</x:v>
      </x:c>
      <x:c r="B1297" s="10" t="n">
        <x:v>45990</x:v>
      </x:c>
      <x:c r="C1297" t="str">
        <x:v>Quynh Vu</x:v>
      </x:c>
      <x:c r="D1297" t="str">
        <x:v>North</x:v>
      </x:c>
      <x:c r="E1297" t="str">
        <x:v>google cpc</x:v>
      </x:c>
      <x:c r="F1297" t="str">
        <x:v>BI-PLUS</x:v>
      </x:c>
      <x:c r="G1297" t="str">
        <x:v>Financial Services</x:v>
      </x:c>
      <x:c r="H1297" t="str">
        <x:v>Mid-Market</x:v>
      </x:c>
      <x:c r="I1297" t="str">
        <x:v>Closed Lost</x:v>
      </x:c>
      <x:c r="J1297" s="10" t="n">
        <x:v>46052</x:v>
      </x:c>
      <x:c r="K1297" s="10" t="n">
        <x:v>46052</x:v>
      </x:c>
      <x:c r="L1297" s="22" t="n">
        <x:v>36200</x:v>
      </x:c>
      <x:c r="M1297" s="24" t="n">
        <x:v>0</x:v>
      </x:c>
      <x:c r="N1297" s="24" t="n">
        <x:v>0</x:v>
      </x:c>
      <x:c r="O1297" t="str">
        <x:v>No Decision</x:v>
      </x:c>
      <x:c r="P1297" t="n">
        <x:v>4</x:v>
      </x:c>
      <x:c r="Q1297" t="str">
        <x:f>IFERROR(XLOOKUP(E1297,Lookups!$A$5:$A$24,Lookups!$B$5:$B$24),"Other")</x:f>
        <x:v>Paid Search</x:v>
      </x:c>
      <x:c r="R1297" t="str">
        <x:f>IFERROR(XLOOKUP(F1297,Lookups!$D$5:$D$10,Lookups!$E$5:$E$10),"Unknown Product")</x:f>
        <x:v>Analytics Plus</x:v>
      </x:c>
      <x:c r="S1297" t="str">
        <x:f>IFERROR(XLOOKUP(F1297,Lookups!$D$5:$D$10,Lookups!$F$5:$F$10),"Unknown")</x:f>
        <x:v>Analytics</x:v>
      </x:c>
      <x:c r="T1297" t="str">
        <x:f>IF(L1297&gt;=50000,"Enterprise",IF(L1297&gt;=20000,"Mid-Market","SMB"))</x:f>
        <x:v>Mid-Market</x:v>
      </x:c>
      <x:c r="U1297" t="str">
        <x:f>IF(I1297="Closed Won","Won",IF(I1297="Closed Lost","Lost","Open"))</x:f>
        <x:v>Lost</x:v>
      </x:c>
      <x:c r="V1297" s="22" t="n">
        <x:f>IF(U1297="Won",L1297*(1-M1297),0)</x:f>
        <x:v>0</x:v>
      </x:c>
      <x:c r="W1297" s="22" t="n">
        <x:f>IF(U1297="Open",L1297*N1297,0)</x:f>
        <x:v>0</x:v>
      </x:c>
      <x:c r="X1297" s="26" t="n">
        <x:f>IF(U1297="Open","",IFERROR(K1297-B1297,""))</x:f>
        <x:v>62</x:v>
      </x:c>
      <x:c r="Y1297" s="26" t="n">
        <x:f>IF(U1297="Open",Lookups!$B$2-B1297,X1297)</x:f>
        <x:v>62</x:v>
      </x:c>
      <x:c r="Z1297" t="str">
        <x:f>IF(AND(U1297="Open",Y1297&gt;30),"STALE","OK")</x:f>
        <x:v>OK</x:v>
      </x:c>
      <x:c r="AA1297" t="str">
        <x:f>TEXT(B1297,"yyyy-mm")</x:f>
        <x:v>2025-11</x:v>
      </x:c>
      <x:c r="AB1297" t="str">
        <x:f>IF(K1297="","",TEXT(K1297,"yyyy-mm"))</x:f>
        <x:v>2026-01</x:v>
      </x:c>
      <x:c r="AC1297" t="str">
        <x:f>"Q"&amp;ROUNDUP(MONTH(B1297)/3,0)&amp;"-"&amp;YEAR(B1297)</x:f>
        <x:v>Q4-2025</x:v>
      </x:c>
      <x:c r="AD1297" s="26" t="n">
        <x:f>MIN(100,IF(H1297="Enterprise",30,IF(H1297="Mid-Market",22,14))+IF(T1297="Enterprise",25,IF(T1297="Mid-Market",18,10))+IF(Q1297="Referral",25,IF(Q1297="Organic Search",20,IF(Q1297="Email",18,14)))+IF(G1297="Technology",10,5))</x:f>
        <x:v>59</x:v>
      </x:c>
      <x:c r="AE1297" t="str">
        <x:f>IF(U1297&lt;&gt;"Open",U1297,IF(N1297&gt;=0.8,"Commit",IF(N1297&gt;=0.5,"Best Case","Pipeline")))</x:f>
        <x:v>Lost</x:v>
      </x:c>
    </x:row>
    <x:row r="1298">
      <x:c r="A1298" t="str">
        <x:v>L01297</x:v>
      </x:c>
      <x:c r="B1298" s="10" t="n">
        <x:v>46013</x:v>
      </x:c>
      <x:c r="C1298" t="str">
        <x:v>An Nguyen</x:v>
      </x:c>
      <x:c r="D1298" t="str">
        <x:v>South</x:v>
      </x:c>
      <x:c r="E1298" t="str">
        <x:v>Email Campaign</x:v>
      </x:c>
      <x:c r="F1298" t="str">
        <x:v>CRM-PRO</x:v>
      </x:c>
      <x:c r="G1298" t="str">
        <x:v>Technology</x:v>
      </x:c>
      <x:c r="H1298" t="str">
        <x:v>SMB</x:v>
      </x:c>
      <x:c r="I1298" t="str">
        <x:v>Closed Won</x:v>
      </x:c>
      <x:c r="J1298" s="10" t="n">
        <x:v>46026</x:v>
      </x:c>
      <x:c r="K1298" s="10" t="n">
        <x:v>46026</x:v>
      </x:c>
      <x:c r="L1298" s="22" t="n">
        <x:v>22700</x:v>
      </x:c>
      <x:c r="M1298" s="24" t="n">
        <x:v>0.08</x:v>
      </x:c>
      <x:c r="N1298" s="24" t="n">
        <x:v>1</x:v>
      </x:c>
      <x:c r="O1298" t="str"/>
      <x:c r="P1298" t="n">
        <x:v>6</x:v>
      </x:c>
      <x:c r="Q1298" t="str">
        <x:f>IFERROR(XLOOKUP(E1298,Lookups!$A$5:$A$24,Lookups!$B$5:$B$24),"Other")</x:f>
        <x:v>Email</x:v>
      </x:c>
      <x:c r="R1298" t="str">
        <x:f>IFERROR(XLOOKUP(F1298,Lookups!$D$5:$D$10,Lookups!$E$5:$E$10),"Unknown Product")</x:f>
        <x:v>NexaCRM Pro</x:v>
      </x:c>
      <x:c r="S1298" t="str">
        <x:f>IFERROR(XLOOKUP(F1298,Lookups!$D$5:$D$10,Lookups!$F$5:$F$10),"Unknown")</x:f>
        <x:v>CRM</x:v>
      </x:c>
      <x:c r="T1298" t="str">
        <x:f>IF(L1298&gt;=50000,"Enterprise",IF(L1298&gt;=20000,"Mid-Market","SMB"))</x:f>
        <x:v>Mid-Market</x:v>
      </x:c>
      <x:c r="U1298" t="str">
        <x:f>IF(I1298="Closed Won","Won",IF(I1298="Closed Lost","Lost","Open"))</x:f>
        <x:v>Won</x:v>
      </x:c>
      <x:c r="V1298" s="22" t="n">
        <x:f>IF(U1298="Won",L1298*(1-M1298),0)</x:f>
        <x:v>20884</x:v>
      </x:c>
      <x:c r="W1298" s="22" t="n">
        <x:f>IF(U1298="Open",L1298*N1298,0)</x:f>
        <x:v>0</x:v>
      </x:c>
      <x:c r="X1298" s="26" t="n">
        <x:f>IF(U1298="Open","",IFERROR(K1298-B1298,""))</x:f>
        <x:v>13</x:v>
      </x:c>
      <x:c r="Y1298" s="26" t="n">
        <x:f>IF(U1298="Open",Lookups!$B$2-B1298,X1298)</x:f>
        <x:v>13</x:v>
      </x:c>
      <x:c r="Z1298" t="str">
        <x:f>IF(AND(U1298="Open",Y1298&gt;30),"STALE","OK")</x:f>
        <x:v>OK</x:v>
      </x:c>
      <x:c r="AA1298" t="str">
        <x:f>TEXT(B1298,"yyyy-mm")</x:f>
        <x:v>2025-12</x:v>
      </x:c>
      <x:c r="AB1298" t="str">
        <x:f>IF(K1298="","",TEXT(K1298,"yyyy-mm"))</x:f>
        <x:v>2026-01</x:v>
      </x:c>
      <x:c r="AC1298" t="str">
        <x:f>"Q"&amp;ROUNDUP(MONTH(B1298)/3,0)&amp;"-"&amp;YEAR(B1298)</x:f>
        <x:v>Q4-2025</x:v>
      </x:c>
      <x:c r="AD1298" s="26" t="n">
        <x:f>MIN(100,IF(H1298="Enterprise",30,IF(H1298="Mid-Market",22,14))+IF(T1298="Enterprise",25,IF(T1298="Mid-Market",18,10))+IF(Q1298="Referral",25,IF(Q1298="Organic Search",20,IF(Q1298="Email",18,14)))+IF(G1298="Technology",10,5))</x:f>
        <x:v>60</x:v>
      </x:c>
      <x:c r="AE1298" t="str">
        <x:f>IF(U1298&lt;&gt;"Open",U1298,IF(N1298&gt;=0.8,"Commit",IF(N1298&gt;=0.5,"Best Case","Pipeline")))</x:f>
        <x:v>Won</x:v>
      </x:c>
    </x:row>
    <x:row r="1299">
      <x:c r="A1299" t="str">
        <x:v>L01298</x:v>
      </x:c>
      <x:c r="B1299" s="10" t="n">
        <x:v>46212</x:v>
      </x:c>
      <x:c r="C1299" t="str">
        <x:v>Bao Tran</x:v>
      </x:c>
      <x:c r="D1299" t="str">
        <x:v>South</x:v>
      </x:c>
      <x:c r="E1299" t="str">
        <x:v>email nurture</x:v>
      </x:c>
      <x:c r="F1299" t="str">
        <x:v>CRM-PRO</x:v>
      </x:c>
      <x:c r="G1299" t="str">
        <x:v>Technology</x:v>
      </x:c>
      <x:c r="H1299" t="str">
        <x:v>Mid-Market</x:v>
      </x:c>
      <x:c r="I1299" t="str">
        <x:v>Closed Lost</x:v>
      </x:c>
      <x:c r="J1299" s="10" t="n">
        <x:v>46220</x:v>
      </x:c>
      <x:c r="K1299" s="10" t="n">
        <x:v>46220</x:v>
      </x:c>
      <x:c r="L1299" s="22" t="n">
        <x:v>26000</x:v>
      </x:c>
      <x:c r="M1299" s="24" t="n">
        <x:v>0</x:v>
      </x:c>
      <x:c r="N1299" s="24" t="n">
        <x:v>0</x:v>
      </x:c>
      <x:c r="O1299" t="str">
        <x:v>Budget</x:v>
      </x:c>
      <x:c r="P1299" t="n">
        <x:v>4</x:v>
      </x:c>
      <x:c r="Q1299" t="str">
        <x:f>IFERROR(XLOOKUP(E1299,Lookups!$A$5:$A$24,Lookups!$B$5:$B$24),"Other")</x:f>
        <x:v>Email</x:v>
      </x:c>
      <x:c r="R1299" t="str">
        <x:f>IFERROR(XLOOKUP(F1299,Lookups!$D$5:$D$10,Lookups!$E$5:$E$10),"Unknown Product")</x:f>
        <x:v>NexaCRM Pro</x:v>
      </x:c>
      <x:c r="S1299" t="str">
        <x:f>IFERROR(XLOOKUP(F1299,Lookups!$D$5:$D$10,Lookups!$F$5:$F$10),"Unknown")</x:f>
        <x:v>CRM</x:v>
      </x:c>
      <x:c r="T1299" t="str">
        <x:f>IF(L1299&gt;=50000,"Enterprise",IF(L1299&gt;=20000,"Mid-Market","SMB"))</x:f>
        <x:v>Mid-Market</x:v>
      </x:c>
      <x:c r="U1299" t="str">
        <x:f>IF(I1299="Closed Won","Won",IF(I1299="Closed Lost","Lost","Open"))</x:f>
        <x:v>Lost</x:v>
      </x:c>
      <x:c r="V1299" s="22" t="n">
        <x:f>IF(U1299="Won",L1299*(1-M1299),0)</x:f>
        <x:v>0</x:v>
      </x:c>
      <x:c r="W1299" s="22" t="n">
        <x:f>IF(U1299="Open",L1299*N1299,0)</x:f>
        <x:v>0</x:v>
      </x:c>
      <x:c r="X1299" s="26" t="n">
        <x:f>IF(U1299="Open","",IFERROR(K1299-B1299,""))</x:f>
        <x:v>8</x:v>
      </x:c>
      <x:c r="Y1299" s="26" t="n">
        <x:f>IF(U1299="Open",Lookups!$B$2-B1299,X1299)</x:f>
        <x:v>8</x:v>
      </x:c>
      <x:c r="Z1299" t="str">
        <x:f>IF(AND(U1299="Open",Y1299&gt;30),"STALE","OK")</x:f>
        <x:v>OK</x:v>
      </x:c>
      <x:c r="AA1299" t="str">
        <x:f>TEXT(B1299,"yyyy-mm")</x:f>
        <x:v>2026-07</x:v>
      </x:c>
      <x:c r="AB1299" t="str">
        <x:f>IF(K1299="","",TEXT(K1299,"yyyy-mm"))</x:f>
        <x:v>2026-07</x:v>
      </x:c>
      <x:c r="AC1299" t="str">
        <x:f>"Q"&amp;ROUNDUP(MONTH(B1299)/3,0)&amp;"-"&amp;YEAR(B1299)</x:f>
        <x:v>Q3-2026</x:v>
      </x:c>
      <x:c r="AD1299" s="26" t="n">
        <x:f>MIN(100,IF(H1299="Enterprise",30,IF(H1299="Mid-Market",22,14))+IF(T1299="Enterprise",25,IF(T1299="Mid-Market",18,10))+IF(Q1299="Referral",25,IF(Q1299="Organic Search",20,IF(Q1299="Email",18,14)))+IF(G1299="Technology",10,5))</x:f>
        <x:v>68</x:v>
      </x:c>
      <x:c r="AE1299" t="str">
        <x:f>IF(U1299&lt;&gt;"Open",U1299,IF(N1299&gt;=0.8,"Commit",IF(N1299&gt;=0.5,"Best Case","Pipeline")))</x:f>
        <x:v>Lost</x:v>
      </x:c>
    </x:row>
    <x:row r="1300">
      <x:c r="A1300" t="str">
        <x:v>L01299</x:v>
      </x:c>
      <x:c r="B1300" s="10" t="n">
        <x:v>46257</x:v>
      </x:c>
      <x:c r="C1300" t="str">
        <x:v>Chi Le</x:v>
      </x:c>
      <x:c r="D1300" t="str">
        <x:v>South</x:v>
      </x:c>
      <x:c r="E1300" t="str">
        <x:v>organic search</x:v>
      </x:c>
      <x:c r="F1300" t="str">
        <x:v>MKT-AUTO</x:v>
      </x:c>
      <x:c r="G1300" t="str">
        <x:v>Retail</x:v>
      </x:c>
      <x:c r="H1300" t="str">
        <x:v>SMB</x:v>
      </x:c>
      <x:c r="I1300" t="str">
        <x:v>New</x:v>
      </x:c>
      <x:c r="J1300" s="10" t="n">
        <x:v>46262</x:v>
      </x:c>
      <x:c r="K1300" s="10"/>
      <x:c r="L1300" s="22" t="n">
        <x:v>14800</x:v>
      </x:c>
      <x:c r="M1300" s="24" t="n">
        <x:v>0</x:v>
      </x:c>
      <x:c r="N1300" s="24" t="n">
        <x:v>0.05</x:v>
      </x:c>
      <x:c r="O1300" t="str"/>
      <x:c r="P1300" t="n">
        <x:v>1</x:v>
      </x:c>
      <x:c r="Q1300" t="str">
        <x:f>IFERROR(XLOOKUP(E1300,Lookups!$A$5:$A$24,Lookups!$B$5:$B$24),"Other")</x:f>
        <x:v>Organic Search</x:v>
      </x:c>
      <x:c r="R1300" t="str">
        <x:f>IFERROR(XLOOKUP(F1300,Lookups!$D$5:$D$10,Lookups!$E$5:$E$10),"Unknown Product")</x:f>
        <x:v>Marketing Automation</x:v>
      </x:c>
      <x:c r="S1300" t="str">
        <x:f>IFERROR(XLOOKUP(F1300,Lookups!$D$5:$D$10,Lookups!$F$5:$F$10),"Unknown")</x:f>
        <x:v>Marketing</x:v>
      </x:c>
      <x:c r="T1300" t="str">
        <x:f>IF(L1300&gt;=50000,"Enterprise",IF(L1300&gt;=20000,"Mid-Market","SMB"))</x:f>
        <x:v>SMB</x:v>
      </x:c>
      <x:c r="U1300" t="str">
        <x:f>IF(I1300="Closed Won","Won",IF(I1300="Closed Lost","Lost","Open"))</x:f>
        <x:v>Open</x:v>
      </x:c>
      <x:c r="V1300" s="22" t="n">
        <x:f>IF(U1300="Won",L1300*(1-M1300),0)</x:f>
        <x:v>0</x:v>
      </x:c>
      <x:c r="W1300" s="22" t="n">
        <x:f>IF(U1300="Open",L1300*N1300,0)</x:f>
        <x:v>740</x:v>
      </x:c>
      <x:c r="X1300" s="26" t="str">
        <x:f>IF(U1300="Open","",IFERROR(K1300-B1300,""))</x:f>
      </x:c>
      <x:c r="Y1300" s="26" t="n">
        <x:f>IF(U1300="Open",Lookups!$B$2-B1300,X1300)</x:f>
        <x:v>9</x:v>
      </x:c>
      <x:c r="Z1300" t="str">
        <x:f>IF(AND(U1300="Open",Y1300&gt;30),"STALE","OK")</x:f>
        <x:v>OK</x:v>
      </x:c>
      <x:c r="AA1300" t="str">
        <x:f>TEXT(B1300,"yyyy-mm")</x:f>
        <x:v>2026-08</x:v>
      </x:c>
      <x:c r="AB1300" t="str">
        <x:f>IF(K1300="","",TEXT(K1300,"yyyy-mm"))</x:f>
      </x:c>
      <x:c r="AC1300" t="str">
        <x:f>"Q"&amp;ROUNDUP(MONTH(B1300)/3,0)&amp;"-"&amp;YEAR(B1300)</x:f>
        <x:v>Q3-2026</x:v>
      </x:c>
      <x:c r="AD1300" s="26" t="n">
        <x:f>MIN(100,IF(H1300="Enterprise",30,IF(H1300="Mid-Market",22,14))+IF(T1300="Enterprise",25,IF(T1300="Mid-Market",18,10))+IF(Q1300="Referral",25,IF(Q1300="Organic Search",20,IF(Q1300="Email",18,14)))+IF(G1300="Technology",10,5))</x:f>
        <x:v>49</x:v>
      </x:c>
      <x:c r="AE1300" t="str">
        <x:f>IF(U1300&lt;&gt;"Open",U1300,IF(N1300&gt;=0.8,"Commit",IF(N1300&gt;=0.5,"Best Case","Pipeline")))</x:f>
        <x:v>Pipeline</x:v>
      </x:c>
    </x:row>
    <x:row r="1301">
      <x:c r="A1301" t="str">
        <x:v>L01300</x:v>
      </x:c>
      <x:c r="B1301" s="10" t="n">
        <x:v>46184</x:v>
      </x:c>
      <x:c r="C1301" t="str">
        <x:v>Ha Vo</x:v>
      </x:c>
      <x:c r="D1301" t="str">
        <x:v>North</x:v>
      </x:c>
      <x:c r="E1301" t="str">
        <x:v>Google Ads</x:v>
      </x:c>
      <x:c r="F1301" t="str">
        <x:v>MKT-AUTO</x:v>
      </x:c>
      <x:c r="G1301" t="str">
        <x:v>Financial Services</x:v>
      </x:c>
      <x:c r="H1301" t="str">
        <x:v>Mid-Market</x:v>
      </x:c>
      <x:c r="I1301" t="str">
        <x:v>Demo / Meeting</x:v>
      </x:c>
      <x:c r="J1301" s="10" t="n">
        <x:v>46217</x:v>
      </x:c>
      <x:c r="K1301" s="10"/>
      <x:c r="L1301" s="22" t="n">
        <x:v>37300</x:v>
      </x:c>
      <x:c r="M1301" s="24" t="n">
        <x:v>0.03</x:v>
      </x:c>
      <x:c r="N1301" s="24" t="n">
        <x:v>0.4</x:v>
      </x:c>
      <x:c r="O1301" t="str"/>
      <x:c r="P1301" t="n">
        <x:v>3</x:v>
      </x:c>
      <x:c r="Q1301" t="str">
        <x:f>IFERROR(XLOOKUP(E1301,Lookups!$A$5:$A$24,Lookups!$B$5:$B$24),"Other")</x:f>
        <x:v>Paid Search</x:v>
      </x:c>
      <x:c r="R1301" t="str">
        <x:f>IFERROR(XLOOKUP(F1301,Lookups!$D$5:$D$10,Lookups!$E$5:$E$10),"Unknown Product")</x:f>
        <x:v>Marketing Automation</x:v>
      </x:c>
      <x:c r="S1301" t="str">
        <x:f>IFERROR(XLOOKUP(F1301,Lookups!$D$5:$D$10,Lookups!$F$5:$F$10),"Unknown")</x:f>
        <x:v>Marketing</x:v>
      </x:c>
      <x:c r="T1301" t="str">
        <x:f>IF(L1301&gt;=50000,"Enterprise",IF(L1301&gt;=20000,"Mid-Market","SMB"))</x:f>
        <x:v>Mid-Market</x:v>
      </x:c>
      <x:c r="U1301" t="str">
        <x:f>IF(I1301="Closed Won","Won",IF(I1301="Closed Lost","Lost","Open"))</x:f>
        <x:v>Open</x:v>
      </x:c>
      <x:c r="V1301" s="22" t="n">
        <x:f>IF(U1301="Won",L1301*(1-M1301),0)</x:f>
        <x:v>0</x:v>
      </x:c>
      <x:c r="W1301" s="22" t="n">
        <x:f>IF(U1301="Open",L1301*N1301,0)</x:f>
        <x:v>14920</x:v>
      </x:c>
      <x:c r="X1301" s="26" t="str">
        <x:f>IF(U1301="Open","",IFERROR(K1301-B1301,""))</x:f>
      </x:c>
      <x:c r="Y1301" s="26" t="n">
        <x:f>IF(U1301="Open",Lookups!$B$2-B1301,X1301)</x:f>
        <x:v>82</x:v>
      </x:c>
      <x:c r="Z1301" t="str">
        <x:f>IF(AND(U1301="Open",Y1301&gt;30),"STALE","OK")</x:f>
        <x:v>STALE</x:v>
      </x:c>
      <x:c r="AA1301" t="str">
        <x:f>TEXT(B1301,"yyyy-mm")</x:f>
        <x:v>2026-06</x:v>
      </x:c>
      <x:c r="AB1301" t="str">
        <x:f>IF(K1301="","",TEXT(K1301,"yyyy-mm"))</x:f>
      </x:c>
      <x:c r="AC1301" t="str">
        <x:f>"Q"&amp;ROUNDUP(MONTH(B1301)/3,0)&amp;"-"&amp;YEAR(B1301)</x:f>
        <x:v>Q2-2026</x:v>
      </x:c>
      <x:c r="AD1301" s="26" t="n">
        <x:f>MIN(100,IF(H1301="Enterprise",30,IF(H1301="Mid-Market",22,14))+IF(T1301="Enterprise",25,IF(T1301="Mid-Market",18,10))+IF(Q1301="Referral",25,IF(Q1301="Organic Search",20,IF(Q1301="Email",18,14)))+IF(G1301="Technology",10,5))</x:f>
        <x:v>59</x:v>
      </x:c>
      <x:c r="AE1301" t="str">
        <x:f>IF(U1301&lt;&gt;"Open",U1301,IF(N1301&gt;=0.8,"Commit",IF(N1301&gt;=0.5,"Best Case","Pipeline")))</x:f>
        <x:v>Pipeline</x:v>
      </x:c>
    </x:row>
    <x:row r="1302">
      <x:c r="A1302" t="str">
        <x:v>L01301</x:v>
      </x:c>
      <x:c r="B1302" s="10" t="n">
        <x:v>45877</x:v>
      </x:c>
      <x:c r="C1302" t="str">
        <x:v>Bao Tran</x:v>
      </x:c>
      <x:c r="D1302" t="str">
        <x:v>South</x:v>
      </x:c>
      <x:c r="E1302" t="str">
        <x:v>SEM - Google</x:v>
      </x:c>
      <x:c r="F1302" t="str">
        <x:v>CRM-CORE</x:v>
      </x:c>
      <x:c r="G1302" t="str">
        <x:v>Healthcare</x:v>
      </x:c>
      <x:c r="H1302" t="str">
        <x:v>Mid-Market</x:v>
      </x:c>
      <x:c r="I1302" t="str">
        <x:v>Closed Won</x:v>
      </x:c>
      <x:c r="J1302" s="10" t="n">
        <x:v>45965</x:v>
      </x:c>
      <x:c r="K1302" s="10" t="n">
        <x:v>45965</x:v>
      </x:c>
      <x:c r="L1302" s="22" t="n">
        <x:v>10700</x:v>
      </x:c>
      <x:c r="M1302" s="24" t="n">
        <x:v>0.05</x:v>
      </x:c>
      <x:c r="N1302" s="24" t="n">
        <x:v>1</x:v>
      </x:c>
      <x:c r="O1302" t="str"/>
      <x:c r="P1302" t="n">
        <x:v>6</x:v>
      </x:c>
      <x:c r="Q1302" t="str">
        <x:f>IFERROR(XLOOKUP(E1302,Lookups!$A$5:$A$24,Lookups!$B$5:$B$24),"Other")</x:f>
        <x:v>Paid Search</x:v>
      </x:c>
      <x:c r="R1302" t="str">
        <x:f>IFERROR(XLOOKUP(F1302,Lookups!$D$5:$D$10,Lookups!$E$5:$E$10),"Unknown Product")</x:f>
        <x:v>NexaCRM Core</x:v>
      </x:c>
      <x:c r="S1302" t="str">
        <x:f>IFERROR(XLOOKUP(F1302,Lookups!$D$5:$D$10,Lookups!$F$5:$F$10),"Unknown")</x:f>
        <x:v>CRM</x:v>
      </x:c>
      <x:c r="T1302" t="str">
        <x:f>IF(L1302&gt;=50000,"Enterprise",IF(L1302&gt;=20000,"Mid-Market","SMB"))</x:f>
        <x:v>SMB</x:v>
      </x:c>
      <x:c r="U1302" t="str">
        <x:f>IF(I1302="Closed Won","Won",IF(I1302="Closed Lost","Lost","Open"))</x:f>
        <x:v>Won</x:v>
      </x:c>
      <x:c r="V1302" s="22" t="n">
        <x:f>IF(U1302="Won",L1302*(1-M1302),0)</x:f>
        <x:v>10165</x:v>
      </x:c>
      <x:c r="W1302" s="22" t="n">
        <x:f>IF(U1302="Open",L1302*N1302,0)</x:f>
        <x:v>0</x:v>
      </x:c>
      <x:c r="X1302" s="26" t="n">
        <x:f>IF(U1302="Open","",IFERROR(K1302-B1302,""))</x:f>
        <x:v>88</x:v>
      </x:c>
      <x:c r="Y1302" s="26" t="n">
        <x:f>IF(U1302="Open",Lookups!$B$2-B1302,X1302)</x:f>
        <x:v>88</x:v>
      </x:c>
      <x:c r="Z1302" t="str">
        <x:f>IF(AND(U1302="Open",Y1302&gt;30),"STALE","OK")</x:f>
        <x:v>OK</x:v>
      </x:c>
      <x:c r="AA1302" t="str">
        <x:f>TEXT(B1302,"yyyy-mm")</x:f>
        <x:v>2025-08</x:v>
      </x:c>
      <x:c r="AB1302" t="str">
        <x:f>IF(K1302="","",TEXT(K1302,"yyyy-mm"))</x:f>
        <x:v>2025-11</x:v>
      </x:c>
      <x:c r="AC1302" t="str">
        <x:f>"Q"&amp;ROUNDUP(MONTH(B1302)/3,0)&amp;"-"&amp;YEAR(B1302)</x:f>
        <x:v>Q3-2025</x:v>
      </x:c>
      <x:c r="AD1302" s="26" t="n">
        <x:f>MIN(100,IF(H1302="Enterprise",30,IF(H1302="Mid-Market",22,14))+IF(T1302="Enterprise",25,IF(T1302="Mid-Market",18,10))+IF(Q1302="Referral",25,IF(Q1302="Organic Search",20,IF(Q1302="Email",18,14)))+IF(G1302="Technology",10,5))</x:f>
        <x:v>51</x:v>
      </x:c>
      <x:c r="AE1302" t="str">
        <x:f>IF(U1302&lt;&gt;"Open",U1302,IF(N1302&gt;=0.8,"Commit",IF(N1302&gt;=0.5,"Best Case","Pipeline")))</x:f>
        <x:v>Won</x:v>
      </x:c>
    </x:row>
    <x:row r="1303">
      <x:c r="A1303" t="str">
        <x:v>L01302</x:v>
      </x:c>
      <x:c r="B1303" s="10" t="n">
        <x:v>45950</x:v>
      </x:c>
      <x:c r="C1303" t="str">
        <x:v>Quynh Vu</x:v>
      </x:c>
      <x:c r="D1303" t="str">
        <x:v>North</x:v>
      </x:c>
      <x:c r="E1303" t="str">
        <x:v>Outbound</x:v>
      </x:c>
      <x:c r="F1303" t="str">
        <x:v>BI-PLUS</x:v>
      </x:c>
      <x:c r="G1303" t="str">
        <x:v>Professional Services</x:v>
      </x:c>
      <x:c r="H1303" t="str">
        <x:v>SMB</x:v>
      </x:c>
      <x:c r="I1303" t="str">
        <x:v>Closed Lost</x:v>
      </x:c>
      <x:c r="J1303" s="10" t="n">
        <x:v>45966</x:v>
      </x:c>
      <x:c r="K1303" s="10" t="n">
        <x:v>45966</x:v>
      </x:c>
      <x:c r="L1303" s="22" t="n">
        <x:v>13300</x:v>
      </x:c>
      <x:c r="M1303" s="24" t="n">
        <x:v>0</x:v>
      </x:c>
      <x:c r="N1303" s="24" t="n">
        <x:v>0</x:v>
      </x:c>
      <x:c r="O1303" t="str">
        <x:v>Budget</x:v>
      </x:c>
      <x:c r="P1303" t="n">
        <x:v>2</x:v>
      </x:c>
      <x:c r="Q1303" t="str">
        <x:f>IFERROR(XLOOKUP(E1303,Lookups!$A$5:$A$24,Lookups!$B$5:$B$24),"Other")</x:f>
        <x:v>Outbound</x:v>
      </x:c>
      <x:c r="R1303" t="str">
        <x:f>IFERROR(XLOOKUP(F1303,Lookups!$D$5:$D$10,Lookups!$E$5:$E$10),"Unknown Product")</x:f>
        <x:v>Analytics Plus</x:v>
      </x:c>
      <x:c r="S1303" t="str">
        <x:f>IFERROR(XLOOKUP(F1303,Lookups!$D$5:$D$10,Lookups!$F$5:$F$10),"Unknown")</x:f>
        <x:v>Analytics</x:v>
      </x:c>
      <x:c r="T1303" t="str">
        <x:f>IF(L1303&gt;=50000,"Enterprise",IF(L1303&gt;=20000,"Mid-Market","SMB"))</x:f>
        <x:v>SMB</x:v>
      </x:c>
      <x:c r="U1303" t="str">
        <x:f>IF(I1303="Closed Won","Won",IF(I1303="Closed Lost","Lost","Open"))</x:f>
        <x:v>Lost</x:v>
      </x:c>
      <x:c r="V1303" s="22" t="n">
        <x:f>IF(U1303="Won",L1303*(1-M1303),0)</x:f>
        <x:v>0</x:v>
      </x:c>
      <x:c r="W1303" s="22" t="n">
        <x:f>IF(U1303="Open",L1303*N1303,0)</x:f>
        <x:v>0</x:v>
      </x:c>
      <x:c r="X1303" s="26" t="n">
        <x:f>IF(U1303="Open","",IFERROR(K1303-B1303,""))</x:f>
        <x:v>16</x:v>
      </x:c>
      <x:c r="Y1303" s="26" t="n">
        <x:f>IF(U1303="Open",Lookups!$B$2-B1303,X1303)</x:f>
        <x:v>16</x:v>
      </x:c>
      <x:c r="Z1303" t="str">
        <x:f>IF(AND(U1303="Open",Y1303&gt;30),"STALE","OK")</x:f>
        <x:v>OK</x:v>
      </x:c>
      <x:c r="AA1303" t="str">
        <x:f>TEXT(B1303,"yyyy-mm")</x:f>
        <x:v>2025-10</x:v>
      </x:c>
      <x:c r="AB1303" t="str">
        <x:f>IF(K1303="","",TEXT(K1303,"yyyy-mm"))</x:f>
        <x:v>2025-11</x:v>
      </x:c>
      <x:c r="AC1303" t="str">
        <x:f>"Q"&amp;ROUNDUP(MONTH(B1303)/3,0)&amp;"-"&amp;YEAR(B1303)</x:f>
        <x:v>Q4-2025</x:v>
      </x:c>
      <x:c r="AD1303" s="26" t="n">
        <x:f>MIN(100,IF(H1303="Enterprise",30,IF(H1303="Mid-Market",22,14))+IF(T1303="Enterprise",25,IF(T1303="Mid-Market",18,10))+IF(Q1303="Referral",25,IF(Q1303="Organic Search",20,IF(Q1303="Email",18,14)))+IF(G1303="Technology",10,5))</x:f>
        <x:v>43</x:v>
      </x:c>
      <x:c r="AE1303" t="str">
        <x:f>IF(U1303&lt;&gt;"Open",U1303,IF(N1303&gt;=0.8,"Commit",IF(N1303&gt;=0.5,"Best Case","Pipeline")))</x:f>
        <x:v>Lost</x:v>
      </x:c>
    </x:row>
    <x:row r="1304">
      <x:c r="A1304" t="str">
        <x:v>L01303</x:v>
      </x:c>
      <x:c r="B1304" s="10" t="n">
        <x:v>46050</x:v>
      </x:c>
      <x:c r="C1304" t="str">
        <x:v>Chi Le</x:v>
      </x:c>
      <x:c r="D1304" t="str">
        <x:v>South</x:v>
      </x:c>
      <x:c r="E1304" t="str">
        <x:v>LI Ads</x:v>
      </x:c>
      <x:c r="F1304" t="str">
        <x:v>CRM-CORE</x:v>
      </x:c>
      <x:c r="G1304" t="str">
        <x:v>Healthcare</x:v>
      </x:c>
      <x:c r="H1304" t="str">
        <x:v>Enterprise</x:v>
      </x:c>
      <x:c r="I1304" t="str">
        <x:v>Closed Won</x:v>
      </x:c>
      <x:c r="J1304" s="10" t="n">
        <x:v>46121</x:v>
      </x:c>
      <x:c r="K1304" s="10" t="n">
        <x:v>46121</x:v>
      </x:c>
      <x:c r="L1304" s="22" t="n">
        <x:v>28100</x:v>
      </x:c>
      <x:c r="M1304" s="24" t="n">
        <x:v>0</x:v>
      </x:c>
      <x:c r="N1304" s="24" t="n">
        <x:v>1</x:v>
      </x:c>
      <x:c r="O1304" t="str"/>
      <x:c r="P1304" t="n">
        <x:v>6</x:v>
      </x:c>
      <x:c r="Q1304" t="str">
        <x:f>IFERROR(XLOOKUP(E1304,Lookups!$A$5:$A$24,Lookups!$B$5:$B$24),"Other")</x:f>
        <x:v>LinkedIn</x:v>
      </x:c>
      <x:c r="R1304" t="str">
        <x:f>IFERROR(XLOOKUP(F1304,Lookups!$D$5:$D$10,Lookups!$E$5:$E$10),"Unknown Product")</x:f>
        <x:v>NexaCRM Core</x:v>
      </x:c>
      <x:c r="S1304" t="str">
        <x:f>IFERROR(XLOOKUP(F1304,Lookups!$D$5:$D$10,Lookups!$F$5:$F$10),"Unknown")</x:f>
        <x:v>CRM</x:v>
      </x:c>
      <x:c r="T1304" t="str">
        <x:f>IF(L1304&gt;=50000,"Enterprise",IF(L1304&gt;=20000,"Mid-Market","SMB"))</x:f>
        <x:v>Mid-Market</x:v>
      </x:c>
      <x:c r="U1304" t="str">
        <x:f>IF(I1304="Closed Won","Won",IF(I1304="Closed Lost","Lost","Open"))</x:f>
        <x:v>Won</x:v>
      </x:c>
      <x:c r="V1304" s="22" t="n">
        <x:f>IF(U1304="Won",L1304*(1-M1304),0)</x:f>
        <x:v>28100</x:v>
      </x:c>
      <x:c r="W1304" s="22" t="n">
        <x:f>IF(U1304="Open",L1304*N1304,0)</x:f>
        <x:v>0</x:v>
      </x:c>
      <x:c r="X1304" s="26" t="n">
        <x:f>IF(U1304="Open","",IFERROR(K1304-B1304,""))</x:f>
        <x:v>71</x:v>
      </x:c>
      <x:c r="Y1304" s="26" t="n">
        <x:f>IF(U1304="Open",Lookups!$B$2-B1304,X1304)</x:f>
        <x:v>71</x:v>
      </x:c>
      <x:c r="Z1304" t="str">
        <x:f>IF(AND(U1304="Open",Y1304&gt;30),"STALE","OK")</x:f>
        <x:v>OK</x:v>
      </x:c>
      <x:c r="AA1304" t="str">
        <x:f>TEXT(B1304,"yyyy-mm")</x:f>
        <x:v>2026-01</x:v>
      </x:c>
      <x:c r="AB1304" t="str">
        <x:f>IF(K1304="","",TEXT(K1304,"yyyy-mm"))</x:f>
        <x:v>2026-04</x:v>
      </x:c>
      <x:c r="AC1304" t="str">
        <x:f>"Q"&amp;ROUNDUP(MONTH(B1304)/3,0)&amp;"-"&amp;YEAR(B1304)</x:f>
        <x:v>Q1-2026</x:v>
      </x:c>
      <x:c r="AD1304" s="26" t="n">
        <x:f>MIN(100,IF(H1304="Enterprise",30,IF(H1304="Mid-Market",22,14))+IF(T1304="Enterprise",25,IF(T1304="Mid-Market",18,10))+IF(Q1304="Referral",25,IF(Q1304="Organic Search",20,IF(Q1304="Email",18,14)))+IF(G1304="Technology",10,5))</x:f>
        <x:v>67</x:v>
      </x:c>
      <x:c r="AE1304" t="str">
        <x:f>IF(U1304&lt;&gt;"Open",U1304,IF(N1304&gt;=0.8,"Commit",IF(N1304&gt;=0.5,"Best Case","Pipeline")))</x:f>
        <x:v>Won</x:v>
      </x:c>
    </x:row>
    <x:row r="1305">
      <x:c r="A1305" t="str">
        <x:v>L01304</x:v>
      </x:c>
      <x:c r="B1305" s="10" t="n">
        <x:v>45734</x:v>
      </x:c>
      <x:c r="C1305" t="str">
        <x:v>Quynh Vu</x:v>
      </x:c>
      <x:c r="D1305" t="str">
        <x:v>North</x:v>
      </x:c>
      <x:c r="E1305" t="str">
        <x:v>virtual event</x:v>
      </x:c>
      <x:c r="F1305" t="str">
        <x:v>REV-OPS</x:v>
      </x:c>
      <x:c r="G1305" t="str">
        <x:v>Financial Services</x:v>
      </x:c>
      <x:c r="H1305" t="str">
        <x:v>SMB</x:v>
      </x:c>
      <x:c r="I1305" t="str">
        <x:v>Closed Lost</x:v>
      </x:c>
      <x:c r="J1305" s="10" t="n">
        <x:v>45783</x:v>
      </x:c>
      <x:c r="K1305" s="10" t="n">
        <x:v>45783</x:v>
      </x:c>
      <x:c r="L1305" s="22" t="n">
        <x:v>42800</x:v>
      </x:c>
      <x:c r="M1305" s="24" t="n">
        <x:v>0</x:v>
      </x:c>
      <x:c r="N1305" s="24" t="n">
        <x:v>0</x:v>
      </x:c>
      <x:c r="O1305" t="str">
        <x:v>No Decision</x:v>
      </x:c>
      <x:c r="P1305" t="n">
        <x:v>5</x:v>
      </x:c>
      <x:c r="Q1305" t="str">
        <x:f>IFERROR(XLOOKUP(E1305,Lookups!$A$5:$A$24,Lookups!$B$5:$B$24),"Other")</x:f>
        <x:v>Webinar</x:v>
      </x:c>
      <x:c r="R1305" t="str">
        <x:f>IFERROR(XLOOKUP(F1305,Lookups!$D$5:$D$10,Lookups!$E$5:$E$10),"Unknown Product")</x:f>
        <x:v>Revenue Operations Suite</x:v>
      </x:c>
      <x:c r="S1305" t="str">
        <x:f>IFERROR(XLOOKUP(F1305,Lookups!$D$5:$D$10,Lookups!$F$5:$F$10),"Unknown")</x:f>
        <x:v>Revenue Ops</x:v>
      </x:c>
      <x:c r="T1305" t="str">
        <x:f>IF(L1305&gt;=50000,"Enterprise",IF(L1305&gt;=20000,"Mid-Market","SMB"))</x:f>
        <x:v>Mid-Market</x:v>
      </x:c>
      <x:c r="U1305" t="str">
        <x:f>IF(I1305="Closed Won","Won",IF(I1305="Closed Lost","Lost","Open"))</x:f>
        <x:v>Lost</x:v>
      </x:c>
      <x:c r="V1305" s="22" t="n">
        <x:f>IF(U1305="Won",L1305*(1-M1305),0)</x:f>
        <x:v>0</x:v>
      </x:c>
      <x:c r="W1305" s="22" t="n">
        <x:f>IF(U1305="Open",L1305*N1305,0)</x:f>
        <x:v>0</x:v>
      </x:c>
      <x:c r="X1305" s="26" t="n">
        <x:f>IF(U1305="Open","",IFERROR(K1305-B1305,""))</x:f>
        <x:v>49</x:v>
      </x:c>
      <x:c r="Y1305" s="26" t="n">
        <x:f>IF(U1305="Open",Lookups!$B$2-B1305,X1305)</x:f>
        <x:v>49</x:v>
      </x:c>
      <x:c r="Z1305" t="str">
        <x:f>IF(AND(U1305="Open",Y1305&gt;30),"STALE","OK")</x:f>
        <x:v>OK</x:v>
      </x:c>
      <x:c r="AA1305" t="str">
        <x:f>TEXT(B1305,"yyyy-mm")</x:f>
        <x:v>2025-03</x:v>
      </x:c>
      <x:c r="AB1305" t="str">
        <x:f>IF(K1305="","",TEXT(K1305,"yyyy-mm"))</x:f>
        <x:v>2025-05</x:v>
      </x:c>
      <x:c r="AC1305" t="str">
        <x:f>"Q"&amp;ROUNDUP(MONTH(B1305)/3,0)&amp;"-"&amp;YEAR(B1305)</x:f>
        <x:v>Q1-2025</x:v>
      </x:c>
      <x:c r="AD1305" s="26" t="n">
        <x:f>MIN(100,IF(H1305="Enterprise",30,IF(H1305="Mid-Market",22,14))+IF(T1305="Enterprise",25,IF(T1305="Mid-Market",18,10))+IF(Q1305="Referral",25,IF(Q1305="Organic Search",20,IF(Q1305="Email",18,14)))+IF(G1305="Technology",10,5))</x:f>
        <x:v>51</x:v>
      </x:c>
      <x:c r="AE1305" t="str">
        <x:f>IF(U1305&lt;&gt;"Open",U1305,IF(N1305&gt;=0.8,"Commit",IF(N1305&gt;=0.5,"Best Case","Pipeline")))</x:f>
        <x:v>Lost</x:v>
      </x:c>
    </x:row>
    <x:row r="1306">
      <x:c r="A1306" t="str">
        <x:v>L01305</x:v>
      </x:c>
      <x:c r="B1306" s="10" t="n">
        <x:v>45939</x:v>
      </x:c>
      <x:c r="C1306" t="str">
        <x:v>Duy Pham</x:v>
      </x:c>
      <x:c r="D1306" t="str">
        <x:v>South</x:v>
      </x:c>
      <x:c r="E1306" t="str">
        <x:v>email nurture</x:v>
      </x:c>
      <x:c r="F1306" t="str">
        <x:v>CS-CLOUD</x:v>
      </x:c>
      <x:c r="G1306" t="str">
        <x:v>Financial Services</x:v>
      </x:c>
      <x:c r="H1306" t="str">
        <x:v>Mid-Market</x:v>
      </x:c>
      <x:c r="I1306" t="str">
        <x:v>Closed Won</x:v>
      </x:c>
      <x:c r="J1306" s="10" t="n">
        <x:v>45998</x:v>
      </x:c>
      <x:c r="K1306" s="10" t="n">
        <x:v>45998</x:v>
      </x:c>
      <x:c r="L1306" s="22" t="n">
        <x:v>34900</x:v>
      </x:c>
      <x:c r="M1306" s="24" t="n">
        <x:v>0</x:v>
      </x:c>
      <x:c r="N1306" s="24" t="n">
        <x:v>1</x:v>
      </x:c>
      <x:c r="O1306" t="str"/>
      <x:c r="P1306" t="n">
        <x:v>6</x:v>
      </x:c>
      <x:c r="Q1306" t="str">
        <x:f>IFERROR(XLOOKUP(E1306,Lookups!$A$5:$A$24,Lookups!$B$5:$B$24),"Other")</x:f>
        <x:v>Email</x:v>
      </x:c>
      <x:c r="R1306" t="str">
        <x:f>IFERROR(XLOOKUP(F1306,Lookups!$D$5:$D$10,Lookups!$E$5:$E$10),"Unknown Product")</x:f>
        <x:v>Service Cloud</x:v>
      </x:c>
      <x:c r="S1306" t="str">
        <x:f>IFERROR(XLOOKUP(F1306,Lookups!$D$5:$D$10,Lookups!$F$5:$F$10),"Unknown")</x:f>
        <x:v>Customer Service</x:v>
      </x:c>
      <x:c r="T1306" t="str">
        <x:f>IF(L1306&gt;=50000,"Enterprise",IF(L1306&gt;=20000,"Mid-Market","SMB"))</x:f>
        <x:v>Mid-Market</x:v>
      </x:c>
      <x:c r="U1306" t="str">
        <x:f>IF(I1306="Closed Won","Won",IF(I1306="Closed Lost","Lost","Open"))</x:f>
        <x:v>Won</x:v>
      </x:c>
      <x:c r="V1306" s="22" t="n">
        <x:f>IF(U1306="Won",L1306*(1-M1306),0)</x:f>
        <x:v>34900</x:v>
      </x:c>
      <x:c r="W1306" s="22" t="n">
        <x:f>IF(U1306="Open",L1306*N1306,0)</x:f>
        <x:v>0</x:v>
      </x:c>
      <x:c r="X1306" s="26" t="n">
        <x:f>IF(U1306="Open","",IFERROR(K1306-B1306,""))</x:f>
        <x:v>59</x:v>
      </x:c>
      <x:c r="Y1306" s="26" t="n">
        <x:f>IF(U1306="Open",Lookups!$B$2-B1306,X1306)</x:f>
        <x:v>59</x:v>
      </x:c>
      <x:c r="Z1306" t="str">
        <x:f>IF(AND(U1306="Open",Y1306&gt;30),"STALE","OK")</x:f>
        <x:v>OK</x:v>
      </x:c>
      <x:c r="AA1306" t="str">
        <x:f>TEXT(B1306,"yyyy-mm")</x:f>
        <x:v>2025-10</x:v>
      </x:c>
      <x:c r="AB1306" t="str">
        <x:f>IF(K1306="","",TEXT(K1306,"yyyy-mm"))</x:f>
        <x:v>2025-12</x:v>
      </x:c>
      <x:c r="AC1306" t="str">
        <x:f>"Q"&amp;ROUNDUP(MONTH(B1306)/3,0)&amp;"-"&amp;YEAR(B1306)</x:f>
        <x:v>Q4-2025</x:v>
      </x:c>
      <x:c r="AD1306" s="26" t="n">
        <x:f>MIN(100,IF(H1306="Enterprise",30,IF(H1306="Mid-Market",22,14))+IF(T1306="Enterprise",25,IF(T1306="Mid-Market",18,10))+IF(Q1306="Referral",25,IF(Q1306="Organic Search",20,IF(Q1306="Email",18,14)))+IF(G1306="Technology",10,5))</x:f>
        <x:v>63</x:v>
      </x:c>
      <x:c r="AE1306" t="str">
        <x:f>IF(U1306&lt;&gt;"Open",U1306,IF(N1306&gt;=0.8,"Commit",IF(N1306&gt;=0.5,"Best Case","Pipeline")))</x:f>
        <x:v>Won</x:v>
      </x:c>
    </x:row>
    <x:row r="1307">
      <x:c r="A1307" t="str">
        <x:v>L01306</x:v>
      </x:c>
      <x:c r="B1307" s="10" t="n">
        <x:v>45873</x:v>
      </x:c>
      <x:c r="C1307" t="str">
        <x:v>Minh Do</x:v>
      </x:c>
      <x:c r="D1307" t="str">
        <x:v>North</x:v>
      </x:c>
      <x:c r="E1307" t="str">
        <x:v>Cold Email</x:v>
      </x:c>
      <x:c r="F1307" t="str">
        <x:v>CRM-CORE</x:v>
      </x:c>
      <x:c r="G1307" t="str">
        <x:v>Technology</x:v>
      </x:c>
      <x:c r="H1307" t="str">
        <x:v>SMB</x:v>
      </x:c>
      <x:c r="I1307" t="str">
        <x:v>Negotiation</x:v>
      </x:c>
      <x:c r="J1307" s="10" t="n">
        <x:v>46075</x:v>
      </x:c>
      <x:c r="K1307" s="10"/>
      <x:c r="L1307" s="22" t="n">
        <x:v>6600</x:v>
      </x:c>
      <x:c r="M1307" s="24" t="n">
        <x:v>0</x:v>
      </x:c>
      <x:c r="N1307" s="24" t="n">
        <x:v>0.85</x:v>
      </x:c>
      <x:c r="O1307" t="str"/>
      <x:c r="P1307" t="n">
        <x:v>5</x:v>
      </x:c>
      <x:c r="Q1307" t="str">
        <x:f>IFERROR(XLOOKUP(E1307,Lookups!$A$5:$A$24,Lookups!$B$5:$B$24),"Other")</x:f>
        <x:v>Outbound</x:v>
      </x:c>
      <x:c r="R1307" t="str">
        <x:f>IFERROR(XLOOKUP(F1307,Lookups!$D$5:$D$10,Lookups!$E$5:$E$10),"Unknown Product")</x:f>
        <x:v>NexaCRM Core</x:v>
      </x:c>
      <x:c r="S1307" t="str">
        <x:f>IFERROR(XLOOKUP(F1307,Lookups!$D$5:$D$10,Lookups!$F$5:$F$10),"Unknown")</x:f>
        <x:v>CRM</x:v>
      </x:c>
      <x:c r="T1307" t="str">
        <x:f>IF(L1307&gt;=50000,"Enterprise",IF(L1307&gt;=20000,"Mid-Market","SMB"))</x:f>
        <x:v>SMB</x:v>
      </x:c>
      <x:c r="U1307" t="str">
        <x:f>IF(I1307="Closed Won","Won",IF(I1307="Closed Lost","Lost","Open"))</x:f>
        <x:v>Open</x:v>
      </x:c>
      <x:c r="V1307" s="22" t="n">
        <x:f>IF(U1307="Won",L1307*(1-M1307),0)</x:f>
        <x:v>0</x:v>
      </x:c>
      <x:c r="W1307" s="22" t="n">
        <x:f>IF(U1307="Open",L1307*N1307,0)</x:f>
        <x:v>5610</x:v>
      </x:c>
      <x:c r="X1307" s="26" t="str">
        <x:f>IF(U1307="Open","",IFERROR(K1307-B1307,""))</x:f>
      </x:c>
      <x:c r="Y1307" s="26" t="n">
        <x:f>IF(U1307="Open",Lookups!$B$2-B1307,X1307)</x:f>
        <x:v>393</x:v>
      </x:c>
      <x:c r="Z1307" t="str">
        <x:f>IF(AND(U1307="Open",Y1307&gt;30),"STALE","OK")</x:f>
        <x:v>STALE</x:v>
      </x:c>
      <x:c r="AA1307" t="str">
        <x:f>TEXT(B1307,"yyyy-mm")</x:f>
        <x:v>2025-08</x:v>
      </x:c>
      <x:c r="AB1307" t="str">
        <x:f>IF(K1307="","",TEXT(K1307,"yyyy-mm"))</x:f>
      </x:c>
      <x:c r="AC1307" t="str">
        <x:f>"Q"&amp;ROUNDUP(MONTH(B1307)/3,0)&amp;"-"&amp;YEAR(B1307)</x:f>
        <x:v>Q3-2025</x:v>
      </x:c>
      <x:c r="AD1307" s="26" t="n">
        <x:f>MIN(100,IF(H1307="Enterprise",30,IF(H1307="Mid-Market",22,14))+IF(T1307="Enterprise",25,IF(T1307="Mid-Market",18,10))+IF(Q1307="Referral",25,IF(Q1307="Organic Search",20,IF(Q1307="Email",18,14)))+IF(G1307="Technology",10,5))</x:f>
        <x:v>48</x:v>
      </x:c>
      <x:c r="AE1307" t="str">
        <x:f>IF(U1307&lt;&gt;"Open",U1307,IF(N1307&gt;=0.8,"Commit",IF(N1307&gt;=0.5,"Best Case","Pipeline")))</x:f>
        <x:v>Commit</x:v>
      </x:c>
    </x:row>
    <x:row r="1308">
      <x:c r="A1308" t="str">
        <x:v>L01307</x:v>
      </x:c>
      <x:c r="B1308" s="10" t="n">
        <x:v>46155</x:v>
      </x:c>
      <x:c r="C1308" t="str">
        <x:v>Chi Le</x:v>
      </x:c>
      <x:c r="D1308" t="str">
        <x:v>South</x:v>
      </x:c>
      <x:c r="E1308" t="str">
        <x:v>linkedin</x:v>
      </x:c>
      <x:c r="F1308" t="str">
        <x:v>BI-PLUS</x:v>
      </x:c>
      <x:c r="G1308" t="str">
        <x:v>Education</x:v>
      </x:c>
      <x:c r="H1308" t="str">
        <x:v>Mid-Market</x:v>
      </x:c>
      <x:c r="I1308" t="str">
        <x:v>Closed Won</x:v>
      </x:c>
      <x:c r="J1308" s="10" t="n">
        <x:v>46188</x:v>
      </x:c>
      <x:c r="K1308" s="10" t="n">
        <x:v>46188</x:v>
      </x:c>
      <x:c r="L1308" s="22" t="n">
        <x:v>44000</x:v>
      </x:c>
      <x:c r="M1308" s="24" t="n">
        <x:v>0.12</x:v>
      </x:c>
      <x:c r="N1308" s="24" t="n">
        <x:v>1</x:v>
      </x:c>
      <x:c r="O1308" t="str"/>
      <x:c r="P1308" t="n">
        <x:v>6</x:v>
      </x:c>
      <x:c r="Q1308" t="str">
        <x:f>IFERROR(XLOOKUP(E1308,Lookups!$A$5:$A$24,Lookups!$B$5:$B$24),"Other")</x:f>
        <x:v>LinkedIn</x:v>
      </x:c>
      <x:c r="R1308" t="str">
        <x:f>IFERROR(XLOOKUP(F1308,Lookups!$D$5:$D$10,Lookups!$E$5:$E$10),"Unknown Product")</x:f>
        <x:v>Analytics Plus</x:v>
      </x:c>
      <x:c r="S1308" t="str">
        <x:f>IFERROR(XLOOKUP(F1308,Lookups!$D$5:$D$10,Lookups!$F$5:$F$10),"Unknown")</x:f>
        <x:v>Analytics</x:v>
      </x:c>
      <x:c r="T1308" t="str">
        <x:f>IF(L1308&gt;=50000,"Enterprise",IF(L1308&gt;=20000,"Mid-Market","SMB"))</x:f>
        <x:v>Mid-Market</x:v>
      </x:c>
      <x:c r="U1308" t="str">
        <x:f>IF(I1308="Closed Won","Won",IF(I1308="Closed Lost","Lost","Open"))</x:f>
        <x:v>Won</x:v>
      </x:c>
      <x:c r="V1308" s="22" t="n">
        <x:f>IF(U1308="Won",L1308*(1-M1308),0)</x:f>
        <x:v>38720</x:v>
      </x:c>
      <x:c r="W1308" s="22" t="n">
        <x:f>IF(U1308="Open",L1308*N1308,0)</x:f>
        <x:v>0</x:v>
      </x:c>
      <x:c r="X1308" s="26" t="n">
        <x:f>IF(U1308="Open","",IFERROR(K1308-B1308,""))</x:f>
        <x:v>33</x:v>
      </x:c>
      <x:c r="Y1308" s="26" t="n">
        <x:f>IF(U1308="Open",Lookups!$B$2-B1308,X1308)</x:f>
        <x:v>33</x:v>
      </x:c>
      <x:c r="Z1308" t="str">
        <x:f>IF(AND(U1308="Open",Y1308&gt;30),"STALE","OK")</x:f>
        <x:v>OK</x:v>
      </x:c>
      <x:c r="AA1308" t="str">
        <x:f>TEXT(B1308,"yyyy-mm")</x:f>
        <x:v>2026-05</x:v>
      </x:c>
      <x:c r="AB1308" t="str">
        <x:f>IF(K1308="","",TEXT(K1308,"yyyy-mm"))</x:f>
        <x:v>2026-06</x:v>
      </x:c>
      <x:c r="AC1308" t="str">
        <x:f>"Q"&amp;ROUNDUP(MONTH(B1308)/3,0)&amp;"-"&amp;YEAR(B1308)</x:f>
        <x:v>Q2-2026</x:v>
      </x:c>
      <x:c r="AD1308" s="26" t="n">
        <x:f>MIN(100,IF(H1308="Enterprise",30,IF(H1308="Mid-Market",22,14))+IF(T1308="Enterprise",25,IF(T1308="Mid-Market",18,10))+IF(Q1308="Referral",25,IF(Q1308="Organic Search",20,IF(Q1308="Email",18,14)))+IF(G1308="Technology",10,5))</x:f>
        <x:v>59</x:v>
      </x:c>
      <x:c r="AE1308" t="str">
        <x:f>IF(U1308&lt;&gt;"Open",U1308,IF(N1308&gt;=0.8,"Commit",IF(N1308&gt;=0.5,"Best Case","Pipeline")))</x:f>
        <x:v>Won</x:v>
      </x:c>
    </x:row>
    <x:row r="1309">
      <x:c r="A1309" t="str">
        <x:v>L01308</x:v>
      </x:c>
      <x:c r="B1309" s="10" t="n">
        <x:v>46258</x:v>
      </x:c>
      <x:c r="C1309" t="str">
        <x:v>Minh Do</x:v>
      </x:c>
      <x:c r="D1309" t="str">
        <x:v>North</x:v>
      </x:c>
      <x:c r="E1309" t="str">
        <x:v>customer referral</x:v>
      </x:c>
      <x:c r="F1309" t="str">
        <x:v>CS-CLOUD</x:v>
      </x:c>
      <x:c r="G1309" t="str">
        <x:v>Education</x:v>
      </x:c>
      <x:c r="H1309" t="str">
        <x:v>Mid-Market</x:v>
      </x:c>
      <x:c r="I1309" t="str">
        <x:v>Closed Lost</x:v>
      </x:c>
      <x:c r="J1309" s="10" t="n">
        <x:v>46266</x:v>
      </x:c>
      <x:c r="K1309" s="10" t="n">
        <x:v>46266</x:v>
      </x:c>
      <x:c r="L1309" s="22" t="n">
        <x:v>49800</x:v>
      </x:c>
      <x:c r="M1309" s="24" t="n">
        <x:v>0</x:v>
      </x:c>
      <x:c r="N1309" s="24" t="n">
        <x:v>0</x:v>
      </x:c>
      <x:c r="O1309" t="str">
        <x:v>Budget</x:v>
      </x:c>
      <x:c r="P1309" t="n">
        <x:v>5</x:v>
      </x:c>
      <x:c r="Q1309" t="str">
        <x:f>IFERROR(XLOOKUP(E1309,Lookups!$A$5:$A$24,Lookups!$B$5:$B$24),"Other")</x:f>
        <x:v>Referral</x:v>
      </x:c>
      <x:c r="R1309" t="str">
        <x:f>IFERROR(XLOOKUP(F1309,Lookups!$D$5:$D$10,Lookups!$E$5:$E$10),"Unknown Product")</x:f>
        <x:v>Service Cloud</x:v>
      </x:c>
      <x:c r="S1309" t="str">
        <x:f>IFERROR(XLOOKUP(F1309,Lookups!$D$5:$D$10,Lookups!$F$5:$F$10),"Unknown")</x:f>
        <x:v>Customer Service</x:v>
      </x:c>
      <x:c r="T1309" t="str">
        <x:f>IF(L1309&gt;=50000,"Enterprise",IF(L1309&gt;=20000,"Mid-Market","SMB"))</x:f>
        <x:v>Mid-Market</x:v>
      </x:c>
      <x:c r="U1309" t="str">
        <x:f>IF(I1309="Closed Won","Won",IF(I1309="Closed Lost","Lost","Open"))</x:f>
        <x:v>Lost</x:v>
      </x:c>
      <x:c r="V1309" s="22" t="n">
        <x:f>IF(U1309="Won",L1309*(1-M1309),0)</x:f>
        <x:v>0</x:v>
      </x:c>
      <x:c r="W1309" s="22" t="n">
        <x:f>IF(U1309="Open",L1309*N1309,0)</x:f>
        <x:v>0</x:v>
      </x:c>
      <x:c r="X1309" s="26" t="n">
        <x:f>IF(U1309="Open","",IFERROR(K1309-B1309,""))</x:f>
        <x:v>8</x:v>
      </x:c>
      <x:c r="Y1309" s="26" t="n">
        <x:f>IF(U1309="Open",Lookups!$B$2-B1309,X1309)</x:f>
        <x:v>8</x:v>
      </x:c>
      <x:c r="Z1309" t="str">
        <x:f>IF(AND(U1309="Open",Y1309&gt;30),"STALE","OK")</x:f>
        <x:v>OK</x:v>
      </x:c>
      <x:c r="AA1309" t="str">
        <x:f>TEXT(B1309,"yyyy-mm")</x:f>
        <x:v>2026-08</x:v>
      </x:c>
      <x:c r="AB1309" t="str">
        <x:f>IF(K1309="","",TEXT(K1309,"yyyy-mm"))</x:f>
        <x:v>2026-09</x:v>
      </x:c>
      <x:c r="AC1309" t="str">
        <x:f>"Q"&amp;ROUNDUP(MONTH(B1309)/3,0)&amp;"-"&amp;YEAR(B1309)</x:f>
        <x:v>Q3-2026</x:v>
      </x:c>
      <x:c r="AD1309" s="26" t="n">
        <x:f>MIN(100,IF(H1309="Enterprise",30,IF(H1309="Mid-Market",22,14))+IF(T1309="Enterprise",25,IF(T1309="Mid-Market",18,10))+IF(Q1309="Referral",25,IF(Q1309="Organic Search",20,IF(Q1309="Email",18,14)))+IF(G1309="Technology",10,5))</x:f>
        <x:v>70</x:v>
      </x:c>
      <x:c r="AE1309" t="str">
        <x:f>IF(U1309&lt;&gt;"Open",U1309,IF(N1309&gt;=0.8,"Commit",IF(N1309&gt;=0.5,"Best Case","Pipeline")))</x:f>
        <x:v>Lost</x:v>
      </x:c>
    </x:row>
    <x:row r="1310">
      <x:c r="A1310" t="str">
        <x:v>L01309</x:v>
      </x:c>
      <x:c r="B1310" s="10" t="n">
        <x:v>46007</x:v>
      </x:c>
      <x:c r="C1310" t="str">
        <x:v>Duy Pham</x:v>
      </x:c>
      <x:c r="D1310" t="str">
        <x:v>South</x:v>
      </x:c>
      <x:c r="E1310" t="str">
        <x:v>newsletter</x:v>
      </x:c>
      <x:c r="F1310" t="str">
        <x:v>CRM-PRO</x:v>
      </x:c>
      <x:c r="G1310" t="str">
        <x:v>Healthcare</x:v>
      </x:c>
      <x:c r="H1310" t="str">
        <x:v>SMB</x:v>
      </x:c>
      <x:c r="I1310" t="str">
        <x:v>Closed Lost</x:v>
      </x:c>
      <x:c r="J1310" s="10" t="n">
        <x:v>46051</x:v>
      </x:c>
      <x:c r="K1310" s="10" t="n">
        <x:v>46051</x:v>
      </x:c>
      <x:c r="L1310" s="22" t="n">
        <x:v>17700</x:v>
      </x:c>
      <x:c r="M1310" s="24" t="n">
        <x:v>0</x:v>
      </x:c>
      <x:c r="N1310" s="24" t="n">
        <x:v>0</x:v>
      </x:c>
      <x:c r="O1310" t="str">
        <x:v>Competitor</x:v>
      </x:c>
      <x:c r="P1310" t="n">
        <x:v>5</x:v>
      </x:c>
      <x:c r="Q1310" t="str">
        <x:f>IFERROR(XLOOKUP(E1310,Lookups!$A$5:$A$24,Lookups!$B$5:$B$24),"Other")</x:f>
        <x:v>Email</x:v>
      </x:c>
      <x:c r="R1310" t="str">
        <x:f>IFERROR(XLOOKUP(F1310,Lookups!$D$5:$D$10,Lookups!$E$5:$E$10),"Unknown Product")</x:f>
        <x:v>NexaCRM Pro</x:v>
      </x:c>
      <x:c r="S1310" t="str">
        <x:f>IFERROR(XLOOKUP(F1310,Lookups!$D$5:$D$10,Lookups!$F$5:$F$10),"Unknown")</x:f>
        <x:v>CRM</x:v>
      </x:c>
      <x:c r="T1310" t="str">
        <x:f>IF(L1310&gt;=50000,"Enterprise",IF(L1310&gt;=20000,"Mid-Market","SMB"))</x:f>
        <x:v>SMB</x:v>
      </x:c>
      <x:c r="U1310" t="str">
        <x:f>IF(I1310="Closed Won","Won",IF(I1310="Closed Lost","Lost","Open"))</x:f>
        <x:v>Lost</x:v>
      </x:c>
      <x:c r="V1310" s="22" t="n">
        <x:f>IF(U1310="Won",L1310*(1-M1310),0)</x:f>
        <x:v>0</x:v>
      </x:c>
      <x:c r="W1310" s="22" t="n">
        <x:f>IF(U1310="Open",L1310*N1310,0)</x:f>
        <x:v>0</x:v>
      </x:c>
      <x:c r="X1310" s="26" t="n">
        <x:f>IF(U1310="Open","",IFERROR(K1310-B1310,""))</x:f>
        <x:v>44</x:v>
      </x:c>
      <x:c r="Y1310" s="26" t="n">
        <x:f>IF(U1310="Open",Lookups!$B$2-B1310,X1310)</x:f>
        <x:v>44</x:v>
      </x:c>
      <x:c r="Z1310" t="str">
        <x:f>IF(AND(U1310="Open",Y1310&gt;30),"STALE","OK")</x:f>
        <x:v>OK</x:v>
      </x:c>
      <x:c r="AA1310" t="str">
        <x:f>TEXT(B1310,"yyyy-mm")</x:f>
        <x:v>2025-12</x:v>
      </x:c>
      <x:c r="AB1310" t="str">
        <x:f>IF(K1310="","",TEXT(K1310,"yyyy-mm"))</x:f>
        <x:v>2026-01</x:v>
      </x:c>
      <x:c r="AC1310" t="str">
        <x:f>"Q"&amp;ROUNDUP(MONTH(B1310)/3,0)&amp;"-"&amp;YEAR(B1310)</x:f>
        <x:v>Q4-2025</x:v>
      </x:c>
      <x:c r="AD1310" s="26" t="n">
        <x:f>MIN(100,IF(H1310="Enterprise",30,IF(H1310="Mid-Market",22,14))+IF(T1310="Enterprise",25,IF(T1310="Mid-Market",18,10))+IF(Q1310="Referral",25,IF(Q1310="Organic Search",20,IF(Q1310="Email",18,14)))+IF(G1310="Technology",10,5))</x:f>
        <x:v>47</x:v>
      </x:c>
      <x:c r="AE1310" t="str">
        <x:f>IF(U1310&lt;&gt;"Open",U1310,IF(N1310&gt;=0.8,"Commit",IF(N1310&gt;=0.5,"Best Case","Pipeline")))</x:f>
        <x:v>Lost</x:v>
      </x:c>
    </x:row>
    <x:row r="1311">
      <x:c r="A1311" t="str">
        <x:v>L01310</x:v>
      </x:c>
      <x:c r="B1311" s="10" t="n">
        <x:v>46015</x:v>
      </x:c>
      <x:c r="C1311" t="str">
        <x:v>Duy Pham</x:v>
      </x:c>
      <x:c r="D1311" t="str">
        <x:v>South</x:v>
      </x:c>
      <x:c r="E1311" t="str">
        <x:v>email nurture</x:v>
      </x:c>
      <x:c r="F1311" t="str">
        <x:v>CRM-CORE</x:v>
      </x:c>
      <x:c r="G1311" t="str">
        <x:v>Healthcare</x:v>
      </x:c>
      <x:c r="H1311" t="str">
        <x:v>SMB</x:v>
      </x:c>
      <x:c r="I1311" t="str">
        <x:v>Closed Lost</x:v>
      </x:c>
      <x:c r="J1311" s="10" t="n">
        <x:v>46050</x:v>
      </x:c>
      <x:c r="K1311" s="10" t="n">
        <x:v>46050</x:v>
      </x:c>
      <x:c r="L1311" s="22" t="n">
        <x:v>10100</x:v>
      </x:c>
      <x:c r="M1311" s="24" t="n">
        <x:v>0</x:v>
      </x:c>
      <x:c r="N1311" s="24" t="n">
        <x:v>0</x:v>
      </x:c>
      <x:c r="O1311" t="str">
        <x:v>Price</x:v>
      </x:c>
      <x:c r="P1311" t="n">
        <x:v>4</x:v>
      </x:c>
      <x:c r="Q1311" t="str">
        <x:f>IFERROR(XLOOKUP(E1311,Lookups!$A$5:$A$24,Lookups!$B$5:$B$24),"Other")</x:f>
        <x:v>Email</x:v>
      </x:c>
      <x:c r="R1311" t="str">
        <x:f>IFERROR(XLOOKUP(F1311,Lookups!$D$5:$D$10,Lookups!$E$5:$E$10),"Unknown Product")</x:f>
        <x:v>NexaCRM Core</x:v>
      </x:c>
      <x:c r="S1311" t="str">
        <x:f>IFERROR(XLOOKUP(F1311,Lookups!$D$5:$D$10,Lookups!$F$5:$F$10),"Unknown")</x:f>
        <x:v>CRM</x:v>
      </x:c>
      <x:c r="T1311" t="str">
        <x:f>IF(L1311&gt;=50000,"Enterprise",IF(L1311&gt;=20000,"Mid-Market","SMB"))</x:f>
        <x:v>SMB</x:v>
      </x:c>
      <x:c r="U1311" t="str">
        <x:f>IF(I1311="Closed Won","Won",IF(I1311="Closed Lost","Lost","Open"))</x:f>
        <x:v>Lost</x:v>
      </x:c>
      <x:c r="V1311" s="22" t="n">
        <x:f>IF(U1311="Won",L1311*(1-M1311),0)</x:f>
        <x:v>0</x:v>
      </x:c>
      <x:c r="W1311" s="22" t="n">
        <x:f>IF(U1311="Open",L1311*N1311,0)</x:f>
        <x:v>0</x:v>
      </x:c>
      <x:c r="X1311" s="26" t="n">
        <x:f>IF(U1311="Open","",IFERROR(K1311-B1311,""))</x:f>
        <x:v>35</x:v>
      </x:c>
      <x:c r="Y1311" s="26" t="n">
        <x:f>IF(U1311="Open",Lookups!$B$2-B1311,X1311)</x:f>
        <x:v>35</x:v>
      </x:c>
      <x:c r="Z1311" t="str">
        <x:f>IF(AND(U1311="Open",Y1311&gt;30),"STALE","OK")</x:f>
        <x:v>OK</x:v>
      </x:c>
      <x:c r="AA1311" t="str">
        <x:f>TEXT(B1311,"yyyy-mm")</x:f>
        <x:v>2025-12</x:v>
      </x:c>
      <x:c r="AB1311" t="str">
        <x:f>IF(K1311="","",TEXT(K1311,"yyyy-mm"))</x:f>
        <x:v>2026-01</x:v>
      </x:c>
      <x:c r="AC1311" t="str">
        <x:f>"Q"&amp;ROUNDUP(MONTH(B1311)/3,0)&amp;"-"&amp;YEAR(B1311)</x:f>
        <x:v>Q4-2025</x:v>
      </x:c>
      <x:c r="AD1311" s="26" t="n">
        <x:f>MIN(100,IF(H1311="Enterprise",30,IF(H1311="Mid-Market",22,14))+IF(T1311="Enterprise",25,IF(T1311="Mid-Market",18,10))+IF(Q1311="Referral",25,IF(Q1311="Organic Search",20,IF(Q1311="Email",18,14)))+IF(G1311="Technology",10,5))</x:f>
        <x:v>47</x:v>
      </x:c>
      <x:c r="AE1311" t="str">
        <x:f>IF(U1311&lt;&gt;"Open",U1311,IF(N1311&gt;=0.8,"Commit",IF(N1311&gt;=0.5,"Best Case","Pipeline")))</x:f>
        <x:v>Lost</x:v>
      </x:c>
    </x:row>
    <x:row r="1312">
      <x:c r="A1312" t="str">
        <x:v>L01311</x:v>
      </x:c>
      <x:c r="B1312" s="10" t="n">
        <x:v>45900</x:v>
      </x:c>
      <x:c r="C1312" t="str">
        <x:v>Chi Le</x:v>
      </x:c>
      <x:c r="D1312" t="str">
        <x:v>South</x:v>
      </x:c>
      <x:c r="E1312" t="str">
        <x:v>SEM - Google</x:v>
      </x:c>
      <x:c r="F1312" t="str">
        <x:v>CRM-PRO</x:v>
      </x:c>
      <x:c r="G1312" t="str">
        <x:v>Education</x:v>
      </x:c>
      <x:c r="H1312" t="str">
        <x:v>Mid-Market</x:v>
      </x:c>
      <x:c r="I1312" t="str">
        <x:v>Closed Lost</x:v>
      </x:c>
      <x:c r="J1312" s="10" t="n">
        <x:v>45941</x:v>
      </x:c>
      <x:c r="K1312" s="10" t="n">
        <x:v>45941</x:v>
      </x:c>
      <x:c r="L1312" s="22" t="n">
        <x:v>25600</x:v>
      </x:c>
      <x:c r="M1312" s="24" t="n">
        <x:v>0</x:v>
      </x:c>
      <x:c r="N1312" s="24" t="n">
        <x:v>0</x:v>
      </x:c>
      <x:c r="O1312" t="str">
        <x:v>No Decision</x:v>
      </x:c>
      <x:c r="P1312" t="n">
        <x:v>4</x:v>
      </x:c>
      <x:c r="Q1312" t="str">
        <x:f>IFERROR(XLOOKUP(E1312,Lookups!$A$5:$A$24,Lookups!$B$5:$B$24),"Other")</x:f>
        <x:v>Paid Search</x:v>
      </x:c>
      <x:c r="R1312" t="str">
        <x:f>IFERROR(XLOOKUP(F1312,Lookups!$D$5:$D$10,Lookups!$E$5:$E$10),"Unknown Product")</x:f>
        <x:v>NexaCRM Pro</x:v>
      </x:c>
      <x:c r="S1312" t="str">
        <x:f>IFERROR(XLOOKUP(F1312,Lookups!$D$5:$D$10,Lookups!$F$5:$F$10),"Unknown")</x:f>
        <x:v>CRM</x:v>
      </x:c>
      <x:c r="T1312" t="str">
        <x:f>IF(L1312&gt;=50000,"Enterprise",IF(L1312&gt;=20000,"Mid-Market","SMB"))</x:f>
        <x:v>Mid-Market</x:v>
      </x:c>
      <x:c r="U1312" t="str">
        <x:f>IF(I1312="Closed Won","Won",IF(I1312="Closed Lost","Lost","Open"))</x:f>
        <x:v>Lost</x:v>
      </x:c>
      <x:c r="V1312" s="22" t="n">
        <x:f>IF(U1312="Won",L1312*(1-M1312),0)</x:f>
        <x:v>0</x:v>
      </x:c>
      <x:c r="W1312" s="22" t="n">
        <x:f>IF(U1312="Open",L1312*N1312,0)</x:f>
        <x:v>0</x:v>
      </x:c>
      <x:c r="X1312" s="26" t="n">
        <x:f>IF(U1312="Open","",IFERROR(K1312-B1312,""))</x:f>
        <x:v>41</x:v>
      </x:c>
      <x:c r="Y1312" s="26" t="n">
        <x:f>IF(U1312="Open",Lookups!$B$2-B1312,X1312)</x:f>
        <x:v>41</x:v>
      </x:c>
      <x:c r="Z1312" t="str">
        <x:f>IF(AND(U1312="Open",Y1312&gt;30),"STALE","OK")</x:f>
        <x:v>OK</x:v>
      </x:c>
      <x:c r="AA1312" t="str">
        <x:f>TEXT(B1312,"yyyy-mm")</x:f>
        <x:v>2025-08</x:v>
      </x:c>
      <x:c r="AB1312" t="str">
        <x:f>IF(K1312="","",TEXT(K1312,"yyyy-mm"))</x:f>
        <x:v>2025-10</x:v>
      </x:c>
      <x:c r="AC1312" t="str">
        <x:f>"Q"&amp;ROUNDUP(MONTH(B1312)/3,0)&amp;"-"&amp;YEAR(B1312)</x:f>
        <x:v>Q3-2025</x:v>
      </x:c>
      <x:c r="AD1312" s="26" t="n">
        <x:f>MIN(100,IF(H1312="Enterprise",30,IF(H1312="Mid-Market",22,14))+IF(T1312="Enterprise",25,IF(T1312="Mid-Market",18,10))+IF(Q1312="Referral",25,IF(Q1312="Organic Search",20,IF(Q1312="Email",18,14)))+IF(G1312="Technology",10,5))</x:f>
        <x:v>59</x:v>
      </x:c>
      <x:c r="AE1312" t="str">
        <x:f>IF(U1312&lt;&gt;"Open",U1312,IF(N1312&gt;=0.8,"Commit",IF(N1312&gt;=0.5,"Best Case","Pipeline")))</x:f>
        <x:v>Lost</x:v>
      </x:c>
    </x:row>
    <x:row r="1313">
      <x:c r="A1313" t="str">
        <x:v>L01312</x:v>
      </x:c>
      <x:c r="B1313" s="10" t="n">
        <x:v>45823</x:v>
      </x:c>
      <x:c r="C1313" t="str">
        <x:v>Quynh Vu</x:v>
      </x:c>
      <x:c r="D1313" t="str">
        <x:v>North</x:v>
      </x:c>
      <x:c r="E1313" t="str">
        <x:v>LinkedIn Ads</x:v>
      </x:c>
      <x:c r="F1313" t="str">
        <x:v>MKT-AUTO</x:v>
      </x:c>
      <x:c r="G1313" t="str">
        <x:v>Manufacturing</x:v>
      </x:c>
      <x:c r="H1313" t="str">
        <x:v>SMB</x:v>
      </x:c>
      <x:c r="I1313" t="str">
        <x:v>Negotiation</x:v>
      </x:c>
      <x:c r="J1313" s="10" t="n">
        <x:v>46055</x:v>
      </x:c>
      <x:c r="K1313" s="10"/>
      <x:c r="L1313" s="22" t="n">
        <x:v>18200</x:v>
      </x:c>
      <x:c r="M1313" s="24" t="n">
        <x:v>0</x:v>
      </x:c>
      <x:c r="N1313" s="24" t="n">
        <x:v>0.85</x:v>
      </x:c>
      <x:c r="O1313" t="str"/>
      <x:c r="P1313" t="n">
        <x:v>5</x:v>
      </x:c>
      <x:c r="Q1313" t="str">
        <x:f>IFERROR(XLOOKUP(E1313,Lookups!$A$5:$A$24,Lookups!$B$5:$B$24),"Other")</x:f>
        <x:v>LinkedIn</x:v>
      </x:c>
      <x:c r="R1313" t="str">
        <x:f>IFERROR(XLOOKUP(F1313,Lookups!$D$5:$D$10,Lookups!$E$5:$E$10),"Unknown Product")</x:f>
        <x:v>Marketing Automation</x:v>
      </x:c>
      <x:c r="S1313" t="str">
        <x:f>IFERROR(XLOOKUP(F1313,Lookups!$D$5:$D$10,Lookups!$F$5:$F$10),"Unknown")</x:f>
        <x:v>Marketing</x:v>
      </x:c>
      <x:c r="T1313" t="str">
        <x:f>IF(L1313&gt;=50000,"Enterprise",IF(L1313&gt;=20000,"Mid-Market","SMB"))</x:f>
        <x:v>SMB</x:v>
      </x:c>
      <x:c r="U1313" t="str">
        <x:f>IF(I1313="Closed Won","Won",IF(I1313="Closed Lost","Lost","Open"))</x:f>
        <x:v>Open</x:v>
      </x:c>
      <x:c r="V1313" s="22" t="n">
        <x:f>IF(U1313="Won",L1313*(1-M1313),0)</x:f>
        <x:v>0</x:v>
      </x:c>
      <x:c r="W1313" s="22" t="n">
        <x:f>IF(U1313="Open",L1313*N1313,0)</x:f>
        <x:v>15470</x:v>
      </x:c>
      <x:c r="X1313" s="26" t="str">
        <x:f>IF(U1313="Open","",IFERROR(K1313-B1313,""))</x:f>
      </x:c>
      <x:c r="Y1313" s="26" t="n">
        <x:f>IF(U1313="Open",Lookups!$B$2-B1313,X1313)</x:f>
        <x:v>443</x:v>
      </x:c>
      <x:c r="Z1313" t="str">
        <x:f>IF(AND(U1313="Open",Y1313&gt;30),"STALE","OK")</x:f>
        <x:v>STALE</x:v>
      </x:c>
      <x:c r="AA1313" t="str">
        <x:f>TEXT(B1313,"yyyy-mm")</x:f>
        <x:v>2025-06</x:v>
      </x:c>
      <x:c r="AB1313" t="str">
        <x:f>IF(K1313="","",TEXT(K1313,"yyyy-mm"))</x:f>
      </x:c>
      <x:c r="AC1313" t="str">
        <x:f>"Q"&amp;ROUNDUP(MONTH(B1313)/3,0)&amp;"-"&amp;YEAR(B1313)</x:f>
        <x:v>Q2-2025</x:v>
      </x:c>
      <x:c r="AD1313" s="26" t="n">
        <x:f>MIN(100,IF(H1313="Enterprise",30,IF(H1313="Mid-Market",22,14))+IF(T1313="Enterprise",25,IF(T1313="Mid-Market",18,10))+IF(Q1313="Referral",25,IF(Q1313="Organic Search",20,IF(Q1313="Email",18,14)))+IF(G1313="Technology",10,5))</x:f>
        <x:v>43</x:v>
      </x:c>
      <x:c r="AE1313" t="str">
        <x:f>IF(U1313&lt;&gt;"Open",U1313,IF(N1313&gt;=0.8,"Commit",IF(N1313&gt;=0.5,"Best Case","Pipeline")))</x:f>
        <x:v>Commit</x:v>
      </x:c>
    </x:row>
    <x:row r="1314">
      <x:c r="A1314" t="str">
        <x:v>L01313</x:v>
      </x:c>
      <x:c r="B1314" s="10" t="n">
        <x:v>46144</x:v>
      </x:c>
      <x:c r="C1314" t="str">
        <x:v>An Nguyen</x:v>
      </x:c>
      <x:c r="D1314" t="str">
        <x:v>South</x:v>
      </x:c>
      <x:c r="E1314" t="str">
        <x:v>Google Ads</x:v>
      </x:c>
      <x:c r="F1314" t="str">
        <x:v>MKT-AUTO</x:v>
      </x:c>
      <x:c r="G1314" t="str">
        <x:v>Healthcare</x:v>
      </x:c>
      <x:c r="H1314" t="str">
        <x:v>SMB</x:v>
      </x:c>
      <x:c r="I1314" t="str">
        <x:v>Closed Lost</x:v>
      </x:c>
      <x:c r="J1314" s="10" t="n">
        <x:v>46152</x:v>
      </x:c>
      <x:c r="K1314" s="10" t="n">
        <x:v>46152</x:v>
      </x:c>
      <x:c r="L1314" s="22" t="n">
        <x:v>9600</x:v>
      </x:c>
      <x:c r="M1314" s="24" t="n">
        <x:v>0</x:v>
      </x:c>
      <x:c r="N1314" s="24" t="n">
        <x:v>0</x:v>
      </x:c>
      <x:c r="O1314" t="str">
        <x:v>Feature Gap</x:v>
      </x:c>
      <x:c r="P1314" t="n">
        <x:v>4</x:v>
      </x:c>
      <x:c r="Q1314" t="str">
        <x:f>IFERROR(XLOOKUP(E1314,Lookups!$A$5:$A$24,Lookups!$B$5:$B$24),"Other")</x:f>
        <x:v>Paid Search</x:v>
      </x:c>
      <x:c r="R1314" t="str">
        <x:f>IFERROR(XLOOKUP(F1314,Lookups!$D$5:$D$10,Lookups!$E$5:$E$10),"Unknown Product")</x:f>
        <x:v>Marketing Automation</x:v>
      </x:c>
      <x:c r="S1314" t="str">
        <x:f>IFERROR(XLOOKUP(F1314,Lookups!$D$5:$D$10,Lookups!$F$5:$F$10),"Unknown")</x:f>
        <x:v>Marketing</x:v>
      </x:c>
      <x:c r="T1314" t="str">
        <x:f>IF(L1314&gt;=50000,"Enterprise",IF(L1314&gt;=20000,"Mid-Market","SMB"))</x:f>
        <x:v>SMB</x:v>
      </x:c>
      <x:c r="U1314" t="str">
        <x:f>IF(I1314="Closed Won","Won",IF(I1314="Closed Lost","Lost","Open"))</x:f>
        <x:v>Lost</x:v>
      </x:c>
      <x:c r="V1314" s="22" t="n">
        <x:f>IF(U1314="Won",L1314*(1-M1314),0)</x:f>
        <x:v>0</x:v>
      </x:c>
      <x:c r="W1314" s="22" t="n">
        <x:f>IF(U1314="Open",L1314*N1314,0)</x:f>
        <x:v>0</x:v>
      </x:c>
      <x:c r="X1314" s="26" t="n">
        <x:f>IF(U1314="Open","",IFERROR(K1314-B1314,""))</x:f>
        <x:v>8</x:v>
      </x:c>
      <x:c r="Y1314" s="26" t="n">
        <x:f>IF(U1314="Open",Lookups!$B$2-B1314,X1314)</x:f>
        <x:v>8</x:v>
      </x:c>
      <x:c r="Z1314" t="str">
        <x:f>IF(AND(U1314="Open",Y1314&gt;30),"STALE","OK")</x:f>
        <x:v>OK</x:v>
      </x:c>
      <x:c r="AA1314" t="str">
        <x:f>TEXT(B1314,"yyyy-mm")</x:f>
        <x:v>2026-05</x:v>
      </x:c>
      <x:c r="AB1314" t="str">
        <x:f>IF(K1314="","",TEXT(K1314,"yyyy-mm"))</x:f>
        <x:v>2026-05</x:v>
      </x:c>
      <x:c r="AC1314" t="str">
        <x:f>"Q"&amp;ROUNDUP(MONTH(B1314)/3,0)&amp;"-"&amp;YEAR(B1314)</x:f>
        <x:v>Q2-2026</x:v>
      </x:c>
      <x:c r="AD1314" s="26" t="n">
        <x:f>MIN(100,IF(H1314="Enterprise",30,IF(H1314="Mid-Market",22,14))+IF(T1314="Enterprise",25,IF(T1314="Mid-Market",18,10))+IF(Q1314="Referral",25,IF(Q1314="Organic Search",20,IF(Q1314="Email",18,14)))+IF(G1314="Technology",10,5))</x:f>
        <x:v>43</x:v>
      </x:c>
      <x:c r="AE1314" t="str">
        <x:f>IF(U1314&lt;&gt;"Open",U1314,IF(N1314&gt;=0.8,"Commit",IF(N1314&gt;=0.5,"Best Case","Pipeline")))</x:f>
        <x:v>Lost</x:v>
      </x:c>
    </x:row>
    <x:row r="1315">
      <x:c r="A1315" t="str">
        <x:v>L01314</x:v>
      </x:c>
      <x:c r="B1315" s="10" t="n">
        <x:v>45682</x:v>
      </x:c>
      <x:c r="C1315" t="str">
        <x:v>Tuan Bui</x:v>
      </x:c>
      <x:c r="D1315" t="str">
        <x:v>Central</x:v>
      </x:c>
      <x:c r="E1315" t="str">
        <x:v>Google Ads</x:v>
      </x:c>
      <x:c r="F1315" t="str">
        <x:v>REV-OPS</x:v>
      </x:c>
      <x:c r="G1315" t="str">
        <x:v>Professional Services</x:v>
      </x:c>
      <x:c r="H1315" t="str">
        <x:v>Mid-Market</x:v>
      </x:c>
      <x:c r="I1315" t="str">
        <x:v>Closed Lost</x:v>
      </x:c>
      <x:c r="J1315" s="10" t="n">
        <x:v>45757</x:v>
      </x:c>
      <x:c r="K1315" s="10" t="n">
        <x:v>45757</x:v>
      </x:c>
      <x:c r="L1315" s="22" t="n">
        <x:v>81500</x:v>
      </x:c>
      <x:c r="M1315" s="24" t="n">
        <x:v>0</x:v>
      </x:c>
      <x:c r="N1315" s="24" t="n">
        <x:v>0</x:v>
      </x:c>
      <x:c r="O1315" t="str">
        <x:v>Feature Gap</x:v>
      </x:c>
      <x:c r="P1315" t="n">
        <x:v>4</x:v>
      </x:c>
      <x:c r="Q1315" t="str">
        <x:f>IFERROR(XLOOKUP(E1315,Lookups!$A$5:$A$24,Lookups!$B$5:$B$24),"Other")</x:f>
        <x:v>Paid Search</x:v>
      </x:c>
      <x:c r="R1315" t="str">
        <x:f>IFERROR(XLOOKUP(F1315,Lookups!$D$5:$D$10,Lookups!$E$5:$E$10),"Unknown Product")</x:f>
        <x:v>Revenue Operations Suite</x:v>
      </x:c>
      <x:c r="S1315" t="str">
        <x:f>IFERROR(XLOOKUP(F1315,Lookups!$D$5:$D$10,Lookups!$F$5:$F$10),"Unknown")</x:f>
        <x:v>Revenue Ops</x:v>
      </x:c>
      <x:c r="T1315" t="str">
        <x:f>IF(L1315&gt;=50000,"Enterprise",IF(L1315&gt;=20000,"Mid-Market","SMB"))</x:f>
        <x:v>Enterprise</x:v>
      </x:c>
      <x:c r="U1315" t="str">
        <x:f>IF(I1315="Closed Won","Won",IF(I1315="Closed Lost","Lost","Open"))</x:f>
        <x:v>Lost</x:v>
      </x:c>
      <x:c r="V1315" s="22" t="n">
        <x:f>IF(U1315="Won",L1315*(1-M1315),0)</x:f>
        <x:v>0</x:v>
      </x:c>
      <x:c r="W1315" s="22" t="n">
        <x:f>IF(U1315="Open",L1315*N1315,0)</x:f>
        <x:v>0</x:v>
      </x:c>
      <x:c r="X1315" s="26" t="n">
        <x:f>IF(U1315="Open","",IFERROR(K1315-B1315,""))</x:f>
        <x:v>75</x:v>
      </x:c>
      <x:c r="Y1315" s="26" t="n">
        <x:f>IF(U1315="Open",Lookups!$B$2-B1315,X1315)</x:f>
        <x:v>75</x:v>
      </x:c>
      <x:c r="Z1315" t="str">
        <x:f>IF(AND(U1315="Open",Y1315&gt;30),"STALE","OK")</x:f>
        <x:v>OK</x:v>
      </x:c>
      <x:c r="AA1315" t="str">
        <x:f>TEXT(B1315,"yyyy-mm")</x:f>
        <x:v>2025-01</x:v>
      </x:c>
      <x:c r="AB1315" t="str">
        <x:f>IF(K1315="","",TEXT(K1315,"yyyy-mm"))</x:f>
        <x:v>2025-04</x:v>
      </x:c>
      <x:c r="AC1315" t="str">
        <x:f>"Q"&amp;ROUNDUP(MONTH(B1315)/3,0)&amp;"-"&amp;YEAR(B1315)</x:f>
        <x:v>Q1-2025</x:v>
      </x:c>
      <x:c r="AD1315" s="26" t="n">
        <x:f>MIN(100,IF(H1315="Enterprise",30,IF(H1315="Mid-Market",22,14))+IF(T1315="Enterprise",25,IF(T1315="Mid-Market",18,10))+IF(Q1315="Referral",25,IF(Q1315="Organic Search",20,IF(Q1315="Email",18,14)))+IF(G1315="Technology",10,5))</x:f>
        <x:v>66</x:v>
      </x:c>
      <x:c r="AE1315" t="str">
        <x:f>IF(U1315&lt;&gt;"Open",U1315,IF(N1315&gt;=0.8,"Commit",IF(N1315&gt;=0.5,"Best Case","Pipeline")))</x:f>
        <x:v>Lost</x:v>
      </x:c>
    </x:row>
    <x:row r="1316">
      <x:c r="A1316" t="str">
        <x:v>L01315</x:v>
      </x:c>
      <x:c r="B1316" s="10" t="n">
        <x:v>45701</x:v>
      </x:c>
      <x:c r="C1316" t="str">
        <x:v>An Nguyen</x:v>
      </x:c>
      <x:c r="D1316" t="str">
        <x:v>South</x:v>
      </x:c>
      <x:c r="E1316" t="str">
        <x:v>Google Organic</x:v>
      </x:c>
      <x:c r="F1316" t="str">
        <x:v>REV-OPS</x:v>
      </x:c>
      <x:c r="G1316" t="str">
        <x:v>Professional Services</x:v>
      </x:c>
      <x:c r="H1316" t="str">
        <x:v>SMB</x:v>
      </x:c>
      <x:c r="I1316" t="str">
        <x:v>Negotiation</x:v>
      </x:c>
      <x:c r="J1316" s="10" t="n">
        <x:v>46027</x:v>
      </x:c>
      <x:c r="K1316" s="10"/>
      <x:c r="L1316" s="22" t="n">
        <x:v>20500</x:v>
      </x:c>
      <x:c r="M1316" s="24" t="n">
        <x:v>0.05</x:v>
      </x:c>
      <x:c r="N1316" s="24" t="n">
        <x:v>0.85</x:v>
      </x:c>
      <x:c r="O1316" t="str"/>
      <x:c r="P1316" t="n">
        <x:v>5</x:v>
      </x:c>
      <x:c r="Q1316" t="str">
        <x:f>IFERROR(XLOOKUP(E1316,Lookups!$A$5:$A$24,Lookups!$B$5:$B$24),"Other")</x:f>
        <x:v>Organic Search</x:v>
      </x:c>
      <x:c r="R1316" t="str">
        <x:f>IFERROR(XLOOKUP(F1316,Lookups!$D$5:$D$10,Lookups!$E$5:$E$10),"Unknown Product")</x:f>
        <x:v>Revenue Operations Suite</x:v>
      </x:c>
      <x:c r="S1316" t="str">
        <x:f>IFERROR(XLOOKUP(F1316,Lookups!$D$5:$D$10,Lookups!$F$5:$F$10),"Unknown")</x:f>
        <x:v>Revenue Ops</x:v>
      </x:c>
      <x:c r="T1316" t="str">
        <x:f>IF(L1316&gt;=50000,"Enterprise",IF(L1316&gt;=20000,"Mid-Market","SMB"))</x:f>
        <x:v>Mid-Market</x:v>
      </x:c>
      <x:c r="U1316" t="str">
        <x:f>IF(I1316="Closed Won","Won",IF(I1316="Closed Lost","Lost","Open"))</x:f>
        <x:v>Open</x:v>
      </x:c>
      <x:c r="V1316" s="22" t="n">
        <x:f>IF(U1316="Won",L1316*(1-M1316),0)</x:f>
        <x:v>0</x:v>
      </x:c>
      <x:c r="W1316" s="22" t="n">
        <x:f>IF(U1316="Open",L1316*N1316,0)</x:f>
        <x:v>17425</x:v>
      </x:c>
      <x:c r="X1316" s="26" t="str">
        <x:f>IF(U1316="Open","",IFERROR(K1316-B1316,""))</x:f>
      </x:c>
      <x:c r="Y1316" s="26" t="n">
        <x:f>IF(U1316="Open",Lookups!$B$2-B1316,X1316)</x:f>
        <x:v>565</x:v>
      </x:c>
      <x:c r="Z1316" t="str">
        <x:f>IF(AND(U1316="Open",Y1316&gt;30),"STALE","OK")</x:f>
        <x:v>STALE</x:v>
      </x:c>
      <x:c r="AA1316" t="str">
        <x:f>TEXT(B1316,"yyyy-mm")</x:f>
        <x:v>2025-02</x:v>
      </x:c>
      <x:c r="AB1316" t="str">
        <x:f>IF(K1316="","",TEXT(K1316,"yyyy-mm"))</x:f>
      </x:c>
      <x:c r="AC1316" t="str">
        <x:f>"Q"&amp;ROUNDUP(MONTH(B1316)/3,0)&amp;"-"&amp;YEAR(B1316)</x:f>
        <x:v>Q1-2025</x:v>
      </x:c>
      <x:c r="AD1316" s="26" t="n">
        <x:f>MIN(100,IF(H1316="Enterprise",30,IF(H1316="Mid-Market",22,14))+IF(T1316="Enterprise",25,IF(T1316="Mid-Market",18,10))+IF(Q1316="Referral",25,IF(Q1316="Organic Search",20,IF(Q1316="Email",18,14)))+IF(G1316="Technology",10,5))</x:f>
        <x:v>57</x:v>
      </x:c>
      <x:c r="AE1316" t="str">
        <x:f>IF(U1316&lt;&gt;"Open",U1316,IF(N1316&gt;=0.8,"Commit",IF(N1316&gt;=0.5,"Best Case","Pipeline")))</x:f>
        <x:v>Commit</x:v>
      </x:c>
    </x:row>
    <x:row r="1317">
      <x:c r="A1317" t="str">
        <x:v>L01316</x:v>
      </x:c>
      <x:c r="B1317" s="10" t="n">
        <x:v>45879</x:v>
      </x:c>
      <x:c r="C1317" t="str">
        <x:v>Duy Pham</x:v>
      </x:c>
      <x:c r="D1317" t="str">
        <x:v>South</x:v>
      </x:c>
      <x:c r="E1317" t="str">
        <x:v>virtual event</x:v>
      </x:c>
      <x:c r="F1317" t="str">
        <x:v>REV-OPS</x:v>
      </x:c>
      <x:c r="G1317" t="str">
        <x:v>Healthcare</x:v>
      </x:c>
      <x:c r="H1317" t="str">
        <x:v>Enterprise</x:v>
      </x:c>
      <x:c r="I1317" t="str">
        <x:v>Closed Lost</x:v>
      </x:c>
      <x:c r="J1317" s="10" t="n">
        <x:v>45914</x:v>
      </x:c>
      <x:c r="K1317" s="10" t="n">
        <x:v>45914</x:v>
      </x:c>
      <x:c r="L1317" s="22" t="n">
        <x:v>110200</x:v>
      </x:c>
      <x:c r="M1317" s="24" t="n">
        <x:v>0</x:v>
      </x:c>
      <x:c r="N1317" s="24" t="n">
        <x:v>0</x:v>
      </x:c>
      <x:c r="O1317" t="str">
        <x:v>No Decision</x:v>
      </x:c>
      <x:c r="P1317" t="n">
        <x:v>4</x:v>
      </x:c>
      <x:c r="Q1317" t="str">
        <x:f>IFERROR(XLOOKUP(E1317,Lookups!$A$5:$A$24,Lookups!$B$5:$B$24),"Other")</x:f>
        <x:v>Webinar</x:v>
      </x:c>
      <x:c r="R1317" t="str">
        <x:f>IFERROR(XLOOKUP(F1317,Lookups!$D$5:$D$10,Lookups!$E$5:$E$10),"Unknown Product")</x:f>
        <x:v>Revenue Operations Suite</x:v>
      </x:c>
      <x:c r="S1317" t="str">
        <x:f>IFERROR(XLOOKUP(F1317,Lookups!$D$5:$D$10,Lookups!$F$5:$F$10),"Unknown")</x:f>
        <x:v>Revenue Ops</x:v>
      </x:c>
      <x:c r="T1317" t="str">
        <x:f>IF(L1317&gt;=50000,"Enterprise",IF(L1317&gt;=20000,"Mid-Market","SMB"))</x:f>
        <x:v>Enterprise</x:v>
      </x:c>
      <x:c r="U1317" t="str">
        <x:f>IF(I1317="Closed Won","Won",IF(I1317="Closed Lost","Lost","Open"))</x:f>
        <x:v>Lost</x:v>
      </x:c>
      <x:c r="V1317" s="22" t="n">
        <x:f>IF(U1317="Won",L1317*(1-M1317),0)</x:f>
        <x:v>0</x:v>
      </x:c>
      <x:c r="W1317" s="22" t="n">
        <x:f>IF(U1317="Open",L1317*N1317,0)</x:f>
        <x:v>0</x:v>
      </x:c>
      <x:c r="X1317" s="26" t="n">
        <x:f>IF(U1317="Open","",IFERROR(K1317-B1317,""))</x:f>
        <x:v>35</x:v>
      </x:c>
      <x:c r="Y1317" s="26" t="n">
        <x:f>IF(U1317="Open",Lookups!$B$2-B1317,X1317)</x:f>
        <x:v>35</x:v>
      </x:c>
      <x:c r="Z1317" t="str">
        <x:f>IF(AND(U1317="Open",Y1317&gt;30),"STALE","OK")</x:f>
        <x:v>OK</x:v>
      </x:c>
      <x:c r="AA1317" t="str">
        <x:f>TEXT(B1317,"yyyy-mm")</x:f>
        <x:v>2025-08</x:v>
      </x:c>
      <x:c r="AB1317" t="str">
        <x:f>IF(K1317="","",TEXT(K1317,"yyyy-mm"))</x:f>
        <x:v>2025-09</x:v>
      </x:c>
      <x:c r="AC1317" t="str">
        <x:f>"Q"&amp;ROUNDUP(MONTH(B1317)/3,0)&amp;"-"&amp;YEAR(B1317)</x:f>
        <x:v>Q3-2025</x:v>
      </x:c>
      <x:c r="AD1317" s="26" t="n">
        <x:f>MIN(100,IF(H1317="Enterprise",30,IF(H1317="Mid-Market",22,14))+IF(T1317="Enterprise",25,IF(T1317="Mid-Market",18,10))+IF(Q1317="Referral",25,IF(Q1317="Organic Search",20,IF(Q1317="Email",18,14)))+IF(G1317="Technology",10,5))</x:f>
        <x:v>74</x:v>
      </x:c>
      <x:c r="AE1317" t="str">
        <x:f>IF(U1317&lt;&gt;"Open",U1317,IF(N1317&gt;=0.8,"Commit",IF(N1317&gt;=0.5,"Best Case","Pipeline")))</x:f>
        <x:v>Lost</x:v>
      </x:c>
    </x:row>
    <x:row r="1318">
      <x:c r="A1318" t="str">
        <x:v>L01317</x:v>
      </x:c>
      <x:c r="B1318" s="10" t="n">
        <x:v>46030</x:v>
      </x:c>
      <x:c r="C1318" t="str">
        <x:v>Bao Tran</x:v>
      </x:c>
      <x:c r="D1318" t="str">
        <x:v>South</x:v>
      </x:c>
      <x:c r="E1318" t="str">
        <x:v>Google Ads</x:v>
      </x:c>
      <x:c r="F1318" t="str">
        <x:v>CRM-PRO</x:v>
      </x:c>
      <x:c r="G1318" t="str">
        <x:v>Retail</x:v>
      </x:c>
      <x:c r="H1318" t="str">
        <x:v>SMB</x:v>
      </x:c>
      <x:c r="I1318" t="str">
        <x:v>Closed Lost</x:v>
      </x:c>
      <x:c r="J1318" s="10" t="n">
        <x:v>46079</x:v>
      </x:c>
      <x:c r="K1318" s="10" t="n">
        <x:v>46079</x:v>
      </x:c>
      <x:c r="L1318" s="22" t="n">
        <x:v>20000</x:v>
      </x:c>
      <x:c r="M1318" s="24" t="n">
        <x:v>0</x:v>
      </x:c>
      <x:c r="N1318" s="24" t="n">
        <x:v>0</x:v>
      </x:c>
      <x:c r="O1318" t="str">
        <x:v>No Decision</x:v>
      </x:c>
      <x:c r="P1318" t="n">
        <x:v>4</x:v>
      </x:c>
      <x:c r="Q1318" t="str">
        <x:f>IFERROR(XLOOKUP(E1318,Lookups!$A$5:$A$24,Lookups!$B$5:$B$24),"Other")</x:f>
        <x:v>Paid Search</x:v>
      </x:c>
      <x:c r="R1318" t="str">
        <x:f>IFERROR(XLOOKUP(F1318,Lookups!$D$5:$D$10,Lookups!$E$5:$E$10),"Unknown Product")</x:f>
        <x:v>NexaCRM Pro</x:v>
      </x:c>
      <x:c r="S1318" t="str">
        <x:f>IFERROR(XLOOKUP(F1318,Lookups!$D$5:$D$10,Lookups!$F$5:$F$10),"Unknown")</x:f>
        <x:v>CRM</x:v>
      </x:c>
      <x:c r="T1318" t="str">
        <x:f>IF(L1318&gt;=50000,"Enterprise",IF(L1318&gt;=20000,"Mid-Market","SMB"))</x:f>
        <x:v>Mid-Market</x:v>
      </x:c>
      <x:c r="U1318" t="str">
        <x:f>IF(I1318="Closed Won","Won",IF(I1318="Closed Lost","Lost","Open"))</x:f>
        <x:v>Lost</x:v>
      </x:c>
      <x:c r="V1318" s="22" t="n">
        <x:f>IF(U1318="Won",L1318*(1-M1318),0)</x:f>
        <x:v>0</x:v>
      </x:c>
      <x:c r="W1318" s="22" t="n">
        <x:f>IF(U1318="Open",L1318*N1318,0)</x:f>
        <x:v>0</x:v>
      </x:c>
      <x:c r="X1318" s="26" t="n">
        <x:f>IF(U1318="Open","",IFERROR(K1318-B1318,""))</x:f>
        <x:v>49</x:v>
      </x:c>
      <x:c r="Y1318" s="26" t="n">
        <x:f>IF(U1318="Open",Lookups!$B$2-B1318,X1318)</x:f>
        <x:v>49</x:v>
      </x:c>
      <x:c r="Z1318" t="str">
        <x:f>IF(AND(U1318="Open",Y1318&gt;30),"STALE","OK")</x:f>
        <x:v>OK</x:v>
      </x:c>
      <x:c r="AA1318" t="str">
        <x:f>TEXT(B1318,"yyyy-mm")</x:f>
        <x:v>2026-01</x:v>
      </x:c>
      <x:c r="AB1318" t="str">
        <x:f>IF(K1318="","",TEXT(K1318,"yyyy-mm"))</x:f>
        <x:v>2026-02</x:v>
      </x:c>
      <x:c r="AC1318" t="str">
        <x:f>"Q"&amp;ROUNDUP(MONTH(B1318)/3,0)&amp;"-"&amp;YEAR(B1318)</x:f>
        <x:v>Q1-2026</x:v>
      </x:c>
      <x:c r="AD1318" s="26" t="n">
        <x:f>MIN(100,IF(H1318="Enterprise",30,IF(H1318="Mid-Market",22,14))+IF(T1318="Enterprise",25,IF(T1318="Mid-Market",18,10))+IF(Q1318="Referral",25,IF(Q1318="Organic Search",20,IF(Q1318="Email",18,14)))+IF(G1318="Technology",10,5))</x:f>
        <x:v>51</x:v>
      </x:c>
      <x:c r="AE1318" t="str">
        <x:f>IF(U1318&lt;&gt;"Open",U1318,IF(N1318&gt;=0.8,"Commit",IF(N1318&gt;=0.5,"Best Case","Pipeline")))</x:f>
        <x:v>Lost</x:v>
      </x:c>
    </x:row>
    <x:row r="1319">
      <x:c r="A1319" t="str">
        <x:v>L01318</x:v>
      </x:c>
      <x:c r="B1319" s="10" t="n">
        <x:v>45970</x:v>
      </x:c>
      <x:c r="C1319" t="str">
        <x:v>Minh Do</x:v>
      </x:c>
      <x:c r="D1319" t="str">
        <x:v>North</x:v>
      </x:c>
      <x:c r="E1319" t="str">
        <x:v>google cpc</x:v>
      </x:c>
      <x:c r="F1319" t="str">
        <x:v>REV-OPS</x:v>
      </x:c>
      <x:c r="G1319" t="str">
        <x:v>Manufacturing</x:v>
      </x:c>
      <x:c r="H1319" t="str">
        <x:v>Enterprise</x:v>
      </x:c>
      <x:c r="I1319" t="str">
        <x:v>Negotiation</x:v>
      </x:c>
      <x:c r="J1319" s="10" t="n">
        <x:v>46213</x:v>
      </x:c>
      <x:c r="K1319" s="10"/>
      <x:c r="L1319" s="22" t="n">
        <x:v>97000</x:v>
      </x:c>
      <x:c r="M1319" s="24" t="n">
        <x:v>0.05</x:v>
      </x:c>
      <x:c r="N1319" s="24" t="n">
        <x:v>0.85</x:v>
      </x:c>
      <x:c r="O1319" t="str"/>
      <x:c r="P1319" t="n">
        <x:v>5</x:v>
      </x:c>
      <x:c r="Q1319" t="str">
        <x:f>IFERROR(XLOOKUP(E1319,Lookups!$A$5:$A$24,Lookups!$B$5:$B$24),"Other")</x:f>
        <x:v>Paid Search</x:v>
      </x:c>
      <x:c r="R1319" t="str">
        <x:f>IFERROR(XLOOKUP(F1319,Lookups!$D$5:$D$10,Lookups!$E$5:$E$10),"Unknown Product")</x:f>
        <x:v>Revenue Operations Suite</x:v>
      </x:c>
      <x:c r="S1319" t="str">
        <x:f>IFERROR(XLOOKUP(F1319,Lookups!$D$5:$D$10,Lookups!$F$5:$F$10),"Unknown")</x:f>
        <x:v>Revenue Ops</x:v>
      </x:c>
      <x:c r="T1319" t="str">
        <x:f>IF(L1319&gt;=50000,"Enterprise",IF(L1319&gt;=20000,"Mid-Market","SMB"))</x:f>
        <x:v>Enterprise</x:v>
      </x:c>
      <x:c r="U1319" t="str">
        <x:f>IF(I1319="Closed Won","Won",IF(I1319="Closed Lost","Lost","Open"))</x:f>
        <x:v>Open</x:v>
      </x:c>
      <x:c r="V1319" s="22" t="n">
        <x:f>IF(U1319="Won",L1319*(1-M1319),0)</x:f>
        <x:v>0</x:v>
      </x:c>
      <x:c r="W1319" s="22" t="n">
        <x:f>IF(U1319="Open",L1319*N1319,0)</x:f>
        <x:v>82450</x:v>
      </x:c>
      <x:c r="X1319" s="26" t="str">
        <x:f>IF(U1319="Open","",IFERROR(K1319-B1319,""))</x:f>
      </x:c>
      <x:c r="Y1319" s="26" t="n">
        <x:f>IF(U1319="Open",Lookups!$B$2-B1319,X1319)</x:f>
        <x:v>296</x:v>
      </x:c>
      <x:c r="Z1319" t="str">
        <x:f>IF(AND(U1319="Open",Y1319&gt;30),"STALE","OK")</x:f>
        <x:v>STALE</x:v>
      </x:c>
      <x:c r="AA1319" t="str">
        <x:f>TEXT(B1319,"yyyy-mm")</x:f>
        <x:v>2025-11</x:v>
      </x:c>
      <x:c r="AB1319" t="str">
        <x:f>IF(K1319="","",TEXT(K1319,"yyyy-mm"))</x:f>
      </x:c>
      <x:c r="AC1319" t="str">
        <x:f>"Q"&amp;ROUNDUP(MONTH(B1319)/3,0)&amp;"-"&amp;YEAR(B1319)</x:f>
        <x:v>Q4-2025</x:v>
      </x:c>
      <x:c r="AD1319" s="26" t="n">
        <x:f>MIN(100,IF(H1319="Enterprise",30,IF(H1319="Mid-Market",22,14))+IF(T1319="Enterprise",25,IF(T1319="Mid-Market",18,10))+IF(Q1319="Referral",25,IF(Q1319="Organic Search",20,IF(Q1319="Email",18,14)))+IF(G1319="Technology",10,5))</x:f>
        <x:v>74</x:v>
      </x:c>
      <x:c r="AE1319" t="str">
        <x:f>IF(U1319&lt;&gt;"Open",U1319,IF(N1319&gt;=0.8,"Commit",IF(N1319&gt;=0.5,"Best Case","Pipeline")))</x:f>
        <x:v>Commit</x:v>
      </x:c>
    </x:row>
    <x:row r="1320">
      <x:c r="A1320" t="str">
        <x:v>L01319</x:v>
      </x:c>
      <x:c r="B1320" s="10" t="n">
        <x:v>45803</x:v>
      </x:c>
      <x:c r="C1320" t="str">
        <x:v>Duy Pham</x:v>
      </x:c>
      <x:c r="D1320" t="str">
        <x:v>South</x:v>
      </x:c>
      <x:c r="E1320" t="str">
        <x:v>SEO</x:v>
      </x:c>
      <x:c r="F1320" t="str">
        <x:v>CRM-PRO</x:v>
      </x:c>
      <x:c r="G1320" t="str">
        <x:v>Healthcare</x:v>
      </x:c>
      <x:c r="H1320" t="str">
        <x:v>Mid-Market</x:v>
      </x:c>
      <x:c r="I1320" t="str">
        <x:v>Closed Lost</x:v>
      </x:c>
      <x:c r="J1320" s="10" t="n">
        <x:v>45814</x:v>
      </x:c>
      <x:c r="K1320" s="10" t="n">
        <x:v>45814</x:v>
      </x:c>
      <x:c r="L1320" s="22" t="n">
        <x:v>41200</x:v>
      </x:c>
      <x:c r="M1320" s="24" t="n">
        <x:v>0</x:v>
      </x:c>
      <x:c r="N1320" s="24" t="n">
        <x:v>0</x:v>
      </x:c>
      <x:c r="O1320" t="str">
        <x:v>Competitor</x:v>
      </x:c>
      <x:c r="P1320" t="n">
        <x:v>4</x:v>
      </x:c>
      <x:c r="Q1320" t="str">
        <x:f>IFERROR(XLOOKUP(E1320,Lookups!$A$5:$A$24,Lookups!$B$5:$B$24),"Other")</x:f>
        <x:v>Organic Search</x:v>
      </x:c>
      <x:c r="R1320" t="str">
        <x:f>IFERROR(XLOOKUP(F1320,Lookups!$D$5:$D$10,Lookups!$E$5:$E$10),"Unknown Product")</x:f>
        <x:v>NexaCRM Pro</x:v>
      </x:c>
      <x:c r="S1320" t="str">
        <x:f>IFERROR(XLOOKUP(F1320,Lookups!$D$5:$D$10,Lookups!$F$5:$F$10),"Unknown")</x:f>
        <x:v>CRM</x:v>
      </x:c>
      <x:c r="T1320" t="str">
        <x:f>IF(L1320&gt;=50000,"Enterprise",IF(L1320&gt;=20000,"Mid-Market","SMB"))</x:f>
        <x:v>Mid-Market</x:v>
      </x:c>
      <x:c r="U1320" t="str">
        <x:f>IF(I1320="Closed Won","Won",IF(I1320="Closed Lost","Lost","Open"))</x:f>
        <x:v>Lost</x:v>
      </x:c>
      <x:c r="V1320" s="22" t="n">
        <x:f>IF(U1320="Won",L1320*(1-M1320),0)</x:f>
        <x:v>0</x:v>
      </x:c>
      <x:c r="W1320" s="22" t="n">
        <x:f>IF(U1320="Open",L1320*N1320,0)</x:f>
        <x:v>0</x:v>
      </x:c>
      <x:c r="X1320" s="26" t="n">
        <x:f>IF(U1320="Open","",IFERROR(K1320-B1320,""))</x:f>
        <x:v>11</x:v>
      </x:c>
      <x:c r="Y1320" s="26" t="n">
        <x:f>IF(U1320="Open",Lookups!$B$2-B1320,X1320)</x:f>
        <x:v>11</x:v>
      </x:c>
      <x:c r="Z1320" t="str">
        <x:f>IF(AND(U1320="Open",Y1320&gt;30),"STALE","OK")</x:f>
        <x:v>OK</x:v>
      </x:c>
      <x:c r="AA1320" t="str">
        <x:f>TEXT(B1320,"yyyy-mm")</x:f>
        <x:v>2025-05</x:v>
      </x:c>
      <x:c r="AB1320" t="str">
        <x:f>IF(K1320="","",TEXT(K1320,"yyyy-mm"))</x:f>
        <x:v>2025-06</x:v>
      </x:c>
      <x:c r="AC1320" t="str">
        <x:f>"Q"&amp;ROUNDUP(MONTH(B1320)/3,0)&amp;"-"&amp;YEAR(B1320)</x:f>
        <x:v>Q2-2025</x:v>
      </x:c>
      <x:c r="AD1320" s="26" t="n">
        <x:f>MIN(100,IF(H1320="Enterprise",30,IF(H1320="Mid-Market",22,14))+IF(T1320="Enterprise",25,IF(T1320="Mid-Market",18,10))+IF(Q1320="Referral",25,IF(Q1320="Organic Search",20,IF(Q1320="Email",18,14)))+IF(G1320="Technology",10,5))</x:f>
        <x:v>65</x:v>
      </x:c>
      <x:c r="AE1320" t="str">
        <x:f>IF(U1320&lt;&gt;"Open",U1320,IF(N1320&gt;=0.8,"Commit",IF(N1320&gt;=0.5,"Best Case","Pipeline")))</x:f>
        <x:v>Lost</x:v>
      </x:c>
    </x:row>
    <x:row r="1321">
      <x:c r="A1321" t="str">
        <x:v>L01320</x:v>
      </x:c>
      <x:c r="B1321" s="10" t="n">
        <x:v>46182</x:v>
      </x:c>
      <x:c r="C1321" t="str">
        <x:v>Quynh Vu</x:v>
      </x:c>
      <x:c r="D1321" t="str">
        <x:v>North</x:v>
      </x:c>
      <x:c r="E1321" t="str">
        <x:v>Outbound</x:v>
      </x:c>
      <x:c r="F1321" t="str">
        <x:v>BI-PLUS</x:v>
      </x:c>
      <x:c r="G1321" t="str">
        <x:v>Manufacturing</x:v>
      </x:c>
      <x:c r="H1321" t="str">
        <x:v>SMB</x:v>
      </x:c>
      <x:c r="I1321" t="str">
        <x:v>Closed Lost</x:v>
      </x:c>
      <x:c r="J1321" s="10" t="n">
        <x:v>46221</x:v>
      </x:c>
      <x:c r="K1321" s="10" t="n">
        <x:v>46221</x:v>
      </x:c>
      <x:c r="L1321" s="22" t="n">
        <x:v>27600</x:v>
      </x:c>
      <x:c r="M1321" s="24" t="n">
        <x:v>0</x:v>
      </x:c>
      <x:c r="N1321" s="24" t="n">
        <x:v>0</x:v>
      </x:c>
      <x:c r="O1321" t="str">
        <x:v>Budget</x:v>
      </x:c>
      <x:c r="P1321" t="n">
        <x:v>4</x:v>
      </x:c>
      <x:c r="Q1321" t="str">
        <x:f>IFERROR(XLOOKUP(E1321,Lookups!$A$5:$A$24,Lookups!$B$5:$B$24),"Other")</x:f>
        <x:v>Outbound</x:v>
      </x:c>
      <x:c r="R1321" t="str">
        <x:f>IFERROR(XLOOKUP(F1321,Lookups!$D$5:$D$10,Lookups!$E$5:$E$10),"Unknown Product")</x:f>
        <x:v>Analytics Plus</x:v>
      </x:c>
      <x:c r="S1321" t="str">
        <x:f>IFERROR(XLOOKUP(F1321,Lookups!$D$5:$D$10,Lookups!$F$5:$F$10),"Unknown")</x:f>
        <x:v>Analytics</x:v>
      </x:c>
      <x:c r="T1321" t="str">
        <x:f>IF(L1321&gt;=50000,"Enterprise",IF(L1321&gt;=20000,"Mid-Market","SMB"))</x:f>
        <x:v>Mid-Market</x:v>
      </x:c>
      <x:c r="U1321" t="str">
        <x:f>IF(I1321="Closed Won","Won",IF(I1321="Closed Lost","Lost","Open"))</x:f>
        <x:v>Lost</x:v>
      </x:c>
      <x:c r="V1321" s="22" t="n">
        <x:f>IF(U1321="Won",L1321*(1-M1321),0)</x:f>
        <x:v>0</x:v>
      </x:c>
      <x:c r="W1321" s="22" t="n">
        <x:f>IF(U1321="Open",L1321*N1321,0)</x:f>
        <x:v>0</x:v>
      </x:c>
      <x:c r="X1321" s="26" t="n">
        <x:f>IF(U1321="Open","",IFERROR(K1321-B1321,""))</x:f>
        <x:v>39</x:v>
      </x:c>
      <x:c r="Y1321" s="26" t="n">
        <x:f>IF(U1321="Open",Lookups!$B$2-B1321,X1321)</x:f>
        <x:v>39</x:v>
      </x:c>
      <x:c r="Z1321" t="str">
        <x:f>IF(AND(U1321="Open",Y1321&gt;30),"STALE","OK")</x:f>
        <x:v>OK</x:v>
      </x:c>
      <x:c r="AA1321" t="str">
        <x:f>TEXT(B1321,"yyyy-mm")</x:f>
        <x:v>2026-06</x:v>
      </x:c>
      <x:c r="AB1321" t="str">
        <x:f>IF(K1321="","",TEXT(K1321,"yyyy-mm"))</x:f>
        <x:v>2026-07</x:v>
      </x:c>
      <x:c r="AC1321" t="str">
        <x:f>"Q"&amp;ROUNDUP(MONTH(B1321)/3,0)&amp;"-"&amp;YEAR(B1321)</x:f>
        <x:v>Q2-2026</x:v>
      </x:c>
      <x:c r="AD1321" s="26" t="n">
        <x:f>MIN(100,IF(H1321="Enterprise",30,IF(H1321="Mid-Market",22,14))+IF(T1321="Enterprise",25,IF(T1321="Mid-Market",18,10))+IF(Q1321="Referral",25,IF(Q1321="Organic Search",20,IF(Q1321="Email",18,14)))+IF(G1321="Technology",10,5))</x:f>
        <x:v>51</x:v>
      </x:c>
      <x:c r="AE1321" t="str">
        <x:f>IF(U1321&lt;&gt;"Open",U1321,IF(N1321&gt;=0.8,"Commit",IF(N1321&gt;=0.5,"Best Case","Pipeline")))</x:f>
        <x:v>Lost</x:v>
      </x:c>
    </x:row>
    <x:row r="1322">
      <x:c r="A1322" t="str">
        <x:v>L01321</x:v>
      </x:c>
      <x:c r="B1322" s="10" t="n">
        <x:v>45803</x:v>
      </x:c>
      <x:c r="C1322" t="str">
        <x:v>Tuan Bui</x:v>
      </x:c>
      <x:c r="D1322" t="str">
        <x:v>Central</x:v>
      </x:c>
      <x:c r="E1322" t="str">
        <x:v>Email Campaign</x:v>
      </x:c>
      <x:c r="F1322" t="str">
        <x:v>CS-CLOUD</x:v>
      </x:c>
      <x:c r="G1322" t="str">
        <x:v>Education</x:v>
      </x:c>
      <x:c r="H1322" t="str">
        <x:v>SMB</x:v>
      </x:c>
      <x:c r="I1322" t="str">
        <x:v>Closed Lost</x:v>
      </x:c>
      <x:c r="J1322" s="10" t="n">
        <x:v>45847</x:v>
      </x:c>
      <x:c r="K1322" s="10" t="n">
        <x:v>45847</x:v>
      </x:c>
      <x:c r="L1322" s="22" t="n">
        <x:v>27100</x:v>
      </x:c>
      <x:c r="M1322" s="24" t="n">
        <x:v>0</x:v>
      </x:c>
      <x:c r="N1322" s="24" t="n">
        <x:v>0</x:v>
      </x:c>
      <x:c r="O1322" t="str">
        <x:v>Competitor</x:v>
      </x:c>
      <x:c r="P1322" t="n">
        <x:v>3</x:v>
      </x:c>
      <x:c r="Q1322" t="str">
        <x:f>IFERROR(XLOOKUP(E1322,Lookups!$A$5:$A$24,Lookups!$B$5:$B$24),"Other")</x:f>
        <x:v>Email</x:v>
      </x:c>
      <x:c r="R1322" t="str">
        <x:f>IFERROR(XLOOKUP(F1322,Lookups!$D$5:$D$10,Lookups!$E$5:$E$10),"Unknown Product")</x:f>
        <x:v>Service Cloud</x:v>
      </x:c>
      <x:c r="S1322" t="str">
        <x:f>IFERROR(XLOOKUP(F1322,Lookups!$D$5:$D$10,Lookups!$F$5:$F$10),"Unknown")</x:f>
        <x:v>Customer Service</x:v>
      </x:c>
      <x:c r="T1322" t="str">
        <x:f>IF(L1322&gt;=50000,"Enterprise",IF(L1322&gt;=20000,"Mid-Market","SMB"))</x:f>
        <x:v>Mid-Market</x:v>
      </x:c>
      <x:c r="U1322" t="str">
        <x:f>IF(I1322="Closed Won","Won",IF(I1322="Closed Lost","Lost","Open"))</x:f>
        <x:v>Lost</x:v>
      </x:c>
      <x:c r="V1322" s="22" t="n">
        <x:f>IF(U1322="Won",L1322*(1-M1322),0)</x:f>
        <x:v>0</x:v>
      </x:c>
      <x:c r="W1322" s="22" t="n">
        <x:f>IF(U1322="Open",L1322*N1322,0)</x:f>
        <x:v>0</x:v>
      </x:c>
      <x:c r="X1322" s="26" t="n">
        <x:f>IF(U1322="Open","",IFERROR(K1322-B1322,""))</x:f>
        <x:v>44</x:v>
      </x:c>
      <x:c r="Y1322" s="26" t="n">
        <x:f>IF(U1322="Open",Lookups!$B$2-B1322,X1322)</x:f>
        <x:v>44</x:v>
      </x:c>
      <x:c r="Z1322" t="str">
        <x:f>IF(AND(U1322="Open",Y1322&gt;30),"STALE","OK")</x:f>
        <x:v>OK</x:v>
      </x:c>
      <x:c r="AA1322" t="str">
        <x:f>TEXT(B1322,"yyyy-mm")</x:f>
        <x:v>2025-05</x:v>
      </x:c>
      <x:c r="AB1322" t="str">
        <x:f>IF(K1322="","",TEXT(K1322,"yyyy-mm"))</x:f>
        <x:v>2025-07</x:v>
      </x:c>
      <x:c r="AC1322" t="str">
        <x:f>"Q"&amp;ROUNDUP(MONTH(B1322)/3,0)&amp;"-"&amp;YEAR(B1322)</x:f>
        <x:v>Q2-2025</x:v>
      </x:c>
      <x:c r="AD1322" s="26" t="n">
        <x:f>MIN(100,IF(H1322="Enterprise",30,IF(H1322="Mid-Market",22,14))+IF(T1322="Enterprise",25,IF(T1322="Mid-Market",18,10))+IF(Q1322="Referral",25,IF(Q1322="Organic Search",20,IF(Q1322="Email",18,14)))+IF(G1322="Technology",10,5))</x:f>
        <x:v>55</x:v>
      </x:c>
      <x:c r="AE1322" t="str">
        <x:f>IF(U1322&lt;&gt;"Open",U1322,IF(N1322&gt;=0.8,"Commit",IF(N1322&gt;=0.5,"Best Case","Pipeline")))</x:f>
        <x:v>Lost</x:v>
      </x:c>
    </x:row>
    <x:row r="1323">
      <x:c r="A1323" t="str">
        <x:v>L01322</x:v>
      </x:c>
      <x:c r="B1323" s="10" t="n">
        <x:v>46024</x:v>
      </x:c>
      <x:c r="C1323" t="str">
        <x:v>Minh Do</x:v>
      </x:c>
      <x:c r="D1323" t="str">
        <x:v>North</x:v>
      </x:c>
      <x:c r="E1323" t="str">
        <x:v>LI Ads</x:v>
      </x:c>
      <x:c r="F1323" t="str">
        <x:v>CRM-PRO</x:v>
      </x:c>
      <x:c r="G1323" t="str">
        <x:v>Technology</x:v>
      </x:c>
      <x:c r="H1323" t="str">
        <x:v>Mid-Market</x:v>
      </x:c>
      <x:c r="I1323" t="str">
        <x:v>Negotiation</x:v>
      </x:c>
      <x:c r="J1323" s="10" t="n">
        <x:v>46235</x:v>
      </x:c>
      <x:c r="K1323" s="10"/>
      <x:c r="L1323" s="22" t="n">
        <x:v>45300</x:v>
      </x:c>
      <x:c r="M1323" s="24" t="n">
        <x:v>0</x:v>
      </x:c>
      <x:c r="N1323" s="24" t="n">
        <x:v>0.85</x:v>
      </x:c>
      <x:c r="O1323" t="str"/>
      <x:c r="P1323" t="n">
        <x:v>5</x:v>
      </x:c>
      <x:c r="Q1323" t="str">
        <x:f>IFERROR(XLOOKUP(E1323,Lookups!$A$5:$A$24,Lookups!$B$5:$B$24),"Other")</x:f>
        <x:v>LinkedIn</x:v>
      </x:c>
      <x:c r="R1323" t="str">
        <x:f>IFERROR(XLOOKUP(F1323,Lookups!$D$5:$D$10,Lookups!$E$5:$E$10),"Unknown Product")</x:f>
        <x:v>NexaCRM Pro</x:v>
      </x:c>
      <x:c r="S1323" t="str">
        <x:f>IFERROR(XLOOKUP(F1323,Lookups!$D$5:$D$10,Lookups!$F$5:$F$10),"Unknown")</x:f>
        <x:v>CRM</x:v>
      </x:c>
      <x:c r="T1323" t="str">
        <x:f>IF(L1323&gt;=50000,"Enterprise",IF(L1323&gt;=20000,"Mid-Market","SMB"))</x:f>
        <x:v>Mid-Market</x:v>
      </x:c>
      <x:c r="U1323" t="str">
        <x:f>IF(I1323="Closed Won","Won",IF(I1323="Closed Lost","Lost","Open"))</x:f>
        <x:v>Open</x:v>
      </x:c>
      <x:c r="V1323" s="22" t="n">
        <x:f>IF(U1323="Won",L1323*(1-M1323),0)</x:f>
        <x:v>0</x:v>
      </x:c>
      <x:c r="W1323" s="22" t="n">
        <x:f>IF(U1323="Open",L1323*N1323,0)</x:f>
        <x:v>38505</x:v>
      </x:c>
      <x:c r="X1323" s="26" t="str">
        <x:f>IF(U1323="Open","",IFERROR(K1323-B1323,""))</x:f>
      </x:c>
      <x:c r="Y1323" s="26" t="n">
        <x:f>IF(U1323="Open",Lookups!$B$2-B1323,X1323)</x:f>
        <x:v>242</x:v>
      </x:c>
      <x:c r="Z1323" t="str">
        <x:f>IF(AND(U1323="Open",Y1323&gt;30),"STALE","OK")</x:f>
        <x:v>STALE</x:v>
      </x:c>
      <x:c r="AA1323" t="str">
        <x:f>TEXT(B1323,"yyyy-mm")</x:f>
        <x:v>2026-01</x:v>
      </x:c>
      <x:c r="AB1323" t="str">
        <x:f>IF(K1323="","",TEXT(K1323,"yyyy-mm"))</x:f>
      </x:c>
      <x:c r="AC1323" t="str">
        <x:f>"Q"&amp;ROUNDUP(MONTH(B1323)/3,0)&amp;"-"&amp;YEAR(B1323)</x:f>
        <x:v>Q1-2026</x:v>
      </x:c>
      <x:c r="AD1323" s="26" t="n">
        <x:f>MIN(100,IF(H1323="Enterprise",30,IF(H1323="Mid-Market",22,14))+IF(T1323="Enterprise",25,IF(T1323="Mid-Market",18,10))+IF(Q1323="Referral",25,IF(Q1323="Organic Search",20,IF(Q1323="Email",18,14)))+IF(G1323="Technology",10,5))</x:f>
        <x:v>64</x:v>
      </x:c>
      <x:c r="AE1323" t="str">
        <x:f>IF(U1323&lt;&gt;"Open",U1323,IF(N1323&gt;=0.8,"Commit",IF(N1323&gt;=0.5,"Best Case","Pipeline")))</x:f>
        <x:v>Commit</x:v>
      </x:c>
    </x:row>
    <x:row r="1324">
      <x:c r="A1324" t="str">
        <x:v>L01323</x:v>
      </x:c>
      <x:c r="B1324" s="10" t="n">
        <x:v>45753</x:v>
      </x:c>
      <x:c r="C1324" t="str">
        <x:v>Chi Le</x:v>
      </x:c>
      <x:c r="D1324" t="str">
        <x:v>South</x:v>
      </x:c>
      <x:c r="E1324" t="str">
        <x:v>LI Ads</x:v>
      </x:c>
      <x:c r="F1324" t="str">
        <x:v>CRM-PRO</x:v>
      </x:c>
      <x:c r="G1324" t="str">
        <x:v>Manufacturing</x:v>
      </x:c>
      <x:c r="H1324" t="str">
        <x:v>SMB</x:v>
      </x:c>
      <x:c r="I1324" t="str">
        <x:v>Closed Won</x:v>
      </x:c>
      <x:c r="J1324" s="10" t="n">
        <x:v>45800</x:v>
      </x:c>
      <x:c r="K1324" s="10" t="n">
        <x:v>45800</x:v>
      </x:c>
      <x:c r="L1324" s="22" t="n">
        <x:v>16300</x:v>
      </x:c>
      <x:c r="M1324" s="24" t="n">
        <x:v>0.05</x:v>
      </x:c>
      <x:c r="N1324" s="24" t="n">
        <x:v>1</x:v>
      </x:c>
      <x:c r="O1324" t="str"/>
      <x:c r="P1324" t="n">
        <x:v>6</x:v>
      </x:c>
      <x:c r="Q1324" t="str">
        <x:f>IFERROR(XLOOKUP(E1324,Lookups!$A$5:$A$24,Lookups!$B$5:$B$24),"Other")</x:f>
        <x:v>LinkedIn</x:v>
      </x:c>
      <x:c r="R1324" t="str">
        <x:f>IFERROR(XLOOKUP(F1324,Lookups!$D$5:$D$10,Lookups!$E$5:$E$10),"Unknown Product")</x:f>
        <x:v>NexaCRM Pro</x:v>
      </x:c>
      <x:c r="S1324" t="str">
        <x:f>IFERROR(XLOOKUP(F1324,Lookups!$D$5:$D$10,Lookups!$F$5:$F$10),"Unknown")</x:f>
        <x:v>CRM</x:v>
      </x:c>
      <x:c r="T1324" t="str">
        <x:f>IF(L1324&gt;=50000,"Enterprise",IF(L1324&gt;=20000,"Mid-Market","SMB"))</x:f>
        <x:v>SMB</x:v>
      </x:c>
      <x:c r="U1324" t="str">
        <x:f>IF(I1324="Closed Won","Won",IF(I1324="Closed Lost","Lost","Open"))</x:f>
        <x:v>Won</x:v>
      </x:c>
      <x:c r="V1324" s="22" t="n">
        <x:f>IF(U1324="Won",L1324*(1-M1324),0)</x:f>
        <x:v>15485</x:v>
      </x:c>
      <x:c r="W1324" s="22" t="n">
        <x:f>IF(U1324="Open",L1324*N1324,0)</x:f>
        <x:v>0</x:v>
      </x:c>
      <x:c r="X1324" s="26" t="n">
        <x:f>IF(U1324="Open","",IFERROR(K1324-B1324,""))</x:f>
        <x:v>47</x:v>
      </x:c>
      <x:c r="Y1324" s="26" t="n">
        <x:f>IF(U1324="Open",Lookups!$B$2-B1324,X1324)</x:f>
        <x:v>47</x:v>
      </x:c>
      <x:c r="Z1324" t="str">
        <x:f>IF(AND(U1324="Open",Y1324&gt;30),"STALE","OK")</x:f>
        <x:v>OK</x:v>
      </x:c>
      <x:c r="AA1324" t="str">
        <x:f>TEXT(B1324,"yyyy-mm")</x:f>
        <x:v>2025-04</x:v>
      </x:c>
      <x:c r="AB1324" t="str">
        <x:f>IF(K1324="","",TEXT(K1324,"yyyy-mm"))</x:f>
        <x:v>2025-05</x:v>
      </x:c>
      <x:c r="AC1324" t="str">
        <x:f>"Q"&amp;ROUNDUP(MONTH(B1324)/3,0)&amp;"-"&amp;YEAR(B1324)</x:f>
        <x:v>Q2-2025</x:v>
      </x:c>
      <x:c r="AD1324" s="26" t="n">
        <x:f>MIN(100,IF(H1324="Enterprise",30,IF(H1324="Mid-Market",22,14))+IF(T1324="Enterprise",25,IF(T1324="Mid-Market",18,10))+IF(Q1324="Referral",25,IF(Q1324="Organic Search",20,IF(Q1324="Email",18,14)))+IF(G1324="Technology",10,5))</x:f>
        <x:v>43</x:v>
      </x:c>
      <x:c r="AE1324" t="str">
        <x:f>IF(U1324&lt;&gt;"Open",U1324,IF(N1324&gt;=0.8,"Commit",IF(N1324&gt;=0.5,"Best Case","Pipeline")))</x:f>
        <x:v>Won</x:v>
      </x:c>
    </x:row>
    <x:row r="1325">
      <x:c r="A1325" t="str">
        <x:v>L01324</x:v>
      </x:c>
      <x:c r="B1325" s="10" t="n">
        <x:v>45717</x:v>
      </x:c>
      <x:c r="C1325" t="str">
        <x:v>Duy Pham</x:v>
      </x:c>
      <x:c r="D1325" t="str">
        <x:v>South</x:v>
      </x:c>
      <x:c r="E1325" t="str">
        <x:v>SDR Outreach</x:v>
      </x:c>
      <x:c r="F1325" t="str">
        <x:v>CRM-CORE</x:v>
      </x:c>
      <x:c r="G1325" t="str">
        <x:v>Manufacturing</x:v>
      </x:c>
      <x:c r="H1325" t="str">
        <x:v>Mid-Market</x:v>
      </x:c>
      <x:c r="I1325" t="str">
        <x:v>Closed Lost</x:v>
      </x:c>
      <x:c r="J1325" s="10" t="n">
        <x:v>45781</x:v>
      </x:c>
      <x:c r="K1325" s="10" t="n">
        <x:v>45781</x:v>
      </x:c>
      <x:c r="L1325" s="22" t="n">
        <x:v>12800</x:v>
      </x:c>
      <x:c r="M1325" s="24" t="n">
        <x:v>0</x:v>
      </x:c>
      <x:c r="N1325" s="24" t="n">
        <x:v>0</x:v>
      </x:c>
      <x:c r="O1325" t="str">
        <x:v>No Decision</x:v>
      </x:c>
      <x:c r="P1325" t="n">
        <x:v>5</x:v>
      </x:c>
      <x:c r="Q1325" t="str">
        <x:f>IFERROR(XLOOKUP(E1325,Lookups!$A$5:$A$24,Lookups!$B$5:$B$24),"Other")</x:f>
        <x:v>Outbound</x:v>
      </x:c>
      <x:c r="R1325" t="str">
        <x:f>IFERROR(XLOOKUP(F1325,Lookups!$D$5:$D$10,Lookups!$E$5:$E$10),"Unknown Product")</x:f>
        <x:v>NexaCRM Core</x:v>
      </x:c>
      <x:c r="S1325" t="str">
        <x:f>IFERROR(XLOOKUP(F1325,Lookups!$D$5:$D$10,Lookups!$F$5:$F$10),"Unknown")</x:f>
        <x:v>CRM</x:v>
      </x:c>
      <x:c r="T1325" t="str">
        <x:f>IF(L1325&gt;=50000,"Enterprise",IF(L1325&gt;=20000,"Mid-Market","SMB"))</x:f>
        <x:v>SMB</x:v>
      </x:c>
      <x:c r="U1325" t="str">
        <x:f>IF(I1325="Closed Won","Won",IF(I1325="Closed Lost","Lost","Open"))</x:f>
        <x:v>Lost</x:v>
      </x:c>
      <x:c r="V1325" s="22" t="n">
        <x:f>IF(U1325="Won",L1325*(1-M1325),0)</x:f>
        <x:v>0</x:v>
      </x:c>
      <x:c r="W1325" s="22" t="n">
        <x:f>IF(U1325="Open",L1325*N1325,0)</x:f>
        <x:v>0</x:v>
      </x:c>
      <x:c r="X1325" s="26" t="n">
        <x:f>IF(U1325="Open","",IFERROR(K1325-B1325,""))</x:f>
        <x:v>64</x:v>
      </x:c>
      <x:c r="Y1325" s="26" t="n">
        <x:f>IF(U1325="Open",Lookups!$B$2-B1325,X1325)</x:f>
        <x:v>64</x:v>
      </x:c>
      <x:c r="Z1325" t="str">
        <x:f>IF(AND(U1325="Open",Y1325&gt;30),"STALE","OK")</x:f>
        <x:v>OK</x:v>
      </x:c>
      <x:c r="AA1325" t="str">
        <x:f>TEXT(B1325,"yyyy-mm")</x:f>
        <x:v>2025-03</x:v>
      </x:c>
      <x:c r="AB1325" t="str">
        <x:f>IF(K1325="","",TEXT(K1325,"yyyy-mm"))</x:f>
        <x:v>2025-05</x:v>
      </x:c>
      <x:c r="AC1325" t="str">
        <x:f>"Q"&amp;ROUNDUP(MONTH(B1325)/3,0)&amp;"-"&amp;YEAR(B1325)</x:f>
        <x:v>Q1-2025</x:v>
      </x:c>
      <x:c r="AD1325" s="26" t="n">
        <x:f>MIN(100,IF(H1325="Enterprise",30,IF(H1325="Mid-Market",22,14))+IF(T1325="Enterprise",25,IF(T1325="Mid-Market",18,10))+IF(Q1325="Referral",25,IF(Q1325="Organic Search",20,IF(Q1325="Email",18,14)))+IF(G1325="Technology",10,5))</x:f>
        <x:v>51</x:v>
      </x:c>
      <x:c r="AE1325" t="str">
        <x:f>IF(U1325&lt;&gt;"Open",U1325,IF(N1325&gt;=0.8,"Commit",IF(N1325&gt;=0.5,"Best Case","Pipeline")))</x:f>
        <x:v>Lost</x:v>
      </x:c>
    </x:row>
    <x:row r="1326">
      <x:c r="A1326" t="str">
        <x:v>L01325</x:v>
      </x:c>
      <x:c r="B1326" s="10" t="n">
        <x:v>45773</x:v>
      </x:c>
      <x:c r="C1326" t="str">
        <x:v>Minh Do</x:v>
      </x:c>
      <x:c r="D1326" t="str">
        <x:v>North</x:v>
      </x:c>
      <x:c r="E1326" t="str">
        <x:v>Webinar</x:v>
      </x:c>
      <x:c r="F1326" t="str">
        <x:v>CS-CLOUD</x:v>
      </x:c>
      <x:c r="G1326" t="str">
        <x:v>Education</x:v>
      </x:c>
      <x:c r="H1326" t="str">
        <x:v>Enterprise</x:v>
      </x:c>
      <x:c r="I1326" t="str">
        <x:v>Closed Lost</x:v>
      </x:c>
      <x:c r="J1326" s="10" t="n">
        <x:v>45814</x:v>
      </x:c>
      <x:c r="K1326" s="10" t="n">
        <x:v>45814</x:v>
      </x:c>
      <x:c r="L1326" s="22" t="n">
        <x:v>45000</x:v>
      </x:c>
      <x:c r="M1326" s="24" t="n">
        <x:v>0</x:v>
      </x:c>
      <x:c r="N1326" s="24" t="n">
        <x:v>0</x:v>
      </x:c>
      <x:c r="O1326" t="str">
        <x:v>No Decision</x:v>
      </x:c>
      <x:c r="P1326" t="n">
        <x:v>3</x:v>
      </x:c>
      <x:c r="Q1326" t="str">
        <x:f>IFERROR(XLOOKUP(E1326,Lookups!$A$5:$A$24,Lookups!$B$5:$B$24),"Other")</x:f>
        <x:v>Webinar</x:v>
      </x:c>
      <x:c r="R1326" t="str">
        <x:f>IFERROR(XLOOKUP(F1326,Lookups!$D$5:$D$10,Lookups!$E$5:$E$10),"Unknown Product")</x:f>
        <x:v>Service Cloud</x:v>
      </x:c>
      <x:c r="S1326" t="str">
        <x:f>IFERROR(XLOOKUP(F1326,Lookups!$D$5:$D$10,Lookups!$F$5:$F$10),"Unknown")</x:f>
        <x:v>Customer Service</x:v>
      </x:c>
      <x:c r="T1326" t="str">
        <x:f>IF(L1326&gt;=50000,"Enterprise",IF(L1326&gt;=20000,"Mid-Market","SMB"))</x:f>
        <x:v>Mid-Market</x:v>
      </x:c>
      <x:c r="U1326" t="str">
        <x:f>IF(I1326="Closed Won","Won",IF(I1326="Closed Lost","Lost","Open"))</x:f>
        <x:v>Lost</x:v>
      </x:c>
      <x:c r="V1326" s="22" t="n">
        <x:f>IF(U1326="Won",L1326*(1-M1326),0)</x:f>
        <x:v>0</x:v>
      </x:c>
      <x:c r="W1326" s="22" t="n">
        <x:f>IF(U1326="Open",L1326*N1326,0)</x:f>
        <x:v>0</x:v>
      </x:c>
      <x:c r="X1326" s="26" t="n">
        <x:f>IF(U1326="Open","",IFERROR(K1326-B1326,""))</x:f>
        <x:v>41</x:v>
      </x:c>
      <x:c r="Y1326" s="26" t="n">
        <x:f>IF(U1326="Open",Lookups!$B$2-B1326,X1326)</x:f>
        <x:v>41</x:v>
      </x:c>
      <x:c r="Z1326" t="str">
        <x:f>IF(AND(U1326="Open",Y1326&gt;30),"STALE","OK")</x:f>
        <x:v>OK</x:v>
      </x:c>
      <x:c r="AA1326" t="str">
        <x:f>TEXT(B1326,"yyyy-mm")</x:f>
        <x:v>2025-04</x:v>
      </x:c>
      <x:c r="AB1326" t="str">
        <x:f>IF(K1326="","",TEXT(K1326,"yyyy-mm"))</x:f>
        <x:v>2025-06</x:v>
      </x:c>
      <x:c r="AC1326" t="str">
        <x:f>"Q"&amp;ROUNDUP(MONTH(B1326)/3,0)&amp;"-"&amp;YEAR(B1326)</x:f>
        <x:v>Q2-2025</x:v>
      </x:c>
      <x:c r="AD1326" s="26" t="n">
        <x:f>MIN(100,IF(H1326="Enterprise",30,IF(H1326="Mid-Market",22,14))+IF(T1326="Enterprise",25,IF(T1326="Mid-Market",18,10))+IF(Q1326="Referral",25,IF(Q1326="Organic Search",20,IF(Q1326="Email",18,14)))+IF(G1326="Technology",10,5))</x:f>
        <x:v>67</x:v>
      </x:c>
      <x:c r="AE1326" t="str">
        <x:f>IF(U1326&lt;&gt;"Open",U1326,IF(N1326&gt;=0.8,"Commit",IF(N1326&gt;=0.5,"Best Case","Pipeline")))</x:f>
        <x:v>Lost</x:v>
      </x:c>
    </x:row>
    <x:row r="1327">
      <x:c r="A1327" t="str">
        <x:v>L01326</x:v>
      </x:c>
      <x:c r="B1327" s="10" t="n">
        <x:v>45967</x:v>
      </x:c>
      <x:c r="C1327" t="str">
        <x:v>Bao Tran</x:v>
      </x:c>
      <x:c r="D1327" t="str">
        <x:v>South</x:v>
      </x:c>
      <x:c r="E1327" t="str">
        <x:v>Webinar</x:v>
      </x:c>
      <x:c r="F1327" t="str">
        <x:v>MKT-AUTO</x:v>
      </x:c>
      <x:c r="G1327" t="str">
        <x:v>Manufacturing</x:v>
      </x:c>
      <x:c r="H1327" t="str">
        <x:v>Enterprise</x:v>
      </x:c>
      <x:c r="I1327" t="str">
        <x:v>Closed Won</x:v>
      </x:c>
      <x:c r="J1327" s="10" t="n">
        <x:v>46043</x:v>
      </x:c>
      <x:c r="K1327" s="10" t="n">
        <x:v>46043</x:v>
      </x:c>
      <x:c r="L1327" s="22" t="n">
        <x:v>39000</x:v>
      </x:c>
      <x:c r="M1327" s="24" t="n">
        <x:v>0.1</x:v>
      </x:c>
      <x:c r="N1327" s="24" t="n">
        <x:v>1</x:v>
      </x:c>
      <x:c r="O1327" t="str"/>
      <x:c r="P1327" t="n">
        <x:v>6</x:v>
      </x:c>
      <x:c r="Q1327" t="str">
        <x:f>IFERROR(XLOOKUP(E1327,Lookups!$A$5:$A$24,Lookups!$B$5:$B$24),"Other")</x:f>
        <x:v>Webinar</x:v>
      </x:c>
      <x:c r="R1327" t="str">
        <x:f>IFERROR(XLOOKUP(F1327,Lookups!$D$5:$D$10,Lookups!$E$5:$E$10),"Unknown Product")</x:f>
        <x:v>Marketing Automation</x:v>
      </x:c>
      <x:c r="S1327" t="str">
        <x:f>IFERROR(XLOOKUP(F1327,Lookups!$D$5:$D$10,Lookups!$F$5:$F$10),"Unknown")</x:f>
        <x:v>Marketing</x:v>
      </x:c>
      <x:c r="T1327" t="str">
        <x:f>IF(L1327&gt;=50000,"Enterprise",IF(L1327&gt;=20000,"Mid-Market","SMB"))</x:f>
        <x:v>Mid-Market</x:v>
      </x:c>
      <x:c r="U1327" t="str">
        <x:f>IF(I1327="Closed Won","Won",IF(I1327="Closed Lost","Lost","Open"))</x:f>
        <x:v>Won</x:v>
      </x:c>
      <x:c r="V1327" s="22" t="n">
        <x:f>IF(U1327="Won",L1327*(1-M1327),0)</x:f>
        <x:v>35100</x:v>
      </x:c>
      <x:c r="W1327" s="22" t="n">
        <x:f>IF(U1327="Open",L1327*N1327,0)</x:f>
        <x:v>0</x:v>
      </x:c>
      <x:c r="X1327" s="26" t="n">
        <x:f>IF(U1327="Open","",IFERROR(K1327-B1327,""))</x:f>
        <x:v>76</x:v>
      </x:c>
      <x:c r="Y1327" s="26" t="n">
        <x:f>IF(U1327="Open",Lookups!$B$2-B1327,X1327)</x:f>
        <x:v>76</x:v>
      </x:c>
      <x:c r="Z1327" t="str">
        <x:f>IF(AND(U1327="Open",Y1327&gt;30),"STALE","OK")</x:f>
        <x:v>OK</x:v>
      </x:c>
      <x:c r="AA1327" t="str">
        <x:f>TEXT(B1327,"yyyy-mm")</x:f>
        <x:v>2025-11</x:v>
      </x:c>
      <x:c r="AB1327" t="str">
        <x:f>IF(K1327="","",TEXT(K1327,"yyyy-mm"))</x:f>
        <x:v>2026-01</x:v>
      </x:c>
      <x:c r="AC1327" t="str">
        <x:f>"Q"&amp;ROUNDUP(MONTH(B1327)/3,0)&amp;"-"&amp;YEAR(B1327)</x:f>
        <x:v>Q4-2025</x:v>
      </x:c>
      <x:c r="AD1327" s="26" t="n">
        <x:f>MIN(100,IF(H1327="Enterprise",30,IF(H1327="Mid-Market",22,14))+IF(T1327="Enterprise",25,IF(T1327="Mid-Market",18,10))+IF(Q1327="Referral",25,IF(Q1327="Organic Search",20,IF(Q1327="Email",18,14)))+IF(G1327="Technology",10,5))</x:f>
        <x:v>67</x:v>
      </x:c>
      <x:c r="AE1327" t="str">
        <x:f>IF(U1327&lt;&gt;"Open",U1327,IF(N1327&gt;=0.8,"Commit",IF(N1327&gt;=0.5,"Best Case","Pipeline")))</x:f>
        <x:v>Won</x:v>
      </x:c>
    </x:row>
    <x:row r="1328">
      <x:c r="A1328" t="str">
        <x:v>L01327</x:v>
      </x:c>
      <x:c r="B1328" s="10" t="n">
        <x:v>45929</x:v>
      </x:c>
      <x:c r="C1328" t="str">
        <x:v>Bao Tran</x:v>
      </x:c>
      <x:c r="D1328" t="str">
        <x:v>South</x:v>
      </x:c>
      <x:c r="E1328" t="str">
        <x:v>Webinar</x:v>
      </x:c>
      <x:c r="F1328" t="str">
        <x:v>REV-OPS</x:v>
      </x:c>
      <x:c r="G1328" t="str">
        <x:v>Retail</x:v>
      </x:c>
      <x:c r="H1328" t="str">
        <x:v>SMB</x:v>
      </x:c>
      <x:c r="I1328" t="str">
        <x:v>Closed Lost</x:v>
      </x:c>
      <x:c r="J1328" s="10" t="n">
        <x:v>45973</x:v>
      </x:c>
      <x:c r="K1328" s="10" t="n">
        <x:v>45973</x:v>
      </x:c>
      <x:c r="L1328" s="22" t="n">
        <x:v>38400</x:v>
      </x:c>
      <x:c r="M1328" s="24" t="n">
        <x:v>0</x:v>
      </x:c>
      <x:c r="N1328" s="24" t="n">
        <x:v>0</x:v>
      </x:c>
      <x:c r="O1328" t="str">
        <x:v>Competitor</x:v>
      </x:c>
      <x:c r="P1328" t="n">
        <x:v>4</x:v>
      </x:c>
      <x:c r="Q1328" t="str">
        <x:f>IFERROR(XLOOKUP(E1328,Lookups!$A$5:$A$24,Lookups!$B$5:$B$24),"Other")</x:f>
        <x:v>Webinar</x:v>
      </x:c>
      <x:c r="R1328" t="str">
        <x:f>IFERROR(XLOOKUP(F1328,Lookups!$D$5:$D$10,Lookups!$E$5:$E$10),"Unknown Product")</x:f>
        <x:v>Revenue Operations Suite</x:v>
      </x:c>
      <x:c r="S1328" t="str">
        <x:f>IFERROR(XLOOKUP(F1328,Lookups!$D$5:$D$10,Lookups!$F$5:$F$10),"Unknown")</x:f>
        <x:v>Revenue Ops</x:v>
      </x:c>
      <x:c r="T1328" t="str">
        <x:f>IF(L1328&gt;=50000,"Enterprise",IF(L1328&gt;=20000,"Mid-Market","SMB"))</x:f>
        <x:v>Mid-Market</x:v>
      </x:c>
      <x:c r="U1328" t="str">
        <x:f>IF(I1328="Closed Won","Won",IF(I1328="Closed Lost","Lost","Open"))</x:f>
        <x:v>Lost</x:v>
      </x:c>
      <x:c r="V1328" s="22" t="n">
        <x:f>IF(U1328="Won",L1328*(1-M1328),0)</x:f>
        <x:v>0</x:v>
      </x:c>
      <x:c r="W1328" s="22" t="n">
        <x:f>IF(U1328="Open",L1328*N1328,0)</x:f>
        <x:v>0</x:v>
      </x:c>
      <x:c r="X1328" s="26" t="n">
        <x:f>IF(U1328="Open","",IFERROR(K1328-B1328,""))</x:f>
        <x:v>44</x:v>
      </x:c>
      <x:c r="Y1328" s="26" t="n">
        <x:f>IF(U1328="Open",Lookups!$B$2-B1328,X1328)</x:f>
        <x:v>44</x:v>
      </x:c>
      <x:c r="Z1328" t="str">
        <x:f>IF(AND(U1328="Open",Y1328&gt;30),"STALE","OK")</x:f>
        <x:v>OK</x:v>
      </x:c>
      <x:c r="AA1328" t="str">
        <x:f>TEXT(B1328,"yyyy-mm")</x:f>
        <x:v>2025-09</x:v>
      </x:c>
      <x:c r="AB1328" t="str">
        <x:f>IF(K1328="","",TEXT(K1328,"yyyy-mm"))</x:f>
        <x:v>2025-11</x:v>
      </x:c>
      <x:c r="AC1328" t="str">
        <x:f>"Q"&amp;ROUNDUP(MONTH(B1328)/3,0)&amp;"-"&amp;YEAR(B1328)</x:f>
        <x:v>Q3-2025</x:v>
      </x:c>
      <x:c r="AD1328" s="26" t="n">
        <x:f>MIN(100,IF(H1328="Enterprise",30,IF(H1328="Mid-Market",22,14))+IF(T1328="Enterprise",25,IF(T1328="Mid-Market",18,10))+IF(Q1328="Referral",25,IF(Q1328="Organic Search",20,IF(Q1328="Email",18,14)))+IF(G1328="Technology",10,5))</x:f>
        <x:v>51</x:v>
      </x:c>
      <x:c r="AE1328" t="str">
        <x:f>IF(U1328&lt;&gt;"Open",U1328,IF(N1328&gt;=0.8,"Commit",IF(N1328&gt;=0.5,"Best Case","Pipeline")))</x:f>
        <x:v>Lost</x:v>
      </x:c>
    </x:row>
    <x:row r="1329">
      <x:c r="A1329" t="str">
        <x:v>L01328</x:v>
      </x:c>
      <x:c r="B1329" s="10" t="n">
        <x:v>46250</x:v>
      </x:c>
      <x:c r="C1329" t="str">
        <x:v>An Nguyen</x:v>
      </x:c>
      <x:c r="D1329" t="str">
        <x:v>South</x:v>
      </x:c>
      <x:c r="E1329" t="str">
        <x:v>Partner Referral</x:v>
      </x:c>
      <x:c r="F1329" t="str">
        <x:v>BI-PLUS</x:v>
      </x:c>
      <x:c r="G1329" t="str">
        <x:v>Technology</x:v>
      </x:c>
      <x:c r="H1329" t="str">
        <x:v>SMB</x:v>
      </x:c>
      <x:c r="I1329" t="str">
        <x:v>Qualified</x:v>
      </x:c>
      <x:c r="J1329" s="10" t="n">
        <x:v>46261</x:v>
      </x:c>
      <x:c r="K1329" s="10"/>
      <x:c r="L1329" s="22" t="n">
        <x:v>19100</x:v>
      </x:c>
      <x:c r="M1329" s="24" t="n">
        <x:v>0</x:v>
      </x:c>
      <x:c r="N1329" s="24" t="n">
        <x:v>0.2</x:v>
      </x:c>
      <x:c r="O1329" t="str"/>
      <x:c r="P1329" t="n">
        <x:v>2</x:v>
      </x:c>
      <x:c r="Q1329" t="str">
        <x:f>IFERROR(XLOOKUP(E1329,Lookups!$A$5:$A$24,Lookups!$B$5:$B$24),"Other")</x:f>
        <x:v>Referral</x:v>
      </x:c>
      <x:c r="R1329" t="str">
        <x:f>IFERROR(XLOOKUP(F1329,Lookups!$D$5:$D$10,Lookups!$E$5:$E$10),"Unknown Product")</x:f>
        <x:v>Analytics Plus</x:v>
      </x:c>
      <x:c r="S1329" t="str">
        <x:f>IFERROR(XLOOKUP(F1329,Lookups!$D$5:$D$10,Lookups!$F$5:$F$10),"Unknown")</x:f>
        <x:v>Analytics</x:v>
      </x:c>
      <x:c r="T1329" t="str">
        <x:f>IF(L1329&gt;=50000,"Enterprise",IF(L1329&gt;=20000,"Mid-Market","SMB"))</x:f>
        <x:v>SMB</x:v>
      </x:c>
      <x:c r="U1329" t="str">
        <x:f>IF(I1329="Closed Won","Won",IF(I1329="Closed Lost","Lost","Open"))</x:f>
        <x:v>Open</x:v>
      </x:c>
      <x:c r="V1329" s="22" t="n">
        <x:f>IF(U1329="Won",L1329*(1-M1329),0)</x:f>
        <x:v>0</x:v>
      </x:c>
      <x:c r="W1329" s="22" t="n">
        <x:f>IF(U1329="Open",L1329*N1329,0)</x:f>
        <x:v>3820</x:v>
      </x:c>
      <x:c r="X1329" s="26" t="str">
        <x:f>IF(U1329="Open","",IFERROR(K1329-B1329,""))</x:f>
      </x:c>
      <x:c r="Y1329" s="26" t="n">
        <x:f>IF(U1329="Open",Lookups!$B$2-B1329,X1329)</x:f>
        <x:v>16</x:v>
      </x:c>
      <x:c r="Z1329" t="str">
        <x:f>IF(AND(U1329="Open",Y1329&gt;30),"STALE","OK")</x:f>
        <x:v>OK</x:v>
      </x:c>
      <x:c r="AA1329" t="str">
        <x:f>TEXT(B1329,"yyyy-mm")</x:f>
        <x:v>2026-08</x:v>
      </x:c>
      <x:c r="AB1329" t="str">
        <x:f>IF(K1329="","",TEXT(K1329,"yyyy-mm"))</x:f>
      </x:c>
      <x:c r="AC1329" t="str">
        <x:f>"Q"&amp;ROUNDUP(MONTH(B1329)/3,0)&amp;"-"&amp;YEAR(B1329)</x:f>
        <x:v>Q3-2026</x:v>
      </x:c>
      <x:c r="AD1329" s="26" t="n">
        <x:f>MIN(100,IF(H1329="Enterprise",30,IF(H1329="Mid-Market",22,14))+IF(T1329="Enterprise",25,IF(T1329="Mid-Market",18,10))+IF(Q1329="Referral",25,IF(Q1329="Organic Search",20,IF(Q1329="Email",18,14)))+IF(G1329="Technology",10,5))</x:f>
        <x:v>59</x:v>
      </x:c>
      <x:c r="AE1329" t="str">
        <x:f>IF(U1329&lt;&gt;"Open",U1329,IF(N1329&gt;=0.8,"Commit",IF(N1329&gt;=0.5,"Best Case","Pipeline")))</x:f>
        <x:v>Pipeline</x:v>
      </x:c>
    </x:row>
    <x:row r="1330">
      <x:c r="A1330" t="str">
        <x:v>L01329</x:v>
      </x:c>
      <x:c r="B1330" s="10" t="n">
        <x:v>45931</x:v>
      </x:c>
      <x:c r="C1330" t="str">
        <x:v>Bao Tran</x:v>
      </x:c>
      <x:c r="D1330" t="str">
        <x:v>South</x:v>
      </x:c>
      <x:c r="E1330" t="str">
        <x:v>LinkedIn Ads</x:v>
      </x:c>
      <x:c r="F1330" t="str">
        <x:v>CRM-CORE</x:v>
      </x:c>
      <x:c r="G1330" t="str">
        <x:v>Healthcare</x:v>
      </x:c>
      <x:c r="H1330" t="str">
        <x:v>Mid-Market</x:v>
      </x:c>
      <x:c r="I1330" t="str">
        <x:v>Negotiation</x:v>
      </x:c>
      <x:c r="J1330" s="10" t="n">
        <x:v>46100</x:v>
      </x:c>
      <x:c r="K1330" s="10"/>
      <x:c r="L1330" s="22" t="n">
        <x:v>16300</x:v>
      </x:c>
      <x:c r="M1330" s="24" t="n">
        <x:v>0</x:v>
      </x:c>
      <x:c r="N1330" s="24" t="n">
        <x:v>0.85</x:v>
      </x:c>
      <x:c r="O1330" t="str"/>
      <x:c r="P1330" t="n">
        <x:v>5</x:v>
      </x:c>
      <x:c r="Q1330" t="str">
        <x:f>IFERROR(XLOOKUP(E1330,Lookups!$A$5:$A$24,Lookups!$B$5:$B$24),"Other")</x:f>
        <x:v>LinkedIn</x:v>
      </x:c>
      <x:c r="R1330" t="str">
        <x:f>IFERROR(XLOOKUP(F1330,Lookups!$D$5:$D$10,Lookups!$E$5:$E$10),"Unknown Product")</x:f>
        <x:v>NexaCRM Core</x:v>
      </x:c>
      <x:c r="S1330" t="str">
        <x:f>IFERROR(XLOOKUP(F1330,Lookups!$D$5:$D$10,Lookups!$F$5:$F$10),"Unknown")</x:f>
        <x:v>CRM</x:v>
      </x:c>
      <x:c r="T1330" t="str">
        <x:f>IF(L1330&gt;=50000,"Enterprise",IF(L1330&gt;=20000,"Mid-Market","SMB"))</x:f>
        <x:v>SMB</x:v>
      </x:c>
      <x:c r="U1330" t="str">
        <x:f>IF(I1330="Closed Won","Won",IF(I1330="Closed Lost","Lost","Open"))</x:f>
        <x:v>Open</x:v>
      </x:c>
      <x:c r="V1330" s="22" t="n">
        <x:f>IF(U1330="Won",L1330*(1-M1330),0)</x:f>
        <x:v>0</x:v>
      </x:c>
      <x:c r="W1330" s="22" t="n">
        <x:f>IF(U1330="Open",L1330*N1330,0)</x:f>
        <x:v>13855</x:v>
      </x:c>
      <x:c r="X1330" s="26" t="str">
        <x:f>IF(U1330="Open","",IFERROR(K1330-B1330,""))</x:f>
      </x:c>
      <x:c r="Y1330" s="26" t="n">
        <x:f>IF(U1330="Open",Lookups!$B$2-B1330,X1330)</x:f>
        <x:v>335</x:v>
      </x:c>
      <x:c r="Z1330" t="str">
        <x:f>IF(AND(U1330="Open",Y1330&gt;30),"STALE","OK")</x:f>
        <x:v>STALE</x:v>
      </x:c>
      <x:c r="AA1330" t="str">
        <x:f>TEXT(B1330,"yyyy-mm")</x:f>
        <x:v>2025-10</x:v>
      </x:c>
      <x:c r="AB1330" t="str">
        <x:f>IF(K1330="","",TEXT(K1330,"yyyy-mm"))</x:f>
      </x:c>
      <x:c r="AC1330" t="str">
        <x:f>"Q"&amp;ROUNDUP(MONTH(B1330)/3,0)&amp;"-"&amp;YEAR(B1330)</x:f>
        <x:v>Q4-2025</x:v>
      </x:c>
      <x:c r="AD1330" s="26" t="n">
        <x:f>MIN(100,IF(H1330="Enterprise",30,IF(H1330="Mid-Market",22,14))+IF(T1330="Enterprise",25,IF(T1330="Mid-Market",18,10))+IF(Q1330="Referral",25,IF(Q1330="Organic Search",20,IF(Q1330="Email",18,14)))+IF(G1330="Technology",10,5))</x:f>
        <x:v>51</x:v>
      </x:c>
      <x:c r="AE1330" t="str">
        <x:f>IF(U1330&lt;&gt;"Open",U1330,IF(N1330&gt;=0.8,"Commit",IF(N1330&gt;=0.5,"Best Case","Pipeline")))</x:f>
        <x:v>Commit</x:v>
      </x:c>
    </x:row>
    <x:row r="1331">
      <x:c r="A1331" t="str">
        <x:v>L01330</x:v>
      </x:c>
      <x:c r="B1331" s="10" t="n">
        <x:v>45846</x:v>
      </x:c>
      <x:c r="C1331" t="str">
        <x:v>An Nguyen</x:v>
      </x:c>
      <x:c r="D1331" t="str">
        <x:v>South</x:v>
      </x:c>
      <x:c r="E1331" t="str">
        <x:v>Outbound</x:v>
      </x:c>
      <x:c r="F1331" t="str">
        <x:v>BI-PLUS</x:v>
      </x:c>
      <x:c r="G1331" t="str">
        <x:v>Technology</x:v>
      </x:c>
      <x:c r="H1331" t="str">
        <x:v>Mid-Market</x:v>
      </x:c>
      <x:c r="I1331" t="str">
        <x:v>Closed Lost</x:v>
      </x:c>
      <x:c r="J1331" s="10" t="n">
        <x:v>45912</x:v>
      </x:c>
      <x:c r="K1331" s="10" t="n">
        <x:v>45912</x:v>
      </x:c>
      <x:c r="L1331" s="22" t="n">
        <x:v>35900</x:v>
      </x:c>
      <x:c r="M1331" s="24" t="n">
        <x:v>0</x:v>
      </x:c>
      <x:c r="N1331" s="24" t="n">
        <x:v>0</x:v>
      </x:c>
      <x:c r="O1331" t="str">
        <x:v>Timing</x:v>
      </x:c>
      <x:c r="P1331" t="n">
        <x:v>2</x:v>
      </x:c>
      <x:c r="Q1331" t="str">
        <x:f>IFERROR(XLOOKUP(E1331,Lookups!$A$5:$A$24,Lookups!$B$5:$B$24),"Other")</x:f>
        <x:v>Outbound</x:v>
      </x:c>
      <x:c r="R1331" t="str">
        <x:f>IFERROR(XLOOKUP(F1331,Lookups!$D$5:$D$10,Lookups!$E$5:$E$10),"Unknown Product")</x:f>
        <x:v>Analytics Plus</x:v>
      </x:c>
      <x:c r="S1331" t="str">
        <x:f>IFERROR(XLOOKUP(F1331,Lookups!$D$5:$D$10,Lookups!$F$5:$F$10),"Unknown")</x:f>
        <x:v>Analytics</x:v>
      </x:c>
      <x:c r="T1331" t="str">
        <x:f>IF(L1331&gt;=50000,"Enterprise",IF(L1331&gt;=20000,"Mid-Market","SMB"))</x:f>
        <x:v>Mid-Market</x:v>
      </x:c>
      <x:c r="U1331" t="str">
        <x:f>IF(I1331="Closed Won","Won",IF(I1331="Closed Lost","Lost","Open"))</x:f>
        <x:v>Lost</x:v>
      </x:c>
      <x:c r="V1331" s="22" t="n">
        <x:f>IF(U1331="Won",L1331*(1-M1331),0)</x:f>
        <x:v>0</x:v>
      </x:c>
      <x:c r="W1331" s="22" t="n">
        <x:f>IF(U1331="Open",L1331*N1331,0)</x:f>
        <x:v>0</x:v>
      </x:c>
      <x:c r="X1331" s="26" t="n">
        <x:f>IF(U1331="Open","",IFERROR(K1331-B1331,""))</x:f>
        <x:v>66</x:v>
      </x:c>
      <x:c r="Y1331" s="26" t="n">
        <x:f>IF(U1331="Open",Lookups!$B$2-B1331,X1331)</x:f>
        <x:v>66</x:v>
      </x:c>
      <x:c r="Z1331" t="str">
        <x:f>IF(AND(U1331="Open",Y1331&gt;30),"STALE","OK")</x:f>
        <x:v>OK</x:v>
      </x:c>
      <x:c r="AA1331" t="str">
        <x:f>TEXT(B1331,"yyyy-mm")</x:f>
        <x:v>2025-07</x:v>
      </x:c>
      <x:c r="AB1331" t="str">
        <x:f>IF(K1331="","",TEXT(K1331,"yyyy-mm"))</x:f>
        <x:v>2025-09</x:v>
      </x:c>
      <x:c r="AC1331" t="str">
        <x:f>"Q"&amp;ROUNDUP(MONTH(B1331)/3,0)&amp;"-"&amp;YEAR(B1331)</x:f>
        <x:v>Q3-2025</x:v>
      </x:c>
      <x:c r="AD1331" s="26" t="n">
        <x:f>MIN(100,IF(H1331="Enterprise",30,IF(H1331="Mid-Market",22,14))+IF(T1331="Enterprise",25,IF(T1331="Mid-Market",18,10))+IF(Q1331="Referral",25,IF(Q1331="Organic Search",20,IF(Q1331="Email",18,14)))+IF(G1331="Technology",10,5))</x:f>
        <x:v>64</x:v>
      </x:c>
      <x:c r="AE1331" t="str">
        <x:f>IF(U1331&lt;&gt;"Open",U1331,IF(N1331&gt;=0.8,"Commit",IF(N1331&gt;=0.5,"Best Case","Pipeline")))</x:f>
        <x:v>Lost</x:v>
      </x:c>
    </x:row>
    <x:row r="1332">
      <x:c r="A1332" t="str">
        <x:v>L01331</x:v>
      </x:c>
      <x:c r="B1332" s="10" t="n">
        <x:v>45922</x:v>
      </x:c>
      <x:c r="C1332" t="str">
        <x:v>Duy Pham</x:v>
      </x:c>
      <x:c r="D1332" t="str">
        <x:v>South</x:v>
      </x:c>
      <x:c r="E1332" t="str">
        <x:v>virtual event</x:v>
      </x:c>
      <x:c r="F1332" t="str">
        <x:v>MKT-AUTO</x:v>
      </x:c>
      <x:c r="G1332" t="str">
        <x:v>Education</x:v>
      </x:c>
      <x:c r="H1332" t="str">
        <x:v>SMB</x:v>
      </x:c>
      <x:c r="I1332" t="str">
        <x:v>Closed Lost</x:v>
      </x:c>
      <x:c r="J1332" s="10" t="n">
        <x:v>45951</x:v>
      </x:c>
      <x:c r="K1332" s="10" t="n">
        <x:v>45951</x:v>
      </x:c>
      <x:c r="L1332" s="22" t="n">
        <x:v>16400</x:v>
      </x:c>
      <x:c r="M1332" s="24" t="n">
        <x:v>0</x:v>
      </x:c>
      <x:c r="N1332" s="24" t="n">
        <x:v>0</x:v>
      </x:c>
      <x:c r="O1332" t="str">
        <x:v>Budget</x:v>
      </x:c>
      <x:c r="P1332" t="n">
        <x:v>5</x:v>
      </x:c>
      <x:c r="Q1332" t="str">
        <x:f>IFERROR(XLOOKUP(E1332,Lookups!$A$5:$A$24,Lookups!$B$5:$B$24),"Other")</x:f>
        <x:v>Webinar</x:v>
      </x:c>
      <x:c r="R1332" t="str">
        <x:f>IFERROR(XLOOKUP(F1332,Lookups!$D$5:$D$10,Lookups!$E$5:$E$10),"Unknown Product")</x:f>
        <x:v>Marketing Automation</x:v>
      </x:c>
      <x:c r="S1332" t="str">
        <x:f>IFERROR(XLOOKUP(F1332,Lookups!$D$5:$D$10,Lookups!$F$5:$F$10),"Unknown")</x:f>
        <x:v>Marketing</x:v>
      </x:c>
      <x:c r="T1332" t="str">
        <x:f>IF(L1332&gt;=50000,"Enterprise",IF(L1332&gt;=20000,"Mid-Market","SMB"))</x:f>
        <x:v>SMB</x:v>
      </x:c>
      <x:c r="U1332" t="str">
        <x:f>IF(I1332="Closed Won","Won",IF(I1332="Closed Lost","Lost","Open"))</x:f>
        <x:v>Lost</x:v>
      </x:c>
      <x:c r="V1332" s="22" t="n">
        <x:f>IF(U1332="Won",L1332*(1-M1332),0)</x:f>
        <x:v>0</x:v>
      </x:c>
      <x:c r="W1332" s="22" t="n">
        <x:f>IF(U1332="Open",L1332*N1332,0)</x:f>
        <x:v>0</x:v>
      </x:c>
      <x:c r="X1332" s="26" t="n">
        <x:f>IF(U1332="Open","",IFERROR(K1332-B1332,""))</x:f>
        <x:v>29</x:v>
      </x:c>
      <x:c r="Y1332" s="26" t="n">
        <x:f>IF(U1332="Open",Lookups!$B$2-B1332,X1332)</x:f>
        <x:v>29</x:v>
      </x:c>
      <x:c r="Z1332" t="str">
        <x:f>IF(AND(U1332="Open",Y1332&gt;30),"STALE","OK")</x:f>
        <x:v>OK</x:v>
      </x:c>
      <x:c r="AA1332" t="str">
        <x:f>TEXT(B1332,"yyyy-mm")</x:f>
        <x:v>2025-09</x:v>
      </x:c>
      <x:c r="AB1332" t="str">
        <x:f>IF(K1332="","",TEXT(K1332,"yyyy-mm"))</x:f>
        <x:v>2025-10</x:v>
      </x:c>
      <x:c r="AC1332" t="str">
        <x:f>"Q"&amp;ROUNDUP(MONTH(B1332)/3,0)&amp;"-"&amp;YEAR(B1332)</x:f>
        <x:v>Q3-2025</x:v>
      </x:c>
      <x:c r="AD1332" s="26" t="n">
        <x:f>MIN(100,IF(H1332="Enterprise",30,IF(H1332="Mid-Market",22,14))+IF(T1332="Enterprise",25,IF(T1332="Mid-Market",18,10))+IF(Q1332="Referral",25,IF(Q1332="Organic Search",20,IF(Q1332="Email",18,14)))+IF(G1332="Technology",10,5))</x:f>
        <x:v>43</x:v>
      </x:c>
      <x:c r="AE1332" t="str">
        <x:f>IF(U1332&lt;&gt;"Open",U1332,IF(N1332&gt;=0.8,"Commit",IF(N1332&gt;=0.5,"Best Case","Pipeline")))</x:f>
        <x:v>Lost</x:v>
      </x:c>
    </x:row>
    <x:row r="1333">
      <x:c r="A1333" t="str">
        <x:v>L01332</x:v>
      </x:c>
      <x:c r="B1333" s="10" t="n">
        <x:v>46231</x:v>
      </x:c>
      <x:c r="C1333" t="str">
        <x:v>Quynh Vu</x:v>
      </x:c>
      <x:c r="D1333" t="str">
        <x:v>North</x:v>
      </x:c>
      <x:c r="E1333" t="str">
        <x:v>email nurture</x:v>
      </x:c>
      <x:c r="F1333" t="str">
        <x:v>MKT-AUTO</x:v>
      </x:c>
      <x:c r="G1333" t="str">
        <x:v>Manufacturing</x:v>
      </x:c>
      <x:c r="H1333" t="str">
        <x:v>Mid-Market</x:v>
      </x:c>
      <x:c r="I1333" t="str">
        <x:v>Closed Lost</x:v>
      </x:c>
      <x:c r="J1333" s="10" t="n">
        <x:v>46266</x:v>
      </x:c>
      <x:c r="K1333" s="10" t="n">
        <x:v>46266</x:v>
      </x:c>
      <x:c r="L1333" s="22" t="n">
        <x:v>28300</x:v>
      </x:c>
      <x:c r="M1333" s="24" t="n">
        <x:v>0</x:v>
      </x:c>
      <x:c r="N1333" s="24" t="n">
        <x:v>0</x:v>
      </x:c>
      <x:c r="O1333" t="str">
        <x:v>Feature Gap</x:v>
      </x:c>
      <x:c r="P1333" t="n">
        <x:v>4</x:v>
      </x:c>
      <x:c r="Q1333" t="str">
        <x:f>IFERROR(XLOOKUP(E1333,Lookups!$A$5:$A$24,Lookups!$B$5:$B$24),"Other")</x:f>
        <x:v>Email</x:v>
      </x:c>
      <x:c r="R1333" t="str">
        <x:f>IFERROR(XLOOKUP(F1333,Lookups!$D$5:$D$10,Lookups!$E$5:$E$10),"Unknown Product")</x:f>
        <x:v>Marketing Automation</x:v>
      </x:c>
      <x:c r="S1333" t="str">
        <x:f>IFERROR(XLOOKUP(F1333,Lookups!$D$5:$D$10,Lookups!$F$5:$F$10),"Unknown")</x:f>
        <x:v>Marketing</x:v>
      </x:c>
      <x:c r="T1333" t="str">
        <x:f>IF(L1333&gt;=50000,"Enterprise",IF(L1333&gt;=20000,"Mid-Market","SMB"))</x:f>
        <x:v>Mid-Market</x:v>
      </x:c>
      <x:c r="U1333" t="str">
        <x:f>IF(I1333="Closed Won","Won",IF(I1333="Closed Lost","Lost","Open"))</x:f>
        <x:v>Lost</x:v>
      </x:c>
      <x:c r="V1333" s="22" t="n">
        <x:f>IF(U1333="Won",L1333*(1-M1333),0)</x:f>
        <x:v>0</x:v>
      </x:c>
      <x:c r="W1333" s="22" t="n">
        <x:f>IF(U1333="Open",L1333*N1333,0)</x:f>
        <x:v>0</x:v>
      </x:c>
      <x:c r="X1333" s="26" t="n">
        <x:f>IF(U1333="Open","",IFERROR(K1333-B1333,""))</x:f>
        <x:v>35</x:v>
      </x:c>
      <x:c r="Y1333" s="26" t="n">
        <x:f>IF(U1333="Open",Lookups!$B$2-B1333,X1333)</x:f>
        <x:v>35</x:v>
      </x:c>
      <x:c r="Z1333" t="str">
        <x:f>IF(AND(U1333="Open",Y1333&gt;30),"STALE","OK")</x:f>
        <x:v>OK</x:v>
      </x:c>
      <x:c r="AA1333" t="str">
        <x:f>TEXT(B1333,"yyyy-mm")</x:f>
        <x:v>2026-07</x:v>
      </x:c>
      <x:c r="AB1333" t="str">
        <x:f>IF(K1333="","",TEXT(K1333,"yyyy-mm"))</x:f>
        <x:v>2026-09</x:v>
      </x:c>
      <x:c r="AC1333" t="str">
        <x:f>"Q"&amp;ROUNDUP(MONTH(B1333)/3,0)&amp;"-"&amp;YEAR(B1333)</x:f>
        <x:v>Q3-2026</x:v>
      </x:c>
      <x:c r="AD1333" s="26" t="n">
        <x:f>MIN(100,IF(H1333="Enterprise",30,IF(H1333="Mid-Market",22,14))+IF(T1333="Enterprise",25,IF(T1333="Mid-Market",18,10))+IF(Q1333="Referral",25,IF(Q1333="Organic Search",20,IF(Q1333="Email",18,14)))+IF(G1333="Technology",10,5))</x:f>
        <x:v>63</x:v>
      </x:c>
      <x:c r="AE1333" t="str">
        <x:f>IF(U1333&lt;&gt;"Open",U1333,IF(N1333&gt;=0.8,"Commit",IF(N1333&gt;=0.5,"Best Case","Pipeline")))</x:f>
        <x:v>Lost</x:v>
      </x:c>
    </x:row>
    <x:row r="1334">
      <x:c r="A1334" t="str">
        <x:v>L01333</x:v>
      </x:c>
      <x:c r="B1334" s="10" t="n">
        <x:v>45714</x:v>
      </x:c>
      <x:c r="C1334" t="str">
        <x:v>An Nguyen</x:v>
      </x:c>
      <x:c r="D1334" t="str">
        <x:v>South</x:v>
      </x:c>
      <x:c r="E1334" t="str">
        <x:v>email nurture</x:v>
      </x:c>
      <x:c r="F1334" t="str">
        <x:v>CS-CLOUD</x:v>
      </x:c>
      <x:c r="G1334" t="str">
        <x:v>Education</x:v>
      </x:c>
      <x:c r="H1334" t="str">
        <x:v>SMB</x:v>
      </x:c>
      <x:c r="I1334" t="str">
        <x:v>Closed Lost</x:v>
      </x:c>
      <x:c r="J1334" s="10" t="n">
        <x:v>45749</x:v>
      </x:c>
      <x:c r="K1334" s="10" t="n">
        <x:v>45749</x:v>
      </x:c>
      <x:c r="L1334" s="22" t="n">
        <x:v>24800</x:v>
      </x:c>
      <x:c r="M1334" s="24" t="n">
        <x:v>0</x:v>
      </x:c>
      <x:c r="N1334" s="24" t="n">
        <x:v>0</x:v>
      </x:c>
      <x:c r="O1334" t="str">
        <x:v>Price</x:v>
      </x:c>
      <x:c r="P1334" t="n">
        <x:v>3</x:v>
      </x:c>
      <x:c r="Q1334" t="str">
        <x:f>IFERROR(XLOOKUP(E1334,Lookups!$A$5:$A$24,Lookups!$B$5:$B$24),"Other")</x:f>
        <x:v>Email</x:v>
      </x:c>
      <x:c r="R1334" t="str">
        <x:f>IFERROR(XLOOKUP(F1334,Lookups!$D$5:$D$10,Lookups!$E$5:$E$10),"Unknown Product")</x:f>
        <x:v>Service Cloud</x:v>
      </x:c>
      <x:c r="S1334" t="str">
        <x:f>IFERROR(XLOOKUP(F1334,Lookups!$D$5:$D$10,Lookups!$F$5:$F$10),"Unknown")</x:f>
        <x:v>Customer Service</x:v>
      </x:c>
      <x:c r="T1334" t="str">
        <x:f>IF(L1334&gt;=50000,"Enterprise",IF(L1334&gt;=20000,"Mid-Market","SMB"))</x:f>
        <x:v>Mid-Market</x:v>
      </x:c>
      <x:c r="U1334" t="str">
        <x:f>IF(I1334="Closed Won","Won",IF(I1334="Closed Lost","Lost","Open"))</x:f>
        <x:v>Lost</x:v>
      </x:c>
      <x:c r="V1334" s="22" t="n">
        <x:f>IF(U1334="Won",L1334*(1-M1334),0)</x:f>
        <x:v>0</x:v>
      </x:c>
      <x:c r="W1334" s="22" t="n">
        <x:f>IF(U1334="Open",L1334*N1334,0)</x:f>
        <x:v>0</x:v>
      </x:c>
      <x:c r="X1334" s="26" t="n">
        <x:f>IF(U1334="Open","",IFERROR(K1334-B1334,""))</x:f>
        <x:v>35</x:v>
      </x:c>
      <x:c r="Y1334" s="26" t="n">
        <x:f>IF(U1334="Open",Lookups!$B$2-B1334,X1334)</x:f>
        <x:v>35</x:v>
      </x:c>
      <x:c r="Z1334" t="str">
        <x:f>IF(AND(U1334="Open",Y1334&gt;30),"STALE","OK")</x:f>
        <x:v>OK</x:v>
      </x:c>
      <x:c r="AA1334" t="str">
        <x:f>TEXT(B1334,"yyyy-mm")</x:f>
        <x:v>2025-02</x:v>
      </x:c>
      <x:c r="AB1334" t="str">
        <x:f>IF(K1334="","",TEXT(K1334,"yyyy-mm"))</x:f>
        <x:v>2025-04</x:v>
      </x:c>
      <x:c r="AC1334" t="str">
        <x:f>"Q"&amp;ROUNDUP(MONTH(B1334)/3,0)&amp;"-"&amp;YEAR(B1334)</x:f>
        <x:v>Q1-2025</x:v>
      </x:c>
      <x:c r="AD1334" s="26" t="n">
        <x:f>MIN(100,IF(H1334="Enterprise",30,IF(H1334="Mid-Market",22,14))+IF(T1334="Enterprise",25,IF(T1334="Mid-Market",18,10))+IF(Q1334="Referral",25,IF(Q1334="Organic Search",20,IF(Q1334="Email",18,14)))+IF(G1334="Technology",10,5))</x:f>
        <x:v>55</x:v>
      </x:c>
      <x:c r="AE1334" t="str">
        <x:f>IF(U1334&lt;&gt;"Open",U1334,IF(N1334&gt;=0.8,"Commit",IF(N1334&gt;=0.5,"Best Case","Pipeline")))</x:f>
        <x:v>Lost</x:v>
      </x:c>
    </x:row>
    <x:row r="1335">
      <x:c r="A1335" t="str">
        <x:v>L01334</x:v>
      </x:c>
      <x:c r="B1335" s="10" t="n">
        <x:v>46236</x:v>
      </x:c>
      <x:c r="C1335" t="str">
        <x:v>Chi Le</x:v>
      </x:c>
      <x:c r="D1335" t="str">
        <x:v>South</x:v>
      </x:c>
      <x:c r="E1335" t="str">
        <x:v>SDR Outreach</x:v>
      </x:c>
      <x:c r="F1335" t="str">
        <x:v>CRM-PRO</x:v>
      </x:c>
      <x:c r="G1335" t="str">
        <x:v>Education</x:v>
      </x:c>
      <x:c r="H1335" t="str">
        <x:v>Mid-Market</x:v>
      </x:c>
      <x:c r="I1335" t="str">
        <x:v>New</x:v>
      </x:c>
      <x:c r="J1335" s="10" t="n">
        <x:v>46252</x:v>
      </x:c>
      <x:c r="K1335" s="10"/>
      <x:c r="L1335" s="22" t="n">
        <x:v>35600</x:v>
      </x:c>
      <x:c r="M1335" s="24" t="n">
        <x:v>0</x:v>
      </x:c>
      <x:c r="N1335" s="24" t="n">
        <x:v>0.05</x:v>
      </x:c>
      <x:c r="O1335" t="str"/>
      <x:c r="P1335" t="n">
        <x:v>1</x:v>
      </x:c>
      <x:c r="Q1335" t="str">
        <x:f>IFERROR(XLOOKUP(E1335,Lookups!$A$5:$A$24,Lookups!$B$5:$B$24),"Other")</x:f>
        <x:v>Outbound</x:v>
      </x:c>
      <x:c r="R1335" t="str">
        <x:f>IFERROR(XLOOKUP(F1335,Lookups!$D$5:$D$10,Lookups!$E$5:$E$10),"Unknown Product")</x:f>
        <x:v>NexaCRM Pro</x:v>
      </x:c>
      <x:c r="S1335" t="str">
        <x:f>IFERROR(XLOOKUP(F1335,Lookups!$D$5:$D$10,Lookups!$F$5:$F$10),"Unknown")</x:f>
        <x:v>CRM</x:v>
      </x:c>
      <x:c r="T1335" t="str">
        <x:f>IF(L1335&gt;=50000,"Enterprise",IF(L1335&gt;=20000,"Mid-Market","SMB"))</x:f>
        <x:v>Mid-Market</x:v>
      </x:c>
      <x:c r="U1335" t="str">
        <x:f>IF(I1335="Closed Won","Won",IF(I1335="Closed Lost","Lost","Open"))</x:f>
        <x:v>Open</x:v>
      </x:c>
      <x:c r="V1335" s="22" t="n">
        <x:f>IF(U1335="Won",L1335*(1-M1335),0)</x:f>
        <x:v>0</x:v>
      </x:c>
      <x:c r="W1335" s="22" t="n">
        <x:f>IF(U1335="Open",L1335*N1335,0)</x:f>
        <x:v>1780</x:v>
      </x:c>
      <x:c r="X1335" s="26" t="str">
        <x:f>IF(U1335="Open","",IFERROR(K1335-B1335,""))</x:f>
      </x:c>
      <x:c r="Y1335" s="26" t="n">
        <x:f>IF(U1335="Open",Lookups!$B$2-B1335,X1335)</x:f>
        <x:v>30</x:v>
      </x:c>
      <x:c r="Z1335" t="str">
        <x:f>IF(AND(U1335="Open",Y1335&gt;30),"STALE","OK")</x:f>
        <x:v>OK</x:v>
      </x:c>
      <x:c r="AA1335" t="str">
        <x:f>TEXT(B1335,"yyyy-mm")</x:f>
        <x:v>2026-08</x:v>
      </x:c>
      <x:c r="AB1335" t="str">
        <x:f>IF(K1335="","",TEXT(K1335,"yyyy-mm"))</x:f>
      </x:c>
      <x:c r="AC1335" t="str">
        <x:f>"Q"&amp;ROUNDUP(MONTH(B1335)/3,0)&amp;"-"&amp;YEAR(B1335)</x:f>
        <x:v>Q3-2026</x:v>
      </x:c>
      <x:c r="AD1335" s="26" t="n">
        <x:f>MIN(100,IF(H1335="Enterprise",30,IF(H1335="Mid-Market",22,14))+IF(T1335="Enterprise",25,IF(T1335="Mid-Market",18,10))+IF(Q1335="Referral",25,IF(Q1335="Organic Search",20,IF(Q1335="Email",18,14)))+IF(G1335="Technology",10,5))</x:f>
        <x:v>59</x:v>
      </x:c>
      <x:c r="AE1335" t="str">
        <x:f>IF(U1335&lt;&gt;"Open",U1335,IF(N1335&gt;=0.8,"Commit",IF(N1335&gt;=0.5,"Best Case","Pipeline")))</x:f>
        <x:v>Pipeline</x:v>
      </x:c>
    </x:row>
    <x:row r="1336">
      <x:c r="A1336" t="str">
        <x:v>L01335</x:v>
      </x:c>
      <x:c r="B1336" s="10" t="n">
        <x:v>46059</x:v>
      </x:c>
      <x:c r="C1336" t="str">
        <x:v>Bao Tran</x:v>
      </x:c>
      <x:c r="D1336" t="str">
        <x:v>South</x:v>
      </x:c>
      <x:c r="E1336" t="str">
        <x:v>Google Ads</x:v>
      </x:c>
      <x:c r="F1336" t="str">
        <x:v>MKT-AUTO</x:v>
      </x:c>
      <x:c r="G1336" t="str">
        <x:v>Technology</x:v>
      </x:c>
      <x:c r="H1336" t="str">
        <x:v>SMB</x:v>
      </x:c>
      <x:c r="I1336" t="str">
        <x:v>Closed Won</x:v>
      </x:c>
      <x:c r="J1336" s="10" t="n">
        <x:v>46104</x:v>
      </x:c>
      <x:c r="K1336" s="10" t="n">
        <x:v>46104</x:v>
      </x:c>
      <x:c r="L1336" s="22" t="n">
        <x:v>12700</x:v>
      </x:c>
      <x:c r="M1336" s="24" t="n">
        <x:v>0.1</x:v>
      </x:c>
      <x:c r="N1336" s="24" t="n">
        <x:v>1</x:v>
      </x:c>
      <x:c r="O1336" t="str"/>
      <x:c r="P1336" t="n">
        <x:v>6</x:v>
      </x:c>
      <x:c r="Q1336" t="str">
        <x:f>IFERROR(XLOOKUP(E1336,Lookups!$A$5:$A$24,Lookups!$B$5:$B$24),"Other")</x:f>
        <x:v>Paid Search</x:v>
      </x:c>
      <x:c r="R1336" t="str">
        <x:f>IFERROR(XLOOKUP(F1336,Lookups!$D$5:$D$10,Lookups!$E$5:$E$10),"Unknown Product")</x:f>
        <x:v>Marketing Automation</x:v>
      </x:c>
      <x:c r="S1336" t="str">
        <x:f>IFERROR(XLOOKUP(F1336,Lookups!$D$5:$D$10,Lookups!$F$5:$F$10),"Unknown")</x:f>
        <x:v>Marketing</x:v>
      </x:c>
      <x:c r="T1336" t="str">
        <x:f>IF(L1336&gt;=50000,"Enterprise",IF(L1336&gt;=20000,"Mid-Market","SMB"))</x:f>
        <x:v>SMB</x:v>
      </x:c>
      <x:c r="U1336" t="str">
        <x:f>IF(I1336="Closed Won","Won",IF(I1336="Closed Lost","Lost","Open"))</x:f>
        <x:v>Won</x:v>
      </x:c>
      <x:c r="V1336" s="22" t="n">
        <x:f>IF(U1336="Won",L1336*(1-M1336),0)</x:f>
        <x:v>11430</x:v>
      </x:c>
      <x:c r="W1336" s="22" t="n">
        <x:f>IF(U1336="Open",L1336*N1336,0)</x:f>
        <x:v>0</x:v>
      </x:c>
      <x:c r="X1336" s="26" t="n">
        <x:f>IF(U1336="Open","",IFERROR(K1336-B1336,""))</x:f>
        <x:v>45</x:v>
      </x:c>
      <x:c r="Y1336" s="26" t="n">
        <x:f>IF(U1336="Open",Lookups!$B$2-B1336,X1336)</x:f>
        <x:v>45</x:v>
      </x:c>
      <x:c r="Z1336" t="str">
        <x:f>IF(AND(U1336="Open",Y1336&gt;30),"STALE","OK")</x:f>
        <x:v>OK</x:v>
      </x:c>
      <x:c r="AA1336" t="str">
        <x:f>TEXT(B1336,"yyyy-mm")</x:f>
        <x:v>2026-02</x:v>
      </x:c>
      <x:c r="AB1336" t="str">
        <x:f>IF(K1336="","",TEXT(K1336,"yyyy-mm"))</x:f>
        <x:v>2026-03</x:v>
      </x:c>
      <x:c r="AC1336" t="str">
        <x:f>"Q"&amp;ROUNDUP(MONTH(B1336)/3,0)&amp;"-"&amp;YEAR(B1336)</x:f>
        <x:v>Q1-2026</x:v>
      </x:c>
      <x:c r="AD1336" s="26" t="n">
        <x:f>MIN(100,IF(H1336="Enterprise",30,IF(H1336="Mid-Market",22,14))+IF(T1336="Enterprise",25,IF(T1336="Mid-Market",18,10))+IF(Q1336="Referral",25,IF(Q1336="Organic Search",20,IF(Q1336="Email",18,14)))+IF(G1336="Technology",10,5))</x:f>
        <x:v>48</x:v>
      </x:c>
      <x:c r="AE1336" t="str">
        <x:f>IF(U1336&lt;&gt;"Open",U1336,IF(N1336&gt;=0.8,"Commit",IF(N1336&gt;=0.5,"Best Case","Pipeline")))</x:f>
        <x:v>Won</x:v>
      </x:c>
    </x:row>
    <x:row r="1337">
      <x:c r="A1337" t="str">
        <x:v>L01336</x:v>
      </x:c>
      <x:c r="B1337" s="10" t="n">
        <x:v>46239</x:v>
      </x:c>
      <x:c r="C1337" t="str">
        <x:v>Chi Le</x:v>
      </x:c>
      <x:c r="D1337" t="str">
        <x:v>South</x:v>
      </x:c>
      <x:c r="E1337" t="str">
        <x:v>Email Campaign</x:v>
      </x:c>
      <x:c r="F1337" t="str">
        <x:v>CS-CLOUD</x:v>
      </x:c>
      <x:c r="G1337" t="str">
        <x:v>Technology</x:v>
      </x:c>
      <x:c r="H1337" t="str">
        <x:v>SMB</x:v>
      </x:c>
      <x:c r="I1337" t="str">
        <x:v>Closed Won</x:v>
      </x:c>
      <x:c r="J1337" s="10" t="n">
        <x:v>46266</x:v>
      </x:c>
      <x:c r="K1337" s="10" t="n">
        <x:v>46266</x:v>
      </x:c>
      <x:c r="L1337" s="22" t="n">
        <x:v>27000</x:v>
      </x:c>
      <x:c r="M1337" s="24" t="n">
        <x:v>0.12</x:v>
      </x:c>
      <x:c r="N1337" s="24" t="n">
        <x:v>1</x:v>
      </x:c>
      <x:c r="O1337" t="str"/>
      <x:c r="P1337" t="n">
        <x:v>6</x:v>
      </x:c>
      <x:c r="Q1337" t="str">
        <x:f>IFERROR(XLOOKUP(E1337,Lookups!$A$5:$A$24,Lookups!$B$5:$B$24),"Other")</x:f>
        <x:v>Email</x:v>
      </x:c>
      <x:c r="R1337" t="str">
        <x:f>IFERROR(XLOOKUP(F1337,Lookups!$D$5:$D$10,Lookups!$E$5:$E$10),"Unknown Product")</x:f>
        <x:v>Service Cloud</x:v>
      </x:c>
      <x:c r="S1337" t="str">
        <x:f>IFERROR(XLOOKUP(F1337,Lookups!$D$5:$D$10,Lookups!$F$5:$F$10),"Unknown")</x:f>
        <x:v>Customer Service</x:v>
      </x:c>
      <x:c r="T1337" t="str">
        <x:f>IF(L1337&gt;=50000,"Enterprise",IF(L1337&gt;=20000,"Mid-Market","SMB"))</x:f>
        <x:v>Mid-Market</x:v>
      </x:c>
      <x:c r="U1337" t="str">
        <x:f>IF(I1337="Closed Won","Won",IF(I1337="Closed Lost","Lost","Open"))</x:f>
        <x:v>Won</x:v>
      </x:c>
      <x:c r="V1337" s="22" t="n">
        <x:f>IF(U1337="Won",L1337*(1-M1337),0)</x:f>
        <x:v>23760</x:v>
      </x:c>
      <x:c r="W1337" s="22" t="n">
        <x:f>IF(U1337="Open",L1337*N1337,0)</x:f>
        <x:v>0</x:v>
      </x:c>
      <x:c r="X1337" s="26" t="n">
        <x:f>IF(U1337="Open","",IFERROR(K1337-B1337,""))</x:f>
        <x:v>27</x:v>
      </x:c>
      <x:c r="Y1337" s="26" t="n">
        <x:f>IF(U1337="Open",Lookups!$B$2-B1337,X1337)</x:f>
        <x:v>27</x:v>
      </x:c>
      <x:c r="Z1337" t="str">
        <x:f>IF(AND(U1337="Open",Y1337&gt;30),"STALE","OK")</x:f>
        <x:v>OK</x:v>
      </x:c>
      <x:c r="AA1337" t="str">
        <x:f>TEXT(B1337,"yyyy-mm")</x:f>
        <x:v>2026-08</x:v>
      </x:c>
      <x:c r="AB1337" t="str">
        <x:f>IF(K1337="","",TEXT(K1337,"yyyy-mm"))</x:f>
        <x:v>2026-09</x:v>
      </x:c>
      <x:c r="AC1337" t="str">
        <x:f>"Q"&amp;ROUNDUP(MONTH(B1337)/3,0)&amp;"-"&amp;YEAR(B1337)</x:f>
        <x:v>Q3-2026</x:v>
      </x:c>
      <x:c r="AD1337" s="26" t="n">
        <x:f>MIN(100,IF(H1337="Enterprise",30,IF(H1337="Mid-Market",22,14))+IF(T1337="Enterprise",25,IF(T1337="Mid-Market",18,10))+IF(Q1337="Referral",25,IF(Q1337="Organic Search",20,IF(Q1337="Email",18,14)))+IF(G1337="Technology",10,5))</x:f>
        <x:v>60</x:v>
      </x:c>
      <x:c r="AE1337" t="str">
        <x:f>IF(U1337&lt;&gt;"Open",U1337,IF(N1337&gt;=0.8,"Commit",IF(N1337&gt;=0.5,"Best Case","Pipeline")))</x:f>
        <x:v>Won</x:v>
      </x:c>
    </x:row>
    <x:row r="1338">
      <x:c r="A1338" t="str">
        <x:v>L01337</x:v>
      </x:c>
      <x:c r="B1338" s="10" t="n">
        <x:v>45976</x:v>
      </x:c>
      <x:c r="C1338" t="str">
        <x:v>Duy Pham</x:v>
      </x:c>
      <x:c r="D1338" t="str">
        <x:v>South</x:v>
      </x:c>
      <x:c r="E1338" t="str">
        <x:v>LinkedIn Ads</x:v>
      </x:c>
      <x:c r="F1338" t="str">
        <x:v>CRM-CORE</x:v>
      </x:c>
      <x:c r="G1338" t="str">
        <x:v>Education</x:v>
      </x:c>
      <x:c r="H1338" t="str">
        <x:v>Mid-Market</x:v>
      </x:c>
      <x:c r="I1338" t="str">
        <x:v>Closed Lost</x:v>
      </x:c>
      <x:c r="J1338" s="10" t="n">
        <x:v>46032</x:v>
      </x:c>
      <x:c r="K1338" s="10" t="n">
        <x:v>46032</x:v>
      </x:c>
      <x:c r="L1338" s="22" t="n">
        <x:v>10600</x:v>
      </x:c>
      <x:c r="M1338" s="24" t="n">
        <x:v>0</x:v>
      </x:c>
      <x:c r="N1338" s="24" t="n">
        <x:v>0</x:v>
      </x:c>
      <x:c r="O1338" t="str">
        <x:v>Price</x:v>
      </x:c>
      <x:c r="P1338" t="n">
        <x:v>2</x:v>
      </x:c>
      <x:c r="Q1338" t="str">
        <x:f>IFERROR(XLOOKUP(E1338,Lookups!$A$5:$A$24,Lookups!$B$5:$B$24),"Other")</x:f>
        <x:v>LinkedIn</x:v>
      </x:c>
      <x:c r="R1338" t="str">
        <x:f>IFERROR(XLOOKUP(F1338,Lookups!$D$5:$D$10,Lookups!$E$5:$E$10),"Unknown Product")</x:f>
        <x:v>NexaCRM Core</x:v>
      </x:c>
      <x:c r="S1338" t="str">
        <x:f>IFERROR(XLOOKUP(F1338,Lookups!$D$5:$D$10,Lookups!$F$5:$F$10),"Unknown")</x:f>
        <x:v>CRM</x:v>
      </x:c>
      <x:c r="T1338" t="str">
        <x:f>IF(L1338&gt;=50000,"Enterprise",IF(L1338&gt;=20000,"Mid-Market","SMB"))</x:f>
        <x:v>SMB</x:v>
      </x:c>
      <x:c r="U1338" t="str">
        <x:f>IF(I1338="Closed Won","Won",IF(I1338="Closed Lost","Lost","Open"))</x:f>
        <x:v>Lost</x:v>
      </x:c>
      <x:c r="V1338" s="22" t="n">
        <x:f>IF(U1338="Won",L1338*(1-M1338),0)</x:f>
        <x:v>0</x:v>
      </x:c>
      <x:c r="W1338" s="22" t="n">
        <x:f>IF(U1338="Open",L1338*N1338,0)</x:f>
        <x:v>0</x:v>
      </x:c>
      <x:c r="X1338" s="26" t="n">
        <x:f>IF(U1338="Open","",IFERROR(K1338-B1338,""))</x:f>
        <x:v>56</x:v>
      </x:c>
      <x:c r="Y1338" s="26" t="n">
        <x:f>IF(U1338="Open",Lookups!$B$2-B1338,X1338)</x:f>
        <x:v>56</x:v>
      </x:c>
      <x:c r="Z1338" t="str">
        <x:f>IF(AND(U1338="Open",Y1338&gt;30),"STALE","OK")</x:f>
        <x:v>OK</x:v>
      </x:c>
      <x:c r="AA1338" t="str">
        <x:f>TEXT(B1338,"yyyy-mm")</x:f>
        <x:v>2025-11</x:v>
      </x:c>
      <x:c r="AB1338" t="str">
        <x:f>IF(K1338="","",TEXT(K1338,"yyyy-mm"))</x:f>
        <x:v>2026-01</x:v>
      </x:c>
      <x:c r="AC1338" t="str">
        <x:f>"Q"&amp;ROUNDUP(MONTH(B1338)/3,0)&amp;"-"&amp;YEAR(B1338)</x:f>
        <x:v>Q4-2025</x:v>
      </x:c>
      <x:c r="AD1338" s="26" t="n">
        <x:f>MIN(100,IF(H1338="Enterprise",30,IF(H1338="Mid-Market",22,14))+IF(T1338="Enterprise",25,IF(T1338="Mid-Market",18,10))+IF(Q1338="Referral",25,IF(Q1338="Organic Search",20,IF(Q1338="Email",18,14)))+IF(G1338="Technology",10,5))</x:f>
        <x:v>51</x:v>
      </x:c>
      <x:c r="AE1338" t="str">
        <x:f>IF(U1338&lt;&gt;"Open",U1338,IF(N1338&gt;=0.8,"Commit",IF(N1338&gt;=0.5,"Best Case","Pipeline")))</x:f>
        <x:v>Lost</x:v>
      </x:c>
    </x:row>
    <x:row r="1339">
      <x:c r="A1339" t="str">
        <x:v>L01338</x:v>
      </x:c>
      <x:c r="B1339" s="10" t="n">
        <x:v>45724</x:v>
      </x:c>
      <x:c r="C1339" t="str">
        <x:v>Bao Tran</x:v>
      </x:c>
      <x:c r="D1339" t="str">
        <x:v>South</x:v>
      </x:c>
      <x:c r="E1339" t="str">
        <x:v>virtual event</x:v>
      </x:c>
      <x:c r="F1339" t="str">
        <x:v>CRM-CORE</x:v>
      </x:c>
      <x:c r="G1339" t="str">
        <x:v>Healthcare</x:v>
      </x:c>
      <x:c r="H1339" t="str">
        <x:v>SMB</x:v>
      </x:c>
      <x:c r="I1339" t="str">
        <x:v>Closed Lost</x:v>
      </x:c>
      <x:c r="J1339" s="10" t="n">
        <x:v>45775</x:v>
      </x:c>
      <x:c r="K1339" s="10" t="n">
        <x:v>45775</x:v>
      </x:c>
      <x:c r="L1339" s="22" t="n">
        <x:v>8500</x:v>
      </x:c>
      <x:c r="M1339" s="24" t="n">
        <x:v>0</x:v>
      </x:c>
      <x:c r="N1339" s="24" t="n">
        <x:v>0</x:v>
      </x:c>
      <x:c r="O1339" t="str">
        <x:v>Competitor</x:v>
      </x:c>
      <x:c r="P1339" t="n">
        <x:v>5</x:v>
      </x:c>
      <x:c r="Q1339" t="str">
        <x:f>IFERROR(XLOOKUP(E1339,Lookups!$A$5:$A$24,Lookups!$B$5:$B$24),"Other")</x:f>
        <x:v>Webinar</x:v>
      </x:c>
      <x:c r="R1339" t="str">
        <x:f>IFERROR(XLOOKUP(F1339,Lookups!$D$5:$D$10,Lookups!$E$5:$E$10),"Unknown Product")</x:f>
        <x:v>NexaCRM Core</x:v>
      </x:c>
      <x:c r="S1339" t="str">
        <x:f>IFERROR(XLOOKUP(F1339,Lookups!$D$5:$D$10,Lookups!$F$5:$F$10),"Unknown")</x:f>
        <x:v>CRM</x:v>
      </x:c>
      <x:c r="T1339" t="str">
        <x:f>IF(L1339&gt;=50000,"Enterprise",IF(L1339&gt;=20000,"Mid-Market","SMB"))</x:f>
        <x:v>SMB</x:v>
      </x:c>
      <x:c r="U1339" t="str">
        <x:f>IF(I1339="Closed Won","Won",IF(I1339="Closed Lost","Lost","Open"))</x:f>
        <x:v>Lost</x:v>
      </x:c>
      <x:c r="V1339" s="22" t="n">
        <x:f>IF(U1339="Won",L1339*(1-M1339),0)</x:f>
        <x:v>0</x:v>
      </x:c>
      <x:c r="W1339" s="22" t="n">
        <x:f>IF(U1339="Open",L1339*N1339,0)</x:f>
        <x:v>0</x:v>
      </x:c>
      <x:c r="X1339" s="26" t="n">
        <x:f>IF(U1339="Open","",IFERROR(K1339-B1339,""))</x:f>
        <x:v>51</x:v>
      </x:c>
      <x:c r="Y1339" s="26" t="n">
        <x:f>IF(U1339="Open",Lookups!$B$2-B1339,X1339)</x:f>
        <x:v>51</x:v>
      </x:c>
      <x:c r="Z1339" t="str">
        <x:f>IF(AND(U1339="Open",Y1339&gt;30),"STALE","OK")</x:f>
        <x:v>OK</x:v>
      </x:c>
      <x:c r="AA1339" t="str">
        <x:f>TEXT(B1339,"yyyy-mm")</x:f>
        <x:v>2025-03</x:v>
      </x:c>
      <x:c r="AB1339" t="str">
        <x:f>IF(K1339="","",TEXT(K1339,"yyyy-mm"))</x:f>
        <x:v>2025-04</x:v>
      </x:c>
      <x:c r="AC1339" t="str">
        <x:f>"Q"&amp;ROUNDUP(MONTH(B1339)/3,0)&amp;"-"&amp;YEAR(B1339)</x:f>
        <x:v>Q1-2025</x:v>
      </x:c>
      <x:c r="AD1339" s="26" t="n">
        <x:f>MIN(100,IF(H1339="Enterprise",30,IF(H1339="Mid-Market",22,14))+IF(T1339="Enterprise",25,IF(T1339="Mid-Market",18,10))+IF(Q1339="Referral",25,IF(Q1339="Organic Search",20,IF(Q1339="Email",18,14)))+IF(G1339="Technology",10,5))</x:f>
        <x:v>43</x:v>
      </x:c>
      <x:c r="AE1339" t="str">
        <x:f>IF(U1339&lt;&gt;"Open",U1339,IF(N1339&gt;=0.8,"Commit",IF(N1339&gt;=0.5,"Best Case","Pipeline")))</x:f>
        <x:v>Lost</x:v>
      </x:c>
    </x:row>
    <x:row r="1340">
      <x:c r="A1340" t="str">
        <x:v>L01339</x:v>
      </x:c>
      <x:c r="B1340" s="10" t="n">
        <x:v>45787</x:v>
      </x:c>
      <x:c r="C1340" t="str">
        <x:v>Ha Vo</x:v>
      </x:c>
      <x:c r="D1340" t="str">
        <x:v>North</x:v>
      </x:c>
      <x:c r="E1340" t="str">
        <x:v>email nurture</x:v>
      </x:c>
      <x:c r="F1340" t="str">
        <x:v>MKT-AUTO</x:v>
      </x:c>
      <x:c r="G1340" t="str">
        <x:v>Manufacturing</x:v>
      </x:c>
      <x:c r="H1340" t="str">
        <x:v>Mid-Market</x:v>
      </x:c>
      <x:c r="I1340" t="str">
        <x:v>Closed Won</x:v>
      </x:c>
      <x:c r="J1340" s="10" t="n">
        <x:v>45864</x:v>
      </x:c>
      <x:c r="K1340" s="10" t="n">
        <x:v>45864</x:v>
      </x:c>
      <x:c r="L1340" s="22" t="n">
        <x:v>25200</x:v>
      </x:c>
      <x:c r="M1340" s="24" t="n">
        <x:v>0.05</x:v>
      </x:c>
      <x:c r="N1340" s="24" t="n">
        <x:v>1</x:v>
      </x:c>
      <x:c r="O1340" t="str"/>
      <x:c r="P1340" t="n">
        <x:v>6</x:v>
      </x:c>
      <x:c r="Q1340" t="str">
        <x:f>IFERROR(XLOOKUP(E1340,Lookups!$A$5:$A$24,Lookups!$B$5:$B$24),"Other")</x:f>
        <x:v>Email</x:v>
      </x:c>
      <x:c r="R1340" t="str">
        <x:f>IFERROR(XLOOKUP(F1340,Lookups!$D$5:$D$10,Lookups!$E$5:$E$10),"Unknown Product")</x:f>
        <x:v>Marketing Automation</x:v>
      </x:c>
      <x:c r="S1340" t="str">
        <x:f>IFERROR(XLOOKUP(F1340,Lookups!$D$5:$D$10,Lookups!$F$5:$F$10),"Unknown")</x:f>
        <x:v>Marketing</x:v>
      </x:c>
      <x:c r="T1340" t="str">
        <x:f>IF(L1340&gt;=50000,"Enterprise",IF(L1340&gt;=20000,"Mid-Market","SMB"))</x:f>
        <x:v>Mid-Market</x:v>
      </x:c>
      <x:c r="U1340" t="str">
        <x:f>IF(I1340="Closed Won","Won",IF(I1340="Closed Lost","Lost","Open"))</x:f>
        <x:v>Won</x:v>
      </x:c>
      <x:c r="V1340" s="22" t="n">
        <x:f>IF(U1340="Won",L1340*(1-M1340),0)</x:f>
        <x:v>23940</x:v>
      </x:c>
      <x:c r="W1340" s="22" t="n">
        <x:f>IF(U1340="Open",L1340*N1340,0)</x:f>
        <x:v>0</x:v>
      </x:c>
      <x:c r="X1340" s="26" t="n">
        <x:f>IF(U1340="Open","",IFERROR(K1340-B1340,""))</x:f>
        <x:v>77</x:v>
      </x:c>
      <x:c r="Y1340" s="26" t="n">
        <x:f>IF(U1340="Open",Lookups!$B$2-B1340,X1340)</x:f>
        <x:v>77</x:v>
      </x:c>
      <x:c r="Z1340" t="str">
        <x:f>IF(AND(U1340="Open",Y1340&gt;30),"STALE","OK")</x:f>
        <x:v>OK</x:v>
      </x:c>
      <x:c r="AA1340" t="str">
        <x:f>TEXT(B1340,"yyyy-mm")</x:f>
        <x:v>2025-05</x:v>
      </x:c>
      <x:c r="AB1340" t="str">
        <x:f>IF(K1340="","",TEXT(K1340,"yyyy-mm"))</x:f>
        <x:v>2025-07</x:v>
      </x:c>
      <x:c r="AC1340" t="str">
        <x:f>"Q"&amp;ROUNDUP(MONTH(B1340)/3,0)&amp;"-"&amp;YEAR(B1340)</x:f>
        <x:v>Q2-2025</x:v>
      </x:c>
      <x:c r="AD1340" s="26" t="n">
        <x:f>MIN(100,IF(H1340="Enterprise",30,IF(H1340="Mid-Market",22,14))+IF(T1340="Enterprise",25,IF(T1340="Mid-Market",18,10))+IF(Q1340="Referral",25,IF(Q1340="Organic Search",20,IF(Q1340="Email",18,14)))+IF(G1340="Technology",10,5))</x:f>
        <x:v>63</x:v>
      </x:c>
      <x:c r="AE1340" t="str">
        <x:f>IF(U1340&lt;&gt;"Open",U1340,IF(N1340&gt;=0.8,"Commit",IF(N1340&gt;=0.5,"Best Case","Pipeline")))</x:f>
        <x:v>Won</x:v>
      </x:c>
    </x:row>
    <x:row r="1341">
      <x:c r="A1341" t="str">
        <x:v>L01340</x:v>
      </x:c>
      <x:c r="B1341" s="10" t="n">
        <x:v>45780</x:v>
      </x:c>
      <x:c r="C1341" t="str">
        <x:v>Duy Pham</x:v>
      </x:c>
      <x:c r="D1341" t="str">
        <x:v>South</x:v>
      </x:c>
      <x:c r="E1341" t="str">
        <x:v>Cold Email</x:v>
      </x:c>
      <x:c r="F1341" t="str">
        <x:v>CS-CLOUD</x:v>
      </x:c>
      <x:c r="G1341" t="str">
        <x:v>Retail</x:v>
      </x:c>
      <x:c r="H1341" t="str">
        <x:v>Mid-Market</x:v>
      </x:c>
      <x:c r="I1341" t="str">
        <x:v>Negotiation</x:v>
      </x:c>
      <x:c r="J1341" s="10" t="n">
        <x:v>46104</x:v>
      </x:c>
      <x:c r="K1341" s="10"/>
      <x:c r="L1341" s="22" t="n">
        <x:v>35500</x:v>
      </x:c>
      <x:c r="M1341" s="24" t="n">
        <x:v>0</x:v>
      </x:c>
      <x:c r="N1341" s="24" t="n">
        <x:v>0.85</x:v>
      </x:c>
      <x:c r="O1341" t="str"/>
      <x:c r="P1341" t="n">
        <x:v>5</x:v>
      </x:c>
      <x:c r="Q1341" t="str">
        <x:f>IFERROR(XLOOKUP(E1341,Lookups!$A$5:$A$24,Lookups!$B$5:$B$24),"Other")</x:f>
        <x:v>Outbound</x:v>
      </x:c>
      <x:c r="R1341" t="str">
        <x:f>IFERROR(XLOOKUP(F1341,Lookups!$D$5:$D$10,Lookups!$E$5:$E$10),"Unknown Product")</x:f>
        <x:v>Service Cloud</x:v>
      </x:c>
      <x:c r="S1341" t="str">
        <x:f>IFERROR(XLOOKUP(F1341,Lookups!$D$5:$D$10,Lookups!$F$5:$F$10),"Unknown")</x:f>
        <x:v>Customer Service</x:v>
      </x:c>
      <x:c r="T1341" t="str">
        <x:f>IF(L1341&gt;=50000,"Enterprise",IF(L1341&gt;=20000,"Mid-Market","SMB"))</x:f>
        <x:v>Mid-Market</x:v>
      </x:c>
      <x:c r="U1341" t="str">
        <x:f>IF(I1341="Closed Won","Won",IF(I1341="Closed Lost","Lost","Open"))</x:f>
        <x:v>Open</x:v>
      </x:c>
      <x:c r="V1341" s="22" t="n">
        <x:f>IF(U1341="Won",L1341*(1-M1341),0)</x:f>
        <x:v>0</x:v>
      </x:c>
      <x:c r="W1341" s="22" t="n">
        <x:f>IF(U1341="Open",L1341*N1341,0)</x:f>
        <x:v>30175</x:v>
      </x:c>
      <x:c r="X1341" s="26" t="str">
        <x:f>IF(U1341="Open","",IFERROR(K1341-B1341,""))</x:f>
      </x:c>
      <x:c r="Y1341" s="26" t="n">
        <x:f>IF(U1341="Open",Lookups!$B$2-B1341,X1341)</x:f>
        <x:v>486</x:v>
      </x:c>
      <x:c r="Z1341" t="str">
        <x:f>IF(AND(U1341="Open",Y1341&gt;30),"STALE","OK")</x:f>
        <x:v>STALE</x:v>
      </x:c>
      <x:c r="AA1341" t="str">
        <x:f>TEXT(B1341,"yyyy-mm")</x:f>
        <x:v>2025-05</x:v>
      </x:c>
      <x:c r="AB1341" t="str">
        <x:f>IF(K1341="","",TEXT(K1341,"yyyy-mm"))</x:f>
      </x:c>
      <x:c r="AC1341" t="str">
        <x:f>"Q"&amp;ROUNDUP(MONTH(B1341)/3,0)&amp;"-"&amp;YEAR(B1341)</x:f>
        <x:v>Q2-2025</x:v>
      </x:c>
      <x:c r="AD1341" s="26" t="n">
        <x:f>MIN(100,IF(H1341="Enterprise",30,IF(H1341="Mid-Market",22,14))+IF(T1341="Enterprise",25,IF(T1341="Mid-Market",18,10))+IF(Q1341="Referral",25,IF(Q1341="Organic Search",20,IF(Q1341="Email",18,14)))+IF(G1341="Technology",10,5))</x:f>
        <x:v>59</x:v>
      </x:c>
      <x:c r="AE1341" t="str">
        <x:f>IF(U1341&lt;&gt;"Open",U1341,IF(N1341&gt;=0.8,"Commit",IF(N1341&gt;=0.5,"Best Case","Pipeline")))</x:f>
        <x:v>Commit</x:v>
      </x:c>
    </x:row>
    <x:row r="1342">
      <x:c r="A1342" t="str">
        <x:v>L01341</x:v>
      </x:c>
      <x:c r="B1342" s="10" t="n">
        <x:v>46117</x:v>
      </x:c>
      <x:c r="C1342" t="str">
        <x:v>Minh Do</x:v>
      </x:c>
      <x:c r="D1342" t="str">
        <x:v>North</x:v>
      </x:c>
      <x:c r="E1342" t="str">
        <x:v>LI Ads</x:v>
      </x:c>
      <x:c r="F1342" t="str">
        <x:v>CS-CLOUD</x:v>
      </x:c>
      <x:c r="G1342" t="str">
        <x:v>Manufacturing</x:v>
      </x:c>
      <x:c r="H1342" t="str">
        <x:v>Mid-Market</x:v>
      </x:c>
      <x:c r="I1342" t="str">
        <x:v>Closed Lost</x:v>
      </x:c>
      <x:c r="J1342" s="10" t="n">
        <x:v>46141</x:v>
      </x:c>
      <x:c r="K1342" s="10" t="n">
        <x:v>46141</x:v>
      </x:c>
      <x:c r="L1342" s="22" t="n">
        <x:v>32200</x:v>
      </x:c>
      <x:c r="M1342" s="24" t="n">
        <x:v>0</x:v>
      </x:c>
      <x:c r="N1342" s="24" t="n">
        <x:v>0</x:v>
      </x:c>
      <x:c r="O1342" t="str">
        <x:v>No Decision</x:v>
      </x:c>
      <x:c r="P1342" t="n">
        <x:v>4</x:v>
      </x:c>
      <x:c r="Q1342" t="str">
        <x:f>IFERROR(XLOOKUP(E1342,Lookups!$A$5:$A$24,Lookups!$B$5:$B$24),"Other")</x:f>
        <x:v>LinkedIn</x:v>
      </x:c>
      <x:c r="R1342" t="str">
        <x:f>IFERROR(XLOOKUP(F1342,Lookups!$D$5:$D$10,Lookups!$E$5:$E$10),"Unknown Product")</x:f>
        <x:v>Service Cloud</x:v>
      </x:c>
      <x:c r="S1342" t="str">
        <x:f>IFERROR(XLOOKUP(F1342,Lookups!$D$5:$D$10,Lookups!$F$5:$F$10),"Unknown")</x:f>
        <x:v>Customer Service</x:v>
      </x:c>
      <x:c r="T1342" t="str">
        <x:f>IF(L1342&gt;=50000,"Enterprise",IF(L1342&gt;=20000,"Mid-Market","SMB"))</x:f>
        <x:v>Mid-Market</x:v>
      </x:c>
      <x:c r="U1342" t="str">
        <x:f>IF(I1342="Closed Won","Won",IF(I1342="Closed Lost","Lost","Open"))</x:f>
        <x:v>Lost</x:v>
      </x:c>
      <x:c r="V1342" s="22" t="n">
        <x:f>IF(U1342="Won",L1342*(1-M1342),0)</x:f>
        <x:v>0</x:v>
      </x:c>
      <x:c r="W1342" s="22" t="n">
        <x:f>IF(U1342="Open",L1342*N1342,0)</x:f>
        <x:v>0</x:v>
      </x:c>
      <x:c r="X1342" s="26" t="n">
        <x:f>IF(U1342="Open","",IFERROR(K1342-B1342,""))</x:f>
        <x:v>24</x:v>
      </x:c>
      <x:c r="Y1342" s="26" t="n">
        <x:f>IF(U1342="Open",Lookups!$B$2-B1342,X1342)</x:f>
        <x:v>24</x:v>
      </x:c>
      <x:c r="Z1342" t="str">
        <x:f>IF(AND(U1342="Open",Y1342&gt;30),"STALE","OK")</x:f>
        <x:v>OK</x:v>
      </x:c>
      <x:c r="AA1342" t="str">
        <x:f>TEXT(B1342,"yyyy-mm")</x:f>
        <x:v>2026-04</x:v>
      </x:c>
      <x:c r="AB1342" t="str">
        <x:f>IF(K1342="","",TEXT(K1342,"yyyy-mm"))</x:f>
        <x:v>2026-04</x:v>
      </x:c>
      <x:c r="AC1342" t="str">
        <x:f>"Q"&amp;ROUNDUP(MONTH(B1342)/3,0)&amp;"-"&amp;YEAR(B1342)</x:f>
        <x:v>Q2-2026</x:v>
      </x:c>
      <x:c r="AD1342" s="26" t="n">
        <x:f>MIN(100,IF(H1342="Enterprise",30,IF(H1342="Mid-Market",22,14))+IF(T1342="Enterprise",25,IF(T1342="Mid-Market",18,10))+IF(Q1342="Referral",25,IF(Q1342="Organic Search",20,IF(Q1342="Email",18,14)))+IF(G1342="Technology",10,5))</x:f>
        <x:v>59</x:v>
      </x:c>
      <x:c r="AE1342" t="str">
        <x:f>IF(U1342&lt;&gt;"Open",U1342,IF(N1342&gt;=0.8,"Commit",IF(N1342&gt;=0.5,"Best Case","Pipeline")))</x:f>
        <x:v>Lost</x:v>
      </x:c>
    </x:row>
    <x:row r="1343">
      <x:c r="A1343" t="str">
        <x:v>L01342</x:v>
      </x:c>
      <x:c r="B1343" s="10" t="n">
        <x:v>45703</x:v>
      </x:c>
      <x:c r="C1343" t="str">
        <x:v>Ha Vo</x:v>
      </x:c>
      <x:c r="D1343" t="str">
        <x:v>North</x:v>
      </x:c>
      <x:c r="E1343" t="str">
        <x:v>google cpc</x:v>
      </x:c>
      <x:c r="F1343" t="str">
        <x:v>CRM-CORE</x:v>
      </x:c>
      <x:c r="G1343" t="str">
        <x:v>Education</x:v>
      </x:c>
      <x:c r="H1343" t="str">
        <x:v>SMB</x:v>
      </x:c>
      <x:c r="I1343" t="str">
        <x:v>Closed Lost</x:v>
      </x:c>
      <x:c r="J1343" s="10" t="n">
        <x:v>45751</x:v>
      </x:c>
      <x:c r="K1343" s="10" t="n">
        <x:v>45751</x:v>
      </x:c>
      <x:c r="L1343" s="22" t="n">
        <x:v>7600</x:v>
      </x:c>
      <x:c r="M1343" s="24" t="n">
        <x:v>0</x:v>
      </x:c>
      <x:c r="N1343" s="24" t="n">
        <x:v>0</x:v>
      </x:c>
      <x:c r="O1343" t="str">
        <x:v>Timing</x:v>
      </x:c>
      <x:c r="P1343" t="n">
        <x:v>5</x:v>
      </x:c>
      <x:c r="Q1343" t="str">
        <x:f>IFERROR(XLOOKUP(E1343,Lookups!$A$5:$A$24,Lookups!$B$5:$B$24),"Other")</x:f>
        <x:v>Paid Search</x:v>
      </x:c>
      <x:c r="R1343" t="str">
        <x:f>IFERROR(XLOOKUP(F1343,Lookups!$D$5:$D$10,Lookups!$E$5:$E$10),"Unknown Product")</x:f>
        <x:v>NexaCRM Core</x:v>
      </x:c>
      <x:c r="S1343" t="str">
        <x:f>IFERROR(XLOOKUP(F1343,Lookups!$D$5:$D$10,Lookups!$F$5:$F$10),"Unknown")</x:f>
        <x:v>CRM</x:v>
      </x:c>
      <x:c r="T1343" t="str">
        <x:f>IF(L1343&gt;=50000,"Enterprise",IF(L1343&gt;=20000,"Mid-Market","SMB"))</x:f>
        <x:v>SMB</x:v>
      </x:c>
      <x:c r="U1343" t="str">
        <x:f>IF(I1343="Closed Won","Won",IF(I1343="Closed Lost","Lost","Open"))</x:f>
        <x:v>Lost</x:v>
      </x:c>
      <x:c r="V1343" s="22" t="n">
        <x:f>IF(U1343="Won",L1343*(1-M1343),0)</x:f>
        <x:v>0</x:v>
      </x:c>
      <x:c r="W1343" s="22" t="n">
        <x:f>IF(U1343="Open",L1343*N1343,0)</x:f>
        <x:v>0</x:v>
      </x:c>
      <x:c r="X1343" s="26" t="n">
        <x:f>IF(U1343="Open","",IFERROR(K1343-B1343,""))</x:f>
        <x:v>48</x:v>
      </x:c>
      <x:c r="Y1343" s="26" t="n">
        <x:f>IF(U1343="Open",Lookups!$B$2-B1343,X1343)</x:f>
        <x:v>48</x:v>
      </x:c>
      <x:c r="Z1343" t="str">
        <x:f>IF(AND(U1343="Open",Y1343&gt;30),"STALE","OK")</x:f>
        <x:v>OK</x:v>
      </x:c>
      <x:c r="AA1343" t="str">
        <x:f>TEXT(B1343,"yyyy-mm")</x:f>
        <x:v>2025-02</x:v>
      </x:c>
      <x:c r="AB1343" t="str">
        <x:f>IF(K1343="","",TEXT(K1343,"yyyy-mm"))</x:f>
        <x:v>2025-04</x:v>
      </x:c>
      <x:c r="AC1343" t="str">
        <x:f>"Q"&amp;ROUNDUP(MONTH(B1343)/3,0)&amp;"-"&amp;YEAR(B1343)</x:f>
        <x:v>Q1-2025</x:v>
      </x:c>
      <x:c r="AD1343" s="26" t="n">
        <x:f>MIN(100,IF(H1343="Enterprise",30,IF(H1343="Mid-Market",22,14))+IF(T1343="Enterprise",25,IF(T1343="Mid-Market",18,10))+IF(Q1343="Referral",25,IF(Q1343="Organic Search",20,IF(Q1343="Email",18,14)))+IF(G1343="Technology",10,5))</x:f>
        <x:v>43</x:v>
      </x:c>
      <x:c r="AE1343" t="str">
        <x:f>IF(U1343&lt;&gt;"Open",U1343,IF(N1343&gt;=0.8,"Commit",IF(N1343&gt;=0.5,"Best Case","Pipeline")))</x:f>
        <x:v>Lost</x:v>
      </x:c>
    </x:row>
    <x:row r="1344">
      <x:c r="A1344" t="str">
        <x:v>L01343</x:v>
      </x:c>
      <x:c r="B1344" s="10" t="n">
        <x:v>45693</x:v>
      </x:c>
      <x:c r="C1344" t="str">
        <x:v>Quynh Vu</x:v>
      </x:c>
      <x:c r="D1344" t="str">
        <x:v>North</x:v>
      </x:c>
      <x:c r="E1344" t="str">
        <x:v>Google Organic</x:v>
      </x:c>
      <x:c r="F1344" t="str">
        <x:v>BI-PLUS</x:v>
      </x:c>
      <x:c r="G1344" t="str">
        <x:v>Professional Services</x:v>
      </x:c>
      <x:c r="H1344" t="str">
        <x:v>Mid-Market</x:v>
      </x:c>
      <x:c r="I1344" t="str">
        <x:v>Closed Lost</x:v>
      </x:c>
      <x:c r="J1344" s="10" t="n">
        <x:v>45764</x:v>
      </x:c>
      <x:c r="K1344" s="10" t="n">
        <x:v>45764</x:v>
      </x:c>
      <x:c r="L1344" s="22" t="n">
        <x:v>40600</x:v>
      </x:c>
      <x:c r="M1344" s="24" t="n">
        <x:v>0</x:v>
      </x:c>
      <x:c r="N1344" s="24" t="n">
        <x:v>0</x:v>
      </x:c>
      <x:c r="O1344" t="str">
        <x:v>No Decision</x:v>
      </x:c>
      <x:c r="P1344" t="n">
        <x:v>5</x:v>
      </x:c>
      <x:c r="Q1344" t="str">
        <x:f>IFERROR(XLOOKUP(E1344,Lookups!$A$5:$A$24,Lookups!$B$5:$B$24),"Other")</x:f>
        <x:v>Organic Search</x:v>
      </x:c>
      <x:c r="R1344" t="str">
        <x:f>IFERROR(XLOOKUP(F1344,Lookups!$D$5:$D$10,Lookups!$E$5:$E$10),"Unknown Product")</x:f>
        <x:v>Analytics Plus</x:v>
      </x:c>
      <x:c r="S1344" t="str">
        <x:f>IFERROR(XLOOKUP(F1344,Lookups!$D$5:$D$10,Lookups!$F$5:$F$10),"Unknown")</x:f>
        <x:v>Analytics</x:v>
      </x:c>
      <x:c r="T1344" t="str">
        <x:f>IF(L1344&gt;=50000,"Enterprise",IF(L1344&gt;=20000,"Mid-Market","SMB"))</x:f>
        <x:v>Mid-Market</x:v>
      </x:c>
      <x:c r="U1344" t="str">
        <x:f>IF(I1344="Closed Won","Won",IF(I1344="Closed Lost","Lost","Open"))</x:f>
        <x:v>Lost</x:v>
      </x:c>
      <x:c r="V1344" s="22" t="n">
        <x:f>IF(U1344="Won",L1344*(1-M1344),0)</x:f>
        <x:v>0</x:v>
      </x:c>
      <x:c r="W1344" s="22" t="n">
        <x:f>IF(U1344="Open",L1344*N1344,0)</x:f>
        <x:v>0</x:v>
      </x:c>
      <x:c r="X1344" s="26" t="n">
        <x:f>IF(U1344="Open","",IFERROR(K1344-B1344,""))</x:f>
        <x:v>71</x:v>
      </x:c>
      <x:c r="Y1344" s="26" t="n">
        <x:f>IF(U1344="Open",Lookups!$B$2-B1344,X1344)</x:f>
        <x:v>71</x:v>
      </x:c>
      <x:c r="Z1344" t="str">
        <x:f>IF(AND(U1344="Open",Y1344&gt;30),"STALE","OK")</x:f>
        <x:v>OK</x:v>
      </x:c>
      <x:c r="AA1344" t="str">
        <x:f>TEXT(B1344,"yyyy-mm")</x:f>
        <x:v>2025-02</x:v>
      </x:c>
      <x:c r="AB1344" t="str">
        <x:f>IF(K1344="","",TEXT(K1344,"yyyy-mm"))</x:f>
        <x:v>2025-04</x:v>
      </x:c>
      <x:c r="AC1344" t="str">
        <x:f>"Q"&amp;ROUNDUP(MONTH(B1344)/3,0)&amp;"-"&amp;YEAR(B1344)</x:f>
        <x:v>Q1-2025</x:v>
      </x:c>
      <x:c r="AD1344" s="26" t="n">
        <x:f>MIN(100,IF(H1344="Enterprise",30,IF(H1344="Mid-Market",22,14))+IF(T1344="Enterprise",25,IF(T1344="Mid-Market",18,10))+IF(Q1344="Referral",25,IF(Q1344="Organic Search",20,IF(Q1344="Email",18,14)))+IF(G1344="Technology",10,5))</x:f>
        <x:v>65</x:v>
      </x:c>
      <x:c r="AE1344" t="str">
        <x:f>IF(U1344&lt;&gt;"Open",U1344,IF(N1344&gt;=0.8,"Commit",IF(N1344&gt;=0.5,"Best Case","Pipeline")))</x:f>
        <x:v>Lost</x:v>
      </x:c>
    </x:row>
    <x:row r="1345">
      <x:c r="A1345" t="str">
        <x:v>L01344</x:v>
      </x:c>
      <x:c r="B1345" s="10" t="n">
        <x:v>45979</x:v>
      </x:c>
      <x:c r="C1345" t="str">
        <x:v>Quynh Vu</x:v>
      </x:c>
      <x:c r="D1345" t="str">
        <x:v>North</x:v>
      </x:c>
      <x:c r="E1345" t="str">
        <x:v>Email Campaign</x:v>
      </x:c>
      <x:c r="F1345" t="str">
        <x:v>MKT-AUTO</x:v>
      </x:c>
      <x:c r="G1345" t="str">
        <x:v>Professional Services</x:v>
      </x:c>
      <x:c r="H1345" t="str">
        <x:v>Mid-Market</x:v>
      </x:c>
      <x:c r="I1345" t="str">
        <x:v>Negotiation</x:v>
      </x:c>
      <x:c r="J1345" s="10" t="n">
        <x:v>46195</x:v>
      </x:c>
      <x:c r="K1345" s="10"/>
      <x:c r="L1345" s="22" t="n">
        <x:v>28100</x:v>
      </x:c>
      <x:c r="M1345" s="24" t="n">
        <x:v>0</x:v>
      </x:c>
      <x:c r="N1345" s="24" t="n">
        <x:v>0.85</x:v>
      </x:c>
      <x:c r="O1345" t="str"/>
      <x:c r="P1345" t="n">
        <x:v>5</x:v>
      </x:c>
      <x:c r="Q1345" t="str">
        <x:f>IFERROR(XLOOKUP(E1345,Lookups!$A$5:$A$24,Lookups!$B$5:$B$24),"Other")</x:f>
        <x:v>Email</x:v>
      </x:c>
      <x:c r="R1345" t="str">
        <x:f>IFERROR(XLOOKUP(F1345,Lookups!$D$5:$D$10,Lookups!$E$5:$E$10),"Unknown Product")</x:f>
        <x:v>Marketing Automation</x:v>
      </x:c>
      <x:c r="S1345" t="str">
        <x:f>IFERROR(XLOOKUP(F1345,Lookups!$D$5:$D$10,Lookups!$F$5:$F$10),"Unknown")</x:f>
        <x:v>Marketing</x:v>
      </x:c>
      <x:c r="T1345" t="str">
        <x:f>IF(L1345&gt;=50000,"Enterprise",IF(L1345&gt;=20000,"Mid-Market","SMB"))</x:f>
        <x:v>Mid-Market</x:v>
      </x:c>
      <x:c r="U1345" t="str">
        <x:f>IF(I1345="Closed Won","Won",IF(I1345="Closed Lost","Lost","Open"))</x:f>
        <x:v>Open</x:v>
      </x:c>
      <x:c r="V1345" s="22" t="n">
        <x:f>IF(U1345="Won",L1345*(1-M1345),0)</x:f>
        <x:v>0</x:v>
      </x:c>
      <x:c r="W1345" s="22" t="n">
        <x:f>IF(U1345="Open",L1345*N1345,0)</x:f>
        <x:v>23885</x:v>
      </x:c>
      <x:c r="X1345" s="26" t="str">
        <x:f>IF(U1345="Open","",IFERROR(K1345-B1345,""))</x:f>
      </x:c>
      <x:c r="Y1345" s="26" t="n">
        <x:f>IF(U1345="Open",Lookups!$B$2-B1345,X1345)</x:f>
        <x:v>287</x:v>
      </x:c>
      <x:c r="Z1345" t="str">
        <x:f>IF(AND(U1345="Open",Y1345&gt;30),"STALE","OK")</x:f>
        <x:v>STALE</x:v>
      </x:c>
      <x:c r="AA1345" t="str">
        <x:f>TEXT(B1345,"yyyy-mm")</x:f>
        <x:v>2025-11</x:v>
      </x:c>
      <x:c r="AB1345" t="str">
        <x:f>IF(K1345="","",TEXT(K1345,"yyyy-mm"))</x:f>
      </x:c>
      <x:c r="AC1345" t="str">
        <x:f>"Q"&amp;ROUNDUP(MONTH(B1345)/3,0)&amp;"-"&amp;YEAR(B1345)</x:f>
        <x:v>Q4-2025</x:v>
      </x:c>
      <x:c r="AD1345" s="26" t="n">
        <x:f>MIN(100,IF(H1345="Enterprise",30,IF(H1345="Mid-Market",22,14))+IF(T1345="Enterprise",25,IF(T1345="Mid-Market",18,10))+IF(Q1345="Referral",25,IF(Q1345="Organic Search",20,IF(Q1345="Email",18,14)))+IF(G1345="Technology",10,5))</x:f>
        <x:v>63</x:v>
      </x:c>
      <x:c r="AE1345" t="str">
        <x:f>IF(U1345&lt;&gt;"Open",U1345,IF(N1345&gt;=0.8,"Commit",IF(N1345&gt;=0.5,"Best Case","Pipeline")))</x:f>
        <x:v>Commit</x:v>
      </x:c>
    </x:row>
    <x:row r="1346">
      <x:c r="A1346" t="str">
        <x:v>L01345</x:v>
      </x:c>
      <x:c r="B1346" s="10" t="n">
        <x:v>45872</x:v>
      </x:c>
      <x:c r="C1346" t="str">
        <x:v>Ha Vo</x:v>
      </x:c>
      <x:c r="D1346" t="str">
        <x:v>North</x:v>
      </x:c>
      <x:c r="E1346" t="str">
        <x:v>Google Organic</x:v>
      </x:c>
      <x:c r="F1346" t="str">
        <x:v>BI-PLUS</x:v>
      </x:c>
      <x:c r="G1346" t="str">
        <x:v>Healthcare</x:v>
      </x:c>
      <x:c r="H1346" t="str">
        <x:v>SMB</x:v>
      </x:c>
      <x:c r="I1346" t="str">
        <x:v>Negotiation</x:v>
      </x:c>
      <x:c r="J1346" s="10" t="n">
        <x:v>46155</x:v>
      </x:c>
      <x:c r="K1346" s="10"/>
      <x:c r="L1346" s="22" t="n">
        <x:v>21600</x:v>
      </x:c>
      <x:c r="M1346" s="24" t="n">
        <x:v>0</x:v>
      </x:c>
      <x:c r="N1346" s="24" t="n">
        <x:v>0.85</x:v>
      </x:c>
      <x:c r="O1346" t="str"/>
      <x:c r="P1346" t="n">
        <x:v>5</x:v>
      </x:c>
      <x:c r="Q1346" t="str">
        <x:f>IFERROR(XLOOKUP(E1346,Lookups!$A$5:$A$24,Lookups!$B$5:$B$24),"Other")</x:f>
        <x:v>Organic Search</x:v>
      </x:c>
      <x:c r="R1346" t="str">
        <x:f>IFERROR(XLOOKUP(F1346,Lookups!$D$5:$D$10,Lookups!$E$5:$E$10),"Unknown Product")</x:f>
        <x:v>Analytics Plus</x:v>
      </x:c>
      <x:c r="S1346" t="str">
        <x:f>IFERROR(XLOOKUP(F1346,Lookups!$D$5:$D$10,Lookups!$F$5:$F$10),"Unknown")</x:f>
        <x:v>Analytics</x:v>
      </x:c>
      <x:c r="T1346" t="str">
        <x:f>IF(L1346&gt;=50000,"Enterprise",IF(L1346&gt;=20000,"Mid-Market","SMB"))</x:f>
        <x:v>Mid-Market</x:v>
      </x:c>
      <x:c r="U1346" t="str">
        <x:f>IF(I1346="Closed Won","Won",IF(I1346="Closed Lost","Lost","Open"))</x:f>
        <x:v>Open</x:v>
      </x:c>
      <x:c r="V1346" s="22" t="n">
        <x:f>IF(U1346="Won",L1346*(1-M1346),0)</x:f>
        <x:v>0</x:v>
      </x:c>
      <x:c r="W1346" s="22" t="n">
        <x:f>IF(U1346="Open",L1346*N1346,0)</x:f>
        <x:v>18360</x:v>
      </x:c>
      <x:c r="X1346" s="26" t="str">
        <x:f>IF(U1346="Open","",IFERROR(K1346-B1346,""))</x:f>
      </x:c>
      <x:c r="Y1346" s="26" t="n">
        <x:f>IF(U1346="Open",Lookups!$B$2-B1346,X1346)</x:f>
        <x:v>394</x:v>
      </x:c>
      <x:c r="Z1346" t="str">
        <x:f>IF(AND(U1346="Open",Y1346&gt;30),"STALE","OK")</x:f>
        <x:v>STALE</x:v>
      </x:c>
      <x:c r="AA1346" t="str">
        <x:f>TEXT(B1346,"yyyy-mm")</x:f>
        <x:v>2025-08</x:v>
      </x:c>
      <x:c r="AB1346" t="str">
        <x:f>IF(K1346="","",TEXT(K1346,"yyyy-mm"))</x:f>
      </x:c>
      <x:c r="AC1346" t="str">
        <x:f>"Q"&amp;ROUNDUP(MONTH(B1346)/3,0)&amp;"-"&amp;YEAR(B1346)</x:f>
        <x:v>Q3-2025</x:v>
      </x:c>
      <x:c r="AD1346" s="26" t="n">
        <x:f>MIN(100,IF(H1346="Enterprise",30,IF(H1346="Mid-Market",22,14))+IF(T1346="Enterprise",25,IF(T1346="Mid-Market",18,10))+IF(Q1346="Referral",25,IF(Q1346="Organic Search",20,IF(Q1346="Email",18,14)))+IF(G1346="Technology",10,5))</x:f>
        <x:v>57</x:v>
      </x:c>
      <x:c r="AE1346" t="str">
        <x:f>IF(U1346&lt;&gt;"Open",U1346,IF(N1346&gt;=0.8,"Commit",IF(N1346&gt;=0.5,"Best Case","Pipeline")))</x:f>
        <x:v>Commit</x:v>
      </x:c>
    </x:row>
    <x:row r="1347">
      <x:c r="A1347" t="str">
        <x:v>L01346</x:v>
      </x:c>
      <x:c r="B1347" s="10" t="n">
        <x:v>46226</x:v>
      </x:c>
      <x:c r="C1347" t="str">
        <x:v>Duy Pham</x:v>
      </x:c>
      <x:c r="D1347" t="str">
        <x:v>South</x:v>
      </x:c>
      <x:c r="E1347" t="str">
        <x:v>organic search</x:v>
      </x:c>
      <x:c r="F1347" t="str">
        <x:v>CRM-CORE</x:v>
      </x:c>
      <x:c r="G1347" t="str">
        <x:v>Financial Services</x:v>
      </x:c>
      <x:c r="H1347" t="str">
        <x:v>SMB</x:v>
      </x:c>
      <x:c r="I1347" t="str">
        <x:v>New</x:v>
      </x:c>
      <x:c r="J1347" s="10" t="n">
        <x:v>46259</x:v>
      </x:c>
      <x:c r="K1347" s="10"/>
      <x:c r="L1347" s="22" t="n">
        <x:v>5400</x:v>
      </x:c>
      <x:c r="M1347" s="24" t="n">
        <x:v>0</x:v>
      </x:c>
      <x:c r="N1347" s="24" t="n">
        <x:v>0.05</x:v>
      </x:c>
      <x:c r="O1347" t="str"/>
      <x:c r="P1347" t="n">
        <x:v>1</x:v>
      </x:c>
      <x:c r="Q1347" t="str">
        <x:f>IFERROR(XLOOKUP(E1347,Lookups!$A$5:$A$24,Lookups!$B$5:$B$24),"Other")</x:f>
        <x:v>Organic Search</x:v>
      </x:c>
      <x:c r="R1347" t="str">
        <x:f>IFERROR(XLOOKUP(F1347,Lookups!$D$5:$D$10,Lookups!$E$5:$E$10),"Unknown Product")</x:f>
        <x:v>NexaCRM Core</x:v>
      </x:c>
      <x:c r="S1347" t="str">
        <x:f>IFERROR(XLOOKUP(F1347,Lookups!$D$5:$D$10,Lookups!$F$5:$F$10),"Unknown")</x:f>
        <x:v>CRM</x:v>
      </x:c>
      <x:c r="T1347" t="str">
        <x:f>IF(L1347&gt;=50000,"Enterprise",IF(L1347&gt;=20000,"Mid-Market","SMB"))</x:f>
        <x:v>SMB</x:v>
      </x:c>
      <x:c r="U1347" t="str">
        <x:f>IF(I1347="Closed Won","Won",IF(I1347="Closed Lost","Lost","Open"))</x:f>
        <x:v>Open</x:v>
      </x:c>
      <x:c r="V1347" s="22" t="n">
        <x:f>IF(U1347="Won",L1347*(1-M1347),0)</x:f>
        <x:v>0</x:v>
      </x:c>
      <x:c r="W1347" s="22" t="n">
        <x:f>IF(U1347="Open",L1347*N1347,0)</x:f>
        <x:v>270</x:v>
      </x:c>
      <x:c r="X1347" s="26" t="str">
        <x:f>IF(U1347="Open","",IFERROR(K1347-B1347,""))</x:f>
      </x:c>
      <x:c r="Y1347" s="26" t="n">
        <x:f>IF(U1347="Open",Lookups!$B$2-B1347,X1347)</x:f>
        <x:v>40</x:v>
      </x:c>
      <x:c r="Z1347" t="str">
        <x:f>IF(AND(U1347="Open",Y1347&gt;30),"STALE","OK")</x:f>
        <x:v>STALE</x:v>
      </x:c>
      <x:c r="AA1347" t="str">
        <x:f>TEXT(B1347,"yyyy-mm")</x:f>
        <x:v>2026-07</x:v>
      </x:c>
      <x:c r="AB1347" t="str">
        <x:f>IF(K1347="","",TEXT(K1347,"yyyy-mm"))</x:f>
      </x:c>
      <x:c r="AC1347" t="str">
        <x:f>"Q"&amp;ROUNDUP(MONTH(B1347)/3,0)&amp;"-"&amp;YEAR(B1347)</x:f>
        <x:v>Q3-2026</x:v>
      </x:c>
      <x:c r="AD1347" s="26" t="n">
        <x:f>MIN(100,IF(H1347="Enterprise",30,IF(H1347="Mid-Market",22,14))+IF(T1347="Enterprise",25,IF(T1347="Mid-Market",18,10))+IF(Q1347="Referral",25,IF(Q1347="Organic Search",20,IF(Q1347="Email",18,14)))+IF(G1347="Technology",10,5))</x:f>
        <x:v>49</x:v>
      </x:c>
      <x:c r="AE1347" t="str">
        <x:f>IF(U1347&lt;&gt;"Open",U1347,IF(N1347&gt;=0.8,"Commit",IF(N1347&gt;=0.5,"Best Case","Pipeline")))</x:f>
        <x:v>Pipeline</x:v>
      </x:c>
    </x:row>
    <x:row r="1348">
      <x:c r="A1348" t="str">
        <x:v>L01347</x:v>
      </x:c>
      <x:c r="B1348" s="10" t="n">
        <x:v>45685</x:v>
      </x:c>
      <x:c r="C1348" t="str">
        <x:v>Bao Tran</x:v>
      </x:c>
      <x:c r="D1348" t="str">
        <x:v>South</x:v>
      </x:c>
      <x:c r="E1348" t="str">
        <x:v>Cold Email</x:v>
      </x:c>
      <x:c r="F1348" t="str">
        <x:v>CS-CLOUD</x:v>
      </x:c>
      <x:c r="G1348" t="str">
        <x:v>Professional Services</x:v>
      </x:c>
      <x:c r="H1348" t="str">
        <x:v>SMB</x:v>
      </x:c>
      <x:c r="I1348" t="str">
        <x:v>Negotiation</x:v>
      </x:c>
      <x:c r="J1348" s="10" t="n">
        <x:v>46138</x:v>
      </x:c>
      <x:c r="K1348" s="10"/>
      <x:c r="L1348" s="22" t="n">
        <x:v>25400</x:v>
      </x:c>
      <x:c r="M1348" s="24" t="n">
        <x:v>0.03</x:v>
      </x:c>
      <x:c r="N1348" s="24" t="n">
        <x:v>0.85</x:v>
      </x:c>
      <x:c r="O1348" t="str"/>
      <x:c r="P1348" t="n">
        <x:v>5</x:v>
      </x:c>
      <x:c r="Q1348" t="str">
        <x:f>IFERROR(XLOOKUP(E1348,Lookups!$A$5:$A$24,Lookups!$B$5:$B$24),"Other")</x:f>
        <x:v>Outbound</x:v>
      </x:c>
      <x:c r="R1348" t="str">
        <x:f>IFERROR(XLOOKUP(F1348,Lookups!$D$5:$D$10,Lookups!$E$5:$E$10),"Unknown Product")</x:f>
        <x:v>Service Cloud</x:v>
      </x:c>
      <x:c r="S1348" t="str">
        <x:f>IFERROR(XLOOKUP(F1348,Lookups!$D$5:$D$10,Lookups!$F$5:$F$10),"Unknown")</x:f>
        <x:v>Customer Service</x:v>
      </x:c>
      <x:c r="T1348" t="str">
        <x:f>IF(L1348&gt;=50000,"Enterprise",IF(L1348&gt;=20000,"Mid-Market","SMB"))</x:f>
        <x:v>Mid-Market</x:v>
      </x:c>
      <x:c r="U1348" t="str">
        <x:f>IF(I1348="Closed Won","Won",IF(I1348="Closed Lost","Lost","Open"))</x:f>
        <x:v>Open</x:v>
      </x:c>
      <x:c r="V1348" s="22" t="n">
        <x:f>IF(U1348="Won",L1348*(1-M1348),0)</x:f>
        <x:v>0</x:v>
      </x:c>
      <x:c r="W1348" s="22" t="n">
        <x:f>IF(U1348="Open",L1348*N1348,0)</x:f>
        <x:v>21590</x:v>
      </x:c>
      <x:c r="X1348" s="26" t="str">
        <x:f>IF(U1348="Open","",IFERROR(K1348-B1348,""))</x:f>
      </x:c>
      <x:c r="Y1348" s="26" t="n">
        <x:f>IF(U1348="Open",Lookups!$B$2-B1348,X1348)</x:f>
        <x:v>581</x:v>
      </x:c>
      <x:c r="Z1348" t="str">
        <x:f>IF(AND(U1348="Open",Y1348&gt;30),"STALE","OK")</x:f>
        <x:v>STALE</x:v>
      </x:c>
      <x:c r="AA1348" t="str">
        <x:f>TEXT(B1348,"yyyy-mm")</x:f>
        <x:v>2025-01</x:v>
      </x:c>
      <x:c r="AB1348" t="str">
        <x:f>IF(K1348="","",TEXT(K1348,"yyyy-mm"))</x:f>
      </x:c>
      <x:c r="AC1348" t="str">
        <x:f>"Q"&amp;ROUNDUP(MONTH(B1348)/3,0)&amp;"-"&amp;YEAR(B1348)</x:f>
        <x:v>Q1-2025</x:v>
      </x:c>
      <x:c r="AD1348" s="26" t="n">
        <x:f>MIN(100,IF(H1348="Enterprise",30,IF(H1348="Mid-Market",22,14))+IF(T1348="Enterprise",25,IF(T1348="Mid-Market",18,10))+IF(Q1348="Referral",25,IF(Q1348="Organic Search",20,IF(Q1348="Email",18,14)))+IF(G1348="Technology",10,5))</x:f>
        <x:v>51</x:v>
      </x:c>
      <x:c r="AE1348" t="str">
        <x:f>IF(U1348&lt;&gt;"Open",U1348,IF(N1348&gt;=0.8,"Commit",IF(N1348&gt;=0.5,"Best Case","Pipeline")))</x:f>
        <x:v>Commit</x:v>
      </x:c>
    </x:row>
    <x:row r="1349">
      <x:c r="A1349" t="str">
        <x:v>L01348</x:v>
      </x:c>
      <x:c r="B1349" s="10" t="n">
        <x:v>45885</x:v>
      </x:c>
      <x:c r="C1349" t="str">
        <x:v>Duy Pham</x:v>
      </x:c>
      <x:c r="D1349" t="str">
        <x:v>South</x:v>
      </x:c>
      <x:c r="E1349" t="str">
        <x:v>google cpc</x:v>
      </x:c>
      <x:c r="F1349" t="str">
        <x:v>CRM-PRO</x:v>
      </x:c>
      <x:c r="G1349" t="str">
        <x:v>Manufacturing</x:v>
      </x:c>
      <x:c r="H1349" t="str">
        <x:v>Mid-Market</x:v>
      </x:c>
      <x:c r="I1349" t="str">
        <x:v>Negotiation</x:v>
      </x:c>
      <x:c r="J1349" s="10" t="n">
        <x:v>46181</x:v>
      </x:c>
      <x:c r="K1349" s="10"/>
      <x:c r="L1349" s="22" t="n">
        <x:v>34500</x:v>
      </x:c>
      <x:c r="M1349" s="24" t="n">
        <x:v>0.03</x:v>
      </x:c>
      <x:c r="N1349" s="24" t="n">
        <x:v>0.85</x:v>
      </x:c>
      <x:c r="O1349" t="str"/>
      <x:c r="P1349" t="n">
        <x:v>5</x:v>
      </x:c>
      <x:c r="Q1349" t="str">
        <x:f>IFERROR(XLOOKUP(E1349,Lookups!$A$5:$A$24,Lookups!$B$5:$B$24),"Other")</x:f>
        <x:v>Paid Search</x:v>
      </x:c>
      <x:c r="R1349" t="str">
        <x:f>IFERROR(XLOOKUP(F1349,Lookups!$D$5:$D$10,Lookups!$E$5:$E$10),"Unknown Product")</x:f>
        <x:v>NexaCRM Pro</x:v>
      </x:c>
      <x:c r="S1349" t="str">
        <x:f>IFERROR(XLOOKUP(F1349,Lookups!$D$5:$D$10,Lookups!$F$5:$F$10),"Unknown")</x:f>
        <x:v>CRM</x:v>
      </x:c>
      <x:c r="T1349" t="str">
        <x:f>IF(L1349&gt;=50000,"Enterprise",IF(L1349&gt;=20000,"Mid-Market","SMB"))</x:f>
        <x:v>Mid-Market</x:v>
      </x:c>
      <x:c r="U1349" t="str">
        <x:f>IF(I1349="Closed Won","Won",IF(I1349="Closed Lost","Lost","Open"))</x:f>
        <x:v>Open</x:v>
      </x:c>
      <x:c r="V1349" s="22" t="n">
        <x:f>IF(U1349="Won",L1349*(1-M1349),0)</x:f>
        <x:v>0</x:v>
      </x:c>
      <x:c r="W1349" s="22" t="n">
        <x:f>IF(U1349="Open",L1349*N1349,0)</x:f>
        <x:v>29325</x:v>
      </x:c>
      <x:c r="X1349" s="26" t="str">
        <x:f>IF(U1349="Open","",IFERROR(K1349-B1349,""))</x:f>
      </x:c>
      <x:c r="Y1349" s="26" t="n">
        <x:f>IF(U1349="Open",Lookups!$B$2-B1349,X1349)</x:f>
        <x:v>381</x:v>
      </x:c>
      <x:c r="Z1349" t="str">
        <x:f>IF(AND(U1349="Open",Y1349&gt;30),"STALE","OK")</x:f>
        <x:v>STALE</x:v>
      </x:c>
      <x:c r="AA1349" t="str">
        <x:f>TEXT(B1349,"yyyy-mm")</x:f>
        <x:v>2025-08</x:v>
      </x:c>
      <x:c r="AB1349" t="str">
        <x:f>IF(K1349="","",TEXT(K1349,"yyyy-mm"))</x:f>
      </x:c>
      <x:c r="AC1349" t="str">
        <x:f>"Q"&amp;ROUNDUP(MONTH(B1349)/3,0)&amp;"-"&amp;YEAR(B1349)</x:f>
        <x:v>Q3-2025</x:v>
      </x:c>
      <x:c r="AD1349" s="26" t="n">
        <x:f>MIN(100,IF(H1349="Enterprise",30,IF(H1349="Mid-Market",22,14))+IF(T1349="Enterprise",25,IF(T1349="Mid-Market",18,10))+IF(Q1349="Referral",25,IF(Q1349="Organic Search",20,IF(Q1349="Email",18,14)))+IF(G1349="Technology",10,5))</x:f>
        <x:v>59</x:v>
      </x:c>
      <x:c r="AE1349" t="str">
        <x:f>IF(U1349&lt;&gt;"Open",U1349,IF(N1349&gt;=0.8,"Commit",IF(N1349&gt;=0.5,"Best Case","Pipeline")))</x:f>
        <x:v>Commit</x:v>
      </x:c>
    </x:row>
    <x:row r="1350">
      <x:c r="A1350" t="str">
        <x:v>L01349</x:v>
      </x:c>
      <x:c r="B1350" s="10" t="n">
        <x:v>46025</x:v>
      </x:c>
      <x:c r="C1350" t="str">
        <x:v>Chi Le</x:v>
      </x:c>
      <x:c r="D1350" t="str">
        <x:v>South</x:v>
      </x:c>
      <x:c r="E1350" t="str">
        <x:v>SEO</x:v>
      </x:c>
      <x:c r="F1350" t="str">
        <x:v>CRM-CORE</x:v>
      </x:c>
      <x:c r="G1350" t="str">
        <x:v>Healthcare</x:v>
      </x:c>
      <x:c r="H1350" t="str">
        <x:v>Mid-Market</x:v>
      </x:c>
      <x:c r="I1350" t="str">
        <x:v>Closed Lost</x:v>
      </x:c>
      <x:c r="J1350" s="10" t="n">
        <x:v>46061</x:v>
      </x:c>
      <x:c r="K1350" s="10" t="n">
        <x:v>46061</x:v>
      </x:c>
      <x:c r="L1350" s="22" t="n">
        <x:v>15600</x:v>
      </x:c>
      <x:c r="M1350" s="24" t="n">
        <x:v>0</x:v>
      </x:c>
      <x:c r="N1350" s="24" t="n">
        <x:v>0</x:v>
      </x:c>
      <x:c r="O1350" t="str">
        <x:v>Timing</x:v>
      </x:c>
      <x:c r="P1350" t="n">
        <x:v>3</x:v>
      </x:c>
      <x:c r="Q1350" t="str">
        <x:f>IFERROR(XLOOKUP(E1350,Lookups!$A$5:$A$24,Lookups!$B$5:$B$24),"Other")</x:f>
        <x:v>Organic Search</x:v>
      </x:c>
      <x:c r="R1350" t="str">
        <x:f>IFERROR(XLOOKUP(F1350,Lookups!$D$5:$D$10,Lookups!$E$5:$E$10),"Unknown Product")</x:f>
        <x:v>NexaCRM Core</x:v>
      </x:c>
      <x:c r="S1350" t="str">
        <x:f>IFERROR(XLOOKUP(F1350,Lookups!$D$5:$D$10,Lookups!$F$5:$F$10),"Unknown")</x:f>
        <x:v>CRM</x:v>
      </x:c>
      <x:c r="T1350" t="str">
        <x:f>IF(L1350&gt;=50000,"Enterprise",IF(L1350&gt;=20000,"Mid-Market","SMB"))</x:f>
        <x:v>SMB</x:v>
      </x:c>
      <x:c r="U1350" t="str">
        <x:f>IF(I1350="Closed Won","Won",IF(I1350="Closed Lost","Lost","Open"))</x:f>
        <x:v>Lost</x:v>
      </x:c>
      <x:c r="V1350" s="22" t="n">
        <x:f>IF(U1350="Won",L1350*(1-M1350),0)</x:f>
        <x:v>0</x:v>
      </x:c>
      <x:c r="W1350" s="22" t="n">
        <x:f>IF(U1350="Open",L1350*N1350,0)</x:f>
        <x:v>0</x:v>
      </x:c>
      <x:c r="X1350" s="26" t="n">
        <x:f>IF(U1350="Open","",IFERROR(K1350-B1350,""))</x:f>
        <x:v>36</x:v>
      </x:c>
      <x:c r="Y1350" s="26" t="n">
        <x:f>IF(U1350="Open",Lookups!$B$2-B1350,X1350)</x:f>
        <x:v>36</x:v>
      </x:c>
      <x:c r="Z1350" t="str">
        <x:f>IF(AND(U1350="Open",Y1350&gt;30),"STALE","OK")</x:f>
        <x:v>OK</x:v>
      </x:c>
      <x:c r="AA1350" t="str">
        <x:f>TEXT(B1350,"yyyy-mm")</x:f>
        <x:v>2026-01</x:v>
      </x:c>
      <x:c r="AB1350" t="str">
        <x:f>IF(K1350="","",TEXT(K1350,"yyyy-mm"))</x:f>
        <x:v>2026-02</x:v>
      </x:c>
      <x:c r="AC1350" t="str">
        <x:f>"Q"&amp;ROUNDUP(MONTH(B1350)/3,0)&amp;"-"&amp;YEAR(B1350)</x:f>
        <x:v>Q1-2026</x:v>
      </x:c>
      <x:c r="AD1350" s="26" t="n">
        <x:f>MIN(100,IF(H1350="Enterprise",30,IF(H1350="Mid-Market",22,14))+IF(T1350="Enterprise",25,IF(T1350="Mid-Market",18,10))+IF(Q1350="Referral",25,IF(Q1350="Organic Search",20,IF(Q1350="Email",18,14)))+IF(G1350="Technology",10,5))</x:f>
        <x:v>57</x:v>
      </x:c>
      <x:c r="AE1350" t="str">
        <x:f>IF(U1350&lt;&gt;"Open",U1350,IF(N1350&gt;=0.8,"Commit",IF(N1350&gt;=0.5,"Best Case","Pipeline")))</x:f>
        <x:v>Lost</x:v>
      </x:c>
    </x:row>
    <x:row r="1351">
      <x:c r="A1351" t="str">
        <x:v>L01350</x:v>
      </x:c>
      <x:c r="B1351" s="10" t="n">
        <x:v>45916</x:v>
      </x:c>
      <x:c r="C1351" t="str">
        <x:v>An Nguyen</x:v>
      </x:c>
      <x:c r="D1351" t="str">
        <x:v>South</x:v>
      </x:c>
      <x:c r="E1351" t="str">
        <x:v>google cpc</x:v>
      </x:c>
      <x:c r="F1351" t="str">
        <x:v>CRM-CORE</x:v>
      </x:c>
      <x:c r="G1351" t="str">
        <x:v>Financial Services</x:v>
      </x:c>
      <x:c r="H1351" t="str">
        <x:v>SMB</x:v>
      </x:c>
      <x:c r="I1351" t="str">
        <x:v>Closed Lost</x:v>
      </x:c>
      <x:c r="J1351" s="10" t="n">
        <x:v>45943</x:v>
      </x:c>
      <x:c r="K1351" s="10" t="n">
        <x:v>45943</x:v>
      </x:c>
      <x:c r="L1351" s="22" t="n">
        <x:v>8100</x:v>
      </x:c>
      <x:c r="M1351" s="24" t="n">
        <x:v>0</x:v>
      </x:c>
      <x:c r="N1351" s="24" t="n">
        <x:v>0</x:v>
      </x:c>
      <x:c r="O1351" t="str">
        <x:v>Competitor</x:v>
      </x:c>
      <x:c r="P1351" t="n">
        <x:v>3</x:v>
      </x:c>
      <x:c r="Q1351" t="str">
        <x:f>IFERROR(XLOOKUP(E1351,Lookups!$A$5:$A$24,Lookups!$B$5:$B$24),"Other")</x:f>
        <x:v>Paid Search</x:v>
      </x:c>
      <x:c r="R1351" t="str">
        <x:f>IFERROR(XLOOKUP(F1351,Lookups!$D$5:$D$10,Lookups!$E$5:$E$10),"Unknown Product")</x:f>
        <x:v>NexaCRM Core</x:v>
      </x:c>
      <x:c r="S1351" t="str">
        <x:f>IFERROR(XLOOKUP(F1351,Lookups!$D$5:$D$10,Lookups!$F$5:$F$10),"Unknown")</x:f>
        <x:v>CRM</x:v>
      </x:c>
      <x:c r="T1351" t="str">
        <x:f>IF(L1351&gt;=50000,"Enterprise",IF(L1351&gt;=20000,"Mid-Market","SMB"))</x:f>
        <x:v>SMB</x:v>
      </x:c>
      <x:c r="U1351" t="str">
        <x:f>IF(I1351="Closed Won","Won",IF(I1351="Closed Lost","Lost","Open"))</x:f>
        <x:v>Lost</x:v>
      </x:c>
      <x:c r="V1351" s="22" t="n">
        <x:f>IF(U1351="Won",L1351*(1-M1351),0)</x:f>
        <x:v>0</x:v>
      </x:c>
      <x:c r="W1351" s="22" t="n">
        <x:f>IF(U1351="Open",L1351*N1351,0)</x:f>
        <x:v>0</x:v>
      </x:c>
      <x:c r="X1351" s="26" t="n">
        <x:f>IF(U1351="Open","",IFERROR(K1351-B1351,""))</x:f>
        <x:v>27</x:v>
      </x:c>
      <x:c r="Y1351" s="26" t="n">
        <x:f>IF(U1351="Open",Lookups!$B$2-B1351,X1351)</x:f>
        <x:v>27</x:v>
      </x:c>
      <x:c r="Z1351" t="str">
        <x:f>IF(AND(U1351="Open",Y1351&gt;30),"STALE","OK")</x:f>
        <x:v>OK</x:v>
      </x:c>
      <x:c r="AA1351" t="str">
        <x:f>TEXT(B1351,"yyyy-mm")</x:f>
        <x:v>2025-09</x:v>
      </x:c>
      <x:c r="AB1351" t="str">
        <x:f>IF(K1351="","",TEXT(K1351,"yyyy-mm"))</x:f>
        <x:v>2025-10</x:v>
      </x:c>
      <x:c r="AC1351" t="str">
        <x:f>"Q"&amp;ROUNDUP(MONTH(B1351)/3,0)&amp;"-"&amp;YEAR(B1351)</x:f>
        <x:v>Q3-2025</x:v>
      </x:c>
      <x:c r="AD1351" s="26" t="n">
        <x:f>MIN(100,IF(H1351="Enterprise",30,IF(H1351="Mid-Market",22,14))+IF(T1351="Enterprise",25,IF(T1351="Mid-Market",18,10))+IF(Q1351="Referral",25,IF(Q1351="Organic Search",20,IF(Q1351="Email",18,14)))+IF(G1351="Technology",10,5))</x:f>
        <x:v>43</x:v>
      </x:c>
      <x:c r="AE1351" t="str">
        <x:f>IF(U1351&lt;&gt;"Open",U1351,IF(N1351&gt;=0.8,"Commit",IF(N1351&gt;=0.5,"Best Case","Pipeline")))</x:f>
        <x:v>Lost</x:v>
      </x:c>
    </x:row>
    <x:row r="1352">
      <x:c r="A1352" t="str">
        <x:v>L01351</x:v>
      </x:c>
      <x:c r="B1352" s="10" t="n">
        <x:v>45925</x:v>
      </x:c>
      <x:c r="C1352" t="str">
        <x:v>Minh Do</x:v>
      </x:c>
      <x:c r="D1352" t="str">
        <x:v>North</x:v>
      </x:c>
      <x:c r="E1352" t="str">
        <x:v>Referral</x:v>
      </x:c>
      <x:c r="F1352" t="str">
        <x:v>MKT-AUTO</x:v>
      </x:c>
      <x:c r="G1352" t="str">
        <x:v>Financial Services</x:v>
      </x:c>
      <x:c r="H1352" t="str">
        <x:v>SMB</x:v>
      </x:c>
      <x:c r="I1352" t="str">
        <x:v>Closed Lost</x:v>
      </x:c>
      <x:c r="J1352" s="10" t="n">
        <x:v>45984</x:v>
      </x:c>
      <x:c r="K1352" s="10" t="n">
        <x:v>45984</x:v>
      </x:c>
      <x:c r="L1352" s="22" t="n">
        <x:v>18400</x:v>
      </x:c>
      <x:c r="M1352" s="24" t="n">
        <x:v>0</x:v>
      </x:c>
      <x:c r="N1352" s="24" t="n">
        <x:v>0</x:v>
      </x:c>
      <x:c r="O1352" t="str">
        <x:v>No Decision</x:v>
      </x:c>
      <x:c r="P1352" t="n">
        <x:v>5</x:v>
      </x:c>
      <x:c r="Q1352" t="str">
        <x:f>IFERROR(XLOOKUP(E1352,Lookups!$A$5:$A$24,Lookups!$B$5:$B$24),"Other")</x:f>
        <x:v>Referral</x:v>
      </x:c>
      <x:c r="R1352" t="str">
        <x:f>IFERROR(XLOOKUP(F1352,Lookups!$D$5:$D$10,Lookups!$E$5:$E$10),"Unknown Product")</x:f>
        <x:v>Marketing Automation</x:v>
      </x:c>
      <x:c r="S1352" t="str">
        <x:f>IFERROR(XLOOKUP(F1352,Lookups!$D$5:$D$10,Lookups!$F$5:$F$10),"Unknown")</x:f>
        <x:v>Marketing</x:v>
      </x:c>
      <x:c r="T1352" t="str">
        <x:f>IF(L1352&gt;=50000,"Enterprise",IF(L1352&gt;=20000,"Mid-Market","SMB"))</x:f>
        <x:v>SMB</x:v>
      </x:c>
      <x:c r="U1352" t="str">
        <x:f>IF(I1352="Closed Won","Won",IF(I1352="Closed Lost","Lost","Open"))</x:f>
        <x:v>Lost</x:v>
      </x:c>
      <x:c r="V1352" s="22" t="n">
        <x:f>IF(U1352="Won",L1352*(1-M1352),0)</x:f>
        <x:v>0</x:v>
      </x:c>
      <x:c r="W1352" s="22" t="n">
        <x:f>IF(U1352="Open",L1352*N1352,0)</x:f>
        <x:v>0</x:v>
      </x:c>
      <x:c r="X1352" s="26" t="n">
        <x:f>IF(U1352="Open","",IFERROR(K1352-B1352,""))</x:f>
        <x:v>59</x:v>
      </x:c>
      <x:c r="Y1352" s="26" t="n">
        <x:f>IF(U1352="Open",Lookups!$B$2-B1352,X1352)</x:f>
        <x:v>59</x:v>
      </x:c>
      <x:c r="Z1352" t="str">
        <x:f>IF(AND(U1352="Open",Y1352&gt;30),"STALE","OK")</x:f>
        <x:v>OK</x:v>
      </x:c>
      <x:c r="AA1352" t="str">
        <x:f>TEXT(B1352,"yyyy-mm")</x:f>
        <x:v>2025-09</x:v>
      </x:c>
      <x:c r="AB1352" t="str">
        <x:f>IF(K1352="","",TEXT(K1352,"yyyy-mm"))</x:f>
        <x:v>2025-11</x:v>
      </x:c>
      <x:c r="AC1352" t="str">
        <x:f>"Q"&amp;ROUNDUP(MONTH(B1352)/3,0)&amp;"-"&amp;YEAR(B1352)</x:f>
        <x:v>Q3-2025</x:v>
      </x:c>
      <x:c r="AD1352" s="26" t="n">
        <x:f>MIN(100,IF(H1352="Enterprise",30,IF(H1352="Mid-Market",22,14))+IF(T1352="Enterprise",25,IF(T1352="Mid-Market",18,10))+IF(Q1352="Referral",25,IF(Q1352="Organic Search",20,IF(Q1352="Email",18,14)))+IF(G1352="Technology",10,5))</x:f>
        <x:v>54</x:v>
      </x:c>
      <x:c r="AE1352" t="str">
        <x:f>IF(U1352&lt;&gt;"Open",U1352,IF(N1352&gt;=0.8,"Commit",IF(N1352&gt;=0.5,"Best Case","Pipeline")))</x:f>
        <x:v>Lost</x:v>
      </x:c>
    </x:row>
    <x:row r="1353">
      <x:c r="A1353" t="str">
        <x:v>L01352</x:v>
      </x:c>
      <x:c r="B1353" s="10" t="n">
        <x:v>45808</x:v>
      </x:c>
      <x:c r="C1353" t="str">
        <x:v>An Nguyen</x:v>
      </x:c>
      <x:c r="D1353" t="str">
        <x:v>South</x:v>
      </x:c>
      <x:c r="E1353" t="str">
        <x:v>Email Campaign</x:v>
      </x:c>
      <x:c r="F1353" t="str">
        <x:v>MKT-AUTO</x:v>
      </x:c>
      <x:c r="G1353" t="str">
        <x:v>Healthcare</x:v>
      </x:c>
      <x:c r="H1353" t="str">
        <x:v>Mid-Market</x:v>
      </x:c>
      <x:c r="I1353" t="str">
        <x:v>Closed Won</x:v>
      </x:c>
      <x:c r="J1353" s="10" t="n">
        <x:v>45822</x:v>
      </x:c>
      <x:c r="K1353" s="10" t="n">
        <x:v>45822</x:v>
      </x:c>
      <x:c r="L1353" s="22" t="n">
        <x:v>34200</x:v>
      </x:c>
      <x:c r="M1353" s="24" t="n">
        <x:v>0.03</x:v>
      </x:c>
      <x:c r="N1353" s="24" t="n">
        <x:v>1</x:v>
      </x:c>
      <x:c r="O1353" t="str"/>
      <x:c r="P1353" t="n">
        <x:v>6</x:v>
      </x:c>
      <x:c r="Q1353" t="str">
        <x:f>IFERROR(XLOOKUP(E1353,Lookups!$A$5:$A$24,Lookups!$B$5:$B$24),"Other")</x:f>
        <x:v>Email</x:v>
      </x:c>
      <x:c r="R1353" t="str">
        <x:f>IFERROR(XLOOKUP(F1353,Lookups!$D$5:$D$10,Lookups!$E$5:$E$10),"Unknown Product")</x:f>
        <x:v>Marketing Automation</x:v>
      </x:c>
      <x:c r="S1353" t="str">
        <x:f>IFERROR(XLOOKUP(F1353,Lookups!$D$5:$D$10,Lookups!$F$5:$F$10),"Unknown")</x:f>
        <x:v>Marketing</x:v>
      </x:c>
      <x:c r="T1353" t="str">
        <x:f>IF(L1353&gt;=50000,"Enterprise",IF(L1353&gt;=20000,"Mid-Market","SMB"))</x:f>
        <x:v>Mid-Market</x:v>
      </x:c>
      <x:c r="U1353" t="str">
        <x:f>IF(I1353="Closed Won","Won",IF(I1353="Closed Lost","Lost","Open"))</x:f>
        <x:v>Won</x:v>
      </x:c>
      <x:c r="V1353" s="22" t="n">
        <x:f>IF(U1353="Won",L1353*(1-M1353),0)</x:f>
        <x:v>33174</x:v>
      </x:c>
      <x:c r="W1353" s="22" t="n">
        <x:f>IF(U1353="Open",L1353*N1353,0)</x:f>
        <x:v>0</x:v>
      </x:c>
      <x:c r="X1353" s="26" t="n">
        <x:f>IF(U1353="Open","",IFERROR(K1353-B1353,""))</x:f>
        <x:v>14</x:v>
      </x:c>
      <x:c r="Y1353" s="26" t="n">
        <x:f>IF(U1353="Open",Lookups!$B$2-B1353,X1353)</x:f>
        <x:v>14</x:v>
      </x:c>
      <x:c r="Z1353" t="str">
        <x:f>IF(AND(U1353="Open",Y1353&gt;30),"STALE","OK")</x:f>
        <x:v>OK</x:v>
      </x:c>
      <x:c r="AA1353" t="str">
        <x:f>TEXT(B1353,"yyyy-mm")</x:f>
        <x:v>2025-05</x:v>
      </x:c>
      <x:c r="AB1353" t="str">
        <x:f>IF(K1353="","",TEXT(K1353,"yyyy-mm"))</x:f>
        <x:v>2025-06</x:v>
      </x:c>
      <x:c r="AC1353" t="str">
        <x:f>"Q"&amp;ROUNDUP(MONTH(B1353)/3,0)&amp;"-"&amp;YEAR(B1353)</x:f>
        <x:v>Q2-2025</x:v>
      </x:c>
      <x:c r="AD1353" s="26" t="n">
        <x:f>MIN(100,IF(H1353="Enterprise",30,IF(H1353="Mid-Market",22,14))+IF(T1353="Enterprise",25,IF(T1353="Mid-Market",18,10))+IF(Q1353="Referral",25,IF(Q1353="Organic Search",20,IF(Q1353="Email",18,14)))+IF(G1353="Technology",10,5))</x:f>
        <x:v>63</x:v>
      </x:c>
      <x:c r="AE1353" t="str">
        <x:f>IF(U1353&lt;&gt;"Open",U1353,IF(N1353&gt;=0.8,"Commit",IF(N1353&gt;=0.5,"Best Case","Pipeline")))</x:f>
        <x:v>Won</x:v>
      </x:c>
    </x:row>
    <x:row r="1354">
      <x:c r="A1354" t="str">
        <x:v>L01353</x:v>
      </x:c>
      <x:c r="B1354" s="10" t="n">
        <x:v>46215</x:v>
      </x:c>
      <x:c r="C1354" t="str">
        <x:v>Bao Tran</x:v>
      </x:c>
      <x:c r="D1354" t="str">
        <x:v>South</x:v>
      </x:c>
      <x:c r="E1354" t="str">
        <x:v>google cpc</x:v>
      </x:c>
      <x:c r="F1354" t="str">
        <x:v>MKT-AUTO</x:v>
      </x:c>
      <x:c r="G1354" t="str">
        <x:v>Financial Services</x:v>
      </x:c>
      <x:c r="H1354" t="str">
        <x:v>SMB</x:v>
      </x:c>
      <x:c r="I1354" t="str">
        <x:v>Closed Lost</x:v>
      </x:c>
      <x:c r="J1354" s="10" t="n">
        <x:v>46240</x:v>
      </x:c>
      <x:c r="K1354" s="10" t="n">
        <x:v>46240</x:v>
      </x:c>
      <x:c r="L1354" s="22" t="n">
        <x:v>11400</x:v>
      </x:c>
      <x:c r="M1354" s="24" t="n">
        <x:v>0</x:v>
      </x:c>
      <x:c r="N1354" s="24" t="n">
        <x:v>0</x:v>
      </x:c>
      <x:c r="O1354" t="str">
        <x:v>Timing</x:v>
      </x:c>
      <x:c r="P1354" t="n">
        <x:v>5</x:v>
      </x:c>
      <x:c r="Q1354" t="str">
        <x:f>IFERROR(XLOOKUP(E1354,Lookups!$A$5:$A$24,Lookups!$B$5:$B$24),"Other")</x:f>
        <x:v>Paid Search</x:v>
      </x:c>
      <x:c r="R1354" t="str">
        <x:f>IFERROR(XLOOKUP(F1354,Lookups!$D$5:$D$10,Lookups!$E$5:$E$10),"Unknown Product")</x:f>
        <x:v>Marketing Automation</x:v>
      </x:c>
      <x:c r="S1354" t="str">
        <x:f>IFERROR(XLOOKUP(F1354,Lookups!$D$5:$D$10,Lookups!$F$5:$F$10),"Unknown")</x:f>
        <x:v>Marketing</x:v>
      </x:c>
      <x:c r="T1354" t="str">
        <x:f>IF(L1354&gt;=50000,"Enterprise",IF(L1354&gt;=20000,"Mid-Market","SMB"))</x:f>
        <x:v>SMB</x:v>
      </x:c>
      <x:c r="U1354" t="str">
        <x:f>IF(I1354="Closed Won","Won",IF(I1354="Closed Lost","Lost","Open"))</x:f>
        <x:v>Lost</x:v>
      </x:c>
      <x:c r="V1354" s="22" t="n">
        <x:f>IF(U1354="Won",L1354*(1-M1354),0)</x:f>
        <x:v>0</x:v>
      </x:c>
      <x:c r="W1354" s="22" t="n">
        <x:f>IF(U1354="Open",L1354*N1354,0)</x:f>
        <x:v>0</x:v>
      </x:c>
      <x:c r="X1354" s="26" t="n">
        <x:f>IF(U1354="Open","",IFERROR(K1354-B1354,""))</x:f>
        <x:v>25</x:v>
      </x:c>
      <x:c r="Y1354" s="26" t="n">
        <x:f>IF(U1354="Open",Lookups!$B$2-B1354,X1354)</x:f>
        <x:v>25</x:v>
      </x:c>
      <x:c r="Z1354" t="str">
        <x:f>IF(AND(U1354="Open",Y1354&gt;30),"STALE","OK")</x:f>
        <x:v>OK</x:v>
      </x:c>
      <x:c r="AA1354" t="str">
        <x:f>TEXT(B1354,"yyyy-mm")</x:f>
        <x:v>2026-07</x:v>
      </x:c>
      <x:c r="AB1354" t="str">
        <x:f>IF(K1354="","",TEXT(K1354,"yyyy-mm"))</x:f>
        <x:v>2026-08</x:v>
      </x:c>
      <x:c r="AC1354" t="str">
        <x:f>"Q"&amp;ROUNDUP(MONTH(B1354)/3,0)&amp;"-"&amp;YEAR(B1354)</x:f>
        <x:v>Q3-2026</x:v>
      </x:c>
      <x:c r="AD1354" s="26" t="n">
        <x:f>MIN(100,IF(H1354="Enterprise",30,IF(H1354="Mid-Market",22,14))+IF(T1354="Enterprise",25,IF(T1354="Mid-Market",18,10))+IF(Q1354="Referral",25,IF(Q1354="Organic Search",20,IF(Q1354="Email",18,14)))+IF(G1354="Technology",10,5))</x:f>
        <x:v>43</x:v>
      </x:c>
      <x:c r="AE1354" t="str">
        <x:f>IF(U1354&lt;&gt;"Open",U1354,IF(N1354&gt;=0.8,"Commit",IF(N1354&gt;=0.5,"Best Case","Pipeline")))</x:f>
        <x:v>Lost</x:v>
      </x:c>
    </x:row>
    <x:row r="1355">
      <x:c r="A1355" t="str">
        <x:v>L01354</x:v>
      </x:c>
      <x:c r="B1355" s="10" t="n">
        <x:v>46261</x:v>
      </x:c>
      <x:c r="C1355" t="str">
        <x:v>Duy Pham</x:v>
      </x:c>
      <x:c r="D1355" t="str">
        <x:v>South</x:v>
      </x:c>
      <x:c r="E1355" t="str">
        <x:v>SEO</x:v>
      </x:c>
      <x:c r="F1355" t="str">
        <x:v>CRM-PRO</x:v>
      </x:c>
      <x:c r="G1355" t="str">
        <x:v>Professional Services</x:v>
      </x:c>
      <x:c r="H1355" t="str">
        <x:v>Mid-Market</x:v>
      </x:c>
      <x:c r="I1355" t="str">
        <x:v>New</x:v>
      </x:c>
      <x:c r="J1355" s="10" t="n">
        <x:v>46264</x:v>
      </x:c>
      <x:c r="K1355" s="10"/>
      <x:c r="L1355" s="22" t="n">
        <x:v>40600</x:v>
      </x:c>
      <x:c r="M1355" s="24" t="n">
        <x:v>0.03</x:v>
      </x:c>
      <x:c r="N1355" s="24" t="n">
        <x:v>0.05</x:v>
      </x:c>
      <x:c r="O1355" t="str"/>
      <x:c r="P1355" t="n">
        <x:v>1</x:v>
      </x:c>
      <x:c r="Q1355" t="str">
        <x:f>IFERROR(XLOOKUP(E1355,Lookups!$A$5:$A$24,Lookups!$B$5:$B$24),"Other")</x:f>
        <x:v>Organic Search</x:v>
      </x:c>
      <x:c r="R1355" t="str">
        <x:f>IFERROR(XLOOKUP(F1355,Lookups!$D$5:$D$10,Lookups!$E$5:$E$10),"Unknown Product")</x:f>
        <x:v>NexaCRM Pro</x:v>
      </x:c>
      <x:c r="S1355" t="str">
        <x:f>IFERROR(XLOOKUP(F1355,Lookups!$D$5:$D$10,Lookups!$F$5:$F$10),"Unknown")</x:f>
        <x:v>CRM</x:v>
      </x:c>
      <x:c r="T1355" t="str">
        <x:f>IF(L1355&gt;=50000,"Enterprise",IF(L1355&gt;=20000,"Mid-Market","SMB"))</x:f>
        <x:v>Mid-Market</x:v>
      </x:c>
      <x:c r="U1355" t="str">
        <x:f>IF(I1355="Closed Won","Won",IF(I1355="Closed Lost","Lost","Open"))</x:f>
        <x:v>Open</x:v>
      </x:c>
      <x:c r="V1355" s="22" t="n">
        <x:f>IF(U1355="Won",L1355*(1-M1355),0)</x:f>
        <x:v>0</x:v>
      </x:c>
      <x:c r="W1355" s="22" t="n">
        <x:f>IF(U1355="Open",L1355*N1355,0)</x:f>
        <x:v>2030</x:v>
      </x:c>
      <x:c r="X1355" s="26" t="str">
        <x:f>IF(U1355="Open","",IFERROR(K1355-B1355,""))</x:f>
      </x:c>
      <x:c r="Y1355" s="26" t="n">
        <x:f>IF(U1355="Open",Lookups!$B$2-B1355,X1355)</x:f>
        <x:v>5</x:v>
      </x:c>
      <x:c r="Z1355" t="str">
        <x:f>IF(AND(U1355="Open",Y1355&gt;30),"STALE","OK")</x:f>
        <x:v>OK</x:v>
      </x:c>
      <x:c r="AA1355" t="str">
        <x:f>TEXT(B1355,"yyyy-mm")</x:f>
        <x:v>2026-08</x:v>
      </x:c>
      <x:c r="AB1355" t="str">
        <x:f>IF(K1355="","",TEXT(K1355,"yyyy-mm"))</x:f>
      </x:c>
      <x:c r="AC1355" t="str">
        <x:f>"Q"&amp;ROUNDUP(MONTH(B1355)/3,0)&amp;"-"&amp;YEAR(B1355)</x:f>
        <x:v>Q3-2026</x:v>
      </x:c>
      <x:c r="AD1355" s="26" t="n">
        <x:f>MIN(100,IF(H1355="Enterprise",30,IF(H1355="Mid-Market",22,14))+IF(T1355="Enterprise",25,IF(T1355="Mid-Market",18,10))+IF(Q1355="Referral",25,IF(Q1355="Organic Search",20,IF(Q1355="Email",18,14)))+IF(G1355="Technology",10,5))</x:f>
        <x:v>65</x:v>
      </x:c>
      <x:c r="AE1355" t="str">
        <x:f>IF(U1355&lt;&gt;"Open",U1355,IF(N1355&gt;=0.8,"Commit",IF(N1355&gt;=0.5,"Best Case","Pipeline")))</x:f>
        <x:v>Pipeline</x:v>
      </x:c>
    </x:row>
    <x:row r="1356">
      <x:c r="A1356" t="str">
        <x:v>L01355</x:v>
      </x:c>
      <x:c r="B1356" s="10" t="n">
        <x:v>46209</x:v>
      </x:c>
      <x:c r="C1356" t="str">
        <x:v>Quynh Vu</x:v>
      </x:c>
      <x:c r="D1356" t="str">
        <x:v>North</x:v>
      </x:c>
      <x:c r="E1356" t="str">
        <x:v>SDR Outreach</x:v>
      </x:c>
      <x:c r="F1356" t="str">
        <x:v>CRM-PRO</x:v>
      </x:c>
      <x:c r="G1356" t="str">
        <x:v>Retail</x:v>
      </x:c>
      <x:c r="H1356" t="str">
        <x:v>SMB</x:v>
      </x:c>
      <x:c r="I1356" t="str">
        <x:v>Closed Lost</x:v>
      </x:c>
      <x:c r="J1356" s="10" t="n">
        <x:v>46250</x:v>
      </x:c>
      <x:c r="K1356" s="10" t="n">
        <x:v>46250</x:v>
      </x:c>
      <x:c r="L1356" s="22" t="n">
        <x:v>17000</x:v>
      </x:c>
      <x:c r="M1356" s="24" t="n">
        <x:v>0</x:v>
      </x:c>
      <x:c r="N1356" s="24" t="n">
        <x:v>0</x:v>
      </x:c>
      <x:c r="O1356" t="str">
        <x:v>Timing</x:v>
      </x:c>
      <x:c r="P1356" t="n">
        <x:v>4</x:v>
      </x:c>
      <x:c r="Q1356" t="str">
        <x:f>IFERROR(XLOOKUP(E1356,Lookups!$A$5:$A$24,Lookups!$B$5:$B$24),"Other")</x:f>
        <x:v>Outbound</x:v>
      </x:c>
      <x:c r="R1356" t="str">
        <x:f>IFERROR(XLOOKUP(F1356,Lookups!$D$5:$D$10,Lookups!$E$5:$E$10),"Unknown Product")</x:f>
        <x:v>NexaCRM Pro</x:v>
      </x:c>
      <x:c r="S1356" t="str">
        <x:f>IFERROR(XLOOKUP(F1356,Lookups!$D$5:$D$10,Lookups!$F$5:$F$10),"Unknown")</x:f>
        <x:v>CRM</x:v>
      </x:c>
      <x:c r="T1356" t="str">
        <x:f>IF(L1356&gt;=50000,"Enterprise",IF(L1356&gt;=20000,"Mid-Market","SMB"))</x:f>
        <x:v>SMB</x:v>
      </x:c>
      <x:c r="U1356" t="str">
        <x:f>IF(I1356="Closed Won","Won",IF(I1356="Closed Lost","Lost","Open"))</x:f>
        <x:v>Lost</x:v>
      </x:c>
      <x:c r="V1356" s="22" t="n">
        <x:f>IF(U1356="Won",L1356*(1-M1356),0)</x:f>
        <x:v>0</x:v>
      </x:c>
      <x:c r="W1356" s="22" t="n">
        <x:f>IF(U1356="Open",L1356*N1356,0)</x:f>
        <x:v>0</x:v>
      </x:c>
      <x:c r="X1356" s="26" t="n">
        <x:f>IF(U1356="Open","",IFERROR(K1356-B1356,""))</x:f>
        <x:v>41</x:v>
      </x:c>
      <x:c r="Y1356" s="26" t="n">
        <x:f>IF(U1356="Open",Lookups!$B$2-B1356,X1356)</x:f>
        <x:v>41</x:v>
      </x:c>
      <x:c r="Z1356" t="str">
        <x:f>IF(AND(U1356="Open",Y1356&gt;30),"STALE","OK")</x:f>
        <x:v>OK</x:v>
      </x:c>
      <x:c r="AA1356" t="str">
        <x:f>TEXT(B1356,"yyyy-mm")</x:f>
        <x:v>2026-07</x:v>
      </x:c>
      <x:c r="AB1356" t="str">
        <x:f>IF(K1356="","",TEXT(K1356,"yyyy-mm"))</x:f>
        <x:v>2026-08</x:v>
      </x:c>
      <x:c r="AC1356" t="str">
        <x:f>"Q"&amp;ROUNDUP(MONTH(B1356)/3,0)&amp;"-"&amp;YEAR(B1356)</x:f>
        <x:v>Q3-2026</x:v>
      </x:c>
      <x:c r="AD1356" s="26" t="n">
        <x:f>MIN(100,IF(H1356="Enterprise",30,IF(H1356="Mid-Market",22,14))+IF(T1356="Enterprise",25,IF(T1356="Mid-Market",18,10))+IF(Q1356="Referral",25,IF(Q1356="Organic Search",20,IF(Q1356="Email",18,14)))+IF(G1356="Technology",10,5))</x:f>
        <x:v>43</x:v>
      </x:c>
      <x:c r="AE1356" t="str">
        <x:f>IF(U1356&lt;&gt;"Open",U1356,IF(N1356&gt;=0.8,"Commit",IF(N1356&gt;=0.5,"Best Case","Pipeline")))</x:f>
        <x:v>Lost</x:v>
      </x:c>
    </x:row>
    <x:row r="1357">
      <x:c r="A1357" t="str">
        <x:v>L01356</x:v>
      </x:c>
      <x:c r="B1357" s="10" t="n">
        <x:v>45674</x:v>
      </x:c>
      <x:c r="C1357" t="str">
        <x:v>Minh Do</x:v>
      </x:c>
      <x:c r="D1357" t="str">
        <x:v>North</x:v>
      </x:c>
      <x:c r="E1357" t="str">
        <x:v>SDR Outreach</x:v>
      </x:c>
      <x:c r="F1357" t="str">
        <x:v>BI-PLUS</x:v>
      </x:c>
      <x:c r="G1357" t="str">
        <x:v>Manufacturing</x:v>
      </x:c>
      <x:c r="H1357" t="str">
        <x:v>SMB</x:v>
      </x:c>
      <x:c r="I1357" t="str">
        <x:v>Negotiation</x:v>
      </x:c>
      <x:c r="J1357" s="10" t="n">
        <x:v>46073</x:v>
      </x:c>
      <x:c r="K1357" s="10"/>
      <x:c r="L1357" s="22" t="n">
        <x:v>15300</x:v>
      </x:c>
      <x:c r="M1357" s="24" t="n">
        <x:v>0</x:v>
      </x:c>
      <x:c r="N1357" s="24" t="n">
        <x:v>0.85</x:v>
      </x:c>
      <x:c r="O1357" t="str"/>
      <x:c r="P1357" t="n">
        <x:v>5</x:v>
      </x:c>
      <x:c r="Q1357" t="str">
        <x:f>IFERROR(XLOOKUP(E1357,Lookups!$A$5:$A$24,Lookups!$B$5:$B$24),"Other")</x:f>
        <x:v>Outbound</x:v>
      </x:c>
      <x:c r="R1357" t="str">
        <x:f>IFERROR(XLOOKUP(F1357,Lookups!$D$5:$D$10,Lookups!$E$5:$E$10),"Unknown Product")</x:f>
        <x:v>Analytics Plus</x:v>
      </x:c>
      <x:c r="S1357" t="str">
        <x:f>IFERROR(XLOOKUP(F1357,Lookups!$D$5:$D$10,Lookups!$F$5:$F$10),"Unknown")</x:f>
        <x:v>Analytics</x:v>
      </x:c>
      <x:c r="T1357" t="str">
        <x:f>IF(L1357&gt;=50000,"Enterprise",IF(L1357&gt;=20000,"Mid-Market","SMB"))</x:f>
        <x:v>SMB</x:v>
      </x:c>
      <x:c r="U1357" t="str">
        <x:f>IF(I1357="Closed Won","Won",IF(I1357="Closed Lost","Lost","Open"))</x:f>
        <x:v>Open</x:v>
      </x:c>
      <x:c r="V1357" s="22" t="n">
        <x:f>IF(U1357="Won",L1357*(1-M1357),0)</x:f>
        <x:v>0</x:v>
      </x:c>
      <x:c r="W1357" s="22" t="n">
        <x:f>IF(U1357="Open",L1357*N1357,0)</x:f>
        <x:v>13005</x:v>
      </x:c>
      <x:c r="X1357" s="26" t="str">
        <x:f>IF(U1357="Open","",IFERROR(K1357-B1357,""))</x:f>
      </x:c>
      <x:c r="Y1357" s="26" t="n">
        <x:f>IF(U1357="Open",Lookups!$B$2-B1357,X1357)</x:f>
        <x:v>592</x:v>
      </x:c>
      <x:c r="Z1357" t="str">
        <x:f>IF(AND(U1357="Open",Y1357&gt;30),"STALE","OK")</x:f>
        <x:v>STALE</x:v>
      </x:c>
      <x:c r="AA1357" t="str">
        <x:f>TEXT(B1357,"yyyy-mm")</x:f>
        <x:v>2025-01</x:v>
      </x:c>
      <x:c r="AB1357" t="str">
        <x:f>IF(K1357="","",TEXT(K1357,"yyyy-mm"))</x:f>
      </x:c>
      <x:c r="AC1357" t="str">
        <x:f>"Q"&amp;ROUNDUP(MONTH(B1357)/3,0)&amp;"-"&amp;YEAR(B1357)</x:f>
        <x:v>Q1-2025</x:v>
      </x:c>
      <x:c r="AD1357" s="26" t="n">
        <x:f>MIN(100,IF(H1357="Enterprise",30,IF(H1357="Mid-Market",22,14))+IF(T1357="Enterprise",25,IF(T1357="Mid-Market",18,10))+IF(Q1357="Referral",25,IF(Q1357="Organic Search",20,IF(Q1357="Email",18,14)))+IF(G1357="Technology",10,5))</x:f>
        <x:v>43</x:v>
      </x:c>
      <x:c r="AE1357" t="str">
        <x:f>IF(U1357&lt;&gt;"Open",U1357,IF(N1357&gt;=0.8,"Commit",IF(N1357&gt;=0.5,"Best Case","Pipeline")))</x:f>
        <x:v>Commit</x:v>
      </x:c>
    </x:row>
    <x:row r="1358">
      <x:c r="A1358" t="str">
        <x:v>L01357</x:v>
      </x:c>
      <x:c r="B1358" s="10" t="n">
        <x:v>45784</x:v>
      </x:c>
      <x:c r="C1358" t="str">
        <x:v>Chi Le</x:v>
      </x:c>
      <x:c r="D1358" t="str">
        <x:v>South</x:v>
      </x:c>
      <x:c r="E1358" t="str">
        <x:v>Google Organic</x:v>
      </x:c>
      <x:c r="F1358" t="str">
        <x:v>MKT-AUTO</x:v>
      </x:c>
      <x:c r="G1358" t="str">
        <x:v>Technology</x:v>
      </x:c>
      <x:c r="H1358" t="str">
        <x:v>Enterprise</x:v>
      </x:c>
      <x:c r="I1358" t="str">
        <x:v>Closed Lost</x:v>
      </x:c>
      <x:c r="J1358" s="10" t="n">
        <x:v>45819</x:v>
      </x:c>
      <x:c r="K1358" s="10" t="n">
        <x:v>45819</x:v>
      </x:c>
      <x:c r="L1358" s="22" t="n">
        <x:v>38100</x:v>
      </x:c>
      <x:c r="M1358" s="24" t="n">
        <x:v>0</x:v>
      </x:c>
      <x:c r="N1358" s="24" t="n">
        <x:v>0</x:v>
      </x:c>
      <x:c r="O1358" t="str">
        <x:v>No Decision</x:v>
      </x:c>
      <x:c r="P1358" t="n">
        <x:v>3</x:v>
      </x:c>
      <x:c r="Q1358" t="str">
        <x:f>IFERROR(XLOOKUP(E1358,Lookups!$A$5:$A$24,Lookups!$B$5:$B$24),"Other")</x:f>
        <x:v>Organic Search</x:v>
      </x:c>
      <x:c r="R1358" t="str">
        <x:f>IFERROR(XLOOKUP(F1358,Lookups!$D$5:$D$10,Lookups!$E$5:$E$10),"Unknown Product")</x:f>
        <x:v>Marketing Automation</x:v>
      </x:c>
      <x:c r="S1358" t="str">
        <x:f>IFERROR(XLOOKUP(F1358,Lookups!$D$5:$D$10,Lookups!$F$5:$F$10),"Unknown")</x:f>
        <x:v>Marketing</x:v>
      </x:c>
      <x:c r="T1358" t="str">
        <x:f>IF(L1358&gt;=50000,"Enterprise",IF(L1358&gt;=20000,"Mid-Market","SMB"))</x:f>
        <x:v>Mid-Market</x:v>
      </x:c>
      <x:c r="U1358" t="str">
        <x:f>IF(I1358="Closed Won","Won",IF(I1358="Closed Lost","Lost","Open"))</x:f>
        <x:v>Lost</x:v>
      </x:c>
      <x:c r="V1358" s="22" t="n">
        <x:f>IF(U1358="Won",L1358*(1-M1358),0)</x:f>
        <x:v>0</x:v>
      </x:c>
      <x:c r="W1358" s="22" t="n">
        <x:f>IF(U1358="Open",L1358*N1358,0)</x:f>
        <x:v>0</x:v>
      </x:c>
      <x:c r="X1358" s="26" t="n">
        <x:f>IF(U1358="Open","",IFERROR(K1358-B1358,""))</x:f>
        <x:v>35</x:v>
      </x:c>
      <x:c r="Y1358" s="26" t="n">
        <x:f>IF(U1358="Open",Lookups!$B$2-B1358,X1358)</x:f>
        <x:v>35</x:v>
      </x:c>
      <x:c r="Z1358" t="str">
        <x:f>IF(AND(U1358="Open",Y1358&gt;30),"STALE","OK")</x:f>
        <x:v>OK</x:v>
      </x:c>
      <x:c r="AA1358" t="str">
        <x:f>TEXT(B1358,"yyyy-mm")</x:f>
        <x:v>2025-05</x:v>
      </x:c>
      <x:c r="AB1358" t="str">
        <x:f>IF(K1358="","",TEXT(K1358,"yyyy-mm"))</x:f>
        <x:v>2025-06</x:v>
      </x:c>
      <x:c r="AC1358" t="str">
        <x:f>"Q"&amp;ROUNDUP(MONTH(B1358)/3,0)&amp;"-"&amp;YEAR(B1358)</x:f>
        <x:v>Q2-2025</x:v>
      </x:c>
      <x:c r="AD1358" s="26" t="n">
        <x:f>MIN(100,IF(H1358="Enterprise",30,IF(H1358="Mid-Market",22,14))+IF(T1358="Enterprise",25,IF(T1358="Mid-Market",18,10))+IF(Q1358="Referral",25,IF(Q1358="Organic Search",20,IF(Q1358="Email",18,14)))+IF(G1358="Technology",10,5))</x:f>
        <x:v>78</x:v>
      </x:c>
      <x:c r="AE1358" t="str">
        <x:f>IF(U1358&lt;&gt;"Open",U1358,IF(N1358&gt;=0.8,"Commit",IF(N1358&gt;=0.5,"Best Case","Pipeline")))</x:f>
        <x:v>Lost</x:v>
      </x:c>
    </x:row>
    <x:row r="1359">
      <x:c r="A1359" t="str">
        <x:v>L01358</x:v>
      </x:c>
      <x:c r="B1359" s="10" t="n">
        <x:v>45934</x:v>
      </x:c>
      <x:c r="C1359" t="str">
        <x:v>An Nguyen</x:v>
      </x:c>
      <x:c r="D1359" t="str">
        <x:v>South</x:v>
      </x:c>
      <x:c r="E1359" t="str">
        <x:v>virtual event</x:v>
      </x:c>
      <x:c r="F1359" t="str">
        <x:v>CS-CLOUD</x:v>
      </x:c>
      <x:c r="G1359" t="str">
        <x:v>Technology</x:v>
      </x:c>
      <x:c r="H1359" t="str">
        <x:v>Enterprise</x:v>
      </x:c>
      <x:c r="I1359" t="str">
        <x:v>Closed Won</x:v>
      </x:c>
      <x:c r="J1359" s="10" t="n">
        <x:v>46058</x:v>
      </x:c>
      <x:c r="K1359" s="10" t="n">
        <x:v>46058</x:v>
      </x:c>
      <x:c r="L1359" s="22" t="n">
        <x:v>42300</x:v>
      </x:c>
      <x:c r="M1359" s="24" t="n">
        <x:v>0.08</x:v>
      </x:c>
      <x:c r="N1359" s="24" t="n">
        <x:v>1</x:v>
      </x:c>
      <x:c r="O1359" t="str"/>
      <x:c r="P1359" t="n">
        <x:v>6</x:v>
      </x:c>
      <x:c r="Q1359" t="str">
        <x:f>IFERROR(XLOOKUP(E1359,Lookups!$A$5:$A$24,Lookups!$B$5:$B$24),"Other")</x:f>
        <x:v>Webinar</x:v>
      </x:c>
      <x:c r="R1359" t="str">
        <x:f>IFERROR(XLOOKUP(F1359,Lookups!$D$5:$D$10,Lookups!$E$5:$E$10),"Unknown Product")</x:f>
        <x:v>Service Cloud</x:v>
      </x:c>
      <x:c r="S1359" t="str">
        <x:f>IFERROR(XLOOKUP(F1359,Lookups!$D$5:$D$10,Lookups!$F$5:$F$10),"Unknown")</x:f>
        <x:v>Customer Service</x:v>
      </x:c>
      <x:c r="T1359" t="str">
        <x:f>IF(L1359&gt;=50000,"Enterprise",IF(L1359&gt;=20000,"Mid-Market","SMB"))</x:f>
        <x:v>Mid-Market</x:v>
      </x:c>
      <x:c r="U1359" t="str">
        <x:f>IF(I1359="Closed Won","Won",IF(I1359="Closed Lost","Lost","Open"))</x:f>
        <x:v>Won</x:v>
      </x:c>
      <x:c r="V1359" s="22" t="n">
        <x:f>IF(U1359="Won",L1359*(1-M1359),0)</x:f>
        <x:v>38916</x:v>
      </x:c>
      <x:c r="W1359" s="22" t="n">
        <x:f>IF(U1359="Open",L1359*N1359,0)</x:f>
        <x:v>0</x:v>
      </x:c>
      <x:c r="X1359" s="26" t="n">
        <x:f>IF(U1359="Open","",IFERROR(K1359-B1359,""))</x:f>
        <x:v>124</x:v>
      </x:c>
      <x:c r="Y1359" s="26" t="n">
        <x:f>IF(U1359="Open",Lookups!$B$2-B1359,X1359)</x:f>
        <x:v>124</x:v>
      </x:c>
      <x:c r="Z1359" t="str">
        <x:f>IF(AND(U1359="Open",Y1359&gt;30),"STALE","OK")</x:f>
        <x:v>OK</x:v>
      </x:c>
      <x:c r="AA1359" t="str">
        <x:f>TEXT(B1359,"yyyy-mm")</x:f>
        <x:v>2025-10</x:v>
      </x:c>
      <x:c r="AB1359" t="str">
        <x:f>IF(K1359="","",TEXT(K1359,"yyyy-mm"))</x:f>
        <x:v>2026-02</x:v>
      </x:c>
      <x:c r="AC1359" t="str">
        <x:f>"Q"&amp;ROUNDUP(MONTH(B1359)/3,0)&amp;"-"&amp;YEAR(B1359)</x:f>
        <x:v>Q4-2025</x:v>
      </x:c>
      <x:c r="AD1359" s="26" t="n">
        <x:f>MIN(100,IF(H1359="Enterprise",30,IF(H1359="Mid-Market",22,14))+IF(T1359="Enterprise",25,IF(T1359="Mid-Market",18,10))+IF(Q1359="Referral",25,IF(Q1359="Organic Search",20,IF(Q1359="Email",18,14)))+IF(G1359="Technology",10,5))</x:f>
        <x:v>72</x:v>
      </x:c>
      <x:c r="AE1359" t="str">
        <x:f>IF(U1359&lt;&gt;"Open",U1359,IF(N1359&gt;=0.8,"Commit",IF(N1359&gt;=0.5,"Best Case","Pipeline")))</x:f>
        <x:v>Won</x:v>
      </x:c>
    </x:row>
    <x:row r="1360">
      <x:c r="A1360" t="str">
        <x:v>L01359</x:v>
      </x:c>
      <x:c r="B1360" s="10" t="n">
        <x:v>46013</x:v>
      </x:c>
      <x:c r="C1360" t="str">
        <x:v>Minh Do</x:v>
      </x:c>
      <x:c r="D1360" t="str">
        <x:v>North</x:v>
      </x:c>
      <x:c r="E1360" t="str">
        <x:v>Google Ads</x:v>
      </x:c>
      <x:c r="F1360" t="str">
        <x:v>BI-PLUS</x:v>
      </x:c>
      <x:c r="G1360" t="str">
        <x:v>Financial Services</x:v>
      </x:c>
      <x:c r="H1360" t="str">
        <x:v>Mid-Market</x:v>
      </x:c>
      <x:c r="I1360" t="str">
        <x:v>Closed Lost</x:v>
      </x:c>
      <x:c r="J1360" s="10" t="n">
        <x:v>46024</x:v>
      </x:c>
      <x:c r="K1360" s="10" t="n">
        <x:v>46024</x:v>
      </x:c>
      <x:c r="L1360" s="22" t="n">
        <x:v>38400</x:v>
      </x:c>
      <x:c r="M1360" s="24" t="n">
        <x:v>0</x:v>
      </x:c>
      <x:c r="N1360" s="24" t="n">
        <x:v>0</x:v>
      </x:c>
      <x:c r="O1360" t="str">
        <x:v>No Decision</x:v>
      </x:c>
      <x:c r="P1360" t="n">
        <x:v>3</x:v>
      </x:c>
      <x:c r="Q1360" t="str">
        <x:f>IFERROR(XLOOKUP(E1360,Lookups!$A$5:$A$24,Lookups!$B$5:$B$24),"Other")</x:f>
        <x:v>Paid Search</x:v>
      </x:c>
      <x:c r="R1360" t="str">
        <x:f>IFERROR(XLOOKUP(F1360,Lookups!$D$5:$D$10,Lookups!$E$5:$E$10),"Unknown Product")</x:f>
        <x:v>Analytics Plus</x:v>
      </x:c>
      <x:c r="S1360" t="str">
        <x:f>IFERROR(XLOOKUP(F1360,Lookups!$D$5:$D$10,Lookups!$F$5:$F$10),"Unknown")</x:f>
        <x:v>Analytics</x:v>
      </x:c>
      <x:c r="T1360" t="str">
        <x:f>IF(L1360&gt;=50000,"Enterprise",IF(L1360&gt;=20000,"Mid-Market","SMB"))</x:f>
        <x:v>Mid-Market</x:v>
      </x:c>
      <x:c r="U1360" t="str">
        <x:f>IF(I1360="Closed Won","Won",IF(I1360="Closed Lost","Lost","Open"))</x:f>
        <x:v>Lost</x:v>
      </x:c>
      <x:c r="V1360" s="22" t="n">
        <x:f>IF(U1360="Won",L1360*(1-M1360),0)</x:f>
        <x:v>0</x:v>
      </x:c>
      <x:c r="W1360" s="22" t="n">
        <x:f>IF(U1360="Open",L1360*N1360,0)</x:f>
        <x:v>0</x:v>
      </x:c>
      <x:c r="X1360" s="26" t="n">
        <x:f>IF(U1360="Open","",IFERROR(K1360-B1360,""))</x:f>
        <x:v>11</x:v>
      </x:c>
      <x:c r="Y1360" s="26" t="n">
        <x:f>IF(U1360="Open",Lookups!$B$2-B1360,X1360)</x:f>
        <x:v>11</x:v>
      </x:c>
      <x:c r="Z1360" t="str">
        <x:f>IF(AND(U1360="Open",Y1360&gt;30),"STALE","OK")</x:f>
        <x:v>OK</x:v>
      </x:c>
      <x:c r="AA1360" t="str">
        <x:f>TEXT(B1360,"yyyy-mm")</x:f>
        <x:v>2025-12</x:v>
      </x:c>
      <x:c r="AB1360" t="str">
        <x:f>IF(K1360="","",TEXT(K1360,"yyyy-mm"))</x:f>
        <x:v>2026-01</x:v>
      </x:c>
      <x:c r="AC1360" t="str">
        <x:f>"Q"&amp;ROUNDUP(MONTH(B1360)/3,0)&amp;"-"&amp;YEAR(B1360)</x:f>
        <x:v>Q4-2025</x:v>
      </x:c>
      <x:c r="AD1360" s="26" t="n">
        <x:f>MIN(100,IF(H1360="Enterprise",30,IF(H1360="Mid-Market",22,14))+IF(T1360="Enterprise",25,IF(T1360="Mid-Market",18,10))+IF(Q1360="Referral",25,IF(Q1360="Organic Search",20,IF(Q1360="Email",18,14)))+IF(G1360="Technology",10,5))</x:f>
        <x:v>59</x:v>
      </x:c>
      <x:c r="AE1360" t="str">
        <x:f>IF(U1360&lt;&gt;"Open",U1360,IF(N1360&gt;=0.8,"Commit",IF(N1360&gt;=0.5,"Best Case","Pipeline")))</x:f>
        <x:v>Lost</x:v>
      </x:c>
    </x:row>
    <x:row r="1361">
      <x:c r="A1361" t="str">
        <x:v>L01360</x:v>
      </x:c>
      <x:c r="B1361" s="10" t="n">
        <x:v>45691</x:v>
      </x:c>
      <x:c r="C1361" t="str">
        <x:v>Minh Do</x:v>
      </x:c>
      <x:c r="D1361" t="str">
        <x:v>North</x:v>
      </x:c>
      <x:c r="E1361" t="str">
        <x:v>Cold Email</x:v>
      </x:c>
      <x:c r="F1361" t="str">
        <x:v>CS-CLOUD</x:v>
      </x:c>
      <x:c r="G1361" t="str">
        <x:v>Retail</x:v>
      </x:c>
      <x:c r="H1361" t="str">
        <x:v>Mid-Market</x:v>
      </x:c>
      <x:c r="I1361" t="str">
        <x:v>Closed Won</x:v>
      </x:c>
      <x:c r="J1361" s="10" t="n">
        <x:v>45735</x:v>
      </x:c>
      <x:c r="K1361" s="10" t="n">
        <x:v>45735</x:v>
      </x:c>
      <x:c r="L1361" s="22" t="n">
        <x:v>40500</x:v>
      </x:c>
      <x:c r="M1361" s="24" t="n">
        <x:v>0.12</x:v>
      </x:c>
      <x:c r="N1361" s="24" t="n">
        <x:v>1</x:v>
      </x:c>
      <x:c r="O1361" t="str"/>
      <x:c r="P1361" t="n">
        <x:v>6</x:v>
      </x:c>
      <x:c r="Q1361" t="str">
        <x:f>IFERROR(XLOOKUP(E1361,Lookups!$A$5:$A$24,Lookups!$B$5:$B$24),"Other")</x:f>
        <x:v>Outbound</x:v>
      </x:c>
      <x:c r="R1361" t="str">
        <x:f>IFERROR(XLOOKUP(F1361,Lookups!$D$5:$D$10,Lookups!$E$5:$E$10),"Unknown Product")</x:f>
        <x:v>Service Cloud</x:v>
      </x:c>
      <x:c r="S1361" t="str">
        <x:f>IFERROR(XLOOKUP(F1361,Lookups!$D$5:$D$10,Lookups!$F$5:$F$10),"Unknown")</x:f>
        <x:v>Customer Service</x:v>
      </x:c>
      <x:c r="T1361" t="str">
        <x:f>IF(L1361&gt;=50000,"Enterprise",IF(L1361&gt;=20000,"Mid-Market","SMB"))</x:f>
        <x:v>Mid-Market</x:v>
      </x:c>
      <x:c r="U1361" t="str">
        <x:f>IF(I1361="Closed Won","Won",IF(I1361="Closed Lost","Lost","Open"))</x:f>
        <x:v>Won</x:v>
      </x:c>
      <x:c r="V1361" s="22" t="n">
        <x:f>IF(U1361="Won",L1361*(1-M1361),0)</x:f>
        <x:v>35640</x:v>
      </x:c>
      <x:c r="W1361" s="22" t="n">
        <x:f>IF(U1361="Open",L1361*N1361,0)</x:f>
        <x:v>0</x:v>
      </x:c>
      <x:c r="X1361" s="26" t="n">
        <x:f>IF(U1361="Open","",IFERROR(K1361-B1361,""))</x:f>
        <x:v>44</x:v>
      </x:c>
      <x:c r="Y1361" s="26" t="n">
        <x:f>IF(U1361="Open",Lookups!$B$2-B1361,X1361)</x:f>
        <x:v>44</x:v>
      </x:c>
      <x:c r="Z1361" t="str">
        <x:f>IF(AND(U1361="Open",Y1361&gt;30),"STALE","OK")</x:f>
        <x:v>OK</x:v>
      </x:c>
      <x:c r="AA1361" t="str">
        <x:f>TEXT(B1361,"yyyy-mm")</x:f>
        <x:v>2025-02</x:v>
      </x:c>
      <x:c r="AB1361" t="str">
        <x:f>IF(K1361="","",TEXT(K1361,"yyyy-mm"))</x:f>
        <x:v>2025-03</x:v>
      </x:c>
      <x:c r="AC1361" t="str">
        <x:f>"Q"&amp;ROUNDUP(MONTH(B1361)/3,0)&amp;"-"&amp;YEAR(B1361)</x:f>
        <x:v>Q1-2025</x:v>
      </x:c>
      <x:c r="AD1361" s="26" t="n">
        <x:f>MIN(100,IF(H1361="Enterprise",30,IF(H1361="Mid-Market",22,14))+IF(T1361="Enterprise",25,IF(T1361="Mid-Market",18,10))+IF(Q1361="Referral",25,IF(Q1361="Organic Search",20,IF(Q1361="Email",18,14)))+IF(G1361="Technology",10,5))</x:f>
        <x:v>59</x:v>
      </x:c>
      <x:c r="AE1361" t="str">
        <x:f>IF(U1361&lt;&gt;"Open",U1361,IF(N1361&gt;=0.8,"Commit",IF(N1361&gt;=0.5,"Best Case","Pipeline")))</x:f>
        <x:v>Won</x:v>
      </x:c>
    </x:row>
    <x:row r="1362">
      <x:c r="A1362" t="str">
        <x:v>L01361</x:v>
      </x:c>
      <x:c r="B1362" s="10" t="n">
        <x:v>45839</x:v>
      </x:c>
      <x:c r="C1362" t="str">
        <x:v>Bao Tran</x:v>
      </x:c>
      <x:c r="D1362" t="str">
        <x:v>South</x:v>
      </x:c>
      <x:c r="E1362" t="str">
        <x:v>linkedin</x:v>
      </x:c>
      <x:c r="F1362" t="str">
        <x:v>CRM-CORE</x:v>
      </x:c>
      <x:c r="G1362" t="str">
        <x:v>Healthcare</x:v>
      </x:c>
      <x:c r="H1362" t="str">
        <x:v>SMB</x:v>
      </x:c>
      <x:c r="I1362" t="str">
        <x:v>Closed Lost</x:v>
      </x:c>
      <x:c r="J1362" s="10" t="n">
        <x:v>45849</x:v>
      </x:c>
      <x:c r="K1362" s="10" t="n">
        <x:v>45849</x:v>
      </x:c>
      <x:c r="L1362" s="22" t="n">
        <x:v>5000</x:v>
      </x:c>
      <x:c r="M1362" s="24" t="n">
        <x:v>0</x:v>
      </x:c>
      <x:c r="N1362" s="24" t="n">
        <x:v>0</x:v>
      </x:c>
      <x:c r="O1362" t="str">
        <x:v>Timing</x:v>
      </x:c>
      <x:c r="P1362" t="n">
        <x:v>3</x:v>
      </x:c>
      <x:c r="Q1362" t="str">
        <x:f>IFERROR(XLOOKUP(E1362,Lookups!$A$5:$A$24,Lookups!$B$5:$B$24),"Other")</x:f>
        <x:v>LinkedIn</x:v>
      </x:c>
      <x:c r="R1362" t="str">
        <x:f>IFERROR(XLOOKUP(F1362,Lookups!$D$5:$D$10,Lookups!$E$5:$E$10),"Unknown Product")</x:f>
        <x:v>NexaCRM Core</x:v>
      </x:c>
      <x:c r="S1362" t="str">
        <x:f>IFERROR(XLOOKUP(F1362,Lookups!$D$5:$D$10,Lookups!$F$5:$F$10),"Unknown")</x:f>
        <x:v>CRM</x:v>
      </x:c>
      <x:c r="T1362" t="str">
        <x:f>IF(L1362&gt;=50000,"Enterprise",IF(L1362&gt;=20000,"Mid-Market","SMB"))</x:f>
        <x:v>SMB</x:v>
      </x:c>
      <x:c r="U1362" t="str">
        <x:f>IF(I1362="Closed Won","Won",IF(I1362="Closed Lost","Lost","Open"))</x:f>
        <x:v>Lost</x:v>
      </x:c>
      <x:c r="V1362" s="22" t="n">
        <x:f>IF(U1362="Won",L1362*(1-M1362),0)</x:f>
        <x:v>0</x:v>
      </x:c>
      <x:c r="W1362" s="22" t="n">
        <x:f>IF(U1362="Open",L1362*N1362,0)</x:f>
        <x:v>0</x:v>
      </x:c>
      <x:c r="X1362" s="26" t="n">
        <x:f>IF(U1362="Open","",IFERROR(K1362-B1362,""))</x:f>
        <x:v>10</x:v>
      </x:c>
      <x:c r="Y1362" s="26" t="n">
        <x:f>IF(U1362="Open",Lookups!$B$2-B1362,X1362)</x:f>
        <x:v>10</x:v>
      </x:c>
      <x:c r="Z1362" t="str">
        <x:f>IF(AND(U1362="Open",Y1362&gt;30),"STALE","OK")</x:f>
        <x:v>OK</x:v>
      </x:c>
      <x:c r="AA1362" t="str">
        <x:f>TEXT(B1362,"yyyy-mm")</x:f>
        <x:v>2025-07</x:v>
      </x:c>
      <x:c r="AB1362" t="str">
        <x:f>IF(K1362="","",TEXT(K1362,"yyyy-mm"))</x:f>
        <x:v>2025-07</x:v>
      </x:c>
      <x:c r="AC1362" t="str">
        <x:f>"Q"&amp;ROUNDUP(MONTH(B1362)/3,0)&amp;"-"&amp;YEAR(B1362)</x:f>
        <x:v>Q3-2025</x:v>
      </x:c>
      <x:c r="AD1362" s="26" t="n">
        <x:f>MIN(100,IF(H1362="Enterprise",30,IF(H1362="Mid-Market",22,14))+IF(T1362="Enterprise",25,IF(T1362="Mid-Market",18,10))+IF(Q1362="Referral",25,IF(Q1362="Organic Search",20,IF(Q1362="Email",18,14)))+IF(G1362="Technology",10,5))</x:f>
        <x:v>43</x:v>
      </x:c>
      <x:c r="AE1362" t="str">
        <x:f>IF(U1362&lt;&gt;"Open",U1362,IF(N1362&gt;=0.8,"Commit",IF(N1362&gt;=0.5,"Best Case","Pipeline")))</x:f>
        <x:v>Lost</x:v>
      </x:c>
    </x:row>
    <x:row r="1363">
      <x:c r="A1363" t="str">
        <x:v>L01362</x:v>
      </x:c>
      <x:c r="B1363" s="10" t="n">
        <x:v>46129</x:v>
      </x:c>
      <x:c r="C1363" t="str">
        <x:v>Chi Le</x:v>
      </x:c>
      <x:c r="D1363" t="str">
        <x:v>South</x:v>
      </x:c>
      <x:c r="E1363" t="str">
        <x:v>SEM - Google</x:v>
      </x:c>
      <x:c r="F1363" t="str">
        <x:v>BI-PLUS</x:v>
      </x:c>
      <x:c r="G1363" t="str">
        <x:v>Professional Services</x:v>
      </x:c>
      <x:c r="H1363" t="str">
        <x:v>SMB</x:v>
      </x:c>
      <x:c r="I1363" t="str">
        <x:v>Closed Lost</x:v>
      </x:c>
      <x:c r="J1363" s="10" t="n">
        <x:v>46187</x:v>
      </x:c>
      <x:c r="K1363" s="10" t="n">
        <x:v>46187</x:v>
      </x:c>
      <x:c r="L1363" s="22" t="n">
        <x:v>21100</x:v>
      </x:c>
      <x:c r="M1363" s="24" t="n">
        <x:v>0</x:v>
      </x:c>
      <x:c r="N1363" s="24" t="n">
        <x:v>0</x:v>
      </x:c>
      <x:c r="O1363" t="str">
        <x:v>No Decision</x:v>
      </x:c>
      <x:c r="P1363" t="n">
        <x:v>5</x:v>
      </x:c>
      <x:c r="Q1363" t="str">
        <x:f>IFERROR(XLOOKUP(E1363,Lookups!$A$5:$A$24,Lookups!$B$5:$B$24),"Other")</x:f>
        <x:v>Paid Search</x:v>
      </x:c>
      <x:c r="R1363" t="str">
        <x:f>IFERROR(XLOOKUP(F1363,Lookups!$D$5:$D$10,Lookups!$E$5:$E$10),"Unknown Product")</x:f>
        <x:v>Analytics Plus</x:v>
      </x:c>
      <x:c r="S1363" t="str">
        <x:f>IFERROR(XLOOKUP(F1363,Lookups!$D$5:$D$10,Lookups!$F$5:$F$10),"Unknown")</x:f>
        <x:v>Analytics</x:v>
      </x:c>
      <x:c r="T1363" t="str">
        <x:f>IF(L1363&gt;=50000,"Enterprise",IF(L1363&gt;=20000,"Mid-Market","SMB"))</x:f>
        <x:v>Mid-Market</x:v>
      </x:c>
      <x:c r="U1363" t="str">
        <x:f>IF(I1363="Closed Won","Won",IF(I1363="Closed Lost","Lost","Open"))</x:f>
        <x:v>Lost</x:v>
      </x:c>
      <x:c r="V1363" s="22" t="n">
        <x:f>IF(U1363="Won",L1363*(1-M1363),0)</x:f>
        <x:v>0</x:v>
      </x:c>
      <x:c r="W1363" s="22" t="n">
        <x:f>IF(U1363="Open",L1363*N1363,0)</x:f>
        <x:v>0</x:v>
      </x:c>
      <x:c r="X1363" s="26" t="n">
        <x:f>IF(U1363="Open","",IFERROR(K1363-B1363,""))</x:f>
        <x:v>58</x:v>
      </x:c>
      <x:c r="Y1363" s="26" t="n">
        <x:f>IF(U1363="Open",Lookups!$B$2-B1363,X1363)</x:f>
        <x:v>58</x:v>
      </x:c>
      <x:c r="Z1363" t="str">
        <x:f>IF(AND(U1363="Open",Y1363&gt;30),"STALE","OK")</x:f>
        <x:v>OK</x:v>
      </x:c>
      <x:c r="AA1363" t="str">
        <x:f>TEXT(B1363,"yyyy-mm")</x:f>
        <x:v>2026-04</x:v>
      </x:c>
      <x:c r="AB1363" t="str">
        <x:f>IF(K1363="","",TEXT(K1363,"yyyy-mm"))</x:f>
        <x:v>2026-06</x:v>
      </x:c>
      <x:c r="AC1363" t="str">
        <x:f>"Q"&amp;ROUNDUP(MONTH(B1363)/3,0)&amp;"-"&amp;YEAR(B1363)</x:f>
        <x:v>Q2-2026</x:v>
      </x:c>
      <x:c r="AD1363" s="26" t="n">
        <x:f>MIN(100,IF(H1363="Enterprise",30,IF(H1363="Mid-Market",22,14))+IF(T1363="Enterprise",25,IF(T1363="Mid-Market",18,10))+IF(Q1363="Referral",25,IF(Q1363="Organic Search",20,IF(Q1363="Email",18,14)))+IF(G1363="Technology",10,5))</x:f>
        <x:v>51</x:v>
      </x:c>
      <x:c r="AE1363" t="str">
        <x:f>IF(U1363&lt;&gt;"Open",U1363,IF(N1363&gt;=0.8,"Commit",IF(N1363&gt;=0.5,"Best Case","Pipeline")))</x:f>
        <x:v>Lost</x:v>
      </x:c>
    </x:row>
    <x:row r="1364">
      <x:c r="A1364" t="str">
        <x:v>L01363</x:v>
      </x:c>
      <x:c r="B1364" s="10" t="n">
        <x:v>45820</x:v>
      </x:c>
      <x:c r="C1364" t="str">
        <x:v>An Nguyen</x:v>
      </x:c>
      <x:c r="D1364" t="str">
        <x:v>South</x:v>
      </x:c>
      <x:c r="E1364" t="str">
        <x:v>virtual event</x:v>
      </x:c>
      <x:c r="F1364" t="str">
        <x:v>BI-PLUS</x:v>
      </x:c>
      <x:c r="G1364" t="str">
        <x:v>Financial Services</x:v>
      </x:c>
      <x:c r="H1364" t="str">
        <x:v>Mid-Market</x:v>
      </x:c>
      <x:c r="I1364" t="str">
        <x:v>Closed Won</x:v>
      </x:c>
      <x:c r="J1364" s="10" t="n">
        <x:v>45850</x:v>
      </x:c>
      <x:c r="K1364" s="10" t="n">
        <x:v>45850</x:v>
      </x:c>
      <x:c r="L1364" s="22" t="n">
        <x:v>41200</x:v>
      </x:c>
      <x:c r="M1364" s="24" t="n">
        <x:v>0</x:v>
      </x:c>
      <x:c r="N1364" s="24" t="n">
        <x:v>1</x:v>
      </x:c>
      <x:c r="O1364" t="str"/>
      <x:c r="P1364" t="n">
        <x:v>6</x:v>
      </x:c>
      <x:c r="Q1364" t="str">
        <x:f>IFERROR(XLOOKUP(E1364,Lookups!$A$5:$A$24,Lookups!$B$5:$B$24),"Other")</x:f>
        <x:v>Webinar</x:v>
      </x:c>
      <x:c r="R1364" t="str">
        <x:f>IFERROR(XLOOKUP(F1364,Lookups!$D$5:$D$10,Lookups!$E$5:$E$10),"Unknown Product")</x:f>
        <x:v>Analytics Plus</x:v>
      </x:c>
      <x:c r="S1364" t="str">
        <x:f>IFERROR(XLOOKUP(F1364,Lookups!$D$5:$D$10,Lookups!$F$5:$F$10),"Unknown")</x:f>
        <x:v>Analytics</x:v>
      </x:c>
      <x:c r="T1364" t="str">
        <x:f>IF(L1364&gt;=50000,"Enterprise",IF(L1364&gt;=20000,"Mid-Market","SMB"))</x:f>
        <x:v>Mid-Market</x:v>
      </x:c>
      <x:c r="U1364" t="str">
        <x:f>IF(I1364="Closed Won","Won",IF(I1364="Closed Lost","Lost","Open"))</x:f>
        <x:v>Won</x:v>
      </x:c>
      <x:c r="V1364" s="22" t="n">
        <x:f>IF(U1364="Won",L1364*(1-M1364),0)</x:f>
        <x:v>41200</x:v>
      </x:c>
      <x:c r="W1364" s="22" t="n">
        <x:f>IF(U1364="Open",L1364*N1364,0)</x:f>
        <x:v>0</x:v>
      </x:c>
      <x:c r="X1364" s="26" t="n">
        <x:f>IF(U1364="Open","",IFERROR(K1364-B1364,""))</x:f>
        <x:v>30</x:v>
      </x:c>
      <x:c r="Y1364" s="26" t="n">
        <x:f>IF(U1364="Open",Lookups!$B$2-B1364,X1364)</x:f>
        <x:v>30</x:v>
      </x:c>
      <x:c r="Z1364" t="str">
        <x:f>IF(AND(U1364="Open",Y1364&gt;30),"STALE","OK")</x:f>
        <x:v>OK</x:v>
      </x:c>
      <x:c r="AA1364" t="str">
        <x:f>TEXT(B1364,"yyyy-mm")</x:f>
        <x:v>2025-06</x:v>
      </x:c>
      <x:c r="AB1364" t="str">
        <x:f>IF(K1364="","",TEXT(K1364,"yyyy-mm"))</x:f>
        <x:v>2025-07</x:v>
      </x:c>
      <x:c r="AC1364" t="str">
        <x:f>"Q"&amp;ROUNDUP(MONTH(B1364)/3,0)&amp;"-"&amp;YEAR(B1364)</x:f>
        <x:v>Q2-2025</x:v>
      </x:c>
      <x:c r="AD1364" s="26" t="n">
        <x:f>MIN(100,IF(H1364="Enterprise",30,IF(H1364="Mid-Market",22,14))+IF(T1364="Enterprise",25,IF(T1364="Mid-Market",18,10))+IF(Q1364="Referral",25,IF(Q1364="Organic Search",20,IF(Q1364="Email",18,14)))+IF(G1364="Technology",10,5))</x:f>
        <x:v>59</x:v>
      </x:c>
      <x:c r="AE1364" t="str">
        <x:f>IF(U1364&lt;&gt;"Open",U1364,IF(N1364&gt;=0.8,"Commit",IF(N1364&gt;=0.5,"Best Case","Pipeline")))</x:f>
        <x:v>Won</x:v>
      </x:c>
    </x:row>
    <x:row r="1365">
      <x:c r="A1365" t="str">
        <x:v>L01364</x:v>
      </x:c>
      <x:c r="B1365" s="10" t="n">
        <x:v>46253</x:v>
      </x:c>
      <x:c r="C1365" t="str">
        <x:v>Tuan Bui</x:v>
      </x:c>
      <x:c r="D1365" t="str">
        <x:v>Central</x:v>
      </x:c>
      <x:c r="E1365" t="str">
        <x:v>virtual event</x:v>
      </x:c>
      <x:c r="F1365" t="str">
        <x:v>REV-OPS</x:v>
      </x:c>
      <x:c r="G1365" t="str">
        <x:v>Financial Services</x:v>
      </x:c>
      <x:c r="H1365" t="str">
        <x:v>SMB</x:v>
      </x:c>
      <x:c r="I1365" t="str">
        <x:v>Closed Lost</x:v>
      </x:c>
      <x:c r="J1365" s="10" t="n">
        <x:v>46266</x:v>
      </x:c>
      <x:c r="K1365" s="10" t="n">
        <x:v>46266</x:v>
      </x:c>
      <x:c r="L1365" s="22" t="n">
        <x:v>23000</x:v>
      </x:c>
      <x:c r="M1365" s="24" t="n">
        <x:v>0</x:v>
      </x:c>
      <x:c r="N1365" s="24" t="n">
        <x:v>0</x:v>
      </x:c>
      <x:c r="O1365" t="str">
        <x:v>Competitor</x:v>
      </x:c>
      <x:c r="P1365" t="n">
        <x:v>3</x:v>
      </x:c>
      <x:c r="Q1365" t="str">
        <x:f>IFERROR(XLOOKUP(E1365,Lookups!$A$5:$A$24,Lookups!$B$5:$B$24),"Other")</x:f>
        <x:v>Webinar</x:v>
      </x:c>
      <x:c r="R1365" t="str">
        <x:f>IFERROR(XLOOKUP(F1365,Lookups!$D$5:$D$10,Lookups!$E$5:$E$10),"Unknown Product")</x:f>
        <x:v>Revenue Operations Suite</x:v>
      </x:c>
      <x:c r="S1365" t="str">
        <x:f>IFERROR(XLOOKUP(F1365,Lookups!$D$5:$D$10,Lookups!$F$5:$F$10),"Unknown")</x:f>
        <x:v>Revenue Ops</x:v>
      </x:c>
      <x:c r="T1365" t="str">
        <x:f>IF(L1365&gt;=50000,"Enterprise",IF(L1365&gt;=20000,"Mid-Market","SMB"))</x:f>
        <x:v>Mid-Market</x:v>
      </x:c>
      <x:c r="U1365" t="str">
        <x:f>IF(I1365="Closed Won","Won",IF(I1365="Closed Lost","Lost","Open"))</x:f>
        <x:v>Lost</x:v>
      </x:c>
      <x:c r="V1365" s="22" t="n">
        <x:f>IF(U1365="Won",L1365*(1-M1365),0)</x:f>
        <x:v>0</x:v>
      </x:c>
      <x:c r="W1365" s="22" t="n">
        <x:f>IF(U1365="Open",L1365*N1365,0)</x:f>
        <x:v>0</x:v>
      </x:c>
      <x:c r="X1365" s="26" t="n">
        <x:f>IF(U1365="Open","",IFERROR(K1365-B1365,""))</x:f>
        <x:v>13</x:v>
      </x:c>
      <x:c r="Y1365" s="26" t="n">
        <x:f>IF(U1365="Open",Lookups!$B$2-B1365,X1365)</x:f>
        <x:v>13</x:v>
      </x:c>
      <x:c r="Z1365" t="str">
        <x:f>IF(AND(U1365="Open",Y1365&gt;30),"STALE","OK")</x:f>
        <x:v>OK</x:v>
      </x:c>
      <x:c r="AA1365" t="str">
        <x:f>TEXT(B1365,"yyyy-mm")</x:f>
        <x:v>2026-08</x:v>
      </x:c>
      <x:c r="AB1365" t="str">
        <x:f>IF(K1365="","",TEXT(K1365,"yyyy-mm"))</x:f>
        <x:v>2026-09</x:v>
      </x:c>
      <x:c r="AC1365" t="str">
        <x:f>"Q"&amp;ROUNDUP(MONTH(B1365)/3,0)&amp;"-"&amp;YEAR(B1365)</x:f>
        <x:v>Q3-2026</x:v>
      </x:c>
      <x:c r="AD1365" s="26" t="n">
        <x:f>MIN(100,IF(H1365="Enterprise",30,IF(H1365="Mid-Market",22,14))+IF(T1365="Enterprise",25,IF(T1365="Mid-Market",18,10))+IF(Q1365="Referral",25,IF(Q1365="Organic Search",20,IF(Q1365="Email",18,14)))+IF(G1365="Technology",10,5))</x:f>
        <x:v>51</x:v>
      </x:c>
      <x:c r="AE1365" t="str">
        <x:f>IF(U1365&lt;&gt;"Open",U1365,IF(N1365&gt;=0.8,"Commit",IF(N1365&gt;=0.5,"Best Case","Pipeline")))</x:f>
        <x:v>Lost</x:v>
      </x:c>
    </x:row>
    <x:row r="1366">
      <x:c r="A1366" t="str">
        <x:v>L01365</x:v>
      </x:c>
      <x:c r="B1366" s="10" t="n">
        <x:v>45838</x:v>
      </x:c>
      <x:c r="C1366" t="str">
        <x:v>Chi Le</x:v>
      </x:c>
      <x:c r="D1366" t="str">
        <x:v>South</x:v>
      </x:c>
      <x:c r="E1366" t="str">
        <x:v>Outbound</x:v>
      </x:c>
      <x:c r="F1366" t="str">
        <x:v>CS-CLOUD</x:v>
      </x:c>
      <x:c r="G1366" t="str">
        <x:v>Professional Services</x:v>
      </x:c>
      <x:c r="H1366" t="str">
        <x:v>Enterprise</x:v>
      </x:c>
      <x:c r="I1366" t="str">
        <x:v>Closed Lost</x:v>
      </x:c>
      <x:c r="J1366" s="10" t="n">
        <x:v>45870</x:v>
      </x:c>
      <x:c r="K1366" s="10" t="n">
        <x:v>45870</x:v>
      </x:c>
      <x:c r="L1366" s="22" t="n">
        <x:v>88600</x:v>
      </x:c>
      <x:c r="M1366" s="24" t="n">
        <x:v>0</x:v>
      </x:c>
      <x:c r="N1366" s="24" t="n">
        <x:v>0</x:v>
      </x:c>
      <x:c r="O1366" t="str">
        <x:v>Price</x:v>
      </x:c>
      <x:c r="P1366" t="n">
        <x:v>5</x:v>
      </x:c>
      <x:c r="Q1366" t="str">
        <x:f>IFERROR(XLOOKUP(E1366,Lookups!$A$5:$A$24,Lookups!$B$5:$B$24),"Other")</x:f>
        <x:v>Outbound</x:v>
      </x:c>
      <x:c r="R1366" t="str">
        <x:f>IFERROR(XLOOKUP(F1366,Lookups!$D$5:$D$10,Lookups!$E$5:$E$10),"Unknown Product")</x:f>
        <x:v>Service Cloud</x:v>
      </x:c>
      <x:c r="S1366" t="str">
        <x:f>IFERROR(XLOOKUP(F1366,Lookups!$D$5:$D$10,Lookups!$F$5:$F$10),"Unknown")</x:f>
        <x:v>Customer Service</x:v>
      </x:c>
      <x:c r="T1366" t="str">
        <x:f>IF(L1366&gt;=50000,"Enterprise",IF(L1366&gt;=20000,"Mid-Market","SMB"))</x:f>
        <x:v>Enterprise</x:v>
      </x:c>
      <x:c r="U1366" t="str">
        <x:f>IF(I1366="Closed Won","Won",IF(I1366="Closed Lost","Lost","Open"))</x:f>
        <x:v>Lost</x:v>
      </x:c>
      <x:c r="V1366" s="22" t="n">
        <x:f>IF(U1366="Won",L1366*(1-M1366),0)</x:f>
        <x:v>0</x:v>
      </x:c>
      <x:c r="W1366" s="22" t="n">
        <x:f>IF(U1366="Open",L1366*N1366,0)</x:f>
        <x:v>0</x:v>
      </x:c>
      <x:c r="X1366" s="26" t="n">
        <x:f>IF(U1366="Open","",IFERROR(K1366-B1366,""))</x:f>
        <x:v>32</x:v>
      </x:c>
      <x:c r="Y1366" s="26" t="n">
        <x:f>IF(U1366="Open",Lookups!$B$2-B1366,X1366)</x:f>
        <x:v>32</x:v>
      </x:c>
      <x:c r="Z1366" t="str">
        <x:f>IF(AND(U1366="Open",Y1366&gt;30),"STALE","OK")</x:f>
        <x:v>OK</x:v>
      </x:c>
      <x:c r="AA1366" t="str">
        <x:f>TEXT(B1366,"yyyy-mm")</x:f>
        <x:v>2025-06</x:v>
      </x:c>
      <x:c r="AB1366" t="str">
        <x:f>IF(K1366="","",TEXT(K1366,"yyyy-mm"))</x:f>
        <x:v>2025-08</x:v>
      </x:c>
      <x:c r="AC1366" t="str">
        <x:f>"Q"&amp;ROUNDUP(MONTH(B1366)/3,0)&amp;"-"&amp;YEAR(B1366)</x:f>
        <x:v>Q2-2025</x:v>
      </x:c>
      <x:c r="AD1366" s="26" t="n">
        <x:f>MIN(100,IF(H1366="Enterprise",30,IF(H1366="Mid-Market",22,14))+IF(T1366="Enterprise",25,IF(T1366="Mid-Market",18,10))+IF(Q1366="Referral",25,IF(Q1366="Organic Search",20,IF(Q1366="Email",18,14)))+IF(G1366="Technology",10,5))</x:f>
        <x:v>74</x:v>
      </x:c>
      <x:c r="AE1366" t="str">
        <x:f>IF(U1366&lt;&gt;"Open",U1366,IF(N1366&gt;=0.8,"Commit",IF(N1366&gt;=0.5,"Best Case","Pipeline")))</x:f>
        <x:v>Lost</x:v>
      </x:c>
    </x:row>
    <x:row r="1367">
      <x:c r="A1367" t="str">
        <x:v>L01366</x:v>
      </x:c>
      <x:c r="B1367" s="10" t="n">
        <x:v>45745</x:v>
      </x:c>
      <x:c r="C1367" t="str">
        <x:v>Minh Do</x:v>
      </x:c>
      <x:c r="D1367" t="str">
        <x:v>North</x:v>
      </x:c>
      <x:c r="E1367" t="str">
        <x:v>customer referral</x:v>
      </x:c>
      <x:c r="F1367" t="str">
        <x:v>REV-OPS</x:v>
      </x:c>
      <x:c r="G1367" t="str">
        <x:v>Retail</x:v>
      </x:c>
      <x:c r="H1367" t="str">
        <x:v>SMB</x:v>
      </x:c>
      <x:c r="I1367" t="str">
        <x:v>Negotiation</x:v>
      </x:c>
      <x:c r="J1367" s="10" t="n">
        <x:v>46051</x:v>
      </x:c>
      <x:c r="K1367" s="10"/>
      <x:c r="L1367" s="22" t="n">
        <x:v>28500</x:v>
      </x:c>
      <x:c r="M1367" s="24" t="n">
        <x:v>0.03</x:v>
      </x:c>
      <x:c r="N1367" s="24" t="n">
        <x:v>0.85</x:v>
      </x:c>
      <x:c r="O1367" t="str"/>
      <x:c r="P1367" t="n">
        <x:v>5</x:v>
      </x:c>
      <x:c r="Q1367" t="str">
        <x:f>IFERROR(XLOOKUP(E1367,Lookups!$A$5:$A$24,Lookups!$B$5:$B$24),"Other")</x:f>
        <x:v>Referral</x:v>
      </x:c>
      <x:c r="R1367" t="str">
        <x:f>IFERROR(XLOOKUP(F1367,Lookups!$D$5:$D$10,Lookups!$E$5:$E$10),"Unknown Product")</x:f>
        <x:v>Revenue Operations Suite</x:v>
      </x:c>
      <x:c r="S1367" t="str">
        <x:f>IFERROR(XLOOKUP(F1367,Lookups!$D$5:$D$10,Lookups!$F$5:$F$10),"Unknown")</x:f>
        <x:v>Revenue Ops</x:v>
      </x:c>
      <x:c r="T1367" t="str">
        <x:f>IF(L1367&gt;=50000,"Enterprise",IF(L1367&gt;=20000,"Mid-Market","SMB"))</x:f>
        <x:v>Mid-Market</x:v>
      </x:c>
      <x:c r="U1367" t="str">
        <x:f>IF(I1367="Closed Won","Won",IF(I1367="Closed Lost","Lost","Open"))</x:f>
        <x:v>Open</x:v>
      </x:c>
      <x:c r="V1367" s="22" t="n">
        <x:f>IF(U1367="Won",L1367*(1-M1367),0)</x:f>
        <x:v>0</x:v>
      </x:c>
      <x:c r="W1367" s="22" t="n">
        <x:f>IF(U1367="Open",L1367*N1367,0)</x:f>
        <x:v>24225</x:v>
      </x:c>
      <x:c r="X1367" s="26" t="str">
        <x:f>IF(U1367="Open","",IFERROR(K1367-B1367,""))</x:f>
      </x:c>
      <x:c r="Y1367" s="26" t="n">
        <x:f>IF(U1367="Open",Lookups!$B$2-B1367,X1367)</x:f>
        <x:v>521</x:v>
      </x:c>
      <x:c r="Z1367" t="str">
        <x:f>IF(AND(U1367="Open",Y1367&gt;30),"STALE","OK")</x:f>
        <x:v>STALE</x:v>
      </x:c>
      <x:c r="AA1367" t="str">
        <x:f>TEXT(B1367,"yyyy-mm")</x:f>
        <x:v>2025-03</x:v>
      </x:c>
      <x:c r="AB1367" t="str">
        <x:f>IF(K1367="","",TEXT(K1367,"yyyy-mm"))</x:f>
      </x:c>
      <x:c r="AC1367" t="str">
        <x:f>"Q"&amp;ROUNDUP(MONTH(B1367)/3,0)&amp;"-"&amp;YEAR(B1367)</x:f>
        <x:v>Q1-2025</x:v>
      </x:c>
      <x:c r="AD1367" s="26" t="n">
        <x:f>MIN(100,IF(H1367="Enterprise",30,IF(H1367="Mid-Market",22,14))+IF(T1367="Enterprise",25,IF(T1367="Mid-Market",18,10))+IF(Q1367="Referral",25,IF(Q1367="Organic Search",20,IF(Q1367="Email",18,14)))+IF(G1367="Technology",10,5))</x:f>
        <x:v>62</x:v>
      </x:c>
      <x:c r="AE1367" t="str">
        <x:f>IF(U1367&lt;&gt;"Open",U1367,IF(N1367&gt;=0.8,"Commit",IF(N1367&gt;=0.5,"Best Case","Pipeline")))</x:f>
        <x:v>Commit</x:v>
      </x:c>
    </x:row>
    <x:row r="1368">
      <x:c r="A1368" t="str">
        <x:v>L01367</x:v>
      </x:c>
      <x:c r="B1368" s="10" t="n">
        <x:v>45795</x:v>
      </x:c>
      <x:c r="C1368" t="str">
        <x:v>Duy Pham</x:v>
      </x:c>
      <x:c r="D1368" t="str">
        <x:v>South</x:v>
      </x:c>
      <x:c r="E1368" t="str">
        <x:v>organic search</x:v>
      </x:c>
      <x:c r="F1368" t="str">
        <x:v>CS-CLOUD</x:v>
      </x:c>
      <x:c r="G1368" t="str">
        <x:v>Financial Services</x:v>
      </x:c>
      <x:c r="H1368" t="str">
        <x:v>SMB</x:v>
      </x:c>
      <x:c r="I1368" t="str">
        <x:v>Closed Won</x:v>
      </x:c>
      <x:c r="J1368" s="10" t="n">
        <x:v>45877</x:v>
      </x:c>
      <x:c r="K1368" s="10" t="n">
        <x:v>45877</x:v>
      </x:c>
      <x:c r="L1368" s="22" t="n">
        <x:v>27100</x:v>
      </x:c>
      <x:c r="M1368" s="24" t="n">
        <x:v>0.1</x:v>
      </x:c>
      <x:c r="N1368" s="24" t="n">
        <x:v>1</x:v>
      </x:c>
      <x:c r="O1368" t="str"/>
      <x:c r="P1368" t="n">
        <x:v>6</x:v>
      </x:c>
      <x:c r="Q1368" t="str">
        <x:f>IFERROR(XLOOKUP(E1368,Lookups!$A$5:$A$24,Lookups!$B$5:$B$24),"Other")</x:f>
        <x:v>Organic Search</x:v>
      </x:c>
      <x:c r="R1368" t="str">
        <x:f>IFERROR(XLOOKUP(F1368,Lookups!$D$5:$D$10,Lookups!$E$5:$E$10),"Unknown Product")</x:f>
        <x:v>Service Cloud</x:v>
      </x:c>
      <x:c r="S1368" t="str">
        <x:f>IFERROR(XLOOKUP(F1368,Lookups!$D$5:$D$10,Lookups!$F$5:$F$10),"Unknown")</x:f>
        <x:v>Customer Service</x:v>
      </x:c>
      <x:c r="T1368" t="str">
        <x:f>IF(L1368&gt;=50000,"Enterprise",IF(L1368&gt;=20000,"Mid-Market","SMB"))</x:f>
        <x:v>Mid-Market</x:v>
      </x:c>
      <x:c r="U1368" t="str">
        <x:f>IF(I1368="Closed Won","Won",IF(I1368="Closed Lost","Lost","Open"))</x:f>
        <x:v>Won</x:v>
      </x:c>
      <x:c r="V1368" s="22" t="n">
        <x:f>IF(U1368="Won",L1368*(1-M1368),0)</x:f>
        <x:v>24390</x:v>
      </x:c>
      <x:c r="W1368" s="22" t="n">
        <x:f>IF(U1368="Open",L1368*N1368,0)</x:f>
        <x:v>0</x:v>
      </x:c>
      <x:c r="X1368" s="26" t="n">
        <x:f>IF(U1368="Open","",IFERROR(K1368-B1368,""))</x:f>
        <x:v>82</x:v>
      </x:c>
      <x:c r="Y1368" s="26" t="n">
        <x:f>IF(U1368="Open",Lookups!$B$2-B1368,X1368)</x:f>
        <x:v>82</x:v>
      </x:c>
      <x:c r="Z1368" t="str">
        <x:f>IF(AND(U1368="Open",Y1368&gt;30),"STALE","OK")</x:f>
        <x:v>OK</x:v>
      </x:c>
      <x:c r="AA1368" t="str">
        <x:f>TEXT(B1368,"yyyy-mm")</x:f>
        <x:v>2025-05</x:v>
      </x:c>
      <x:c r="AB1368" t="str">
        <x:f>IF(K1368="","",TEXT(K1368,"yyyy-mm"))</x:f>
        <x:v>2025-08</x:v>
      </x:c>
      <x:c r="AC1368" t="str">
        <x:f>"Q"&amp;ROUNDUP(MONTH(B1368)/3,0)&amp;"-"&amp;YEAR(B1368)</x:f>
        <x:v>Q2-2025</x:v>
      </x:c>
      <x:c r="AD1368" s="26" t="n">
        <x:f>MIN(100,IF(H1368="Enterprise",30,IF(H1368="Mid-Market",22,14))+IF(T1368="Enterprise",25,IF(T1368="Mid-Market",18,10))+IF(Q1368="Referral",25,IF(Q1368="Organic Search",20,IF(Q1368="Email",18,14)))+IF(G1368="Technology",10,5))</x:f>
        <x:v>57</x:v>
      </x:c>
      <x:c r="AE1368" t="str">
        <x:f>IF(U1368&lt;&gt;"Open",U1368,IF(N1368&gt;=0.8,"Commit",IF(N1368&gt;=0.5,"Best Case","Pipeline")))</x:f>
        <x:v>Won</x:v>
      </x:c>
    </x:row>
    <x:row r="1369">
      <x:c r="A1369" t="str">
        <x:v>L01368</x:v>
      </x:c>
      <x:c r="B1369" s="10" t="n">
        <x:v>45892</x:v>
      </x:c>
      <x:c r="C1369" t="str">
        <x:v>Ha Vo</x:v>
      </x:c>
      <x:c r="D1369" t="str">
        <x:v>North</x:v>
      </x:c>
      <x:c r="E1369" t="str">
        <x:v>LI Ads</x:v>
      </x:c>
      <x:c r="F1369" t="str">
        <x:v>CS-CLOUD</x:v>
      </x:c>
      <x:c r="G1369" t="str">
        <x:v>Healthcare</x:v>
      </x:c>
      <x:c r="H1369" t="str">
        <x:v>SMB</x:v>
      </x:c>
      <x:c r="I1369" t="str">
        <x:v>Negotiation</x:v>
      </x:c>
      <x:c r="J1369" s="10" t="n">
        <x:v>46170</x:v>
      </x:c>
      <x:c r="K1369" s="10"/>
      <x:c r="L1369" s="22" t="n">
        <x:v>14300</x:v>
      </x:c>
      <x:c r="M1369" s="24" t="n">
        <x:v>0.05</x:v>
      </x:c>
      <x:c r="N1369" s="24" t="n">
        <x:v>0.85</x:v>
      </x:c>
      <x:c r="O1369" t="str"/>
      <x:c r="P1369" t="n">
        <x:v>5</x:v>
      </x:c>
      <x:c r="Q1369" t="str">
        <x:f>IFERROR(XLOOKUP(E1369,Lookups!$A$5:$A$24,Lookups!$B$5:$B$24),"Other")</x:f>
        <x:v>LinkedIn</x:v>
      </x:c>
      <x:c r="R1369" t="str">
        <x:f>IFERROR(XLOOKUP(F1369,Lookups!$D$5:$D$10,Lookups!$E$5:$E$10),"Unknown Product")</x:f>
        <x:v>Service Cloud</x:v>
      </x:c>
      <x:c r="S1369" t="str">
        <x:f>IFERROR(XLOOKUP(F1369,Lookups!$D$5:$D$10,Lookups!$F$5:$F$10),"Unknown")</x:f>
        <x:v>Customer Service</x:v>
      </x:c>
      <x:c r="T1369" t="str">
        <x:f>IF(L1369&gt;=50000,"Enterprise",IF(L1369&gt;=20000,"Mid-Market","SMB"))</x:f>
        <x:v>SMB</x:v>
      </x:c>
      <x:c r="U1369" t="str">
        <x:f>IF(I1369="Closed Won","Won",IF(I1369="Closed Lost","Lost","Open"))</x:f>
        <x:v>Open</x:v>
      </x:c>
      <x:c r="V1369" s="22" t="n">
        <x:f>IF(U1369="Won",L1369*(1-M1369),0)</x:f>
        <x:v>0</x:v>
      </x:c>
      <x:c r="W1369" s="22" t="n">
        <x:f>IF(U1369="Open",L1369*N1369,0)</x:f>
        <x:v>12155</x:v>
      </x:c>
      <x:c r="X1369" s="26" t="str">
        <x:f>IF(U1369="Open","",IFERROR(K1369-B1369,""))</x:f>
      </x:c>
      <x:c r="Y1369" s="26" t="n">
        <x:f>IF(U1369="Open",Lookups!$B$2-B1369,X1369)</x:f>
        <x:v>374</x:v>
      </x:c>
      <x:c r="Z1369" t="str">
        <x:f>IF(AND(U1369="Open",Y1369&gt;30),"STALE","OK")</x:f>
        <x:v>STALE</x:v>
      </x:c>
      <x:c r="AA1369" t="str">
        <x:f>TEXT(B1369,"yyyy-mm")</x:f>
        <x:v>2025-08</x:v>
      </x:c>
      <x:c r="AB1369" t="str">
        <x:f>IF(K1369="","",TEXT(K1369,"yyyy-mm"))</x:f>
      </x:c>
      <x:c r="AC1369" t="str">
        <x:f>"Q"&amp;ROUNDUP(MONTH(B1369)/3,0)&amp;"-"&amp;YEAR(B1369)</x:f>
        <x:v>Q3-2025</x:v>
      </x:c>
      <x:c r="AD1369" s="26" t="n">
        <x:f>MIN(100,IF(H1369="Enterprise",30,IF(H1369="Mid-Market",22,14))+IF(T1369="Enterprise",25,IF(T1369="Mid-Market",18,10))+IF(Q1369="Referral",25,IF(Q1369="Organic Search",20,IF(Q1369="Email",18,14)))+IF(G1369="Technology",10,5))</x:f>
        <x:v>43</x:v>
      </x:c>
      <x:c r="AE1369" t="str">
        <x:f>IF(U1369&lt;&gt;"Open",U1369,IF(N1369&gt;=0.8,"Commit",IF(N1369&gt;=0.5,"Best Case","Pipeline")))</x:f>
        <x:v>Commit</x:v>
      </x:c>
    </x:row>
    <x:row r="1370">
      <x:c r="A1370" t="str">
        <x:v>L01369</x:v>
      </x:c>
      <x:c r="B1370" s="10" t="n">
        <x:v>46107</x:v>
      </x:c>
      <x:c r="C1370" t="str">
        <x:v>Ha Vo</x:v>
      </x:c>
      <x:c r="D1370" t="str">
        <x:v>North</x:v>
      </x:c>
      <x:c r="E1370" t="str">
        <x:v>SEO</x:v>
      </x:c>
      <x:c r="F1370" t="str">
        <x:v>CS-CLOUD</x:v>
      </x:c>
      <x:c r="G1370" t="str">
        <x:v>Manufacturing</x:v>
      </x:c>
      <x:c r="H1370" t="str">
        <x:v>Mid-Market</x:v>
      </x:c>
      <x:c r="I1370" t="str">
        <x:v>Closed Lost</x:v>
      </x:c>
      <x:c r="J1370" s="10" t="n">
        <x:v>46150</x:v>
      </x:c>
      <x:c r="K1370" s="10" t="n">
        <x:v>46150</x:v>
      </x:c>
      <x:c r="L1370" s="22" t="n">
        <x:v>26400</x:v>
      </x:c>
      <x:c r="M1370" s="24" t="n">
        <x:v>0</x:v>
      </x:c>
      <x:c r="N1370" s="24" t="n">
        <x:v>0</x:v>
      </x:c>
      <x:c r="O1370" t="str">
        <x:v>Competitor</x:v>
      </x:c>
      <x:c r="P1370" t="n">
        <x:v>5</x:v>
      </x:c>
      <x:c r="Q1370" t="str">
        <x:f>IFERROR(XLOOKUP(E1370,Lookups!$A$5:$A$24,Lookups!$B$5:$B$24),"Other")</x:f>
        <x:v>Organic Search</x:v>
      </x:c>
      <x:c r="R1370" t="str">
        <x:f>IFERROR(XLOOKUP(F1370,Lookups!$D$5:$D$10,Lookups!$E$5:$E$10),"Unknown Product")</x:f>
        <x:v>Service Cloud</x:v>
      </x:c>
      <x:c r="S1370" t="str">
        <x:f>IFERROR(XLOOKUP(F1370,Lookups!$D$5:$D$10,Lookups!$F$5:$F$10),"Unknown")</x:f>
        <x:v>Customer Service</x:v>
      </x:c>
      <x:c r="T1370" t="str">
        <x:f>IF(L1370&gt;=50000,"Enterprise",IF(L1370&gt;=20000,"Mid-Market","SMB"))</x:f>
        <x:v>Mid-Market</x:v>
      </x:c>
      <x:c r="U1370" t="str">
        <x:f>IF(I1370="Closed Won","Won",IF(I1370="Closed Lost","Lost","Open"))</x:f>
        <x:v>Lost</x:v>
      </x:c>
      <x:c r="V1370" s="22" t="n">
        <x:f>IF(U1370="Won",L1370*(1-M1370),0)</x:f>
        <x:v>0</x:v>
      </x:c>
      <x:c r="W1370" s="22" t="n">
        <x:f>IF(U1370="Open",L1370*N1370,0)</x:f>
        <x:v>0</x:v>
      </x:c>
      <x:c r="X1370" s="26" t="n">
        <x:f>IF(U1370="Open","",IFERROR(K1370-B1370,""))</x:f>
        <x:v>43</x:v>
      </x:c>
      <x:c r="Y1370" s="26" t="n">
        <x:f>IF(U1370="Open",Lookups!$B$2-B1370,X1370)</x:f>
        <x:v>43</x:v>
      </x:c>
      <x:c r="Z1370" t="str">
        <x:f>IF(AND(U1370="Open",Y1370&gt;30),"STALE","OK")</x:f>
        <x:v>OK</x:v>
      </x:c>
      <x:c r="AA1370" t="str">
        <x:f>TEXT(B1370,"yyyy-mm")</x:f>
        <x:v>2026-03</x:v>
      </x:c>
      <x:c r="AB1370" t="str">
        <x:f>IF(K1370="","",TEXT(K1370,"yyyy-mm"))</x:f>
        <x:v>2026-05</x:v>
      </x:c>
      <x:c r="AC1370" t="str">
        <x:f>"Q"&amp;ROUNDUP(MONTH(B1370)/3,0)&amp;"-"&amp;YEAR(B1370)</x:f>
        <x:v>Q1-2026</x:v>
      </x:c>
      <x:c r="AD1370" s="26" t="n">
        <x:f>MIN(100,IF(H1370="Enterprise",30,IF(H1370="Mid-Market",22,14))+IF(T1370="Enterprise",25,IF(T1370="Mid-Market",18,10))+IF(Q1370="Referral",25,IF(Q1370="Organic Search",20,IF(Q1370="Email",18,14)))+IF(G1370="Technology",10,5))</x:f>
        <x:v>65</x:v>
      </x:c>
      <x:c r="AE1370" t="str">
        <x:f>IF(U1370&lt;&gt;"Open",U1370,IF(N1370&gt;=0.8,"Commit",IF(N1370&gt;=0.5,"Best Case","Pipeline")))</x:f>
        <x:v>Lost</x:v>
      </x:c>
    </x:row>
    <x:row r="1371">
      <x:c r="A1371" t="str">
        <x:v>L01370</x:v>
      </x:c>
      <x:c r="B1371" s="10" t="n">
        <x:v>45746</x:v>
      </x:c>
      <x:c r="C1371" t="str">
        <x:v>An Nguyen</x:v>
      </x:c>
      <x:c r="D1371" t="str">
        <x:v>South</x:v>
      </x:c>
      <x:c r="E1371" t="str">
        <x:v>google cpc</x:v>
      </x:c>
      <x:c r="F1371" t="str">
        <x:v>CRM-CORE</x:v>
      </x:c>
      <x:c r="G1371" t="str">
        <x:v>Healthcare</x:v>
      </x:c>
      <x:c r="H1371" t="str">
        <x:v>SMB</x:v>
      </x:c>
      <x:c r="I1371" t="str">
        <x:v>Closed Lost</x:v>
      </x:c>
      <x:c r="J1371" s="10" t="n">
        <x:v>45766</x:v>
      </x:c>
      <x:c r="K1371" s="10" t="n">
        <x:v>45766</x:v>
      </x:c>
      <x:c r="L1371" s="22" t="n">
        <x:v>8000</x:v>
      </x:c>
      <x:c r="M1371" s="24" t="n">
        <x:v>0</x:v>
      </x:c>
      <x:c r="N1371" s="24" t="n">
        <x:v>0</x:v>
      </x:c>
      <x:c r="O1371" t="str">
        <x:v>Price</x:v>
      </x:c>
      <x:c r="P1371" t="n">
        <x:v>2</x:v>
      </x:c>
      <x:c r="Q1371" t="str">
        <x:f>IFERROR(XLOOKUP(E1371,Lookups!$A$5:$A$24,Lookups!$B$5:$B$24),"Other")</x:f>
        <x:v>Paid Search</x:v>
      </x:c>
      <x:c r="R1371" t="str">
        <x:f>IFERROR(XLOOKUP(F1371,Lookups!$D$5:$D$10,Lookups!$E$5:$E$10),"Unknown Product")</x:f>
        <x:v>NexaCRM Core</x:v>
      </x:c>
      <x:c r="S1371" t="str">
        <x:f>IFERROR(XLOOKUP(F1371,Lookups!$D$5:$D$10,Lookups!$F$5:$F$10),"Unknown")</x:f>
        <x:v>CRM</x:v>
      </x:c>
      <x:c r="T1371" t="str">
        <x:f>IF(L1371&gt;=50000,"Enterprise",IF(L1371&gt;=20000,"Mid-Market","SMB"))</x:f>
        <x:v>SMB</x:v>
      </x:c>
      <x:c r="U1371" t="str">
        <x:f>IF(I1371="Closed Won","Won",IF(I1371="Closed Lost","Lost","Open"))</x:f>
        <x:v>Lost</x:v>
      </x:c>
      <x:c r="V1371" s="22" t="n">
        <x:f>IF(U1371="Won",L1371*(1-M1371),0)</x:f>
        <x:v>0</x:v>
      </x:c>
      <x:c r="W1371" s="22" t="n">
        <x:f>IF(U1371="Open",L1371*N1371,0)</x:f>
        <x:v>0</x:v>
      </x:c>
      <x:c r="X1371" s="26" t="n">
        <x:f>IF(U1371="Open","",IFERROR(K1371-B1371,""))</x:f>
        <x:v>20</x:v>
      </x:c>
      <x:c r="Y1371" s="26" t="n">
        <x:f>IF(U1371="Open",Lookups!$B$2-B1371,X1371)</x:f>
        <x:v>20</x:v>
      </x:c>
      <x:c r="Z1371" t="str">
        <x:f>IF(AND(U1371="Open",Y1371&gt;30),"STALE","OK")</x:f>
        <x:v>OK</x:v>
      </x:c>
      <x:c r="AA1371" t="str">
        <x:f>TEXT(B1371,"yyyy-mm")</x:f>
        <x:v>2025-03</x:v>
      </x:c>
      <x:c r="AB1371" t="str">
        <x:f>IF(K1371="","",TEXT(K1371,"yyyy-mm"))</x:f>
        <x:v>2025-04</x:v>
      </x:c>
      <x:c r="AC1371" t="str">
        <x:f>"Q"&amp;ROUNDUP(MONTH(B1371)/3,0)&amp;"-"&amp;YEAR(B1371)</x:f>
        <x:v>Q1-2025</x:v>
      </x:c>
      <x:c r="AD1371" s="26" t="n">
        <x:f>MIN(100,IF(H1371="Enterprise",30,IF(H1371="Mid-Market",22,14))+IF(T1371="Enterprise",25,IF(T1371="Mid-Market",18,10))+IF(Q1371="Referral",25,IF(Q1371="Organic Search",20,IF(Q1371="Email",18,14)))+IF(G1371="Technology",10,5))</x:f>
        <x:v>43</x:v>
      </x:c>
      <x:c r="AE1371" t="str">
        <x:f>IF(U1371&lt;&gt;"Open",U1371,IF(N1371&gt;=0.8,"Commit",IF(N1371&gt;=0.5,"Best Case","Pipeline")))</x:f>
        <x:v>Lost</x:v>
      </x:c>
    </x:row>
    <x:row r="1372">
      <x:c r="A1372" t="str">
        <x:v>L01371</x:v>
      </x:c>
      <x:c r="B1372" s="10" t="n">
        <x:v>46158</x:v>
      </x:c>
      <x:c r="C1372" t="str">
        <x:v>Bao Tran</x:v>
      </x:c>
      <x:c r="D1372" t="str">
        <x:v>South</x:v>
      </x:c>
      <x:c r="E1372" t="str">
        <x:v>Google Organic</x:v>
      </x:c>
      <x:c r="F1372" t="str">
        <x:v>BI-PLUS</x:v>
      </x:c>
      <x:c r="G1372" t="str">
        <x:v>Education</x:v>
      </x:c>
      <x:c r="H1372" t="str">
        <x:v>SMB</x:v>
      </x:c>
      <x:c r="I1372" t="str">
        <x:v>Closed Lost</x:v>
      </x:c>
      <x:c r="J1372" s="10" t="n">
        <x:v>46204</x:v>
      </x:c>
      <x:c r="K1372" s="10" t="n">
        <x:v>46204</x:v>
      </x:c>
      <x:c r="L1372" s="22" t="n">
        <x:v>27600</x:v>
      </x:c>
      <x:c r="M1372" s="24" t="n">
        <x:v>0</x:v>
      </x:c>
      <x:c r="N1372" s="24" t="n">
        <x:v>0</x:v>
      </x:c>
      <x:c r="O1372" t="str">
        <x:v>Competitor</x:v>
      </x:c>
      <x:c r="P1372" t="n">
        <x:v>5</x:v>
      </x:c>
      <x:c r="Q1372" t="str">
        <x:f>IFERROR(XLOOKUP(E1372,Lookups!$A$5:$A$24,Lookups!$B$5:$B$24),"Other")</x:f>
        <x:v>Organic Search</x:v>
      </x:c>
      <x:c r="R1372" t="str">
        <x:f>IFERROR(XLOOKUP(F1372,Lookups!$D$5:$D$10,Lookups!$E$5:$E$10),"Unknown Product")</x:f>
        <x:v>Analytics Plus</x:v>
      </x:c>
      <x:c r="S1372" t="str">
        <x:f>IFERROR(XLOOKUP(F1372,Lookups!$D$5:$D$10,Lookups!$F$5:$F$10),"Unknown")</x:f>
        <x:v>Analytics</x:v>
      </x:c>
      <x:c r="T1372" t="str">
        <x:f>IF(L1372&gt;=50000,"Enterprise",IF(L1372&gt;=20000,"Mid-Market","SMB"))</x:f>
        <x:v>Mid-Market</x:v>
      </x:c>
      <x:c r="U1372" t="str">
        <x:f>IF(I1372="Closed Won","Won",IF(I1372="Closed Lost","Lost","Open"))</x:f>
        <x:v>Lost</x:v>
      </x:c>
      <x:c r="V1372" s="22" t="n">
        <x:f>IF(U1372="Won",L1372*(1-M1372),0)</x:f>
        <x:v>0</x:v>
      </x:c>
      <x:c r="W1372" s="22" t="n">
        <x:f>IF(U1372="Open",L1372*N1372,0)</x:f>
        <x:v>0</x:v>
      </x:c>
      <x:c r="X1372" s="26" t="n">
        <x:f>IF(U1372="Open","",IFERROR(K1372-B1372,""))</x:f>
        <x:v>46</x:v>
      </x:c>
      <x:c r="Y1372" s="26" t="n">
        <x:f>IF(U1372="Open",Lookups!$B$2-B1372,X1372)</x:f>
        <x:v>46</x:v>
      </x:c>
      <x:c r="Z1372" t="str">
        <x:f>IF(AND(U1372="Open",Y1372&gt;30),"STALE","OK")</x:f>
        <x:v>OK</x:v>
      </x:c>
      <x:c r="AA1372" t="str">
        <x:f>TEXT(B1372,"yyyy-mm")</x:f>
        <x:v>2026-05</x:v>
      </x:c>
      <x:c r="AB1372" t="str">
        <x:f>IF(K1372="","",TEXT(K1372,"yyyy-mm"))</x:f>
        <x:v>2026-07</x:v>
      </x:c>
      <x:c r="AC1372" t="str">
        <x:f>"Q"&amp;ROUNDUP(MONTH(B1372)/3,0)&amp;"-"&amp;YEAR(B1372)</x:f>
        <x:v>Q2-2026</x:v>
      </x:c>
      <x:c r="AD1372" s="26" t="n">
        <x:f>MIN(100,IF(H1372="Enterprise",30,IF(H1372="Mid-Market",22,14))+IF(T1372="Enterprise",25,IF(T1372="Mid-Market",18,10))+IF(Q1372="Referral",25,IF(Q1372="Organic Search",20,IF(Q1372="Email",18,14)))+IF(G1372="Technology",10,5))</x:f>
        <x:v>57</x:v>
      </x:c>
      <x:c r="AE1372" t="str">
        <x:f>IF(U1372&lt;&gt;"Open",U1372,IF(N1372&gt;=0.8,"Commit",IF(N1372&gt;=0.5,"Best Case","Pipeline")))</x:f>
        <x:v>Lost</x:v>
      </x:c>
    </x:row>
    <x:row r="1373">
      <x:c r="A1373" t="str">
        <x:v>L01372</x:v>
      </x:c>
      <x:c r="B1373" s="10" t="n">
        <x:v>46159</x:v>
      </x:c>
      <x:c r="C1373" t="str">
        <x:v>An Nguyen</x:v>
      </x:c>
      <x:c r="D1373" t="str">
        <x:v>South</x:v>
      </x:c>
      <x:c r="E1373" t="str">
        <x:v>organic search</x:v>
      </x:c>
      <x:c r="F1373" t="str">
        <x:v>REV-OPS</x:v>
      </x:c>
      <x:c r="G1373" t="str">
        <x:v>Technology</x:v>
      </x:c>
      <x:c r="H1373" t="str">
        <x:v>SMB</x:v>
      </x:c>
      <x:c r="I1373" t="str">
        <x:v>Closed Lost</x:v>
      </x:c>
      <x:c r="J1373" s="10" t="n">
        <x:v>46183</x:v>
      </x:c>
      <x:c r="K1373" s="10" t="n">
        <x:v>46183</x:v>
      </x:c>
      <x:c r="L1373" s="22" t="n">
        <x:v>45700</x:v>
      </x:c>
      <x:c r="M1373" s="24" t="n">
        <x:v>0</x:v>
      </x:c>
      <x:c r="N1373" s="24" t="n">
        <x:v>0</x:v>
      </x:c>
      <x:c r="O1373" t="str">
        <x:v>No Decision</x:v>
      </x:c>
      <x:c r="P1373" t="n">
        <x:v>3</x:v>
      </x:c>
      <x:c r="Q1373" t="str">
        <x:f>IFERROR(XLOOKUP(E1373,Lookups!$A$5:$A$24,Lookups!$B$5:$B$24),"Other")</x:f>
        <x:v>Organic Search</x:v>
      </x:c>
      <x:c r="R1373" t="str">
        <x:f>IFERROR(XLOOKUP(F1373,Lookups!$D$5:$D$10,Lookups!$E$5:$E$10),"Unknown Product")</x:f>
        <x:v>Revenue Operations Suite</x:v>
      </x:c>
      <x:c r="S1373" t="str">
        <x:f>IFERROR(XLOOKUP(F1373,Lookups!$D$5:$D$10,Lookups!$F$5:$F$10),"Unknown")</x:f>
        <x:v>Revenue Ops</x:v>
      </x:c>
      <x:c r="T1373" t="str">
        <x:f>IF(L1373&gt;=50000,"Enterprise",IF(L1373&gt;=20000,"Mid-Market","SMB"))</x:f>
        <x:v>Mid-Market</x:v>
      </x:c>
      <x:c r="U1373" t="str">
        <x:f>IF(I1373="Closed Won","Won",IF(I1373="Closed Lost","Lost","Open"))</x:f>
        <x:v>Lost</x:v>
      </x:c>
      <x:c r="V1373" s="22" t="n">
        <x:f>IF(U1373="Won",L1373*(1-M1373),0)</x:f>
        <x:v>0</x:v>
      </x:c>
      <x:c r="W1373" s="22" t="n">
        <x:f>IF(U1373="Open",L1373*N1373,0)</x:f>
        <x:v>0</x:v>
      </x:c>
      <x:c r="X1373" s="26" t="n">
        <x:f>IF(U1373="Open","",IFERROR(K1373-B1373,""))</x:f>
        <x:v>24</x:v>
      </x:c>
      <x:c r="Y1373" s="26" t="n">
        <x:f>IF(U1373="Open",Lookups!$B$2-B1373,X1373)</x:f>
        <x:v>24</x:v>
      </x:c>
      <x:c r="Z1373" t="str">
        <x:f>IF(AND(U1373="Open",Y1373&gt;30),"STALE","OK")</x:f>
        <x:v>OK</x:v>
      </x:c>
      <x:c r="AA1373" t="str">
        <x:f>TEXT(B1373,"yyyy-mm")</x:f>
        <x:v>2026-05</x:v>
      </x:c>
      <x:c r="AB1373" t="str">
        <x:f>IF(K1373="","",TEXT(K1373,"yyyy-mm"))</x:f>
        <x:v>2026-06</x:v>
      </x:c>
      <x:c r="AC1373" t="str">
        <x:f>"Q"&amp;ROUNDUP(MONTH(B1373)/3,0)&amp;"-"&amp;YEAR(B1373)</x:f>
        <x:v>Q2-2026</x:v>
      </x:c>
      <x:c r="AD1373" s="26" t="n">
        <x:f>MIN(100,IF(H1373="Enterprise",30,IF(H1373="Mid-Market",22,14))+IF(T1373="Enterprise",25,IF(T1373="Mid-Market",18,10))+IF(Q1373="Referral",25,IF(Q1373="Organic Search",20,IF(Q1373="Email",18,14)))+IF(G1373="Technology",10,5))</x:f>
        <x:v>62</x:v>
      </x:c>
      <x:c r="AE1373" t="str">
        <x:f>IF(U1373&lt;&gt;"Open",U1373,IF(N1373&gt;=0.8,"Commit",IF(N1373&gt;=0.5,"Best Case","Pipeline")))</x:f>
        <x:v>Lost</x:v>
      </x:c>
    </x:row>
    <x:row r="1374">
      <x:c r="A1374" t="str">
        <x:v>L01373</x:v>
      </x:c>
      <x:c r="B1374" s="10" t="n">
        <x:v>46103</x:v>
      </x:c>
      <x:c r="C1374" t="str">
        <x:v>Minh Do</x:v>
      </x:c>
      <x:c r="D1374" t="str">
        <x:v>North</x:v>
      </x:c>
      <x:c r="E1374" t="str">
        <x:v>Cold Email</x:v>
      </x:c>
      <x:c r="F1374" t="str">
        <x:v>CRM-PRO</x:v>
      </x:c>
      <x:c r="G1374" t="str">
        <x:v>Technology</x:v>
      </x:c>
      <x:c r="H1374" t="str">
        <x:v>SMB</x:v>
      </x:c>
      <x:c r="I1374" t="str">
        <x:v>Closed Lost</x:v>
      </x:c>
      <x:c r="J1374" s="10" t="n">
        <x:v>46116</x:v>
      </x:c>
      <x:c r="K1374" s="10" t="n">
        <x:v>46116</x:v>
      </x:c>
      <x:c r="L1374" s="22" t="n">
        <x:v>10900</x:v>
      </x:c>
      <x:c r="M1374" s="24" t="n">
        <x:v>0</x:v>
      </x:c>
      <x:c r="N1374" s="24" t="n">
        <x:v>0</x:v>
      </x:c>
      <x:c r="O1374" t="str">
        <x:v>Timing</x:v>
      </x:c>
      <x:c r="P1374" t="n">
        <x:v>4</x:v>
      </x:c>
      <x:c r="Q1374" t="str">
        <x:f>IFERROR(XLOOKUP(E1374,Lookups!$A$5:$A$24,Lookups!$B$5:$B$24),"Other")</x:f>
        <x:v>Outbound</x:v>
      </x:c>
      <x:c r="R1374" t="str">
        <x:f>IFERROR(XLOOKUP(F1374,Lookups!$D$5:$D$10,Lookups!$E$5:$E$10),"Unknown Product")</x:f>
        <x:v>NexaCRM Pro</x:v>
      </x:c>
      <x:c r="S1374" t="str">
        <x:f>IFERROR(XLOOKUP(F1374,Lookups!$D$5:$D$10,Lookups!$F$5:$F$10),"Unknown")</x:f>
        <x:v>CRM</x:v>
      </x:c>
      <x:c r="T1374" t="str">
        <x:f>IF(L1374&gt;=50000,"Enterprise",IF(L1374&gt;=20000,"Mid-Market","SMB"))</x:f>
        <x:v>SMB</x:v>
      </x:c>
      <x:c r="U1374" t="str">
        <x:f>IF(I1374="Closed Won","Won",IF(I1374="Closed Lost","Lost","Open"))</x:f>
        <x:v>Lost</x:v>
      </x:c>
      <x:c r="V1374" s="22" t="n">
        <x:f>IF(U1374="Won",L1374*(1-M1374),0)</x:f>
        <x:v>0</x:v>
      </x:c>
      <x:c r="W1374" s="22" t="n">
        <x:f>IF(U1374="Open",L1374*N1374,0)</x:f>
        <x:v>0</x:v>
      </x:c>
      <x:c r="X1374" s="26" t="n">
        <x:f>IF(U1374="Open","",IFERROR(K1374-B1374,""))</x:f>
        <x:v>13</x:v>
      </x:c>
      <x:c r="Y1374" s="26" t="n">
        <x:f>IF(U1374="Open",Lookups!$B$2-B1374,X1374)</x:f>
        <x:v>13</x:v>
      </x:c>
      <x:c r="Z1374" t="str">
        <x:f>IF(AND(U1374="Open",Y1374&gt;30),"STALE","OK")</x:f>
        <x:v>OK</x:v>
      </x:c>
      <x:c r="AA1374" t="str">
        <x:f>TEXT(B1374,"yyyy-mm")</x:f>
        <x:v>2026-03</x:v>
      </x:c>
      <x:c r="AB1374" t="str">
        <x:f>IF(K1374="","",TEXT(K1374,"yyyy-mm"))</x:f>
        <x:v>2026-04</x:v>
      </x:c>
      <x:c r="AC1374" t="str">
        <x:f>"Q"&amp;ROUNDUP(MONTH(B1374)/3,0)&amp;"-"&amp;YEAR(B1374)</x:f>
        <x:v>Q1-2026</x:v>
      </x:c>
      <x:c r="AD1374" s="26" t="n">
        <x:f>MIN(100,IF(H1374="Enterprise",30,IF(H1374="Mid-Market",22,14))+IF(T1374="Enterprise",25,IF(T1374="Mid-Market",18,10))+IF(Q1374="Referral",25,IF(Q1374="Organic Search",20,IF(Q1374="Email",18,14)))+IF(G1374="Technology",10,5))</x:f>
        <x:v>48</x:v>
      </x:c>
      <x:c r="AE1374" t="str">
        <x:f>IF(U1374&lt;&gt;"Open",U1374,IF(N1374&gt;=0.8,"Commit",IF(N1374&gt;=0.5,"Best Case","Pipeline")))</x:f>
        <x:v>Lost</x:v>
      </x:c>
    </x:row>
    <x:row r="1375">
      <x:c r="A1375" t="str">
        <x:v>L01374</x:v>
      </x:c>
      <x:c r="B1375" s="10" t="n">
        <x:v>45779</x:v>
      </x:c>
      <x:c r="C1375" t="str">
        <x:v>An Nguyen</x:v>
      </x:c>
      <x:c r="D1375" t="str">
        <x:v>South</x:v>
      </x:c>
      <x:c r="E1375" t="str">
        <x:v>Google Ads</x:v>
      </x:c>
      <x:c r="F1375" t="str">
        <x:v>CRM-PRO</x:v>
      </x:c>
      <x:c r="G1375" t="str">
        <x:v>Education</x:v>
      </x:c>
      <x:c r="H1375" t="str">
        <x:v>Mid-Market</x:v>
      </x:c>
      <x:c r="I1375" t="str">
        <x:v>Closed Lost</x:v>
      </x:c>
      <x:c r="J1375" s="10" t="n">
        <x:v>45801</x:v>
      </x:c>
      <x:c r="K1375" s="10" t="n">
        <x:v>45801</x:v>
      </x:c>
      <x:c r="L1375" s="22" t="n">
        <x:v>44000</x:v>
      </x:c>
      <x:c r="M1375" s="24" t="n">
        <x:v>0</x:v>
      </x:c>
      <x:c r="N1375" s="24" t="n">
        <x:v>0</x:v>
      </x:c>
      <x:c r="O1375" t="str">
        <x:v>Competitor</x:v>
      </x:c>
      <x:c r="P1375" t="n">
        <x:v>2</x:v>
      </x:c>
      <x:c r="Q1375" t="str">
        <x:f>IFERROR(XLOOKUP(E1375,Lookups!$A$5:$A$24,Lookups!$B$5:$B$24),"Other")</x:f>
        <x:v>Paid Search</x:v>
      </x:c>
      <x:c r="R1375" t="str">
        <x:f>IFERROR(XLOOKUP(F1375,Lookups!$D$5:$D$10,Lookups!$E$5:$E$10),"Unknown Product")</x:f>
        <x:v>NexaCRM Pro</x:v>
      </x:c>
      <x:c r="S1375" t="str">
        <x:f>IFERROR(XLOOKUP(F1375,Lookups!$D$5:$D$10,Lookups!$F$5:$F$10),"Unknown")</x:f>
        <x:v>CRM</x:v>
      </x:c>
      <x:c r="T1375" t="str">
        <x:f>IF(L1375&gt;=50000,"Enterprise",IF(L1375&gt;=20000,"Mid-Market","SMB"))</x:f>
        <x:v>Mid-Market</x:v>
      </x:c>
      <x:c r="U1375" t="str">
        <x:f>IF(I1375="Closed Won","Won",IF(I1375="Closed Lost","Lost","Open"))</x:f>
        <x:v>Lost</x:v>
      </x:c>
      <x:c r="V1375" s="22" t="n">
        <x:f>IF(U1375="Won",L1375*(1-M1375),0)</x:f>
        <x:v>0</x:v>
      </x:c>
      <x:c r="W1375" s="22" t="n">
        <x:f>IF(U1375="Open",L1375*N1375,0)</x:f>
        <x:v>0</x:v>
      </x:c>
      <x:c r="X1375" s="26" t="n">
        <x:f>IF(U1375="Open","",IFERROR(K1375-B1375,""))</x:f>
        <x:v>22</x:v>
      </x:c>
      <x:c r="Y1375" s="26" t="n">
        <x:f>IF(U1375="Open",Lookups!$B$2-B1375,X1375)</x:f>
        <x:v>22</x:v>
      </x:c>
      <x:c r="Z1375" t="str">
        <x:f>IF(AND(U1375="Open",Y1375&gt;30),"STALE","OK")</x:f>
        <x:v>OK</x:v>
      </x:c>
      <x:c r="AA1375" t="str">
        <x:f>TEXT(B1375,"yyyy-mm")</x:f>
        <x:v>2025-05</x:v>
      </x:c>
      <x:c r="AB1375" t="str">
        <x:f>IF(K1375="","",TEXT(K1375,"yyyy-mm"))</x:f>
        <x:v>2025-05</x:v>
      </x:c>
      <x:c r="AC1375" t="str">
        <x:f>"Q"&amp;ROUNDUP(MONTH(B1375)/3,0)&amp;"-"&amp;YEAR(B1375)</x:f>
        <x:v>Q2-2025</x:v>
      </x:c>
      <x:c r="AD1375" s="26" t="n">
        <x:f>MIN(100,IF(H1375="Enterprise",30,IF(H1375="Mid-Market",22,14))+IF(T1375="Enterprise",25,IF(T1375="Mid-Market",18,10))+IF(Q1375="Referral",25,IF(Q1375="Organic Search",20,IF(Q1375="Email",18,14)))+IF(G1375="Technology",10,5))</x:f>
        <x:v>59</x:v>
      </x:c>
      <x:c r="AE1375" t="str">
        <x:f>IF(U1375&lt;&gt;"Open",U1375,IF(N1375&gt;=0.8,"Commit",IF(N1375&gt;=0.5,"Best Case","Pipeline")))</x:f>
        <x:v>Lost</x:v>
      </x:c>
    </x:row>
    <x:row r="1376">
      <x:c r="A1376" t="str">
        <x:v>L01375</x:v>
      </x:c>
      <x:c r="B1376" s="10" t="n">
        <x:v>45723</x:v>
      </x:c>
      <x:c r="C1376" t="str">
        <x:v>Minh Do</x:v>
      </x:c>
      <x:c r="D1376" t="str">
        <x:v>North</x:v>
      </x:c>
      <x:c r="E1376" t="str">
        <x:v>organic search</x:v>
      </x:c>
      <x:c r="F1376" t="str">
        <x:v>CS-CLOUD</x:v>
      </x:c>
      <x:c r="G1376" t="str">
        <x:v>Professional Services</x:v>
      </x:c>
      <x:c r="H1376" t="str">
        <x:v>Mid-Market</x:v>
      </x:c>
      <x:c r="I1376" t="str">
        <x:v>Negotiation</x:v>
      </x:c>
      <x:c r="J1376" s="10" t="n">
        <x:v>46033</x:v>
      </x:c>
      <x:c r="K1376" s="10"/>
      <x:c r="L1376" s="22" t="n">
        <x:v>42100</x:v>
      </x:c>
      <x:c r="M1376" s="24" t="n">
        <x:v>0.03</x:v>
      </x:c>
      <x:c r="N1376" s="24" t="n">
        <x:v>0.85</x:v>
      </x:c>
      <x:c r="O1376" t="str"/>
      <x:c r="P1376" t="n">
        <x:v>5</x:v>
      </x:c>
      <x:c r="Q1376" t="str">
        <x:f>IFERROR(XLOOKUP(E1376,Lookups!$A$5:$A$24,Lookups!$B$5:$B$24),"Other")</x:f>
        <x:v>Organic Search</x:v>
      </x:c>
      <x:c r="R1376" t="str">
        <x:f>IFERROR(XLOOKUP(F1376,Lookups!$D$5:$D$10,Lookups!$E$5:$E$10),"Unknown Product")</x:f>
        <x:v>Service Cloud</x:v>
      </x:c>
      <x:c r="S1376" t="str">
        <x:f>IFERROR(XLOOKUP(F1376,Lookups!$D$5:$D$10,Lookups!$F$5:$F$10),"Unknown")</x:f>
        <x:v>Customer Service</x:v>
      </x:c>
      <x:c r="T1376" t="str">
        <x:f>IF(L1376&gt;=50000,"Enterprise",IF(L1376&gt;=20000,"Mid-Market","SMB"))</x:f>
        <x:v>Mid-Market</x:v>
      </x:c>
      <x:c r="U1376" t="str">
        <x:f>IF(I1376="Closed Won","Won",IF(I1376="Closed Lost","Lost","Open"))</x:f>
        <x:v>Open</x:v>
      </x:c>
      <x:c r="V1376" s="22" t="n">
        <x:f>IF(U1376="Won",L1376*(1-M1376),0)</x:f>
        <x:v>0</x:v>
      </x:c>
      <x:c r="W1376" s="22" t="n">
        <x:f>IF(U1376="Open",L1376*N1376,0)</x:f>
        <x:v>35785</x:v>
      </x:c>
      <x:c r="X1376" s="26" t="str">
        <x:f>IF(U1376="Open","",IFERROR(K1376-B1376,""))</x:f>
      </x:c>
      <x:c r="Y1376" s="26" t="n">
        <x:f>IF(U1376="Open",Lookups!$B$2-B1376,X1376)</x:f>
        <x:v>543</x:v>
      </x:c>
      <x:c r="Z1376" t="str">
        <x:f>IF(AND(U1376="Open",Y1376&gt;30),"STALE","OK")</x:f>
        <x:v>STALE</x:v>
      </x:c>
      <x:c r="AA1376" t="str">
        <x:f>TEXT(B1376,"yyyy-mm")</x:f>
        <x:v>2025-03</x:v>
      </x:c>
      <x:c r="AB1376" t="str">
        <x:f>IF(K1376="","",TEXT(K1376,"yyyy-mm"))</x:f>
      </x:c>
      <x:c r="AC1376" t="str">
        <x:f>"Q"&amp;ROUNDUP(MONTH(B1376)/3,0)&amp;"-"&amp;YEAR(B1376)</x:f>
        <x:v>Q1-2025</x:v>
      </x:c>
      <x:c r="AD1376" s="26" t="n">
        <x:f>MIN(100,IF(H1376="Enterprise",30,IF(H1376="Mid-Market",22,14))+IF(T1376="Enterprise",25,IF(T1376="Mid-Market",18,10))+IF(Q1376="Referral",25,IF(Q1376="Organic Search",20,IF(Q1376="Email",18,14)))+IF(G1376="Technology",10,5))</x:f>
        <x:v>65</x:v>
      </x:c>
      <x:c r="AE1376" t="str">
        <x:f>IF(U1376&lt;&gt;"Open",U1376,IF(N1376&gt;=0.8,"Commit",IF(N1376&gt;=0.5,"Best Case","Pipeline")))</x:f>
        <x:v>Commit</x:v>
      </x:c>
    </x:row>
    <x:row r="1377">
      <x:c r="A1377" t="str">
        <x:v>L01376</x:v>
      </x:c>
      <x:c r="B1377" s="10" t="n">
        <x:v>45914</x:v>
      </x:c>
      <x:c r="C1377" t="str">
        <x:v>Duy Pham</x:v>
      </x:c>
      <x:c r="D1377" t="str">
        <x:v>South</x:v>
      </x:c>
      <x:c r="E1377" t="str">
        <x:v>organic search</x:v>
      </x:c>
      <x:c r="F1377" t="str">
        <x:v>CRM-CORE</x:v>
      </x:c>
      <x:c r="G1377" t="str">
        <x:v>Technology</x:v>
      </x:c>
      <x:c r="H1377" t="str">
        <x:v>Mid-Market</x:v>
      </x:c>
      <x:c r="I1377" t="str">
        <x:v>Closed Won</x:v>
      </x:c>
      <x:c r="J1377" s="10" t="n">
        <x:v>45989</x:v>
      </x:c>
      <x:c r="K1377" s="10" t="n">
        <x:v>45989</x:v>
      </x:c>
      <x:c r="L1377" s="22" t="n">
        <x:v>16900</x:v>
      </x:c>
      <x:c r="M1377" s="24" t="n">
        <x:v>0.05</x:v>
      </x:c>
      <x:c r="N1377" s="24" t="n">
        <x:v>1</x:v>
      </x:c>
      <x:c r="O1377" t="str"/>
      <x:c r="P1377" t="n">
        <x:v>6</x:v>
      </x:c>
      <x:c r="Q1377" t="str">
        <x:f>IFERROR(XLOOKUP(E1377,Lookups!$A$5:$A$24,Lookups!$B$5:$B$24),"Other")</x:f>
        <x:v>Organic Search</x:v>
      </x:c>
      <x:c r="R1377" t="str">
        <x:f>IFERROR(XLOOKUP(F1377,Lookups!$D$5:$D$10,Lookups!$E$5:$E$10),"Unknown Product")</x:f>
        <x:v>NexaCRM Core</x:v>
      </x:c>
      <x:c r="S1377" t="str">
        <x:f>IFERROR(XLOOKUP(F1377,Lookups!$D$5:$D$10,Lookups!$F$5:$F$10),"Unknown")</x:f>
        <x:v>CRM</x:v>
      </x:c>
      <x:c r="T1377" t="str">
        <x:f>IF(L1377&gt;=50000,"Enterprise",IF(L1377&gt;=20000,"Mid-Market","SMB"))</x:f>
        <x:v>SMB</x:v>
      </x:c>
      <x:c r="U1377" t="str">
        <x:f>IF(I1377="Closed Won","Won",IF(I1377="Closed Lost","Lost","Open"))</x:f>
        <x:v>Won</x:v>
      </x:c>
      <x:c r="V1377" s="22" t="n">
        <x:f>IF(U1377="Won",L1377*(1-M1377),0)</x:f>
        <x:v>16055</x:v>
      </x:c>
      <x:c r="W1377" s="22" t="n">
        <x:f>IF(U1377="Open",L1377*N1377,0)</x:f>
        <x:v>0</x:v>
      </x:c>
      <x:c r="X1377" s="26" t="n">
        <x:f>IF(U1377="Open","",IFERROR(K1377-B1377,""))</x:f>
        <x:v>75</x:v>
      </x:c>
      <x:c r="Y1377" s="26" t="n">
        <x:f>IF(U1377="Open",Lookups!$B$2-B1377,X1377)</x:f>
        <x:v>75</x:v>
      </x:c>
      <x:c r="Z1377" t="str">
        <x:f>IF(AND(U1377="Open",Y1377&gt;30),"STALE","OK")</x:f>
        <x:v>OK</x:v>
      </x:c>
      <x:c r="AA1377" t="str">
        <x:f>TEXT(B1377,"yyyy-mm")</x:f>
        <x:v>2025-09</x:v>
      </x:c>
      <x:c r="AB1377" t="str">
        <x:f>IF(K1377="","",TEXT(K1377,"yyyy-mm"))</x:f>
        <x:v>2025-11</x:v>
      </x:c>
      <x:c r="AC1377" t="str">
        <x:f>"Q"&amp;ROUNDUP(MONTH(B1377)/3,0)&amp;"-"&amp;YEAR(B1377)</x:f>
        <x:v>Q3-2025</x:v>
      </x:c>
      <x:c r="AD1377" s="26" t="n">
        <x:f>MIN(100,IF(H1377="Enterprise",30,IF(H1377="Mid-Market",22,14))+IF(T1377="Enterprise",25,IF(T1377="Mid-Market",18,10))+IF(Q1377="Referral",25,IF(Q1377="Organic Search",20,IF(Q1377="Email",18,14)))+IF(G1377="Technology",10,5))</x:f>
        <x:v>62</x:v>
      </x:c>
      <x:c r="AE1377" t="str">
        <x:f>IF(U1377&lt;&gt;"Open",U1377,IF(N1377&gt;=0.8,"Commit",IF(N1377&gt;=0.5,"Best Case","Pipeline")))</x:f>
        <x:v>Won</x:v>
      </x:c>
    </x:row>
    <x:row r="1378">
      <x:c r="A1378" t="str">
        <x:v>L01377</x:v>
      </x:c>
      <x:c r="B1378" s="10" t="n">
        <x:v>45688</x:v>
      </x:c>
      <x:c r="C1378" t="str">
        <x:v>Quynh Vu</x:v>
      </x:c>
      <x:c r="D1378" t="str">
        <x:v>North</x:v>
      </x:c>
      <x:c r="E1378" t="str">
        <x:v>SEM - Google</x:v>
      </x:c>
      <x:c r="F1378" t="str">
        <x:v>MKT-AUTO</x:v>
      </x:c>
      <x:c r="G1378" t="str">
        <x:v>Financial Services</x:v>
      </x:c>
      <x:c r="H1378" t="str">
        <x:v>SMB</x:v>
      </x:c>
      <x:c r="I1378" t="str">
        <x:v>Closed Won</x:v>
      </x:c>
      <x:c r="J1378" s="10" t="n">
        <x:v>45768</x:v>
      </x:c>
      <x:c r="K1378" s="10" t="n">
        <x:v>45768</x:v>
      </x:c>
      <x:c r="L1378" s="22" t="n">
        <x:v>15500</x:v>
      </x:c>
      <x:c r="M1378" s="24" t="n">
        <x:v>0</x:v>
      </x:c>
      <x:c r="N1378" s="24" t="n">
        <x:v>1</x:v>
      </x:c>
      <x:c r="O1378" t="str"/>
      <x:c r="P1378" t="n">
        <x:v>6</x:v>
      </x:c>
      <x:c r="Q1378" t="str">
        <x:f>IFERROR(XLOOKUP(E1378,Lookups!$A$5:$A$24,Lookups!$B$5:$B$24),"Other")</x:f>
        <x:v>Paid Search</x:v>
      </x:c>
      <x:c r="R1378" t="str">
        <x:f>IFERROR(XLOOKUP(F1378,Lookups!$D$5:$D$10,Lookups!$E$5:$E$10),"Unknown Product")</x:f>
        <x:v>Marketing Automation</x:v>
      </x:c>
      <x:c r="S1378" t="str">
        <x:f>IFERROR(XLOOKUP(F1378,Lookups!$D$5:$D$10,Lookups!$F$5:$F$10),"Unknown")</x:f>
        <x:v>Marketing</x:v>
      </x:c>
      <x:c r="T1378" t="str">
        <x:f>IF(L1378&gt;=50000,"Enterprise",IF(L1378&gt;=20000,"Mid-Market","SMB"))</x:f>
        <x:v>SMB</x:v>
      </x:c>
      <x:c r="U1378" t="str">
        <x:f>IF(I1378="Closed Won","Won",IF(I1378="Closed Lost","Lost","Open"))</x:f>
        <x:v>Won</x:v>
      </x:c>
      <x:c r="V1378" s="22" t="n">
        <x:f>IF(U1378="Won",L1378*(1-M1378),0)</x:f>
        <x:v>15500</x:v>
      </x:c>
      <x:c r="W1378" s="22" t="n">
        <x:f>IF(U1378="Open",L1378*N1378,0)</x:f>
        <x:v>0</x:v>
      </x:c>
      <x:c r="X1378" s="26" t="n">
        <x:f>IF(U1378="Open","",IFERROR(K1378-B1378,""))</x:f>
        <x:v>80</x:v>
      </x:c>
      <x:c r="Y1378" s="26" t="n">
        <x:f>IF(U1378="Open",Lookups!$B$2-B1378,X1378)</x:f>
        <x:v>80</x:v>
      </x:c>
      <x:c r="Z1378" t="str">
        <x:f>IF(AND(U1378="Open",Y1378&gt;30),"STALE","OK")</x:f>
        <x:v>OK</x:v>
      </x:c>
      <x:c r="AA1378" t="str">
        <x:f>TEXT(B1378,"yyyy-mm")</x:f>
        <x:v>2025-01</x:v>
      </x:c>
      <x:c r="AB1378" t="str">
        <x:f>IF(K1378="","",TEXT(K1378,"yyyy-mm"))</x:f>
        <x:v>2025-04</x:v>
      </x:c>
      <x:c r="AC1378" t="str">
        <x:f>"Q"&amp;ROUNDUP(MONTH(B1378)/3,0)&amp;"-"&amp;YEAR(B1378)</x:f>
        <x:v>Q1-2025</x:v>
      </x:c>
      <x:c r="AD1378" s="26" t="n">
        <x:f>MIN(100,IF(H1378="Enterprise",30,IF(H1378="Mid-Market",22,14))+IF(T1378="Enterprise",25,IF(T1378="Mid-Market",18,10))+IF(Q1378="Referral",25,IF(Q1378="Organic Search",20,IF(Q1378="Email",18,14)))+IF(G1378="Technology",10,5))</x:f>
        <x:v>43</x:v>
      </x:c>
      <x:c r="AE1378" t="str">
        <x:f>IF(U1378&lt;&gt;"Open",U1378,IF(N1378&gt;=0.8,"Commit",IF(N1378&gt;=0.5,"Best Case","Pipeline")))</x:f>
        <x:v>Won</x:v>
      </x:c>
    </x:row>
    <x:row r="1379">
      <x:c r="A1379" t="str">
        <x:v>L01378</x:v>
      </x:c>
      <x:c r="B1379" s="10" t="n">
        <x:v>45744</x:v>
      </x:c>
      <x:c r="C1379" t="str">
        <x:v>Chi Le</x:v>
      </x:c>
      <x:c r="D1379" t="str">
        <x:v>South</x:v>
      </x:c>
      <x:c r="E1379" t="str">
        <x:v>Cold Email</x:v>
      </x:c>
      <x:c r="F1379" t="str">
        <x:v>CRM-CORE</x:v>
      </x:c>
      <x:c r="G1379" t="str">
        <x:v>Retail</x:v>
      </x:c>
      <x:c r="H1379" t="str">
        <x:v>SMB</x:v>
      </x:c>
      <x:c r="I1379" t="str">
        <x:v>Negotiation</x:v>
      </x:c>
      <x:c r="J1379" s="10" t="n">
        <x:v>46079</x:v>
      </x:c>
      <x:c r="K1379" s="10"/>
      <x:c r="L1379" s="22" t="n">
        <x:v>10200</x:v>
      </x:c>
      <x:c r="M1379" s="24" t="n">
        <x:v>0.05</x:v>
      </x:c>
      <x:c r="N1379" s="24" t="n">
        <x:v>0.85</x:v>
      </x:c>
      <x:c r="O1379" t="str"/>
      <x:c r="P1379" t="n">
        <x:v>5</x:v>
      </x:c>
      <x:c r="Q1379" t="str">
        <x:f>IFERROR(XLOOKUP(E1379,Lookups!$A$5:$A$24,Lookups!$B$5:$B$24),"Other")</x:f>
        <x:v>Outbound</x:v>
      </x:c>
      <x:c r="R1379" t="str">
        <x:f>IFERROR(XLOOKUP(F1379,Lookups!$D$5:$D$10,Lookups!$E$5:$E$10),"Unknown Product")</x:f>
        <x:v>NexaCRM Core</x:v>
      </x:c>
      <x:c r="S1379" t="str">
        <x:f>IFERROR(XLOOKUP(F1379,Lookups!$D$5:$D$10,Lookups!$F$5:$F$10),"Unknown")</x:f>
        <x:v>CRM</x:v>
      </x:c>
      <x:c r="T1379" t="str">
        <x:f>IF(L1379&gt;=50000,"Enterprise",IF(L1379&gt;=20000,"Mid-Market","SMB"))</x:f>
        <x:v>SMB</x:v>
      </x:c>
      <x:c r="U1379" t="str">
        <x:f>IF(I1379="Closed Won","Won",IF(I1379="Closed Lost","Lost","Open"))</x:f>
        <x:v>Open</x:v>
      </x:c>
      <x:c r="V1379" s="22" t="n">
        <x:f>IF(U1379="Won",L1379*(1-M1379),0)</x:f>
        <x:v>0</x:v>
      </x:c>
      <x:c r="W1379" s="22" t="n">
        <x:f>IF(U1379="Open",L1379*N1379,0)</x:f>
        <x:v>8670</x:v>
      </x:c>
      <x:c r="X1379" s="26" t="str">
        <x:f>IF(U1379="Open","",IFERROR(K1379-B1379,""))</x:f>
      </x:c>
      <x:c r="Y1379" s="26" t="n">
        <x:f>IF(U1379="Open",Lookups!$B$2-B1379,X1379)</x:f>
        <x:v>522</x:v>
      </x:c>
      <x:c r="Z1379" t="str">
        <x:f>IF(AND(U1379="Open",Y1379&gt;30),"STALE","OK")</x:f>
        <x:v>STALE</x:v>
      </x:c>
      <x:c r="AA1379" t="str">
        <x:f>TEXT(B1379,"yyyy-mm")</x:f>
        <x:v>2025-03</x:v>
      </x:c>
      <x:c r="AB1379" t="str">
        <x:f>IF(K1379="","",TEXT(K1379,"yyyy-mm"))</x:f>
      </x:c>
      <x:c r="AC1379" t="str">
        <x:f>"Q"&amp;ROUNDUP(MONTH(B1379)/3,0)&amp;"-"&amp;YEAR(B1379)</x:f>
        <x:v>Q1-2025</x:v>
      </x:c>
      <x:c r="AD1379" s="26" t="n">
        <x:f>MIN(100,IF(H1379="Enterprise",30,IF(H1379="Mid-Market",22,14))+IF(T1379="Enterprise",25,IF(T1379="Mid-Market",18,10))+IF(Q1379="Referral",25,IF(Q1379="Organic Search",20,IF(Q1379="Email",18,14)))+IF(G1379="Technology",10,5))</x:f>
        <x:v>43</x:v>
      </x:c>
      <x:c r="AE1379" t="str">
        <x:f>IF(U1379&lt;&gt;"Open",U1379,IF(N1379&gt;=0.8,"Commit",IF(N1379&gt;=0.5,"Best Case","Pipeline")))</x:f>
        <x:v>Commit</x:v>
      </x:c>
    </x:row>
    <x:row r="1380">
      <x:c r="A1380" t="str">
        <x:v>L01379</x:v>
      </x:c>
      <x:c r="B1380" s="10" t="n">
        <x:v>45737</x:v>
      </x:c>
      <x:c r="C1380" t="str">
        <x:v>Quynh Vu</x:v>
      </x:c>
      <x:c r="D1380" t="str">
        <x:v>North</x:v>
      </x:c>
      <x:c r="E1380" t="str">
        <x:v>organic search</x:v>
      </x:c>
      <x:c r="F1380" t="str">
        <x:v>BI-PLUS</x:v>
      </x:c>
      <x:c r="G1380" t="str">
        <x:v>Education</x:v>
      </x:c>
      <x:c r="H1380" t="str">
        <x:v>Mid-Market</x:v>
      </x:c>
      <x:c r="I1380" t="str">
        <x:v>Closed Lost</x:v>
      </x:c>
      <x:c r="J1380" s="10" t="n">
        <x:v>45790</x:v>
      </x:c>
      <x:c r="K1380" s="10" t="n">
        <x:v>45790</x:v>
      </x:c>
      <x:c r="L1380" s="22" t="n">
        <x:v>35700</x:v>
      </x:c>
      <x:c r="M1380" s="24" t="n">
        <x:v>0</x:v>
      </x:c>
      <x:c r="N1380" s="24" t="n">
        <x:v>0</x:v>
      </x:c>
      <x:c r="O1380" t="str">
        <x:v>No Decision</x:v>
      </x:c>
      <x:c r="P1380" t="n">
        <x:v>5</x:v>
      </x:c>
      <x:c r="Q1380" t="str">
        <x:f>IFERROR(XLOOKUP(E1380,Lookups!$A$5:$A$24,Lookups!$B$5:$B$24),"Other")</x:f>
        <x:v>Organic Search</x:v>
      </x:c>
      <x:c r="R1380" t="str">
        <x:f>IFERROR(XLOOKUP(F1380,Lookups!$D$5:$D$10,Lookups!$E$5:$E$10),"Unknown Product")</x:f>
        <x:v>Analytics Plus</x:v>
      </x:c>
      <x:c r="S1380" t="str">
        <x:f>IFERROR(XLOOKUP(F1380,Lookups!$D$5:$D$10,Lookups!$F$5:$F$10),"Unknown")</x:f>
        <x:v>Analytics</x:v>
      </x:c>
      <x:c r="T1380" t="str">
        <x:f>IF(L1380&gt;=50000,"Enterprise",IF(L1380&gt;=20000,"Mid-Market","SMB"))</x:f>
        <x:v>Mid-Market</x:v>
      </x:c>
      <x:c r="U1380" t="str">
        <x:f>IF(I1380="Closed Won","Won",IF(I1380="Closed Lost","Lost","Open"))</x:f>
        <x:v>Lost</x:v>
      </x:c>
      <x:c r="V1380" s="22" t="n">
        <x:f>IF(U1380="Won",L1380*(1-M1380),0)</x:f>
        <x:v>0</x:v>
      </x:c>
      <x:c r="W1380" s="22" t="n">
        <x:f>IF(U1380="Open",L1380*N1380,0)</x:f>
        <x:v>0</x:v>
      </x:c>
      <x:c r="X1380" s="26" t="n">
        <x:f>IF(U1380="Open","",IFERROR(K1380-B1380,""))</x:f>
        <x:v>53</x:v>
      </x:c>
      <x:c r="Y1380" s="26" t="n">
        <x:f>IF(U1380="Open",Lookups!$B$2-B1380,X1380)</x:f>
        <x:v>53</x:v>
      </x:c>
      <x:c r="Z1380" t="str">
        <x:f>IF(AND(U1380="Open",Y1380&gt;30),"STALE","OK")</x:f>
        <x:v>OK</x:v>
      </x:c>
      <x:c r="AA1380" t="str">
        <x:f>TEXT(B1380,"yyyy-mm")</x:f>
        <x:v>2025-03</x:v>
      </x:c>
      <x:c r="AB1380" t="str">
        <x:f>IF(K1380="","",TEXT(K1380,"yyyy-mm"))</x:f>
        <x:v>2025-05</x:v>
      </x:c>
      <x:c r="AC1380" t="str">
        <x:f>"Q"&amp;ROUNDUP(MONTH(B1380)/3,0)&amp;"-"&amp;YEAR(B1380)</x:f>
        <x:v>Q1-2025</x:v>
      </x:c>
      <x:c r="AD1380" s="26" t="n">
        <x:f>MIN(100,IF(H1380="Enterprise",30,IF(H1380="Mid-Market",22,14))+IF(T1380="Enterprise",25,IF(T1380="Mid-Market",18,10))+IF(Q1380="Referral",25,IF(Q1380="Organic Search",20,IF(Q1380="Email",18,14)))+IF(G1380="Technology",10,5))</x:f>
        <x:v>65</x:v>
      </x:c>
      <x:c r="AE1380" t="str">
        <x:f>IF(U1380&lt;&gt;"Open",U1380,IF(N1380&gt;=0.8,"Commit",IF(N1380&gt;=0.5,"Best Case","Pipeline")))</x:f>
        <x:v>Lost</x:v>
      </x:c>
    </x:row>
    <x:row r="1381">
      <x:c r="A1381" t="str">
        <x:v>L01380</x:v>
      </x:c>
      <x:c r="B1381" s="10" t="n">
        <x:v>45856</x:v>
      </x:c>
      <x:c r="C1381" t="str">
        <x:v>Duy Pham</x:v>
      </x:c>
      <x:c r="D1381" t="str">
        <x:v>South</x:v>
      </x:c>
      <x:c r="E1381" t="str">
        <x:v>Email Campaign</x:v>
      </x:c>
      <x:c r="F1381" t="str">
        <x:v>MKT-AUTO</x:v>
      </x:c>
      <x:c r="G1381" t="str">
        <x:v>Education</x:v>
      </x:c>
      <x:c r="H1381" t="str">
        <x:v>SMB</x:v>
      </x:c>
      <x:c r="I1381" t="str">
        <x:v>Closed Lost</x:v>
      </x:c>
      <x:c r="J1381" s="10" t="n">
        <x:v>45916</x:v>
      </x:c>
      <x:c r="K1381" s="10" t="n">
        <x:v>45916</x:v>
      </x:c>
      <x:c r="L1381" s="22" t="n">
        <x:v>18500</x:v>
      </x:c>
      <x:c r="M1381" s="24" t="n">
        <x:v>0</x:v>
      </x:c>
      <x:c r="N1381" s="24" t="n">
        <x:v>0</x:v>
      </x:c>
      <x:c r="O1381" t="str">
        <x:v>Price</x:v>
      </x:c>
      <x:c r="P1381" t="n">
        <x:v>3</x:v>
      </x:c>
      <x:c r="Q1381" t="str">
        <x:f>IFERROR(XLOOKUP(E1381,Lookups!$A$5:$A$24,Lookups!$B$5:$B$24),"Other")</x:f>
        <x:v>Email</x:v>
      </x:c>
      <x:c r="R1381" t="str">
        <x:f>IFERROR(XLOOKUP(F1381,Lookups!$D$5:$D$10,Lookups!$E$5:$E$10),"Unknown Product")</x:f>
        <x:v>Marketing Automation</x:v>
      </x:c>
      <x:c r="S1381" t="str">
        <x:f>IFERROR(XLOOKUP(F1381,Lookups!$D$5:$D$10,Lookups!$F$5:$F$10),"Unknown")</x:f>
        <x:v>Marketing</x:v>
      </x:c>
      <x:c r="T1381" t="str">
        <x:f>IF(L1381&gt;=50000,"Enterprise",IF(L1381&gt;=20000,"Mid-Market","SMB"))</x:f>
        <x:v>SMB</x:v>
      </x:c>
      <x:c r="U1381" t="str">
        <x:f>IF(I1381="Closed Won","Won",IF(I1381="Closed Lost","Lost","Open"))</x:f>
        <x:v>Lost</x:v>
      </x:c>
      <x:c r="V1381" s="22" t="n">
        <x:f>IF(U1381="Won",L1381*(1-M1381),0)</x:f>
        <x:v>0</x:v>
      </x:c>
      <x:c r="W1381" s="22" t="n">
        <x:f>IF(U1381="Open",L1381*N1381,0)</x:f>
        <x:v>0</x:v>
      </x:c>
      <x:c r="X1381" s="26" t="n">
        <x:f>IF(U1381="Open","",IFERROR(K1381-B1381,""))</x:f>
        <x:v>60</x:v>
      </x:c>
      <x:c r="Y1381" s="26" t="n">
        <x:f>IF(U1381="Open",Lookups!$B$2-B1381,X1381)</x:f>
        <x:v>60</x:v>
      </x:c>
      <x:c r="Z1381" t="str">
        <x:f>IF(AND(U1381="Open",Y1381&gt;30),"STALE","OK")</x:f>
        <x:v>OK</x:v>
      </x:c>
      <x:c r="AA1381" t="str">
        <x:f>TEXT(B1381,"yyyy-mm")</x:f>
        <x:v>2025-07</x:v>
      </x:c>
      <x:c r="AB1381" t="str">
        <x:f>IF(K1381="","",TEXT(K1381,"yyyy-mm"))</x:f>
        <x:v>2025-09</x:v>
      </x:c>
      <x:c r="AC1381" t="str">
        <x:f>"Q"&amp;ROUNDUP(MONTH(B1381)/3,0)&amp;"-"&amp;YEAR(B1381)</x:f>
        <x:v>Q3-2025</x:v>
      </x:c>
      <x:c r="AD1381" s="26" t="n">
        <x:f>MIN(100,IF(H1381="Enterprise",30,IF(H1381="Mid-Market",22,14))+IF(T1381="Enterprise",25,IF(T1381="Mid-Market",18,10))+IF(Q1381="Referral",25,IF(Q1381="Organic Search",20,IF(Q1381="Email",18,14)))+IF(G1381="Technology",10,5))</x:f>
        <x:v>47</x:v>
      </x:c>
      <x:c r="AE1381" t="str">
        <x:f>IF(U1381&lt;&gt;"Open",U1381,IF(N1381&gt;=0.8,"Commit",IF(N1381&gt;=0.5,"Best Case","Pipeline")))</x:f>
        <x:v>Lost</x:v>
      </x:c>
    </x:row>
    <x:row r="1382">
      <x:c r="A1382" t="str">
        <x:v>L01381</x:v>
      </x:c>
      <x:c r="B1382" s="10" t="n">
        <x:v>46250</x:v>
      </x:c>
      <x:c r="C1382" t="str">
        <x:v>Quynh Vu</x:v>
      </x:c>
      <x:c r="D1382" t="str">
        <x:v>North</x:v>
      </x:c>
      <x:c r="E1382" t="str">
        <x:v>Google Organic</x:v>
      </x:c>
      <x:c r="F1382" t="str">
        <x:v>BI-PLUS</x:v>
      </x:c>
      <x:c r="G1382" t="str">
        <x:v>Technology</x:v>
      </x:c>
      <x:c r="H1382" t="str">
        <x:v>Mid-Market</x:v>
      </x:c>
      <x:c r="I1382" t="str">
        <x:v>Closed Lost</x:v>
      </x:c>
      <x:c r="J1382" s="10" t="n">
        <x:v>46266</x:v>
      </x:c>
      <x:c r="K1382" s="10" t="n">
        <x:v>46266</x:v>
      </x:c>
      <x:c r="L1382" s="22" t="n">
        <x:v>48800</x:v>
      </x:c>
      <x:c r="M1382" s="24" t="n">
        <x:v>0</x:v>
      </x:c>
      <x:c r="N1382" s="24" t="n">
        <x:v>0</x:v>
      </x:c>
      <x:c r="O1382" t="str">
        <x:v>No Decision</x:v>
      </x:c>
      <x:c r="P1382" t="n">
        <x:v>4</x:v>
      </x:c>
      <x:c r="Q1382" t="str">
        <x:f>IFERROR(XLOOKUP(E1382,Lookups!$A$5:$A$24,Lookups!$B$5:$B$24),"Other")</x:f>
        <x:v>Organic Search</x:v>
      </x:c>
      <x:c r="R1382" t="str">
        <x:f>IFERROR(XLOOKUP(F1382,Lookups!$D$5:$D$10,Lookups!$E$5:$E$10),"Unknown Product")</x:f>
        <x:v>Analytics Plus</x:v>
      </x:c>
      <x:c r="S1382" t="str">
        <x:f>IFERROR(XLOOKUP(F1382,Lookups!$D$5:$D$10,Lookups!$F$5:$F$10),"Unknown")</x:f>
        <x:v>Analytics</x:v>
      </x:c>
      <x:c r="T1382" t="str">
        <x:f>IF(L1382&gt;=50000,"Enterprise",IF(L1382&gt;=20000,"Mid-Market","SMB"))</x:f>
        <x:v>Mid-Market</x:v>
      </x:c>
      <x:c r="U1382" t="str">
        <x:f>IF(I1382="Closed Won","Won",IF(I1382="Closed Lost","Lost","Open"))</x:f>
        <x:v>Lost</x:v>
      </x:c>
      <x:c r="V1382" s="22" t="n">
        <x:f>IF(U1382="Won",L1382*(1-M1382),0)</x:f>
        <x:v>0</x:v>
      </x:c>
      <x:c r="W1382" s="22" t="n">
        <x:f>IF(U1382="Open",L1382*N1382,0)</x:f>
        <x:v>0</x:v>
      </x:c>
      <x:c r="X1382" s="26" t="n">
        <x:f>IF(U1382="Open","",IFERROR(K1382-B1382,""))</x:f>
        <x:v>16</x:v>
      </x:c>
      <x:c r="Y1382" s="26" t="n">
        <x:f>IF(U1382="Open",Lookups!$B$2-B1382,X1382)</x:f>
        <x:v>16</x:v>
      </x:c>
      <x:c r="Z1382" t="str">
        <x:f>IF(AND(U1382="Open",Y1382&gt;30),"STALE","OK")</x:f>
        <x:v>OK</x:v>
      </x:c>
      <x:c r="AA1382" t="str">
        <x:f>TEXT(B1382,"yyyy-mm")</x:f>
        <x:v>2026-08</x:v>
      </x:c>
      <x:c r="AB1382" t="str">
        <x:f>IF(K1382="","",TEXT(K1382,"yyyy-mm"))</x:f>
        <x:v>2026-09</x:v>
      </x:c>
      <x:c r="AC1382" t="str">
        <x:f>"Q"&amp;ROUNDUP(MONTH(B1382)/3,0)&amp;"-"&amp;YEAR(B1382)</x:f>
        <x:v>Q3-2026</x:v>
      </x:c>
      <x:c r="AD1382" s="26" t="n">
        <x:f>MIN(100,IF(H1382="Enterprise",30,IF(H1382="Mid-Market",22,14))+IF(T1382="Enterprise",25,IF(T1382="Mid-Market",18,10))+IF(Q1382="Referral",25,IF(Q1382="Organic Search",20,IF(Q1382="Email",18,14)))+IF(G1382="Technology",10,5))</x:f>
        <x:v>70</x:v>
      </x:c>
      <x:c r="AE1382" t="str">
        <x:f>IF(U1382&lt;&gt;"Open",U1382,IF(N1382&gt;=0.8,"Commit",IF(N1382&gt;=0.5,"Best Case","Pipeline")))</x:f>
        <x:v>Lost</x:v>
      </x:c>
    </x:row>
    <x:row r="1383">
      <x:c r="A1383" t="str">
        <x:v>L01382</x:v>
      </x:c>
      <x:c r="B1383" s="10" t="n">
        <x:v>46090</x:v>
      </x:c>
      <x:c r="C1383" t="str">
        <x:v>Chi Le</x:v>
      </x:c>
      <x:c r="D1383" t="str">
        <x:v>South</x:v>
      </x:c>
      <x:c r="E1383" t="str">
        <x:v>Outbound</x:v>
      </x:c>
      <x:c r="F1383" t="str">
        <x:v>CS-CLOUD</x:v>
      </x:c>
      <x:c r="G1383" t="str">
        <x:v>Retail</x:v>
      </x:c>
      <x:c r="H1383" t="str">
        <x:v>SMB</x:v>
      </x:c>
      <x:c r="I1383" t="str">
        <x:v>Closed Lost</x:v>
      </x:c>
      <x:c r="J1383" s="10" t="n">
        <x:v>46148</x:v>
      </x:c>
      <x:c r="K1383" s="10" t="n">
        <x:v>46148</x:v>
      </x:c>
      <x:c r="L1383" s="22" t="n">
        <x:v>12300</x:v>
      </x:c>
      <x:c r="M1383" s="24" t="n">
        <x:v>0</x:v>
      </x:c>
      <x:c r="N1383" s="24" t="n">
        <x:v>0</x:v>
      </x:c>
      <x:c r="O1383" t="str">
        <x:v>Price</x:v>
      </x:c>
      <x:c r="P1383" t="n">
        <x:v>2</x:v>
      </x:c>
      <x:c r="Q1383" t="str">
        <x:f>IFERROR(XLOOKUP(E1383,Lookups!$A$5:$A$24,Lookups!$B$5:$B$24),"Other")</x:f>
        <x:v>Outbound</x:v>
      </x:c>
      <x:c r="R1383" t="str">
        <x:f>IFERROR(XLOOKUP(F1383,Lookups!$D$5:$D$10,Lookups!$E$5:$E$10),"Unknown Product")</x:f>
        <x:v>Service Cloud</x:v>
      </x:c>
      <x:c r="S1383" t="str">
        <x:f>IFERROR(XLOOKUP(F1383,Lookups!$D$5:$D$10,Lookups!$F$5:$F$10),"Unknown")</x:f>
        <x:v>Customer Service</x:v>
      </x:c>
      <x:c r="T1383" t="str">
        <x:f>IF(L1383&gt;=50000,"Enterprise",IF(L1383&gt;=20000,"Mid-Market","SMB"))</x:f>
        <x:v>SMB</x:v>
      </x:c>
      <x:c r="U1383" t="str">
        <x:f>IF(I1383="Closed Won","Won",IF(I1383="Closed Lost","Lost","Open"))</x:f>
        <x:v>Lost</x:v>
      </x:c>
      <x:c r="V1383" s="22" t="n">
        <x:f>IF(U1383="Won",L1383*(1-M1383),0)</x:f>
        <x:v>0</x:v>
      </x:c>
      <x:c r="W1383" s="22" t="n">
        <x:f>IF(U1383="Open",L1383*N1383,0)</x:f>
        <x:v>0</x:v>
      </x:c>
      <x:c r="X1383" s="26" t="n">
        <x:f>IF(U1383="Open","",IFERROR(K1383-B1383,""))</x:f>
        <x:v>58</x:v>
      </x:c>
      <x:c r="Y1383" s="26" t="n">
        <x:f>IF(U1383="Open",Lookups!$B$2-B1383,X1383)</x:f>
        <x:v>58</x:v>
      </x:c>
      <x:c r="Z1383" t="str">
        <x:f>IF(AND(U1383="Open",Y1383&gt;30),"STALE","OK")</x:f>
        <x:v>OK</x:v>
      </x:c>
      <x:c r="AA1383" t="str">
        <x:f>TEXT(B1383,"yyyy-mm")</x:f>
        <x:v>2026-03</x:v>
      </x:c>
      <x:c r="AB1383" t="str">
        <x:f>IF(K1383="","",TEXT(K1383,"yyyy-mm"))</x:f>
        <x:v>2026-05</x:v>
      </x:c>
      <x:c r="AC1383" t="str">
        <x:f>"Q"&amp;ROUNDUP(MONTH(B1383)/3,0)&amp;"-"&amp;YEAR(B1383)</x:f>
        <x:v>Q1-2026</x:v>
      </x:c>
      <x:c r="AD1383" s="26" t="n">
        <x:f>MIN(100,IF(H1383="Enterprise",30,IF(H1383="Mid-Market",22,14))+IF(T1383="Enterprise",25,IF(T1383="Mid-Market",18,10))+IF(Q1383="Referral",25,IF(Q1383="Organic Search",20,IF(Q1383="Email",18,14)))+IF(G1383="Technology",10,5))</x:f>
        <x:v>43</x:v>
      </x:c>
      <x:c r="AE1383" t="str">
        <x:f>IF(U1383&lt;&gt;"Open",U1383,IF(N1383&gt;=0.8,"Commit",IF(N1383&gt;=0.5,"Best Case","Pipeline")))</x:f>
        <x:v>Lost</x:v>
      </x:c>
    </x:row>
    <x:row r="1384">
      <x:c r="A1384" t="str">
        <x:v>L01383</x:v>
      </x:c>
      <x:c r="B1384" s="10" t="n">
        <x:v>46054</x:v>
      </x:c>
      <x:c r="C1384" t="str">
        <x:v>Quynh Vu</x:v>
      </x:c>
      <x:c r="D1384" t="str">
        <x:v>North</x:v>
      </x:c>
      <x:c r="E1384" t="str">
        <x:v>LinkedIn Ads</x:v>
      </x:c>
      <x:c r="F1384" t="str">
        <x:v>MKT-AUTO</x:v>
      </x:c>
      <x:c r="G1384" t="str">
        <x:v>Healthcare</x:v>
      </x:c>
      <x:c r="H1384" t="str">
        <x:v>SMB</x:v>
      </x:c>
      <x:c r="I1384" t="str">
        <x:v>Closed Lost</x:v>
      </x:c>
      <x:c r="J1384" s="10" t="n">
        <x:v>46088</x:v>
      </x:c>
      <x:c r="K1384" s="10" t="n">
        <x:v>46088</x:v>
      </x:c>
      <x:c r="L1384" s="22" t="n">
        <x:v>14600</x:v>
      </x:c>
      <x:c r="M1384" s="24" t="n">
        <x:v>0</x:v>
      </x:c>
      <x:c r="N1384" s="24" t="n">
        <x:v>0</x:v>
      </x:c>
      <x:c r="O1384" t="str">
        <x:v>Price</x:v>
      </x:c>
      <x:c r="P1384" t="n">
        <x:v>3</x:v>
      </x:c>
      <x:c r="Q1384" t="str">
        <x:f>IFERROR(XLOOKUP(E1384,Lookups!$A$5:$A$24,Lookups!$B$5:$B$24),"Other")</x:f>
        <x:v>LinkedIn</x:v>
      </x:c>
      <x:c r="R1384" t="str">
        <x:f>IFERROR(XLOOKUP(F1384,Lookups!$D$5:$D$10,Lookups!$E$5:$E$10),"Unknown Product")</x:f>
        <x:v>Marketing Automation</x:v>
      </x:c>
      <x:c r="S1384" t="str">
        <x:f>IFERROR(XLOOKUP(F1384,Lookups!$D$5:$D$10,Lookups!$F$5:$F$10),"Unknown")</x:f>
        <x:v>Marketing</x:v>
      </x:c>
      <x:c r="T1384" t="str">
        <x:f>IF(L1384&gt;=50000,"Enterprise",IF(L1384&gt;=20000,"Mid-Market","SMB"))</x:f>
        <x:v>SMB</x:v>
      </x:c>
      <x:c r="U1384" t="str">
        <x:f>IF(I1384="Closed Won","Won",IF(I1384="Closed Lost","Lost","Open"))</x:f>
        <x:v>Lost</x:v>
      </x:c>
      <x:c r="V1384" s="22" t="n">
        <x:f>IF(U1384="Won",L1384*(1-M1384),0)</x:f>
        <x:v>0</x:v>
      </x:c>
      <x:c r="W1384" s="22" t="n">
        <x:f>IF(U1384="Open",L1384*N1384,0)</x:f>
        <x:v>0</x:v>
      </x:c>
      <x:c r="X1384" s="26" t="n">
        <x:f>IF(U1384="Open","",IFERROR(K1384-B1384,""))</x:f>
        <x:v>34</x:v>
      </x:c>
      <x:c r="Y1384" s="26" t="n">
        <x:f>IF(U1384="Open",Lookups!$B$2-B1384,X1384)</x:f>
        <x:v>34</x:v>
      </x:c>
      <x:c r="Z1384" t="str">
        <x:f>IF(AND(U1384="Open",Y1384&gt;30),"STALE","OK")</x:f>
        <x:v>OK</x:v>
      </x:c>
      <x:c r="AA1384" t="str">
        <x:f>TEXT(B1384,"yyyy-mm")</x:f>
        <x:v>2026-02</x:v>
      </x:c>
      <x:c r="AB1384" t="str">
        <x:f>IF(K1384="","",TEXT(K1384,"yyyy-mm"))</x:f>
        <x:v>2026-03</x:v>
      </x:c>
      <x:c r="AC1384" t="str">
        <x:f>"Q"&amp;ROUNDUP(MONTH(B1384)/3,0)&amp;"-"&amp;YEAR(B1384)</x:f>
        <x:v>Q1-2026</x:v>
      </x:c>
      <x:c r="AD1384" s="26" t="n">
        <x:f>MIN(100,IF(H1384="Enterprise",30,IF(H1384="Mid-Market",22,14))+IF(T1384="Enterprise",25,IF(T1384="Mid-Market",18,10))+IF(Q1384="Referral",25,IF(Q1384="Organic Search",20,IF(Q1384="Email",18,14)))+IF(G1384="Technology",10,5))</x:f>
        <x:v>43</x:v>
      </x:c>
      <x:c r="AE1384" t="str">
        <x:f>IF(U1384&lt;&gt;"Open",U1384,IF(N1384&gt;=0.8,"Commit",IF(N1384&gt;=0.5,"Best Case","Pipeline")))</x:f>
        <x:v>Lost</x:v>
      </x:c>
    </x:row>
    <x:row r="1385">
      <x:c r="A1385" t="str">
        <x:v>L01384</x:v>
      </x:c>
      <x:c r="B1385" s="10" t="n">
        <x:v>45898</x:v>
      </x:c>
      <x:c r="C1385" t="str">
        <x:v>Ha Vo</x:v>
      </x:c>
      <x:c r="D1385" t="str">
        <x:v>North</x:v>
      </x:c>
      <x:c r="E1385" t="str">
        <x:v>LinkedIn Ads</x:v>
      </x:c>
      <x:c r="F1385" t="str">
        <x:v>MKT-AUTO</x:v>
      </x:c>
      <x:c r="G1385" t="str">
        <x:v>Professional Services</x:v>
      </x:c>
      <x:c r="H1385" t="str">
        <x:v>SMB</x:v>
      </x:c>
      <x:c r="I1385" t="str">
        <x:v>Closed Lost</x:v>
      </x:c>
      <x:c r="J1385" s="10" t="n">
        <x:v>45931</x:v>
      </x:c>
      <x:c r="K1385" s="10" t="n">
        <x:v>45931</x:v>
      </x:c>
      <x:c r="L1385" s="22" t="n">
        <x:v>16000</x:v>
      </x:c>
      <x:c r="M1385" s="24" t="n">
        <x:v>0</x:v>
      </x:c>
      <x:c r="N1385" s="24" t="n">
        <x:v>0</x:v>
      </x:c>
      <x:c r="O1385" t="str">
        <x:v>Competitor</x:v>
      </x:c>
      <x:c r="P1385" t="n">
        <x:v>5</x:v>
      </x:c>
      <x:c r="Q1385" t="str">
        <x:f>IFERROR(XLOOKUP(E1385,Lookups!$A$5:$A$24,Lookups!$B$5:$B$24),"Other")</x:f>
        <x:v>LinkedIn</x:v>
      </x:c>
      <x:c r="R1385" t="str">
        <x:f>IFERROR(XLOOKUP(F1385,Lookups!$D$5:$D$10,Lookups!$E$5:$E$10),"Unknown Product")</x:f>
        <x:v>Marketing Automation</x:v>
      </x:c>
      <x:c r="S1385" t="str">
        <x:f>IFERROR(XLOOKUP(F1385,Lookups!$D$5:$D$10,Lookups!$F$5:$F$10),"Unknown")</x:f>
        <x:v>Marketing</x:v>
      </x:c>
      <x:c r="T1385" t="str">
        <x:f>IF(L1385&gt;=50000,"Enterprise",IF(L1385&gt;=20000,"Mid-Market","SMB"))</x:f>
        <x:v>SMB</x:v>
      </x:c>
      <x:c r="U1385" t="str">
        <x:f>IF(I1385="Closed Won","Won",IF(I1385="Closed Lost","Lost","Open"))</x:f>
        <x:v>Lost</x:v>
      </x:c>
      <x:c r="V1385" s="22" t="n">
        <x:f>IF(U1385="Won",L1385*(1-M1385),0)</x:f>
        <x:v>0</x:v>
      </x:c>
      <x:c r="W1385" s="22" t="n">
        <x:f>IF(U1385="Open",L1385*N1385,0)</x:f>
        <x:v>0</x:v>
      </x:c>
      <x:c r="X1385" s="26" t="n">
        <x:f>IF(U1385="Open","",IFERROR(K1385-B1385,""))</x:f>
        <x:v>33</x:v>
      </x:c>
      <x:c r="Y1385" s="26" t="n">
        <x:f>IF(U1385="Open",Lookups!$B$2-B1385,X1385)</x:f>
        <x:v>33</x:v>
      </x:c>
      <x:c r="Z1385" t="str">
        <x:f>IF(AND(U1385="Open",Y1385&gt;30),"STALE","OK")</x:f>
        <x:v>OK</x:v>
      </x:c>
      <x:c r="AA1385" t="str">
        <x:f>TEXT(B1385,"yyyy-mm")</x:f>
        <x:v>2025-08</x:v>
      </x:c>
      <x:c r="AB1385" t="str">
        <x:f>IF(K1385="","",TEXT(K1385,"yyyy-mm"))</x:f>
        <x:v>2025-10</x:v>
      </x:c>
      <x:c r="AC1385" t="str">
        <x:f>"Q"&amp;ROUNDUP(MONTH(B1385)/3,0)&amp;"-"&amp;YEAR(B1385)</x:f>
        <x:v>Q3-2025</x:v>
      </x:c>
      <x:c r="AD1385" s="26" t="n">
        <x:f>MIN(100,IF(H1385="Enterprise",30,IF(H1385="Mid-Market",22,14))+IF(T1385="Enterprise",25,IF(T1385="Mid-Market",18,10))+IF(Q1385="Referral",25,IF(Q1385="Organic Search",20,IF(Q1385="Email",18,14)))+IF(G1385="Technology",10,5))</x:f>
        <x:v>43</x:v>
      </x:c>
      <x:c r="AE1385" t="str">
        <x:f>IF(U1385&lt;&gt;"Open",U1385,IF(N1385&gt;=0.8,"Commit",IF(N1385&gt;=0.5,"Best Case","Pipeline")))</x:f>
        <x:v>Lost</x:v>
      </x:c>
    </x:row>
    <x:row r="1386">
      <x:c r="A1386" t="str">
        <x:v>L01385</x:v>
      </x:c>
      <x:c r="B1386" s="10" t="n">
        <x:v>45998</x:v>
      </x:c>
      <x:c r="C1386" t="str">
        <x:v>Tuan Bui</x:v>
      </x:c>
      <x:c r="D1386" t="str">
        <x:v>Central</x:v>
      </x:c>
      <x:c r="E1386" t="str">
        <x:v>virtual event</x:v>
      </x:c>
      <x:c r="F1386" t="str">
        <x:v>CS-CLOUD</x:v>
      </x:c>
      <x:c r="G1386" t="str">
        <x:v>Financial Services</x:v>
      </x:c>
      <x:c r="H1386" t="str">
        <x:v>SMB</x:v>
      </x:c>
      <x:c r="I1386" t="str">
        <x:v>Closed Lost</x:v>
      </x:c>
      <x:c r="J1386" s="10" t="n">
        <x:v>46013</x:v>
      </x:c>
      <x:c r="K1386" s="10" t="n">
        <x:v>46013</x:v>
      </x:c>
      <x:c r="L1386" s="22" t="n">
        <x:v>14700</x:v>
      </x:c>
      <x:c r="M1386" s="24" t="n">
        <x:v>0</x:v>
      </x:c>
      <x:c r="N1386" s="24" t="n">
        <x:v>0</x:v>
      </x:c>
      <x:c r="O1386" t="str">
        <x:v>Competitor</x:v>
      </x:c>
      <x:c r="P1386" t="n">
        <x:v>2</x:v>
      </x:c>
      <x:c r="Q1386" t="str">
        <x:f>IFERROR(XLOOKUP(E1386,Lookups!$A$5:$A$24,Lookups!$B$5:$B$24),"Other")</x:f>
        <x:v>Webinar</x:v>
      </x:c>
      <x:c r="R1386" t="str">
        <x:f>IFERROR(XLOOKUP(F1386,Lookups!$D$5:$D$10,Lookups!$E$5:$E$10),"Unknown Product")</x:f>
        <x:v>Service Cloud</x:v>
      </x:c>
      <x:c r="S1386" t="str">
        <x:f>IFERROR(XLOOKUP(F1386,Lookups!$D$5:$D$10,Lookups!$F$5:$F$10),"Unknown")</x:f>
        <x:v>Customer Service</x:v>
      </x:c>
      <x:c r="T1386" t="str">
        <x:f>IF(L1386&gt;=50000,"Enterprise",IF(L1386&gt;=20000,"Mid-Market","SMB"))</x:f>
        <x:v>SMB</x:v>
      </x:c>
      <x:c r="U1386" t="str">
        <x:f>IF(I1386="Closed Won","Won",IF(I1386="Closed Lost","Lost","Open"))</x:f>
        <x:v>Lost</x:v>
      </x:c>
      <x:c r="V1386" s="22" t="n">
        <x:f>IF(U1386="Won",L1386*(1-M1386),0)</x:f>
        <x:v>0</x:v>
      </x:c>
      <x:c r="W1386" s="22" t="n">
        <x:f>IF(U1386="Open",L1386*N1386,0)</x:f>
        <x:v>0</x:v>
      </x:c>
      <x:c r="X1386" s="26" t="n">
        <x:f>IF(U1386="Open","",IFERROR(K1386-B1386,""))</x:f>
        <x:v>15</x:v>
      </x:c>
      <x:c r="Y1386" s="26" t="n">
        <x:f>IF(U1386="Open",Lookups!$B$2-B1386,X1386)</x:f>
        <x:v>15</x:v>
      </x:c>
      <x:c r="Z1386" t="str">
        <x:f>IF(AND(U1386="Open",Y1386&gt;30),"STALE","OK")</x:f>
        <x:v>OK</x:v>
      </x:c>
      <x:c r="AA1386" t="str">
        <x:f>TEXT(B1386,"yyyy-mm")</x:f>
        <x:v>2025-12</x:v>
      </x:c>
      <x:c r="AB1386" t="str">
        <x:f>IF(K1386="","",TEXT(K1386,"yyyy-mm"))</x:f>
        <x:v>2025-12</x:v>
      </x:c>
      <x:c r="AC1386" t="str">
        <x:f>"Q"&amp;ROUNDUP(MONTH(B1386)/3,0)&amp;"-"&amp;YEAR(B1386)</x:f>
        <x:v>Q4-2025</x:v>
      </x:c>
      <x:c r="AD1386" s="26" t="n">
        <x:f>MIN(100,IF(H1386="Enterprise",30,IF(H1386="Mid-Market",22,14))+IF(T1386="Enterprise",25,IF(T1386="Mid-Market",18,10))+IF(Q1386="Referral",25,IF(Q1386="Organic Search",20,IF(Q1386="Email",18,14)))+IF(G1386="Technology",10,5))</x:f>
        <x:v>43</x:v>
      </x:c>
      <x:c r="AE1386" t="str">
        <x:f>IF(U1386&lt;&gt;"Open",U1386,IF(N1386&gt;=0.8,"Commit",IF(N1386&gt;=0.5,"Best Case","Pipeline")))</x:f>
        <x:v>Lost</x:v>
      </x:c>
    </x:row>
    <x:row r="1387">
      <x:c r="A1387" t="str">
        <x:v>L01386</x:v>
      </x:c>
      <x:c r="B1387" s="10" t="n">
        <x:v>45722</x:v>
      </x:c>
      <x:c r="C1387" t="str">
        <x:v>Minh Do</x:v>
      </x:c>
      <x:c r="D1387" t="str">
        <x:v>North</x:v>
      </x:c>
      <x:c r="E1387" t="str">
        <x:v>customer referral</x:v>
      </x:c>
      <x:c r="F1387" t="str">
        <x:v>CRM-CORE</x:v>
      </x:c>
      <x:c r="G1387" t="str">
        <x:v>Professional Services</x:v>
      </x:c>
      <x:c r="H1387" t="str">
        <x:v>SMB</x:v>
      </x:c>
      <x:c r="I1387" t="str">
        <x:v>Closed Lost</x:v>
      </x:c>
      <x:c r="J1387" s="10" t="n">
        <x:v>45760</x:v>
      </x:c>
      <x:c r="K1387" s="10" t="n">
        <x:v>45760</x:v>
      </x:c>
      <x:c r="L1387" s="22" t="n">
        <x:v>4600</x:v>
      </x:c>
      <x:c r="M1387" s="24" t="n">
        <x:v>0</x:v>
      </x:c>
      <x:c r="N1387" s="24" t="n">
        <x:v>0</x:v>
      </x:c>
      <x:c r="O1387" t="str">
        <x:v>Timing</x:v>
      </x:c>
      <x:c r="P1387" t="n">
        <x:v>4</x:v>
      </x:c>
      <x:c r="Q1387" t="str">
        <x:f>IFERROR(XLOOKUP(E1387,Lookups!$A$5:$A$24,Lookups!$B$5:$B$24),"Other")</x:f>
        <x:v>Referral</x:v>
      </x:c>
      <x:c r="R1387" t="str">
        <x:f>IFERROR(XLOOKUP(F1387,Lookups!$D$5:$D$10,Lookups!$E$5:$E$10),"Unknown Product")</x:f>
        <x:v>NexaCRM Core</x:v>
      </x:c>
      <x:c r="S1387" t="str">
        <x:f>IFERROR(XLOOKUP(F1387,Lookups!$D$5:$D$10,Lookups!$F$5:$F$10),"Unknown")</x:f>
        <x:v>CRM</x:v>
      </x:c>
      <x:c r="T1387" t="str">
        <x:f>IF(L1387&gt;=50000,"Enterprise",IF(L1387&gt;=20000,"Mid-Market","SMB"))</x:f>
        <x:v>SMB</x:v>
      </x:c>
      <x:c r="U1387" t="str">
        <x:f>IF(I1387="Closed Won","Won",IF(I1387="Closed Lost","Lost","Open"))</x:f>
        <x:v>Lost</x:v>
      </x:c>
      <x:c r="V1387" s="22" t="n">
        <x:f>IF(U1387="Won",L1387*(1-M1387),0)</x:f>
        <x:v>0</x:v>
      </x:c>
      <x:c r="W1387" s="22" t="n">
        <x:f>IF(U1387="Open",L1387*N1387,0)</x:f>
        <x:v>0</x:v>
      </x:c>
      <x:c r="X1387" s="26" t="n">
        <x:f>IF(U1387="Open","",IFERROR(K1387-B1387,""))</x:f>
        <x:v>38</x:v>
      </x:c>
      <x:c r="Y1387" s="26" t="n">
        <x:f>IF(U1387="Open",Lookups!$B$2-B1387,X1387)</x:f>
        <x:v>38</x:v>
      </x:c>
      <x:c r="Z1387" t="str">
        <x:f>IF(AND(U1387="Open",Y1387&gt;30),"STALE","OK")</x:f>
        <x:v>OK</x:v>
      </x:c>
      <x:c r="AA1387" t="str">
        <x:f>TEXT(B1387,"yyyy-mm")</x:f>
        <x:v>2025-03</x:v>
      </x:c>
      <x:c r="AB1387" t="str">
        <x:f>IF(K1387="","",TEXT(K1387,"yyyy-mm"))</x:f>
        <x:v>2025-04</x:v>
      </x:c>
      <x:c r="AC1387" t="str">
        <x:f>"Q"&amp;ROUNDUP(MONTH(B1387)/3,0)&amp;"-"&amp;YEAR(B1387)</x:f>
        <x:v>Q1-2025</x:v>
      </x:c>
      <x:c r="AD1387" s="26" t="n">
        <x:f>MIN(100,IF(H1387="Enterprise",30,IF(H1387="Mid-Market",22,14))+IF(T1387="Enterprise",25,IF(T1387="Mid-Market",18,10))+IF(Q1387="Referral",25,IF(Q1387="Organic Search",20,IF(Q1387="Email",18,14)))+IF(G1387="Technology",10,5))</x:f>
        <x:v>54</x:v>
      </x:c>
      <x:c r="AE1387" t="str">
        <x:f>IF(U1387&lt;&gt;"Open",U1387,IF(N1387&gt;=0.8,"Commit",IF(N1387&gt;=0.5,"Best Case","Pipeline")))</x:f>
        <x:v>Lost</x:v>
      </x:c>
    </x:row>
    <x:row r="1388">
      <x:c r="A1388" t="str">
        <x:v>L01387</x:v>
      </x:c>
      <x:c r="B1388" s="10" t="n">
        <x:v>46191</x:v>
      </x:c>
      <x:c r="C1388" t="str">
        <x:v>Chi Le</x:v>
      </x:c>
      <x:c r="D1388" t="str">
        <x:v>South</x:v>
      </x:c>
      <x:c r="E1388" t="str">
        <x:v>SEM - Google</x:v>
      </x:c>
      <x:c r="F1388" t="str">
        <x:v>CRM-CORE</x:v>
      </x:c>
      <x:c r="G1388" t="str">
        <x:v>Manufacturing</x:v>
      </x:c>
      <x:c r="H1388" t="str">
        <x:v>SMB</x:v>
      </x:c>
      <x:c r="I1388" t="str">
        <x:v>Closed Lost</x:v>
      </x:c>
      <x:c r="J1388" s="10" t="n">
        <x:v>46208</x:v>
      </x:c>
      <x:c r="K1388" s="10" t="n">
        <x:v>46208</x:v>
      </x:c>
      <x:c r="L1388" s="22" t="n">
        <x:v>9900</x:v>
      </x:c>
      <x:c r="M1388" s="24" t="n">
        <x:v>0</x:v>
      </x:c>
      <x:c r="N1388" s="24" t="n">
        <x:v>0</x:v>
      </x:c>
      <x:c r="O1388" t="str">
        <x:v>Price</x:v>
      </x:c>
      <x:c r="P1388" t="n">
        <x:v>4</x:v>
      </x:c>
      <x:c r="Q1388" t="str">
        <x:f>IFERROR(XLOOKUP(E1388,Lookups!$A$5:$A$24,Lookups!$B$5:$B$24),"Other")</x:f>
        <x:v>Paid Search</x:v>
      </x:c>
      <x:c r="R1388" t="str">
        <x:f>IFERROR(XLOOKUP(F1388,Lookups!$D$5:$D$10,Lookups!$E$5:$E$10),"Unknown Product")</x:f>
        <x:v>NexaCRM Core</x:v>
      </x:c>
      <x:c r="S1388" t="str">
        <x:f>IFERROR(XLOOKUP(F1388,Lookups!$D$5:$D$10,Lookups!$F$5:$F$10),"Unknown")</x:f>
        <x:v>CRM</x:v>
      </x:c>
      <x:c r="T1388" t="str">
        <x:f>IF(L1388&gt;=50000,"Enterprise",IF(L1388&gt;=20000,"Mid-Market","SMB"))</x:f>
        <x:v>SMB</x:v>
      </x:c>
      <x:c r="U1388" t="str">
        <x:f>IF(I1388="Closed Won","Won",IF(I1388="Closed Lost","Lost","Open"))</x:f>
        <x:v>Lost</x:v>
      </x:c>
      <x:c r="V1388" s="22" t="n">
        <x:f>IF(U1388="Won",L1388*(1-M1388),0)</x:f>
        <x:v>0</x:v>
      </x:c>
      <x:c r="W1388" s="22" t="n">
        <x:f>IF(U1388="Open",L1388*N1388,0)</x:f>
        <x:v>0</x:v>
      </x:c>
      <x:c r="X1388" s="26" t="n">
        <x:f>IF(U1388="Open","",IFERROR(K1388-B1388,""))</x:f>
        <x:v>17</x:v>
      </x:c>
      <x:c r="Y1388" s="26" t="n">
        <x:f>IF(U1388="Open",Lookups!$B$2-B1388,X1388)</x:f>
        <x:v>17</x:v>
      </x:c>
      <x:c r="Z1388" t="str">
        <x:f>IF(AND(U1388="Open",Y1388&gt;30),"STALE","OK")</x:f>
        <x:v>OK</x:v>
      </x:c>
      <x:c r="AA1388" t="str">
        <x:f>TEXT(B1388,"yyyy-mm")</x:f>
        <x:v>2026-06</x:v>
      </x:c>
      <x:c r="AB1388" t="str">
        <x:f>IF(K1388="","",TEXT(K1388,"yyyy-mm"))</x:f>
        <x:v>2026-07</x:v>
      </x:c>
      <x:c r="AC1388" t="str">
        <x:f>"Q"&amp;ROUNDUP(MONTH(B1388)/3,0)&amp;"-"&amp;YEAR(B1388)</x:f>
        <x:v>Q2-2026</x:v>
      </x:c>
      <x:c r="AD1388" s="26" t="n">
        <x:f>MIN(100,IF(H1388="Enterprise",30,IF(H1388="Mid-Market",22,14))+IF(T1388="Enterprise",25,IF(T1388="Mid-Market",18,10))+IF(Q1388="Referral",25,IF(Q1388="Organic Search",20,IF(Q1388="Email",18,14)))+IF(G1388="Technology",10,5))</x:f>
        <x:v>43</x:v>
      </x:c>
      <x:c r="AE1388" t="str">
        <x:f>IF(U1388&lt;&gt;"Open",U1388,IF(N1388&gt;=0.8,"Commit",IF(N1388&gt;=0.5,"Best Case","Pipeline")))</x:f>
        <x:v>Lost</x:v>
      </x:c>
    </x:row>
    <x:row r="1389">
      <x:c r="A1389" t="str">
        <x:v>L01388</x:v>
      </x:c>
      <x:c r="B1389" s="10" t="n">
        <x:v>45781</x:v>
      </x:c>
      <x:c r="C1389" t="str">
        <x:v>Chi Le</x:v>
      </x:c>
      <x:c r="D1389" t="str">
        <x:v>South</x:v>
      </x:c>
      <x:c r="E1389" t="str">
        <x:v>LI Ads</x:v>
      </x:c>
      <x:c r="F1389" t="str">
        <x:v>REV-OPS</x:v>
      </x:c>
      <x:c r="G1389" t="str">
        <x:v>Education</x:v>
      </x:c>
      <x:c r="H1389" t="str">
        <x:v>Mid-Market</x:v>
      </x:c>
      <x:c r="I1389" t="str">
        <x:v>Closed Lost</x:v>
      </x:c>
      <x:c r="J1389" s="10" t="n">
        <x:v>45829</x:v>
      </x:c>
      <x:c r="K1389" s="10" t="n">
        <x:v>45829</x:v>
      </x:c>
      <x:c r="L1389" s="22" t="n">
        <x:v>37700</x:v>
      </x:c>
      <x:c r="M1389" s="24" t="n">
        <x:v>0</x:v>
      </x:c>
      <x:c r="N1389" s="24" t="n">
        <x:v>0</x:v>
      </x:c>
      <x:c r="O1389" t="str">
        <x:v>Feature Gap</x:v>
      </x:c>
      <x:c r="P1389" t="n">
        <x:v>2</x:v>
      </x:c>
      <x:c r="Q1389" t="str">
        <x:f>IFERROR(XLOOKUP(E1389,Lookups!$A$5:$A$24,Lookups!$B$5:$B$24),"Other")</x:f>
        <x:v>LinkedIn</x:v>
      </x:c>
      <x:c r="R1389" t="str">
        <x:f>IFERROR(XLOOKUP(F1389,Lookups!$D$5:$D$10,Lookups!$E$5:$E$10),"Unknown Product")</x:f>
        <x:v>Revenue Operations Suite</x:v>
      </x:c>
      <x:c r="S1389" t="str">
        <x:f>IFERROR(XLOOKUP(F1389,Lookups!$D$5:$D$10,Lookups!$F$5:$F$10),"Unknown")</x:f>
        <x:v>Revenue Ops</x:v>
      </x:c>
      <x:c r="T1389" t="str">
        <x:f>IF(L1389&gt;=50000,"Enterprise",IF(L1389&gt;=20000,"Mid-Market","SMB"))</x:f>
        <x:v>Mid-Market</x:v>
      </x:c>
      <x:c r="U1389" t="str">
        <x:f>IF(I1389="Closed Won","Won",IF(I1389="Closed Lost","Lost","Open"))</x:f>
        <x:v>Lost</x:v>
      </x:c>
      <x:c r="V1389" s="22" t="n">
        <x:f>IF(U1389="Won",L1389*(1-M1389),0)</x:f>
        <x:v>0</x:v>
      </x:c>
      <x:c r="W1389" s="22" t="n">
        <x:f>IF(U1389="Open",L1389*N1389,0)</x:f>
        <x:v>0</x:v>
      </x:c>
      <x:c r="X1389" s="26" t="n">
        <x:f>IF(U1389="Open","",IFERROR(K1389-B1389,""))</x:f>
        <x:v>48</x:v>
      </x:c>
      <x:c r="Y1389" s="26" t="n">
        <x:f>IF(U1389="Open",Lookups!$B$2-B1389,X1389)</x:f>
        <x:v>48</x:v>
      </x:c>
      <x:c r="Z1389" t="str">
        <x:f>IF(AND(U1389="Open",Y1389&gt;30),"STALE","OK")</x:f>
        <x:v>OK</x:v>
      </x:c>
      <x:c r="AA1389" t="str">
        <x:f>TEXT(B1389,"yyyy-mm")</x:f>
        <x:v>2025-05</x:v>
      </x:c>
      <x:c r="AB1389" t="str">
        <x:f>IF(K1389="","",TEXT(K1389,"yyyy-mm"))</x:f>
        <x:v>2025-06</x:v>
      </x:c>
      <x:c r="AC1389" t="str">
        <x:f>"Q"&amp;ROUNDUP(MONTH(B1389)/3,0)&amp;"-"&amp;YEAR(B1389)</x:f>
        <x:v>Q2-2025</x:v>
      </x:c>
      <x:c r="AD1389" s="26" t="n">
        <x:f>MIN(100,IF(H1389="Enterprise",30,IF(H1389="Mid-Market",22,14))+IF(T1389="Enterprise",25,IF(T1389="Mid-Market",18,10))+IF(Q1389="Referral",25,IF(Q1389="Organic Search",20,IF(Q1389="Email",18,14)))+IF(G1389="Technology",10,5))</x:f>
        <x:v>59</x:v>
      </x:c>
      <x:c r="AE1389" t="str">
        <x:f>IF(U1389&lt;&gt;"Open",U1389,IF(N1389&gt;=0.8,"Commit",IF(N1389&gt;=0.5,"Best Case","Pipeline")))</x:f>
        <x:v>Lost</x:v>
      </x:c>
    </x:row>
    <x:row r="1390">
      <x:c r="A1390" t="str">
        <x:v>L01389</x:v>
      </x:c>
      <x:c r="B1390" s="10" t="n">
        <x:v>45850</x:v>
      </x:c>
      <x:c r="C1390" t="str">
        <x:v>An Nguyen</x:v>
      </x:c>
      <x:c r="D1390" t="str">
        <x:v>South</x:v>
      </x:c>
      <x:c r="E1390" t="str">
        <x:v>LinkedIn Ads</x:v>
      </x:c>
      <x:c r="F1390" t="str">
        <x:v>CRM-PRO</x:v>
      </x:c>
      <x:c r="G1390" t="str">
        <x:v>Retail</x:v>
      </x:c>
      <x:c r="H1390" t="str">
        <x:v>SMB</x:v>
      </x:c>
      <x:c r="I1390" t="str">
        <x:v>Closed Lost</x:v>
      </x:c>
      <x:c r="J1390" s="10" t="n">
        <x:v>45885</x:v>
      </x:c>
      <x:c r="K1390" s="10" t="n">
        <x:v>45885</x:v>
      </x:c>
      <x:c r="L1390" s="22" t="n">
        <x:v>12900</x:v>
      </x:c>
      <x:c r="M1390" s="24" t="n">
        <x:v>0</x:v>
      </x:c>
      <x:c r="N1390" s="24" t="n">
        <x:v>0</x:v>
      </x:c>
      <x:c r="O1390" t="str">
        <x:v>No Decision</x:v>
      </x:c>
      <x:c r="P1390" t="n">
        <x:v>2</x:v>
      </x:c>
      <x:c r="Q1390" t="str">
        <x:f>IFERROR(XLOOKUP(E1390,Lookups!$A$5:$A$24,Lookups!$B$5:$B$24),"Other")</x:f>
        <x:v>LinkedIn</x:v>
      </x:c>
      <x:c r="R1390" t="str">
        <x:f>IFERROR(XLOOKUP(F1390,Lookups!$D$5:$D$10,Lookups!$E$5:$E$10),"Unknown Product")</x:f>
        <x:v>NexaCRM Pro</x:v>
      </x:c>
      <x:c r="S1390" t="str">
        <x:f>IFERROR(XLOOKUP(F1390,Lookups!$D$5:$D$10,Lookups!$F$5:$F$10),"Unknown")</x:f>
        <x:v>CRM</x:v>
      </x:c>
      <x:c r="T1390" t="str">
        <x:f>IF(L1390&gt;=50000,"Enterprise",IF(L1390&gt;=20000,"Mid-Market","SMB"))</x:f>
        <x:v>SMB</x:v>
      </x:c>
      <x:c r="U1390" t="str">
        <x:f>IF(I1390="Closed Won","Won",IF(I1390="Closed Lost","Lost","Open"))</x:f>
        <x:v>Lost</x:v>
      </x:c>
      <x:c r="V1390" s="22" t="n">
        <x:f>IF(U1390="Won",L1390*(1-M1390),0)</x:f>
        <x:v>0</x:v>
      </x:c>
      <x:c r="W1390" s="22" t="n">
        <x:f>IF(U1390="Open",L1390*N1390,0)</x:f>
        <x:v>0</x:v>
      </x:c>
      <x:c r="X1390" s="26" t="n">
        <x:f>IF(U1390="Open","",IFERROR(K1390-B1390,""))</x:f>
        <x:v>35</x:v>
      </x:c>
      <x:c r="Y1390" s="26" t="n">
        <x:f>IF(U1390="Open",Lookups!$B$2-B1390,X1390)</x:f>
        <x:v>35</x:v>
      </x:c>
      <x:c r="Z1390" t="str">
        <x:f>IF(AND(U1390="Open",Y1390&gt;30),"STALE","OK")</x:f>
        <x:v>OK</x:v>
      </x:c>
      <x:c r="AA1390" t="str">
        <x:f>TEXT(B1390,"yyyy-mm")</x:f>
        <x:v>2025-07</x:v>
      </x:c>
      <x:c r="AB1390" t="str">
        <x:f>IF(K1390="","",TEXT(K1390,"yyyy-mm"))</x:f>
        <x:v>2025-08</x:v>
      </x:c>
      <x:c r="AC1390" t="str">
        <x:f>"Q"&amp;ROUNDUP(MONTH(B1390)/3,0)&amp;"-"&amp;YEAR(B1390)</x:f>
        <x:v>Q3-2025</x:v>
      </x:c>
      <x:c r="AD1390" s="26" t="n">
        <x:f>MIN(100,IF(H1390="Enterprise",30,IF(H1390="Mid-Market",22,14))+IF(T1390="Enterprise",25,IF(T1390="Mid-Market",18,10))+IF(Q1390="Referral",25,IF(Q1390="Organic Search",20,IF(Q1390="Email",18,14)))+IF(G1390="Technology",10,5))</x:f>
        <x:v>43</x:v>
      </x:c>
      <x:c r="AE1390" t="str">
        <x:f>IF(U1390&lt;&gt;"Open",U1390,IF(N1390&gt;=0.8,"Commit",IF(N1390&gt;=0.5,"Best Case","Pipeline")))</x:f>
        <x:v>Lost</x:v>
      </x:c>
    </x:row>
    <x:row r="1391">
      <x:c r="A1391" t="str">
        <x:v>L01390</x:v>
      </x:c>
      <x:c r="B1391" s="10" t="n">
        <x:v>45842</x:v>
      </x:c>
      <x:c r="C1391" t="str">
        <x:v>An Nguyen</x:v>
      </x:c>
      <x:c r="D1391" t="str">
        <x:v>South</x:v>
      </x:c>
      <x:c r="E1391" t="str">
        <x:v>Outbound</x:v>
      </x:c>
      <x:c r="F1391" t="str">
        <x:v>MKT-AUTO</x:v>
      </x:c>
      <x:c r="G1391" t="str">
        <x:v>Technology</x:v>
      </x:c>
      <x:c r="H1391" t="str">
        <x:v>Mid-Market</x:v>
      </x:c>
      <x:c r="I1391" t="str">
        <x:v>Closed Lost</x:v>
      </x:c>
      <x:c r="J1391" s="10" t="n">
        <x:v>45891</x:v>
      </x:c>
      <x:c r="K1391" s="10" t="n">
        <x:v>45891</x:v>
      </x:c>
      <x:c r="L1391" s="22" t="n">
        <x:v>31500</x:v>
      </x:c>
      <x:c r="M1391" s="24" t="n">
        <x:v>0</x:v>
      </x:c>
      <x:c r="N1391" s="24" t="n">
        <x:v>0</x:v>
      </x:c>
      <x:c r="O1391" t="str">
        <x:v>Feature Gap</x:v>
      </x:c>
      <x:c r="P1391" t="n">
        <x:v>5</x:v>
      </x:c>
      <x:c r="Q1391" t="str">
        <x:f>IFERROR(XLOOKUP(E1391,Lookups!$A$5:$A$24,Lookups!$B$5:$B$24),"Other")</x:f>
        <x:v>Outbound</x:v>
      </x:c>
      <x:c r="R1391" t="str">
        <x:f>IFERROR(XLOOKUP(F1391,Lookups!$D$5:$D$10,Lookups!$E$5:$E$10),"Unknown Product")</x:f>
        <x:v>Marketing Automation</x:v>
      </x:c>
      <x:c r="S1391" t="str">
        <x:f>IFERROR(XLOOKUP(F1391,Lookups!$D$5:$D$10,Lookups!$F$5:$F$10),"Unknown")</x:f>
        <x:v>Marketing</x:v>
      </x:c>
      <x:c r="T1391" t="str">
        <x:f>IF(L1391&gt;=50000,"Enterprise",IF(L1391&gt;=20000,"Mid-Market","SMB"))</x:f>
        <x:v>Mid-Market</x:v>
      </x:c>
      <x:c r="U1391" t="str">
        <x:f>IF(I1391="Closed Won","Won",IF(I1391="Closed Lost","Lost","Open"))</x:f>
        <x:v>Lost</x:v>
      </x:c>
      <x:c r="V1391" s="22" t="n">
        <x:f>IF(U1391="Won",L1391*(1-M1391),0)</x:f>
        <x:v>0</x:v>
      </x:c>
      <x:c r="W1391" s="22" t="n">
        <x:f>IF(U1391="Open",L1391*N1391,0)</x:f>
        <x:v>0</x:v>
      </x:c>
      <x:c r="X1391" s="26" t="n">
        <x:f>IF(U1391="Open","",IFERROR(K1391-B1391,""))</x:f>
        <x:v>49</x:v>
      </x:c>
      <x:c r="Y1391" s="26" t="n">
        <x:f>IF(U1391="Open",Lookups!$B$2-B1391,X1391)</x:f>
        <x:v>49</x:v>
      </x:c>
      <x:c r="Z1391" t="str">
        <x:f>IF(AND(U1391="Open",Y1391&gt;30),"STALE","OK")</x:f>
        <x:v>OK</x:v>
      </x:c>
      <x:c r="AA1391" t="str">
        <x:f>TEXT(B1391,"yyyy-mm")</x:f>
        <x:v>2025-07</x:v>
      </x:c>
      <x:c r="AB1391" t="str">
        <x:f>IF(K1391="","",TEXT(K1391,"yyyy-mm"))</x:f>
        <x:v>2025-08</x:v>
      </x:c>
      <x:c r="AC1391" t="str">
        <x:f>"Q"&amp;ROUNDUP(MONTH(B1391)/3,0)&amp;"-"&amp;YEAR(B1391)</x:f>
        <x:v>Q3-2025</x:v>
      </x:c>
      <x:c r="AD1391" s="26" t="n">
        <x:f>MIN(100,IF(H1391="Enterprise",30,IF(H1391="Mid-Market",22,14))+IF(T1391="Enterprise",25,IF(T1391="Mid-Market",18,10))+IF(Q1391="Referral",25,IF(Q1391="Organic Search",20,IF(Q1391="Email",18,14)))+IF(G1391="Technology",10,5))</x:f>
        <x:v>64</x:v>
      </x:c>
      <x:c r="AE1391" t="str">
        <x:f>IF(U1391&lt;&gt;"Open",U1391,IF(N1391&gt;=0.8,"Commit",IF(N1391&gt;=0.5,"Best Case","Pipeline")))</x:f>
        <x:v>Lost</x:v>
      </x:c>
    </x:row>
    <x:row r="1392">
      <x:c r="A1392" t="str">
        <x:v>L01391</x:v>
      </x:c>
      <x:c r="B1392" s="10" t="n">
        <x:v>45907</x:v>
      </x:c>
      <x:c r="C1392" t="str">
        <x:v>Chi Le</x:v>
      </x:c>
      <x:c r="D1392" t="str">
        <x:v>South</x:v>
      </x:c>
      <x:c r="E1392" t="str">
        <x:v>customer referral</x:v>
      </x:c>
      <x:c r="F1392" t="str">
        <x:v>BI-PLUS</x:v>
      </x:c>
      <x:c r="G1392" t="str">
        <x:v>Technology</x:v>
      </x:c>
      <x:c r="H1392" t="str">
        <x:v>Mid-Market</x:v>
      </x:c>
      <x:c r="I1392" t="str">
        <x:v>Negotiation</x:v>
      </x:c>
      <x:c r="J1392" s="10" t="n">
        <x:v>46173</x:v>
      </x:c>
      <x:c r="K1392" s="10"/>
      <x:c r="L1392" s="22" t="n">
        <x:v>35700</x:v>
      </x:c>
      <x:c r="M1392" s="24" t="n">
        <x:v>0</x:v>
      </x:c>
      <x:c r="N1392" s="24" t="n">
        <x:v>0.85</x:v>
      </x:c>
      <x:c r="O1392" t="str"/>
      <x:c r="P1392" t="n">
        <x:v>5</x:v>
      </x:c>
      <x:c r="Q1392" t="str">
        <x:f>IFERROR(XLOOKUP(E1392,Lookups!$A$5:$A$24,Lookups!$B$5:$B$24),"Other")</x:f>
        <x:v>Referral</x:v>
      </x:c>
      <x:c r="R1392" t="str">
        <x:f>IFERROR(XLOOKUP(F1392,Lookups!$D$5:$D$10,Lookups!$E$5:$E$10),"Unknown Product")</x:f>
        <x:v>Analytics Plus</x:v>
      </x:c>
      <x:c r="S1392" t="str">
        <x:f>IFERROR(XLOOKUP(F1392,Lookups!$D$5:$D$10,Lookups!$F$5:$F$10),"Unknown")</x:f>
        <x:v>Analytics</x:v>
      </x:c>
      <x:c r="T1392" t="str">
        <x:f>IF(L1392&gt;=50000,"Enterprise",IF(L1392&gt;=20000,"Mid-Market","SMB"))</x:f>
        <x:v>Mid-Market</x:v>
      </x:c>
      <x:c r="U1392" t="str">
        <x:f>IF(I1392="Closed Won","Won",IF(I1392="Closed Lost","Lost","Open"))</x:f>
        <x:v>Open</x:v>
      </x:c>
      <x:c r="V1392" s="22" t="n">
        <x:f>IF(U1392="Won",L1392*(1-M1392),0)</x:f>
        <x:v>0</x:v>
      </x:c>
      <x:c r="W1392" s="22" t="n">
        <x:f>IF(U1392="Open",L1392*N1392,0)</x:f>
        <x:v>30345</x:v>
      </x:c>
      <x:c r="X1392" s="26" t="str">
        <x:f>IF(U1392="Open","",IFERROR(K1392-B1392,""))</x:f>
      </x:c>
      <x:c r="Y1392" s="26" t="n">
        <x:f>IF(U1392="Open",Lookups!$B$2-B1392,X1392)</x:f>
        <x:v>359</x:v>
      </x:c>
      <x:c r="Z1392" t="str">
        <x:f>IF(AND(U1392="Open",Y1392&gt;30),"STALE","OK")</x:f>
        <x:v>STALE</x:v>
      </x:c>
      <x:c r="AA1392" t="str">
        <x:f>TEXT(B1392,"yyyy-mm")</x:f>
        <x:v>2025-09</x:v>
      </x:c>
      <x:c r="AB1392" t="str">
        <x:f>IF(K1392="","",TEXT(K1392,"yyyy-mm"))</x:f>
      </x:c>
      <x:c r="AC1392" t="str">
        <x:f>"Q"&amp;ROUNDUP(MONTH(B1392)/3,0)&amp;"-"&amp;YEAR(B1392)</x:f>
        <x:v>Q3-2025</x:v>
      </x:c>
      <x:c r="AD1392" s="26" t="n">
        <x:f>MIN(100,IF(H1392="Enterprise",30,IF(H1392="Mid-Market",22,14))+IF(T1392="Enterprise",25,IF(T1392="Mid-Market",18,10))+IF(Q1392="Referral",25,IF(Q1392="Organic Search",20,IF(Q1392="Email",18,14)))+IF(G1392="Technology",10,5))</x:f>
        <x:v>75</x:v>
      </x:c>
      <x:c r="AE1392" t="str">
        <x:f>IF(U1392&lt;&gt;"Open",U1392,IF(N1392&gt;=0.8,"Commit",IF(N1392&gt;=0.5,"Best Case","Pipeline")))</x:f>
        <x:v>Commit</x:v>
      </x:c>
    </x:row>
    <x:row r="1393">
      <x:c r="A1393" t="str">
        <x:v>L01392</x:v>
      </x:c>
      <x:c r="B1393" s="10" t="n">
        <x:v>45966</x:v>
      </x:c>
      <x:c r="C1393" t="str">
        <x:v>Ha Vo</x:v>
      </x:c>
      <x:c r="D1393" t="str">
        <x:v>North</x:v>
      </x:c>
      <x:c r="E1393" t="str">
        <x:v>email nurture</x:v>
      </x:c>
      <x:c r="F1393" t="str">
        <x:v>REV-OPS</x:v>
      </x:c>
      <x:c r="G1393" t="str">
        <x:v>Technology</x:v>
      </x:c>
      <x:c r="H1393" t="str">
        <x:v>SMB</x:v>
      </x:c>
      <x:c r="I1393" t="str">
        <x:v>Negotiation</x:v>
      </x:c>
      <x:c r="J1393" s="10" t="n">
        <x:v>46196</x:v>
      </x:c>
      <x:c r="K1393" s="10"/>
      <x:c r="L1393" s="22" t="n">
        <x:v>32500</x:v>
      </x:c>
      <x:c r="M1393" s="24" t="n">
        <x:v>0</x:v>
      </x:c>
      <x:c r="N1393" s="24" t="n">
        <x:v>0.85</x:v>
      </x:c>
      <x:c r="O1393" t="str"/>
      <x:c r="P1393" t="n">
        <x:v>5</x:v>
      </x:c>
      <x:c r="Q1393" t="str">
        <x:f>IFERROR(XLOOKUP(E1393,Lookups!$A$5:$A$24,Lookups!$B$5:$B$24),"Other")</x:f>
        <x:v>Email</x:v>
      </x:c>
      <x:c r="R1393" t="str">
        <x:f>IFERROR(XLOOKUP(F1393,Lookups!$D$5:$D$10,Lookups!$E$5:$E$10),"Unknown Product")</x:f>
        <x:v>Revenue Operations Suite</x:v>
      </x:c>
      <x:c r="S1393" t="str">
        <x:f>IFERROR(XLOOKUP(F1393,Lookups!$D$5:$D$10,Lookups!$F$5:$F$10),"Unknown")</x:f>
        <x:v>Revenue Ops</x:v>
      </x:c>
      <x:c r="T1393" t="str">
        <x:f>IF(L1393&gt;=50000,"Enterprise",IF(L1393&gt;=20000,"Mid-Market","SMB"))</x:f>
        <x:v>Mid-Market</x:v>
      </x:c>
      <x:c r="U1393" t="str">
        <x:f>IF(I1393="Closed Won","Won",IF(I1393="Closed Lost","Lost","Open"))</x:f>
        <x:v>Open</x:v>
      </x:c>
      <x:c r="V1393" s="22" t="n">
        <x:f>IF(U1393="Won",L1393*(1-M1393),0)</x:f>
        <x:v>0</x:v>
      </x:c>
      <x:c r="W1393" s="22" t="n">
        <x:f>IF(U1393="Open",L1393*N1393,0)</x:f>
        <x:v>27625</x:v>
      </x:c>
      <x:c r="X1393" s="26" t="str">
        <x:f>IF(U1393="Open","",IFERROR(K1393-B1393,""))</x:f>
      </x:c>
      <x:c r="Y1393" s="26" t="n">
        <x:f>IF(U1393="Open",Lookups!$B$2-B1393,X1393)</x:f>
        <x:v>300</x:v>
      </x:c>
      <x:c r="Z1393" t="str">
        <x:f>IF(AND(U1393="Open",Y1393&gt;30),"STALE","OK")</x:f>
        <x:v>STALE</x:v>
      </x:c>
      <x:c r="AA1393" t="str">
        <x:f>TEXT(B1393,"yyyy-mm")</x:f>
        <x:v>2025-11</x:v>
      </x:c>
      <x:c r="AB1393" t="str">
        <x:f>IF(K1393="","",TEXT(K1393,"yyyy-mm"))</x:f>
      </x:c>
      <x:c r="AC1393" t="str">
        <x:f>"Q"&amp;ROUNDUP(MONTH(B1393)/3,0)&amp;"-"&amp;YEAR(B1393)</x:f>
        <x:v>Q4-2025</x:v>
      </x:c>
      <x:c r="AD1393" s="26" t="n">
        <x:f>MIN(100,IF(H1393="Enterprise",30,IF(H1393="Mid-Market",22,14))+IF(T1393="Enterprise",25,IF(T1393="Mid-Market",18,10))+IF(Q1393="Referral",25,IF(Q1393="Organic Search",20,IF(Q1393="Email",18,14)))+IF(G1393="Technology",10,5))</x:f>
        <x:v>60</x:v>
      </x:c>
      <x:c r="AE1393" t="str">
        <x:f>IF(U1393&lt;&gt;"Open",U1393,IF(N1393&gt;=0.8,"Commit",IF(N1393&gt;=0.5,"Best Case","Pipeline")))</x:f>
        <x:v>Commit</x:v>
      </x:c>
    </x:row>
    <x:row r="1394">
      <x:c r="A1394" t="str">
        <x:v>L01393</x:v>
      </x:c>
      <x:c r="B1394" s="10" t="n">
        <x:v>45794</x:v>
      </x:c>
      <x:c r="C1394" t="str">
        <x:v>Duy Pham</x:v>
      </x:c>
      <x:c r="D1394" t="str">
        <x:v>South</x:v>
      </x:c>
      <x:c r="E1394" t="str">
        <x:v>email nurture</x:v>
      </x:c>
      <x:c r="F1394" t="str">
        <x:v>CS-CLOUD</x:v>
      </x:c>
      <x:c r="G1394" t="str">
        <x:v>Retail</x:v>
      </x:c>
      <x:c r="H1394" t="str">
        <x:v>Mid-Market</x:v>
      </x:c>
      <x:c r="I1394" t="str">
        <x:v>Closed Lost</x:v>
      </x:c>
      <x:c r="J1394" s="10" t="n">
        <x:v>45820</x:v>
      </x:c>
      <x:c r="K1394" s="10" t="n">
        <x:v>45820</x:v>
      </x:c>
      <x:c r="L1394" s="22" t="n">
        <x:v>50200</x:v>
      </x:c>
      <x:c r="M1394" s="24" t="n">
        <x:v>0</x:v>
      </x:c>
      <x:c r="N1394" s="24" t="n">
        <x:v>0</x:v>
      </x:c>
      <x:c r="O1394" t="str">
        <x:v>Feature Gap</x:v>
      </x:c>
      <x:c r="P1394" t="n">
        <x:v>5</x:v>
      </x:c>
      <x:c r="Q1394" t="str">
        <x:f>IFERROR(XLOOKUP(E1394,Lookups!$A$5:$A$24,Lookups!$B$5:$B$24),"Other")</x:f>
        <x:v>Email</x:v>
      </x:c>
      <x:c r="R1394" t="str">
        <x:f>IFERROR(XLOOKUP(F1394,Lookups!$D$5:$D$10,Lookups!$E$5:$E$10),"Unknown Product")</x:f>
        <x:v>Service Cloud</x:v>
      </x:c>
      <x:c r="S1394" t="str">
        <x:f>IFERROR(XLOOKUP(F1394,Lookups!$D$5:$D$10,Lookups!$F$5:$F$10),"Unknown")</x:f>
        <x:v>Customer Service</x:v>
      </x:c>
      <x:c r="T1394" t="str">
        <x:f>IF(L1394&gt;=50000,"Enterprise",IF(L1394&gt;=20000,"Mid-Market","SMB"))</x:f>
        <x:v>Enterprise</x:v>
      </x:c>
      <x:c r="U1394" t="str">
        <x:f>IF(I1394="Closed Won","Won",IF(I1394="Closed Lost","Lost","Open"))</x:f>
        <x:v>Lost</x:v>
      </x:c>
      <x:c r="V1394" s="22" t="n">
        <x:f>IF(U1394="Won",L1394*(1-M1394),0)</x:f>
        <x:v>0</x:v>
      </x:c>
      <x:c r="W1394" s="22" t="n">
        <x:f>IF(U1394="Open",L1394*N1394,0)</x:f>
        <x:v>0</x:v>
      </x:c>
      <x:c r="X1394" s="26" t="n">
        <x:f>IF(U1394="Open","",IFERROR(K1394-B1394,""))</x:f>
        <x:v>26</x:v>
      </x:c>
      <x:c r="Y1394" s="26" t="n">
        <x:f>IF(U1394="Open",Lookups!$B$2-B1394,X1394)</x:f>
        <x:v>26</x:v>
      </x:c>
      <x:c r="Z1394" t="str">
        <x:f>IF(AND(U1394="Open",Y1394&gt;30),"STALE","OK")</x:f>
        <x:v>OK</x:v>
      </x:c>
      <x:c r="AA1394" t="str">
        <x:f>TEXT(B1394,"yyyy-mm")</x:f>
        <x:v>2025-05</x:v>
      </x:c>
      <x:c r="AB1394" t="str">
        <x:f>IF(K1394="","",TEXT(K1394,"yyyy-mm"))</x:f>
        <x:v>2025-06</x:v>
      </x:c>
      <x:c r="AC1394" t="str">
        <x:f>"Q"&amp;ROUNDUP(MONTH(B1394)/3,0)&amp;"-"&amp;YEAR(B1394)</x:f>
        <x:v>Q2-2025</x:v>
      </x:c>
      <x:c r="AD1394" s="26" t="n">
        <x:f>MIN(100,IF(H1394="Enterprise",30,IF(H1394="Mid-Market",22,14))+IF(T1394="Enterprise",25,IF(T1394="Mid-Market",18,10))+IF(Q1394="Referral",25,IF(Q1394="Organic Search",20,IF(Q1394="Email",18,14)))+IF(G1394="Technology",10,5))</x:f>
        <x:v>70</x:v>
      </x:c>
      <x:c r="AE1394" t="str">
        <x:f>IF(U1394&lt;&gt;"Open",U1394,IF(N1394&gt;=0.8,"Commit",IF(N1394&gt;=0.5,"Best Case","Pipeline")))</x:f>
        <x:v>Lost</x:v>
      </x:c>
    </x:row>
    <x:row r="1395">
      <x:c r="A1395" t="str">
        <x:v>L01394</x:v>
      </x:c>
      <x:c r="B1395" s="10" t="n">
        <x:v>45731</x:v>
      </x:c>
      <x:c r="C1395" t="str">
        <x:v>Ha Vo</x:v>
      </x:c>
      <x:c r="D1395" t="str">
        <x:v>North</x:v>
      </x:c>
      <x:c r="E1395" t="str">
        <x:v>customer referral</x:v>
      </x:c>
      <x:c r="F1395" t="str">
        <x:v>CRM-PRO</x:v>
      </x:c>
      <x:c r="G1395" t="str">
        <x:v>Technology</x:v>
      </x:c>
      <x:c r="H1395" t="str">
        <x:v>SMB</x:v>
      </x:c>
      <x:c r="I1395" t="str">
        <x:v>Closed Won</x:v>
      </x:c>
      <x:c r="J1395" s="10" t="n">
        <x:v>45812</x:v>
      </x:c>
      <x:c r="K1395" s="10" t="n">
        <x:v>45812</x:v>
      </x:c>
      <x:c r="L1395" s="22" t="n">
        <x:v>11100</x:v>
      </x:c>
      <x:c r="M1395" s="24" t="n">
        <x:v>0.08</x:v>
      </x:c>
      <x:c r="N1395" s="24" t="n">
        <x:v>1</x:v>
      </x:c>
      <x:c r="O1395" t="str"/>
      <x:c r="P1395" t="n">
        <x:v>6</x:v>
      </x:c>
      <x:c r="Q1395" t="str">
        <x:f>IFERROR(XLOOKUP(E1395,Lookups!$A$5:$A$24,Lookups!$B$5:$B$24),"Other")</x:f>
        <x:v>Referral</x:v>
      </x:c>
      <x:c r="R1395" t="str">
        <x:f>IFERROR(XLOOKUP(F1395,Lookups!$D$5:$D$10,Lookups!$E$5:$E$10),"Unknown Product")</x:f>
        <x:v>NexaCRM Pro</x:v>
      </x:c>
      <x:c r="S1395" t="str">
        <x:f>IFERROR(XLOOKUP(F1395,Lookups!$D$5:$D$10,Lookups!$F$5:$F$10),"Unknown")</x:f>
        <x:v>CRM</x:v>
      </x:c>
      <x:c r="T1395" t="str">
        <x:f>IF(L1395&gt;=50000,"Enterprise",IF(L1395&gt;=20000,"Mid-Market","SMB"))</x:f>
        <x:v>SMB</x:v>
      </x:c>
      <x:c r="U1395" t="str">
        <x:f>IF(I1395="Closed Won","Won",IF(I1395="Closed Lost","Lost","Open"))</x:f>
        <x:v>Won</x:v>
      </x:c>
      <x:c r="V1395" s="22" t="n">
        <x:f>IF(U1395="Won",L1395*(1-M1395),0)</x:f>
        <x:v>10212</x:v>
      </x:c>
      <x:c r="W1395" s="22" t="n">
        <x:f>IF(U1395="Open",L1395*N1395,0)</x:f>
        <x:v>0</x:v>
      </x:c>
      <x:c r="X1395" s="26" t="n">
        <x:f>IF(U1395="Open","",IFERROR(K1395-B1395,""))</x:f>
        <x:v>81</x:v>
      </x:c>
      <x:c r="Y1395" s="26" t="n">
        <x:f>IF(U1395="Open",Lookups!$B$2-B1395,X1395)</x:f>
        <x:v>81</x:v>
      </x:c>
      <x:c r="Z1395" t="str">
        <x:f>IF(AND(U1395="Open",Y1395&gt;30),"STALE","OK")</x:f>
        <x:v>OK</x:v>
      </x:c>
      <x:c r="AA1395" t="str">
        <x:f>TEXT(B1395,"yyyy-mm")</x:f>
        <x:v>2025-03</x:v>
      </x:c>
      <x:c r="AB1395" t="str">
        <x:f>IF(K1395="","",TEXT(K1395,"yyyy-mm"))</x:f>
        <x:v>2025-06</x:v>
      </x:c>
      <x:c r="AC1395" t="str">
        <x:f>"Q"&amp;ROUNDUP(MONTH(B1395)/3,0)&amp;"-"&amp;YEAR(B1395)</x:f>
        <x:v>Q1-2025</x:v>
      </x:c>
      <x:c r="AD1395" s="26" t="n">
        <x:f>MIN(100,IF(H1395="Enterprise",30,IF(H1395="Mid-Market",22,14))+IF(T1395="Enterprise",25,IF(T1395="Mid-Market",18,10))+IF(Q1395="Referral",25,IF(Q1395="Organic Search",20,IF(Q1395="Email",18,14)))+IF(G1395="Technology",10,5))</x:f>
        <x:v>59</x:v>
      </x:c>
      <x:c r="AE1395" t="str">
        <x:f>IF(U1395&lt;&gt;"Open",U1395,IF(N1395&gt;=0.8,"Commit",IF(N1395&gt;=0.5,"Best Case","Pipeline")))</x:f>
        <x:v>Won</x:v>
      </x:c>
    </x:row>
    <x:row r="1396">
      <x:c r="A1396" t="str">
        <x:v>L01395</x:v>
      </x:c>
      <x:c r="B1396" s="10" t="n">
        <x:v>45743</x:v>
      </x:c>
      <x:c r="C1396" t="str">
        <x:v>Bao Tran</x:v>
      </x:c>
      <x:c r="D1396" t="str">
        <x:v>South</x:v>
      </x:c>
      <x:c r="E1396" t="str">
        <x:v>SDR Outreach</x:v>
      </x:c>
      <x:c r="F1396" t="str">
        <x:v>CRM-PRO</x:v>
      </x:c>
      <x:c r="G1396" t="str">
        <x:v>Education</x:v>
      </x:c>
      <x:c r="H1396" t="str">
        <x:v>Mid-Market</x:v>
      </x:c>
      <x:c r="I1396" t="str">
        <x:v>Closed Won</x:v>
      </x:c>
      <x:c r="J1396" s="10" t="n">
        <x:v>45804</x:v>
      </x:c>
      <x:c r="K1396" s="10" t="n">
        <x:v>45804</x:v>
      </x:c>
      <x:c r="L1396" s="22" t="n">
        <x:v>30300</x:v>
      </x:c>
      <x:c r="M1396" s="24" t="n">
        <x:v>0</x:v>
      </x:c>
      <x:c r="N1396" s="24" t="n">
        <x:v>1</x:v>
      </x:c>
      <x:c r="O1396" t="str"/>
      <x:c r="P1396" t="n">
        <x:v>6</x:v>
      </x:c>
      <x:c r="Q1396" t="str">
        <x:f>IFERROR(XLOOKUP(E1396,Lookups!$A$5:$A$24,Lookups!$B$5:$B$24),"Other")</x:f>
        <x:v>Outbound</x:v>
      </x:c>
      <x:c r="R1396" t="str">
        <x:f>IFERROR(XLOOKUP(F1396,Lookups!$D$5:$D$10,Lookups!$E$5:$E$10),"Unknown Product")</x:f>
        <x:v>NexaCRM Pro</x:v>
      </x:c>
      <x:c r="S1396" t="str">
        <x:f>IFERROR(XLOOKUP(F1396,Lookups!$D$5:$D$10,Lookups!$F$5:$F$10),"Unknown")</x:f>
        <x:v>CRM</x:v>
      </x:c>
      <x:c r="T1396" t="str">
        <x:f>IF(L1396&gt;=50000,"Enterprise",IF(L1396&gt;=20000,"Mid-Market","SMB"))</x:f>
        <x:v>Mid-Market</x:v>
      </x:c>
      <x:c r="U1396" t="str">
        <x:f>IF(I1396="Closed Won","Won",IF(I1396="Closed Lost","Lost","Open"))</x:f>
        <x:v>Won</x:v>
      </x:c>
      <x:c r="V1396" s="22" t="n">
        <x:f>IF(U1396="Won",L1396*(1-M1396),0)</x:f>
        <x:v>30300</x:v>
      </x:c>
      <x:c r="W1396" s="22" t="n">
        <x:f>IF(U1396="Open",L1396*N1396,0)</x:f>
        <x:v>0</x:v>
      </x:c>
      <x:c r="X1396" s="26" t="n">
        <x:f>IF(U1396="Open","",IFERROR(K1396-B1396,""))</x:f>
        <x:v>61</x:v>
      </x:c>
      <x:c r="Y1396" s="26" t="n">
        <x:f>IF(U1396="Open",Lookups!$B$2-B1396,X1396)</x:f>
        <x:v>61</x:v>
      </x:c>
      <x:c r="Z1396" t="str">
        <x:f>IF(AND(U1396="Open",Y1396&gt;30),"STALE","OK")</x:f>
        <x:v>OK</x:v>
      </x:c>
      <x:c r="AA1396" t="str">
        <x:f>TEXT(B1396,"yyyy-mm")</x:f>
        <x:v>2025-03</x:v>
      </x:c>
      <x:c r="AB1396" t="str">
        <x:f>IF(K1396="","",TEXT(K1396,"yyyy-mm"))</x:f>
        <x:v>2025-05</x:v>
      </x:c>
      <x:c r="AC1396" t="str">
        <x:f>"Q"&amp;ROUNDUP(MONTH(B1396)/3,0)&amp;"-"&amp;YEAR(B1396)</x:f>
        <x:v>Q1-2025</x:v>
      </x:c>
      <x:c r="AD1396" s="26" t="n">
        <x:f>MIN(100,IF(H1396="Enterprise",30,IF(H1396="Mid-Market",22,14))+IF(T1396="Enterprise",25,IF(T1396="Mid-Market",18,10))+IF(Q1396="Referral",25,IF(Q1396="Organic Search",20,IF(Q1396="Email",18,14)))+IF(G1396="Technology",10,5))</x:f>
        <x:v>59</x:v>
      </x:c>
      <x:c r="AE1396" t="str">
        <x:f>IF(U1396&lt;&gt;"Open",U1396,IF(N1396&gt;=0.8,"Commit",IF(N1396&gt;=0.5,"Best Case","Pipeline")))</x:f>
        <x:v>Won</x:v>
      </x:c>
    </x:row>
    <x:row r="1397">
      <x:c r="A1397" t="str">
        <x:v>L01396</x:v>
      </x:c>
      <x:c r="B1397" s="10" t="n">
        <x:v>45809</x:v>
      </x:c>
      <x:c r="C1397" t="str">
        <x:v>An Nguyen</x:v>
      </x:c>
      <x:c r="D1397" t="str">
        <x:v>South</x:v>
      </x:c>
      <x:c r="E1397" t="str">
        <x:v>LI Ads</x:v>
      </x:c>
      <x:c r="F1397" t="str">
        <x:v>CRM-PRO</x:v>
      </x:c>
      <x:c r="G1397" t="str">
        <x:v>Financial Services</x:v>
      </x:c>
      <x:c r="H1397" t="str">
        <x:v>Mid-Market</x:v>
      </x:c>
      <x:c r="I1397" t="str">
        <x:v>Closed Lost</x:v>
      </x:c>
      <x:c r="J1397" s="10" t="n">
        <x:v>45839</x:v>
      </x:c>
      <x:c r="K1397" s="10" t="n">
        <x:v>45839</x:v>
      </x:c>
      <x:c r="L1397" s="22" t="n">
        <x:v>24700</x:v>
      </x:c>
      <x:c r="M1397" s="24" t="n">
        <x:v>0</x:v>
      </x:c>
      <x:c r="N1397" s="24" t="n">
        <x:v>0</x:v>
      </x:c>
      <x:c r="O1397" t="str">
        <x:v>Price</x:v>
      </x:c>
      <x:c r="P1397" t="n">
        <x:v>4</x:v>
      </x:c>
      <x:c r="Q1397" t="str">
        <x:f>IFERROR(XLOOKUP(E1397,Lookups!$A$5:$A$24,Lookups!$B$5:$B$24),"Other")</x:f>
        <x:v>LinkedIn</x:v>
      </x:c>
      <x:c r="R1397" t="str">
        <x:f>IFERROR(XLOOKUP(F1397,Lookups!$D$5:$D$10,Lookups!$E$5:$E$10),"Unknown Product")</x:f>
        <x:v>NexaCRM Pro</x:v>
      </x:c>
      <x:c r="S1397" t="str">
        <x:f>IFERROR(XLOOKUP(F1397,Lookups!$D$5:$D$10,Lookups!$F$5:$F$10),"Unknown")</x:f>
        <x:v>CRM</x:v>
      </x:c>
      <x:c r="T1397" t="str">
        <x:f>IF(L1397&gt;=50000,"Enterprise",IF(L1397&gt;=20000,"Mid-Market","SMB"))</x:f>
        <x:v>Mid-Market</x:v>
      </x:c>
      <x:c r="U1397" t="str">
        <x:f>IF(I1397="Closed Won","Won",IF(I1397="Closed Lost","Lost","Open"))</x:f>
        <x:v>Lost</x:v>
      </x:c>
      <x:c r="V1397" s="22" t="n">
        <x:f>IF(U1397="Won",L1397*(1-M1397),0)</x:f>
        <x:v>0</x:v>
      </x:c>
      <x:c r="W1397" s="22" t="n">
        <x:f>IF(U1397="Open",L1397*N1397,0)</x:f>
        <x:v>0</x:v>
      </x:c>
      <x:c r="X1397" s="26" t="n">
        <x:f>IF(U1397="Open","",IFERROR(K1397-B1397,""))</x:f>
        <x:v>30</x:v>
      </x:c>
      <x:c r="Y1397" s="26" t="n">
        <x:f>IF(U1397="Open",Lookups!$B$2-B1397,X1397)</x:f>
        <x:v>30</x:v>
      </x:c>
      <x:c r="Z1397" t="str">
        <x:f>IF(AND(U1397="Open",Y1397&gt;30),"STALE","OK")</x:f>
        <x:v>OK</x:v>
      </x:c>
      <x:c r="AA1397" t="str">
        <x:f>TEXT(B1397,"yyyy-mm")</x:f>
        <x:v>2025-06</x:v>
      </x:c>
      <x:c r="AB1397" t="str">
        <x:f>IF(K1397="","",TEXT(K1397,"yyyy-mm"))</x:f>
        <x:v>2025-07</x:v>
      </x:c>
      <x:c r="AC1397" t="str">
        <x:f>"Q"&amp;ROUNDUP(MONTH(B1397)/3,0)&amp;"-"&amp;YEAR(B1397)</x:f>
        <x:v>Q2-2025</x:v>
      </x:c>
      <x:c r="AD1397" s="26" t="n">
        <x:f>MIN(100,IF(H1397="Enterprise",30,IF(H1397="Mid-Market",22,14))+IF(T1397="Enterprise",25,IF(T1397="Mid-Market",18,10))+IF(Q1397="Referral",25,IF(Q1397="Organic Search",20,IF(Q1397="Email",18,14)))+IF(G1397="Technology",10,5))</x:f>
        <x:v>59</x:v>
      </x:c>
      <x:c r="AE1397" t="str">
        <x:f>IF(U1397&lt;&gt;"Open",U1397,IF(N1397&gt;=0.8,"Commit",IF(N1397&gt;=0.5,"Best Case","Pipeline")))</x:f>
        <x:v>Lost</x:v>
      </x:c>
    </x:row>
    <x:row r="1398">
      <x:c r="A1398" t="str">
        <x:v>L01397</x:v>
      </x:c>
      <x:c r="B1398" s="10" t="n">
        <x:v>46096</x:v>
      </x:c>
      <x:c r="C1398" t="str">
        <x:v>Ha Vo</x:v>
      </x:c>
      <x:c r="D1398" t="str">
        <x:v>North</x:v>
      </x:c>
      <x:c r="E1398" t="str">
        <x:v>SEO</x:v>
      </x:c>
      <x:c r="F1398" t="str">
        <x:v>BI-PLUS</x:v>
      </x:c>
      <x:c r="G1398" t="str">
        <x:v>Education</x:v>
      </x:c>
      <x:c r="H1398" t="str">
        <x:v>Enterprise</x:v>
      </x:c>
      <x:c r="I1398" t="str">
        <x:v>Closed Lost</x:v>
      </x:c>
      <x:c r="J1398" s="10" t="n">
        <x:v>46117</x:v>
      </x:c>
      <x:c r="K1398" s="10" t="n">
        <x:v>46117</x:v>
      </x:c>
      <x:c r="L1398" s="22" t="n">
        <x:v>47600</x:v>
      </x:c>
      <x:c r="M1398" s="24" t="n">
        <x:v>0</x:v>
      </x:c>
      <x:c r="N1398" s="24" t="n">
        <x:v>0</x:v>
      </x:c>
      <x:c r="O1398" t="str">
        <x:v>Feature Gap</x:v>
      </x:c>
      <x:c r="P1398" t="n">
        <x:v>4</x:v>
      </x:c>
      <x:c r="Q1398" t="str">
        <x:f>IFERROR(XLOOKUP(E1398,Lookups!$A$5:$A$24,Lookups!$B$5:$B$24),"Other")</x:f>
        <x:v>Organic Search</x:v>
      </x:c>
      <x:c r="R1398" t="str">
        <x:f>IFERROR(XLOOKUP(F1398,Lookups!$D$5:$D$10,Lookups!$E$5:$E$10),"Unknown Product")</x:f>
        <x:v>Analytics Plus</x:v>
      </x:c>
      <x:c r="S1398" t="str">
        <x:f>IFERROR(XLOOKUP(F1398,Lookups!$D$5:$D$10,Lookups!$F$5:$F$10),"Unknown")</x:f>
        <x:v>Analytics</x:v>
      </x:c>
      <x:c r="T1398" t="str">
        <x:f>IF(L1398&gt;=50000,"Enterprise",IF(L1398&gt;=20000,"Mid-Market","SMB"))</x:f>
        <x:v>Mid-Market</x:v>
      </x:c>
      <x:c r="U1398" t="str">
        <x:f>IF(I1398="Closed Won","Won",IF(I1398="Closed Lost","Lost","Open"))</x:f>
        <x:v>Lost</x:v>
      </x:c>
      <x:c r="V1398" s="22" t="n">
        <x:f>IF(U1398="Won",L1398*(1-M1398),0)</x:f>
        <x:v>0</x:v>
      </x:c>
      <x:c r="W1398" s="22" t="n">
        <x:f>IF(U1398="Open",L1398*N1398,0)</x:f>
        <x:v>0</x:v>
      </x:c>
      <x:c r="X1398" s="26" t="n">
        <x:f>IF(U1398="Open","",IFERROR(K1398-B1398,""))</x:f>
        <x:v>21</x:v>
      </x:c>
      <x:c r="Y1398" s="26" t="n">
        <x:f>IF(U1398="Open",Lookups!$B$2-B1398,X1398)</x:f>
        <x:v>21</x:v>
      </x:c>
      <x:c r="Z1398" t="str">
        <x:f>IF(AND(U1398="Open",Y1398&gt;30),"STALE","OK")</x:f>
        <x:v>OK</x:v>
      </x:c>
      <x:c r="AA1398" t="str">
        <x:f>TEXT(B1398,"yyyy-mm")</x:f>
        <x:v>2026-03</x:v>
      </x:c>
      <x:c r="AB1398" t="str">
        <x:f>IF(K1398="","",TEXT(K1398,"yyyy-mm"))</x:f>
        <x:v>2026-04</x:v>
      </x:c>
      <x:c r="AC1398" t="str">
        <x:f>"Q"&amp;ROUNDUP(MONTH(B1398)/3,0)&amp;"-"&amp;YEAR(B1398)</x:f>
        <x:v>Q1-2026</x:v>
      </x:c>
      <x:c r="AD1398" s="26" t="n">
        <x:f>MIN(100,IF(H1398="Enterprise",30,IF(H1398="Mid-Market",22,14))+IF(T1398="Enterprise",25,IF(T1398="Mid-Market",18,10))+IF(Q1398="Referral",25,IF(Q1398="Organic Search",20,IF(Q1398="Email",18,14)))+IF(G1398="Technology",10,5))</x:f>
        <x:v>73</x:v>
      </x:c>
      <x:c r="AE1398" t="str">
        <x:f>IF(U1398&lt;&gt;"Open",U1398,IF(N1398&gt;=0.8,"Commit",IF(N1398&gt;=0.5,"Best Case","Pipeline")))</x:f>
        <x:v>Lost</x:v>
      </x:c>
    </x:row>
    <x:row r="1399">
      <x:c r="A1399" t="str">
        <x:v>L01398</x:v>
      </x:c>
      <x:c r="B1399" s="10" t="n">
        <x:v>46171</x:v>
      </x:c>
      <x:c r="C1399" t="str">
        <x:v>Quynh Vu</x:v>
      </x:c>
      <x:c r="D1399" t="str">
        <x:v>North</x:v>
      </x:c>
      <x:c r="E1399" t="str">
        <x:v>LinkedIn Ads</x:v>
      </x:c>
      <x:c r="F1399" t="str">
        <x:v>MKT-AUTO</x:v>
      </x:c>
      <x:c r="G1399" t="str">
        <x:v>Education</x:v>
      </x:c>
      <x:c r="H1399" t="str">
        <x:v>SMB</x:v>
      </x:c>
      <x:c r="I1399" t="str">
        <x:v>Closed Lost</x:v>
      </x:c>
      <x:c r="J1399" s="10" t="n">
        <x:v>46213</x:v>
      </x:c>
      <x:c r="K1399" s="10" t="n">
        <x:v>46213</x:v>
      </x:c>
      <x:c r="L1399" s="22" t="n">
        <x:v>12800</x:v>
      </x:c>
      <x:c r="M1399" s="24" t="n">
        <x:v>0</x:v>
      </x:c>
      <x:c r="N1399" s="24" t="n">
        <x:v>0</x:v>
      </x:c>
      <x:c r="O1399" t="str">
        <x:v>Timing</x:v>
      </x:c>
      <x:c r="P1399" t="n">
        <x:v>4</x:v>
      </x:c>
      <x:c r="Q1399" t="str">
        <x:f>IFERROR(XLOOKUP(E1399,Lookups!$A$5:$A$24,Lookups!$B$5:$B$24),"Other")</x:f>
        <x:v>LinkedIn</x:v>
      </x:c>
      <x:c r="R1399" t="str">
        <x:f>IFERROR(XLOOKUP(F1399,Lookups!$D$5:$D$10,Lookups!$E$5:$E$10),"Unknown Product")</x:f>
        <x:v>Marketing Automation</x:v>
      </x:c>
      <x:c r="S1399" t="str">
        <x:f>IFERROR(XLOOKUP(F1399,Lookups!$D$5:$D$10,Lookups!$F$5:$F$10),"Unknown")</x:f>
        <x:v>Marketing</x:v>
      </x:c>
      <x:c r="T1399" t="str">
        <x:f>IF(L1399&gt;=50000,"Enterprise",IF(L1399&gt;=20000,"Mid-Market","SMB"))</x:f>
        <x:v>SMB</x:v>
      </x:c>
      <x:c r="U1399" t="str">
        <x:f>IF(I1399="Closed Won","Won",IF(I1399="Closed Lost","Lost","Open"))</x:f>
        <x:v>Lost</x:v>
      </x:c>
      <x:c r="V1399" s="22" t="n">
        <x:f>IF(U1399="Won",L1399*(1-M1399),0)</x:f>
        <x:v>0</x:v>
      </x:c>
      <x:c r="W1399" s="22" t="n">
        <x:f>IF(U1399="Open",L1399*N1399,0)</x:f>
        <x:v>0</x:v>
      </x:c>
      <x:c r="X1399" s="26" t="n">
        <x:f>IF(U1399="Open","",IFERROR(K1399-B1399,""))</x:f>
        <x:v>42</x:v>
      </x:c>
      <x:c r="Y1399" s="26" t="n">
        <x:f>IF(U1399="Open",Lookups!$B$2-B1399,X1399)</x:f>
        <x:v>42</x:v>
      </x:c>
      <x:c r="Z1399" t="str">
        <x:f>IF(AND(U1399="Open",Y1399&gt;30),"STALE","OK")</x:f>
        <x:v>OK</x:v>
      </x:c>
      <x:c r="AA1399" t="str">
        <x:f>TEXT(B1399,"yyyy-mm")</x:f>
        <x:v>2026-05</x:v>
      </x:c>
      <x:c r="AB1399" t="str">
        <x:f>IF(K1399="","",TEXT(K1399,"yyyy-mm"))</x:f>
        <x:v>2026-07</x:v>
      </x:c>
      <x:c r="AC1399" t="str">
        <x:f>"Q"&amp;ROUNDUP(MONTH(B1399)/3,0)&amp;"-"&amp;YEAR(B1399)</x:f>
        <x:v>Q2-2026</x:v>
      </x:c>
      <x:c r="AD1399" s="26" t="n">
        <x:f>MIN(100,IF(H1399="Enterprise",30,IF(H1399="Mid-Market",22,14))+IF(T1399="Enterprise",25,IF(T1399="Mid-Market",18,10))+IF(Q1399="Referral",25,IF(Q1399="Organic Search",20,IF(Q1399="Email",18,14)))+IF(G1399="Technology",10,5))</x:f>
        <x:v>43</x:v>
      </x:c>
      <x:c r="AE1399" t="str">
        <x:f>IF(U1399&lt;&gt;"Open",U1399,IF(N1399&gt;=0.8,"Commit",IF(N1399&gt;=0.5,"Best Case","Pipeline")))</x:f>
        <x:v>Lost</x:v>
      </x:c>
    </x:row>
    <x:row r="1400">
      <x:c r="A1400" t="str">
        <x:v>L01399</x:v>
      </x:c>
      <x:c r="B1400" s="10" t="n">
        <x:v>46187</x:v>
      </x:c>
      <x:c r="C1400" t="str">
        <x:v>An Nguyen</x:v>
      </x:c>
      <x:c r="D1400" t="str">
        <x:v>South</x:v>
      </x:c>
      <x:c r="E1400" t="str">
        <x:v>Unknown Event</x:v>
      </x:c>
      <x:c r="F1400" t="str">
        <x:v>CS-CLOUD</x:v>
      </x:c>
      <x:c r="G1400" t="str">
        <x:v>Professional Services</x:v>
      </x:c>
      <x:c r="H1400" t="str">
        <x:v>SMB</x:v>
      </x:c>
      <x:c r="I1400" t="str">
        <x:v>Closed Lost</x:v>
      </x:c>
      <x:c r="J1400" s="10" t="n">
        <x:v>46227</x:v>
      </x:c>
      <x:c r="K1400" s="10" t="n">
        <x:v>46227</x:v>
      </x:c>
      <x:c r="L1400" s="22" t="n">
        <x:v>19900</x:v>
      </x:c>
      <x:c r="M1400" s="24" t="n">
        <x:v>0</x:v>
      </x:c>
      <x:c r="N1400" s="24" t="n">
        <x:v>0</x:v>
      </x:c>
      <x:c r="O1400" t="str">
        <x:v>Price</x:v>
      </x:c>
      <x:c r="P1400" t="n">
        <x:v>4</x:v>
      </x:c>
      <x:c r="Q1400" t="str">
        <x:f>IFERROR(XLOOKUP(E1400,Lookups!$A$5:$A$24,Lookups!$B$5:$B$24),"Other")</x:f>
        <x:v>Other</x:v>
      </x:c>
      <x:c r="R1400" t="str">
        <x:f>IFERROR(XLOOKUP(F1400,Lookups!$D$5:$D$10,Lookups!$E$5:$E$10),"Unknown Product")</x:f>
        <x:v>Service Cloud</x:v>
      </x:c>
      <x:c r="S1400" t="str">
        <x:f>IFERROR(XLOOKUP(F1400,Lookups!$D$5:$D$10,Lookups!$F$5:$F$10),"Unknown")</x:f>
        <x:v>Customer Service</x:v>
      </x:c>
      <x:c r="T1400" t="str">
        <x:f>IF(L1400&gt;=50000,"Enterprise",IF(L1400&gt;=20000,"Mid-Market","SMB"))</x:f>
        <x:v>SMB</x:v>
      </x:c>
      <x:c r="U1400" t="str">
        <x:f>IF(I1400="Closed Won","Won",IF(I1400="Closed Lost","Lost","Open"))</x:f>
        <x:v>Lost</x:v>
      </x:c>
      <x:c r="V1400" s="22" t="n">
        <x:f>IF(U1400="Won",L1400*(1-M1400),0)</x:f>
        <x:v>0</x:v>
      </x:c>
      <x:c r="W1400" s="22" t="n">
        <x:f>IF(U1400="Open",L1400*N1400,0)</x:f>
        <x:v>0</x:v>
      </x:c>
      <x:c r="X1400" s="26" t="n">
        <x:f>IF(U1400="Open","",IFERROR(K1400-B1400,""))</x:f>
        <x:v>40</x:v>
      </x:c>
      <x:c r="Y1400" s="26" t="n">
        <x:f>IF(U1400="Open",Lookups!$B$2-B1400,X1400)</x:f>
        <x:v>40</x:v>
      </x:c>
      <x:c r="Z1400" t="str">
        <x:f>IF(AND(U1400="Open",Y1400&gt;30),"STALE","OK")</x:f>
        <x:v>OK</x:v>
      </x:c>
      <x:c r="AA1400" t="str">
        <x:f>TEXT(B1400,"yyyy-mm")</x:f>
        <x:v>2026-06</x:v>
      </x:c>
      <x:c r="AB1400" t="str">
        <x:f>IF(K1400="","",TEXT(K1400,"yyyy-mm"))</x:f>
        <x:v>2026-07</x:v>
      </x:c>
      <x:c r="AC1400" t="str">
        <x:f>"Q"&amp;ROUNDUP(MONTH(B1400)/3,0)&amp;"-"&amp;YEAR(B1400)</x:f>
        <x:v>Q2-2026</x:v>
      </x:c>
      <x:c r="AD1400" s="26" t="n">
        <x:f>MIN(100,IF(H1400="Enterprise",30,IF(H1400="Mid-Market",22,14))+IF(T1400="Enterprise",25,IF(T1400="Mid-Market",18,10))+IF(Q1400="Referral",25,IF(Q1400="Organic Search",20,IF(Q1400="Email",18,14)))+IF(G1400="Technology",10,5))</x:f>
        <x:v>43</x:v>
      </x:c>
      <x:c r="AE1400" t="str">
        <x:f>IF(U1400&lt;&gt;"Open",U1400,IF(N1400&gt;=0.8,"Commit",IF(N1400&gt;=0.5,"Best Case","Pipeline")))</x:f>
        <x:v>Lost</x:v>
      </x:c>
    </x:row>
    <x:row r="1401">
      <x:c r="A1401" t="str">
        <x:v>L01400</x:v>
      </x:c>
      <x:c r="B1401" s="10" t="n">
        <x:v>46205</x:v>
      </x:c>
      <x:c r="C1401" t="str">
        <x:v>Tuan Bui</x:v>
      </x:c>
      <x:c r="D1401" t="str">
        <x:v>Central</x:v>
      </x:c>
      <x:c r="E1401" t="str">
        <x:v>LinkedIn Ads</x:v>
      </x:c>
      <x:c r="F1401" t="str">
        <x:v>CRM-PRO</x:v>
      </x:c>
      <x:c r="G1401" t="str">
        <x:v>Healthcare</x:v>
      </x:c>
      <x:c r="H1401" t="str">
        <x:v>SMB</x:v>
      </x:c>
      <x:c r="I1401" t="str">
        <x:v>Closed Lost</x:v>
      </x:c>
      <x:c r="J1401" s="10" t="n">
        <x:v>46261</x:v>
      </x:c>
      <x:c r="K1401" s="10" t="n">
        <x:v>46261</x:v>
      </x:c>
      <x:c r="L1401" s="22" t="n">
        <x:v>10800</x:v>
      </x:c>
      <x:c r="M1401" s="24" t="n">
        <x:v>0</x:v>
      </x:c>
      <x:c r="N1401" s="24" t="n">
        <x:v>0</x:v>
      </x:c>
      <x:c r="O1401" t="str">
        <x:v>Timing</x:v>
      </x:c>
      <x:c r="P1401" t="n">
        <x:v>2</x:v>
      </x:c>
      <x:c r="Q1401" t="str">
        <x:f>IFERROR(XLOOKUP(E1401,Lookups!$A$5:$A$24,Lookups!$B$5:$B$24),"Other")</x:f>
        <x:v>LinkedIn</x:v>
      </x:c>
      <x:c r="R1401" t="str">
        <x:f>IFERROR(XLOOKUP(F1401,Lookups!$D$5:$D$10,Lookups!$E$5:$E$10),"Unknown Product")</x:f>
        <x:v>NexaCRM Pro</x:v>
      </x:c>
      <x:c r="S1401" t="str">
        <x:f>IFERROR(XLOOKUP(F1401,Lookups!$D$5:$D$10,Lookups!$F$5:$F$10),"Unknown")</x:f>
        <x:v>CRM</x:v>
      </x:c>
      <x:c r="T1401" t="str">
        <x:f>IF(L1401&gt;=50000,"Enterprise",IF(L1401&gt;=20000,"Mid-Market","SMB"))</x:f>
        <x:v>SMB</x:v>
      </x:c>
      <x:c r="U1401" t="str">
        <x:f>IF(I1401="Closed Won","Won",IF(I1401="Closed Lost","Lost","Open"))</x:f>
        <x:v>Lost</x:v>
      </x:c>
      <x:c r="V1401" s="22" t="n">
        <x:f>IF(U1401="Won",L1401*(1-M1401),0)</x:f>
        <x:v>0</x:v>
      </x:c>
      <x:c r="W1401" s="22" t="n">
        <x:f>IF(U1401="Open",L1401*N1401,0)</x:f>
        <x:v>0</x:v>
      </x:c>
      <x:c r="X1401" s="26" t="n">
        <x:f>IF(U1401="Open","",IFERROR(K1401-B1401,""))</x:f>
        <x:v>56</x:v>
      </x:c>
      <x:c r="Y1401" s="26" t="n">
        <x:f>IF(U1401="Open",Lookups!$B$2-B1401,X1401)</x:f>
        <x:v>56</x:v>
      </x:c>
      <x:c r="Z1401" t="str">
        <x:f>IF(AND(U1401="Open",Y1401&gt;30),"STALE","OK")</x:f>
        <x:v>OK</x:v>
      </x:c>
      <x:c r="AA1401" t="str">
        <x:f>TEXT(B1401,"yyyy-mm")</x:f>
        <x:v>2026-07</x:v>
      </x:c>
      <x:c r="AB1401" t="str">
        <x:f>IF(K1401="","",TEXT(K1401,"yyyy-mm"))</x:f>
        <x:v>2026-08</x:v>
      </x:c>
      <x:c r="AC1401" t="str">
        <x:f>"Q"&amp;ROUNDUP(MONTH(B1401)/3,0)&amp;"-"&amp;YEAR(B1401)</x:f>
        <x:v>Q3-2026</x:v>
      </x:c>
      <x:c r="AD1401" s="26" t="n">
        <x:f>MIN(100,IF(H1401="Enterprise",30,IF(H1401="Mid-Market",22,14))+IF(T1401="Enterprise",25,IF(T1401="Mid-Market",18,10))+IF(Q1401="Referral",25,IF(Q1401="Organic Search",20,IF(Q1401="Email",18,14)))+IF(G1401="Technology",10,5))</x:f>
        <x:v>43</x:v>
      </x:c>
      <x:c r="AE1401" t="str">
        <x:f>IF(U1401&lt;&gt;"Open",U1401,IF(N1401&gt;=0.8,"Commit",IF(N1401&gt;=0.5,"Best Case","Pipeline")))</x:f>
        <x:v>Lost</x:v>
      </x:c>
    </x:row>
    <x:row r="1402">
      <x:c r="A1402" t="str">
        <x:v>L01401</x:v>
      </x:c>
      <x:c r="B1402" s="10" t="n">
        <x:v>46149</x:v>
      </x:c>
      <x:c r="C1402" t="str">
        <x:v>Minh Do</x:v>
      </x:c>
      <x:c r="D1402" t="str">
        <x:v>North</x:v>
      </x:c>
      <x:c r="E1402" t="str">
        <x:v>virtual event</x:v>
      </x:c>
      <x:c r="F1402" t="str">
        <x:v>BI-PLUS</x:v>
      </x:c>
      <x:c r="G1402" t="str">
        <x:v>Technology</x:v>
      </x:c>
      <x:c r="H1402" t="str">
        <x:v>Mid-Market</x:v>
      </x:c>
      <x:c r="I1402" t="str">
        <x:v>Closed Lost</x:v>
      </x:c>
      <x:c r="J1402" s="10" t="n">
        <x:v>46198</x:v>
      </x:c>
      <x:c r="K1402" s="10" t="n">
        <x:v>46198</x:v>
      </x:c>
      <x:c r="L1402" s="22" t="n">
        <x:v>43100</x:v>
      </x:c>
      <x:c r="M1402" s="24" t="n">
        <x:v>0</x:v>
      </x:c>
      <x:c r="N1402" s="24" t="n">
        <x:v>0</x:v>
      </x:c>
      <x:c r="O1402" t="str">
        <x:v>No Decision</x:v>
      </x:c>
      <x:c r="P1402" t="n">
        <x:v>2</x:v>
      </x:c>
      <x:c r="Q1402" t="str">
        <x:f>IFERROR(XLOOKUP(E1402,Lookups!$A$5:$A$24,Lookups!$B$5:$B$24),"Other")</x:f>
        <x:v>Webinar</x:v>
      </x:c>
      <x:c r="R1402" t="str">
        <x:f>IFERROR(XLOOKUP(F1402,Lookups!$D$5:$D$10,Lookups!$E$5:$E$10),"Unknown Product")</x:f>
        <x:v>Analytics Plus</x:v>
      </x:c>
      <x:c r="S1402" t="str">
        <x:f>IFERROR(XLOOKUP(F1402,Lookups!$D$5:$D$10,Lookups!$F$5:$F$10),"Unknown")</x:f>
        <x:v>Analytics</x:v>
      </x:c>
      <x:c r="T1402" t="str">
        <x:f>IF(L1402&gt;=50000,"Enterprise",IF(L1402&gt;=20000,"Mid-Market","SMB"))</x:f>
        <x:v>Mid-Market</x:v>
      </x:c>
      <x:c r="U1402" t="str">
        <x:f>IF(I1402="Closed Won","Won",IF(I1402="Closed Lost","Lost","Open"))</x:f>
        <x:v>Lost</x:v>
      </x:c>
      <x:c r="V1402" s="22" t="n">
        <x:f>IF(U1402="Won",L1402*(1-M1402),0)</x:f>
        <x:v>0</x:v>
      </x:c>
      <x:c r="W1402" s="22" t="n">
        <x:f>IF(U1402="Open",L1402*N1402,0)</x:f>
        <x:v>0</x:v>
      </x:c>
      <x:c r="X1402" s="26" t="n">
        <x:f>IF(U1402="Open","",IFERROR(K1402-B1402,""))</x:f>
        <x:v>49</x:v>
      </x:c>
      <x:c r="Y1402" s="26" t="n">
        <x:f>IF(U1402="Open",Lookups!$B$2-B1402,X1402)</x:f>
        <x:v>49</x:v>
      </x:c>
      <x:c r="Z1402" t="str">
        <x:f>IF(AND(U1402="Open",Y1402&gt;30),"STALE","OK")</x:f>
        <x:v>OK</x:v>
      </x:c>
      <x:c r="AA1402" t="str">
        <x:f>TEXT(B1402,"yyyy-mm")</x:f>
        <x:v>2026-05</x:v>
      </x:c>
      <x:c r="AB1402" t="str">
        <x:f>IF(K1402="","",TEXT(K1402,"yyyy-mm"))</x:f>
        <x:v>2026-06</x:v>
      </x:c>
      <x:c r="AC1402" t="str">
        <x:f>"Q"&amp;ROUNDUP(MONTH(B1402)/3,0)&amp;"-"&amp;YEAR(B1402)</x:f>
        <x:v>Q2-2026</x:v>
      </x:c>
      <x:c r="AD1402" s="26" t="n">
        <x:f>MIN(100,IF(H1402="Enterprise",30,IF(H1402="Mid-Market",22,14))+IF(T1402="Enterprise",25,IF(T1402="Mid-Market",18,10))+IF(Q1402="Referral",25,IF(Q1402="Organic Search",20,IF(Q1402="Email",18,14)))+IF(G1402="Technology",10,5))</x:f>
        <x:v>64</x:v>
      </x:c>
      <x:c r="AE1402" t="str">
        <x:f>IF(U1402&lt;&gt;"Open",U1402,IF(N1402&gt;=0.8,"Commit",IF(N1402&gt;=0.5,"Best Case","Pipeline")))</x:f>
        <x:v>Lost</x:v>
      </x:c>
    </x:row>
    <x:row r="1403">
      <x:c r="A1403" t="str">
        <x:v>L01402</x:v>
      </x:c>
      <x:c r="B1403" s="10" t="n">
        <x:v>45957</x:v>
      </x:c>
      <x:c r="C1403" t="str">
        <x:v>Ha Vo</x:v>
      </x:c>
      <x:c r="D1403" t="str">
        <x:v>North</x:v>
      </x:c>
      <x:c r="E1403" t="str">
        <x:v>Cold Email</x:v>
      </x:c>
      <x:c r="F1403" t="str">
        <x:v>REV-OPS</x:v>
      </x:c>
      <x:c r="G1403" t="str">
        <x:v>Education</x:v>
      </x:c>
      <x:c r="H1403" t="str">
        <x:v>Mid-Market</x:v>
      </x:c>
      <x:c r="I1403" t="str">
        <x:v>Closed Won</x:v>
      </x:c>
      <x:c r="J1403" s="10" t="n">
        <x:v>46033</x:v>
      </x:c>
      <x:c r="K1403" s="10" t="n">
        <x:v>46033</x:v>
      </x:c>
      <x:c r="L1403" s="22" t="n">
        <x:v>87100</x:v>
      </x:c>
      <x:c r="M1403" s="24" t="n">
        <x:v>0.1</x:v>
      </x:c>
      <x:c r="N1403" s="24" t="n">
        <x:v>1</x:v>
      </x:c>
      <x:c r="O1403" t="str"/>
      <x:c r="P1403" t="n">
        <x:v>6</x:v>
      </x:c>
      <x:c r="Q1403" t="str">
        <x:f>IFERROR(XLOOKUP(E1403,Lookups!$A$5:$A$24,Lookups!$B$5:$B$24),"Other")</x:f>
        <x:v>Outbound</x:v>
      </x:c>
      <x:c r="R1403" t="str">
        <x:f>IFERROR(XLOOKUP(F1403,Lookups!$D$5:$D$10,Lookups!$E$5:$E$10),"Unknown Product")</x:f>
        <x:v>Revenue Operations Suite</x:v>
      </x:c>
      <x:c r="S1403" t="str">
        <x:f>IFERROR(XLOOKUP(F1403,Lookups!$D$5:$D$10,Lookups!$F$5:$F$10),"Unknown")</x:f>
        <x:v>Revenue Ops</x:v>
      </x:c>
      <x:c r="T1403" t="str">
        <x:f>IF(L1403&gt;=50000,"Enterprise",IF(L1403&gt;=20000,"Mid-Market","SMB"))</x:f>
        <x:v>Enterprise</x:v>
      </x:c>
      <x:c r="U1403" t="str">
        <x:f>IF(I1403="Closed Won","Won",IF(I1403="Closed Lost","Lost","Open"))</x:f>
        <x:v>Won</x:v>
      </x:c>
      <x:c r="V1403" s="22" t="n">
        <x:f>IF(U1403="Won",L1403*(1-M1403),0)</x:f>
        <x:v>78390</x:v>
      </x:c>
      <x:c r="W1403" s="22" t="n">
        <x:f>IF(U1403="Open",L1403*N1403,0)</x:f>
        <x:v>0</x:v>
      </x:c>
      <x:c r="X1403" s="26" t="n">
        <x:f>IF(U1403="Open","",IFERROR(K1403-B1403,""))</x:f>
        <x:v>76</x:v>
      </x:c>
      <x:c r="Y1403" s="26" t="n">
        <x:f>IF(U1403="Open",Lookups!$B$2-B1403,X1403)</x:f>
        <x:v>76</x:v>
      </x:c>
      <x:c r="Z1403" t="str">
        <x:f>IF(AND(U1403="Open",Y1403&gt;30),"STALE","OK")</x:f>
        <x:v>OK</x:v>
      </x:c>
      <x:c r="AA1403" t="str">
        <x:f>TEXT(B1403,"yyyy-mm")</x:f>
        <x:v>2025-10</x:v>
      </x:c>
      <x:c r="AB1403" t="str">
        <x:f>IF(K1403="","",TEXT(K1403,"yyyy-mm"))</x:f>
        <x:v>2026-01</x:v>
      </x:c>
      <x:c r="AC1403" t="str">
        <x:f>"Q"&amp;ROUNDUP(MONTH(B1403)/3,0)&amp;"-"&amp;YEAR(B1403)</x:f>
        <x:v>Q4-2025</x:v>
      </x:c>
      <x:c r="AD1403" s="26" t="n">
        <x:f>MIN(100,IF(H1403="Enterprise",30,IF(H1403="Mid-Market",22,14))+IF(T1403="Enterprise",25,IF(T1403="Mid-Market",18,10))+IF(Q1403="Referral",25,IF(Q1403="Organic Search",20,IF(Q1403="Email",18,14)))+IF(G1403="Technology",10,5))</x:f>
        <x:v>66</x:v>
      </x:c>
      <x:c r="AE1403" t="str">
        <x:f>IF(U1403&lt;&gt;"Open",U1403,IF(N1403&gt;=0.8,"Commit",IF(N1403&gt;=0.5,"Best Case","Pipeline")))</x:f>
        <x:v>Won</x:v>
      </x:c>
    </x:row>
    <x:row r="1404">
      <x:c r="A1404" t="str">
        <x:v>L01403</x:v>
      </x:c>
      <x:c r="B1404" s="10" t="n">
        <x:v>45962</x:v>
      </x:c>
      <x:c r="C1404" t="str">
        <x:v>Duy Pham</x:v>
      </x:c>
      <x:c r="D1404" t="str">
        <x:v>South</x:v>
      </x:c>
      <x:c r="E1404" t="str">
        <x:v>SEO</x:v>
      </x:c>
      <x:c r="F1404" t="str">
        <x:v>CRM-CORE</x:v>
      </x:c>
      <x:c r="G1404" t="str">
        <x:v>Manufacturing</x:v>
      </x:c>
      <x:c r="H1404" t="str">
        <x:v>Mid-Market</x:v>
      </x:c>
      <x:c r="I1404" t="str">
        <x:v>Closed Lost</x:v>
      </x:c>
      <x:c r="J1404" s="10" t="n">
        <x:v>46019</x:v>
      </x:c>
      <x:c r="K1404" s="10" t="n">
        <x:v>46019</x:v>
      </x:c>
      <x:c r="L1404" s="22" t="n">
        <x:v>14800</x:v>
      </x:c>
      <x:c r="M1404" s="24" t="n">
        <x:v>0</x:v>
      </x:c>
      <x:c r="N1404" s="24" t="n">
        <x:v>0</x:v>
      </x:c>
      <x:c r="O1404" t="str">
        <x:v>Timing</x:v>
      </x:c>
      <x:c r="P1404" t="n">
        <x:v>3</x:v>
      </x:c>
      <x:c r="Q1404" t="str">
        <x:f>IFERROR(XLOOKUP(E1404,Lookups!$A$5:$A$24,Lookups!$B$5:$B$24),"Other")</x:f>
        <x:v>Organic Search</x:v>
      </x:c>
      <x:c r="R1404" t="str">
        <x:f>IFERROR(XLOOKUP(F1404,Lookups!$D$5:$D$10,Lookups!$E$5:$E$10),"Unknown Product")</x:f>
        <x:v>NexaCRM Core</x:v>
      </x:c>
      <x:c r="S1404" t="str">
        <x:f>IFERROR(XLOOKUP(F1404,Lookups!$D$5:$D$10,Lookups!$F$5:$F$10),"Unknown")</x:f>
        <x:v>CRM</x:v>
      </x:c>
      <x:c r="T1404" t="str">
        <x:f>IF(L1404&gt;=50000,"Enterprise",IF(L1404&gt;=20000,"Mid-Market","SMB"))</x:f>
        <x:v>SMB</x:v>
      </x:c>
      <x:c r="U1404" t="str">
        <x:f>IF(I1404="Closed Won","Won",IF(I1404="Closed Lost","Lost","Open"))</x:f>
        <x:v>Lost</x:v>
      </x:c>
      <x:c r="V1404" s="22" t="n">
        <x:f>IF(U1404="Won",L1404*(1-M1404),0)</x:f>
        <x:v>0</x:v>
      </x:c>
      <x:c r="W1404" s="22" t="n">
        <x:f>IF(U1404="Open",L1404*N1404,0)</x:f>
        <x:v>0</x:v>
      </x:c>
      <x:c r="X1404" s="26" t="n">
        <x:f>IF(U1404="Open","",IFERROR(K1404-B1404,""))</x:f>
        <x:v>57</x:v>
      </x:c>
      <x:c r="Y1404" s="26" t="n">
        <x:f>IF(U1404="Open",Lookups!$B$2-B1404,X1404)</x:f>
        <x:v>57</x:v>
      </x:c>
      <x:c r="Z1404" t="str">
        <x:f>IF(AND(U1404="Open",Y1404&gt;30),"STALE","OK")</x:f>
        <x:v>OK</x:v>
      </x:c>
      <x:c r="AA1404" t="str">
        <x:f>TEXT(B1404,"yyyy-mm")</x:f>
        <x:v>2025-11</x:v>
      </x:c>
      <x:c r="AB1404" t="str">
        <x:f>IF(K1404="","",TEXT(K1404,"yyyy-mm"))</x:f>
        <x:v>2025-12</x:v>
      </x:c>
      <x:c r="AC1404" t="str">
        <x:f>"Q"&amp;ROUNDUP(MONTH(B1404)/3,0)&amp;"-"&amp;YEAR(B1404)</x:f>
        <x:v>Q4-2025</x:v>
      </x:c>
      <x:c r="AD1404" s="26" t="n">
        <x:f>MIN(100,IF(H1404="Enterprise",30,IF(H1404="Mid-Market",22,14))+IF(T1404="Enterprise",25,IF(T1404="Mid-Market",18,10))+IF(Q1404="Referral",25,IF(Q1404="Organic Search",20,IF(Q1404="Email",18,14)))+IF(G1404="Technology",10,5))</x:f>
        <x:v>57</x:v>
      </x:c>
      <x:c r="AE1404" t="str">
        <x:f>IF(U1404&lt;&gt;"Open",U1404,IF(N1404&gt;=0.8,"Commit",IF(N1404&gt;=0.5,"Best Case","Pipeline")))</x:f>
        <x:v>Lost</x:v>
      </x:c>
    </x:row>
    <x:row r="1405">
      <x:c r="A1405" t="str">
        <x:v>L01404</x:v>
      </x:c>
      <x:c r="B1405" s="10" t="n">
        <x:v>45768</x:v>
      </x:c>
      <x:c r="C1405" t="str">
        <x:v>Ha Vo</x:v>
      </x:c>
      <x:c r="D1405" t="str">
        <x:v>North</x:v>
      </x:c>
      <x:c r="E1405" t="str">
        <x:v>Webinar</x:v>
      </x:c>
      <x:c r="F1405" t="str">
        <x:v>MKT-AUTO</x:v>
      </x:c>
      <x:c r="G1405" t="str">
        <x:v>Professional Services</x:v>
      </x:c>
      <x:c r="H1405" t="str">
        <x:v>Mid-Market</x:v>
      </x:c>
      <x:c r="I1405" t="str">
        <x:v>Closed Won</x:v>
      </x:c>
      <x:c r="J1405" s="10" t="n">
        <x:v>45849</x:v>
      </x:c>
      <x:c r="K1405" s="10" t="n">
        <x:v>45849</x:v>
      </x:c>
      <x:c r="L1405" s="22" t="n">
        <x:v>35700</x:v>
      </x:c>
      <x:c r="M1405" s="24" t="n">
        <x:v>0.03</x:v>
      </x:c>
      <x:c r="N1405" s="24" t="n">
        <x:v>1</x:v>
      </x:c>
      <x:c r="O1405" t="str"/>
      <x:c r="P1405" t="n">
        <x:v>6</x:v>
      </x:c>
      <x:c r="Q1405" t="str">
        <x:f>IFERROR(XLOOKUP(E1405,Lookups!$A$5:$A$24,Lookups!$B$5:$B$24),"Other")</x:f>
        <x:v>Webinar</x:v>
      </x:c>
      <x:c r="R1405" t="str">
        <x:f>IFERROR(XLOOKUP(F1405,Lookups!$D$5:$D$10,Lookups!$E$5:$E$10),"Unknown Product")</x:f>
        <x:v>Marketing Automation</x:v>
      </x:c>
      <x:c r="S1405" t="str">
        <x:f>IFERROR(XLOOKUP(F1405,Lookups!$D$5:$D$10,Lookups!$F$5:$F$10),"Unknown")</x:f>
        <x:v>Marketing</x:v>
      </x:c>
      <x:c r="T1405" t="str">
        <x:f>IF(L1405&gt;=50000,"Enterprise",IF(L1405&gt;=20000,"Mid-Market","SMB"))</x:f>
        <x:v>Mid-Market</x:v>
      </x:c>
      <x:c r="U1405" t="str">
        <x:f>IF(I1405="Closed Won","Won",IF(I1405="Closed Lost","Lost","Open"))</x:f>
        <x:v>Won</x:v>
      </x:c>
      <x:c r="V1405" s="22" t="n">
        <x:f>IF(U1405="Won",L1405*(1-M1405),0)</x:f>
        <x:v>34629</x:v>
      </x:c>
      <x:c r="W1405" s="22" t="n">
        <x:f>IF(U1405="Open",L1405*N1405,0)</x:f>
        <x:v>0</x:v>
      </x:c>
      <x:c r="X1405" s="26" t="n">
        <x:f>IF(U1405="Open","",IFERROR(K1405-B1405,""))</x:f>
        <x:v>81</x:v>
      </x:c>
      <x:c r="Y1405" s="26" t="n">
        <x:f>IF(U1405="Open",Lookups!$B$2-B1405,X1405)</x:f>
        <x:v>81</x:v>
      </x:c>
      <x:c r="Z1405" t="str">
        <x:f>IF(AND(U1405="Open",Y1405&gt;30),"STALE","OK")</x:f>
        <x:v>OK</x:v>
      </x:c>
      <x:c r="AA1405" t="str">
        <x:f>TEXT(B1405,"yyyy-mm")</x:f>
        <x:v>2025-04</x:v>
      </x:c>
      <x:c r="AB1405" t="str">
        <x:f>IF(K1405="","",TEXT(K1405,"yyyy-mm"))</x:f>
        <x:v>2025-07</x:v>
      </x:c>
      <x:c r="AC1405" t="str">
        <x:f>"Q"&amp;ROUNDUP(MONTH(B1405)/3,0)&amp;"-"&amp;YEAR(B1405)</x:f>
        <x:v>Q2-2025</x:v>
      </x:c>
      <x:c r="AD1405" s="26" t="n">
        <x:f>MIN(100,IF(H1405="Enterprise",30,IF(H1405="Mid-Market",22,14))+IF(T1405="Enterprise",25,IF(T1405="Mid-Market",18,10))+IF(Q1405="Referral",25,IF(Q1405="Organic Search",20,IF(Q1405="Email",18,14)))+IF(G1405="Technology",10,5))</x:f>
        <x:v>59</x:v>
      </x:c>
      <x:c r="AE1405" t="str">
        <x:f>IF(U1405&lt;&gt;"Open",U1405,IF(N1405&gt;=0.8,"Commit",IF(N1405&gt;=0.5,"Best Case","Pipeline")))</x:f>
        <x:v>Won</x:v>
      </x:c>
    </x:row>
    <x:row r="1406">
      <x:c r="A1406" t="str">
        <x:v>L01405</x:v>
      </x:c>
      <x:c r="B1406" s="10" t="n">
        <x:v>45667</x:v>
      </x:c>
      <x:c r="C1406" t="str">
        <x:v>An Nguyen</x:v>
      </x:c>
      <x:c r="D1406" t="str">
        <x:v>South</x:v>
      </x:c>
      <x:c r="E1406" t="str">
        <x:v>SDR Outreach</x:v>
      </x:c>
      <x:c r="F1406" t="str">
        <x:v>CRM-CORE</x:v>
      </x:c>
      <x:c r="G1406" t="str">
        <x:v>Education</x:v>
      </x:c>
      <x:c r="H1406" t="str">
        <x:v>Enterprise</x:v>
      </x:c>
      <x:c r="I1406" t="str">
        <x:v>Closed Lost</x:v>
      </x:c>
      <x:c r="J1406" s="10" t="n">
        <x:v>45723</x:v>
      </x:c>
      <x:c r="K1406" s="10" t="n">
        <x:v>45723</x:v>
      </x:c>
      <x:c r="L1406" s="22" t="n">
        <x:v>27500</x:v>
      </x:c>
      <x:c r="M1406" s="24" t="n">
        <x:v>0</x:v>
      </x:c>
      <x:c r="N1406" s="24" t="n">
        <x:v>0</x:v>
      </x:c>
      <x:c r="O1406" t="str">
        <x:v>No Decision</x:v>
      </x:c>
      <x:c r="P1406" t="n">
        <x:v>3</x:v>
      </x:c>
      <x:c r="Q1406" t="str">
        <x:f>IFERROR(XLOOKUP(E1406,Lookups!$A$5:$A$24,Lookups!$B$5:$B$24),"Other")</x:f>
        <x:v>Outbound</x:v>
      </x:c>
      <x:c r="R1406" t="str">
        <x:f>IFERROR(XLOOKUP(F1406,Lookups!$D$5:$D$10,Lookups!$E$5:$E$10),"Unknown Product")</x:f>
        <x:v>NexaCRM Core</x:v>
      </x:c>
      <x:c r="S1406" t="str">
        <x:f>IFERROR(XLOOKUP(F1406,Lookups!$D$5:$D$10,Lookups!$F$5:$F$10),"Unknown")</x:f>
        <x:v>CRM</x:v>
      </x:c>
      <x:c r="T1406" t="str">
        <x:f>IF(L1406&gt;=50000,"Enterprise",IF(L1406&gt;=20000,"Mid-Market","SMB"))</x:f>
        <x:v>Mid-Market</x:v>
      </x:c>
      <x:c r="U1406" t="str">
        <x:f>IF(I1406="Closed Won","Won",IF(I1406="Closed Lost","Lost","Open"))</x:f>
        <x:v>Lost</x:v>
      </x:c>
      <x:c r="V1406" s="22" t="n">
        <x:f>IF(U1406="Won",L1406*(1-M1406),0)</x:f>
        <x:v>0</x:v>
      </x:c>
      <x:c r="W1406" s="22" t="n">
        <x:f>IF(U1406="Open",L1406*N1406,0)</x:f>
        <x:v>0</x:v>
      </x:c>
      <x:c r="X1406" s="26" t="n">
        <x:f>IF(U1406="Open","",IFERROR(K1406-B1406,""))</x:f>
        <x:v>56</x:v>
      </x:c>
      <x:c r="Y1406" s="26" t="n">
        <x:f>IF(U1406="Open",Lookups!$B$2-B1406,X1406)</x:f>
        <x:v>56</x:v>
      </x:c>
      <x:c r="Z1406" t="str">
        <x:f>IF(AND(U1406="Open",Y1406&gt;30),"STALE","OK")</x:f>
        <x:v>OK</x:v>
      </x:c>
      <x:c r="AA1406" t="str">
        <x:f>TEXT(B1406,"yyyy-mm")</x:f>
        <x:v>2025-01</x:v>
      </x:c>
      <x:c r="AB1406" t="str">
        <x:f>IF(K1406="","",TEXT(K1406,"yyyy-mm"))</x:f>
        <x:v>2025-03</x:v>
      </x:c>
      <x:c r="AC1406" t="str">
        <x:f>"Q"&amp;ROUNDUP(MONTH(B1406)/3,0)&amp;"-"&amp;YEAR(B1406)</x:f>
        <x:v>Q1-2025</x:v>
      </x:c>
      <x:c r="AD1406" s="26" t="n">
        <x:f>MIN(100,IF(H1406="Enterprise",30,IF(H1406="Mid-Market",22,14))+IF(T1406="Enterprise",25,IF(T1406="Mid-Market",18,10))+IF(Q1406="Referral",25,IF(Q1406="Organic Search",20,IF(Q1406="Email",18,14)))+IF(G1406="Technology",10,5))</x:f>
        <x:v>67</x:v>
      </x:c>
      <x:c r="AE1406" t="str">
        <x:f>IF(U1406&lt;&gt;"Open",U1406,IF(N1406&gt;=0.8,"Commit",IF(N1406&gt;=0.5,"Best Case","Pipeline")))</x:f>
        <x:v>Lost</x:v>
      </x:c>
    </x:row>
    <x:row r="1407">
      <x:c r="A1407" t="str">
        <x:v>L01406</x:v>
      </x:c>
      <x:c r="B1407" s="10" t="n">
        <x:v>46065</x:v>
      </x:c>
      <x:c r="C1407" t="str">
        <x:v>Quynh Vu</x:v>
      </x:c>
      <x:c r="D1407" t="str">
        <x:v>North</x:v>
      </x:c>
      <x:c r="E1407" t="str">
        <x:v>LI Ads</x:v>
      </x:c>
      <x:c r="F1407" t="str">
        <x:v>MKT-AUTO</x:v>
      </x:c>
      <x:c r="G1407" t="str">
        <x:v>Professional Services</x:v>
      </x:c>
      <x:c r="H1407" t="str">
        <x:v>Mid-Market</x:v>
      </x:c>
      <x:c r="I1407" t="str">
        <x:v>Negotiation</x:v>
      </x:c>
      <x:c r="J1407" s="10" t="n">
        <x:v>46203</x:v>
      </x:c>
      <x:c r="K1407" s="10"/>
      <x:c r="L1407" s="22" t="n">
        <x:v>26500</x:v>
      </x:c>
      <x:c r="M1407" s="24" t="n">
        <x:v>0.03</x:v>
      </x:c>
      <x:c r="N1407" s="24" t="n">
        <x:v>0.85</x:v>
      </x:c>
      <x:c r="O1407" t="str"/>
      <x:c r="P1407" t="n">
        <x:v>5</x:v>
      </x:c>
      <x:c r="Q1407" t="str">
        <x:f>IFERROR(XLOOKUP(E1407,Lookups!$A$5:$A$24,Lookups!$B$5:$B$24),"Other")</x:f>
        <x:v>LinkedIn</x:v>
      </x:c>
      <x:c r="R1407" t="str">
        <x:f>IFERROR(XLOOKUP(F1407,Lookups!$D$5:$D$10,Lookups!$E$5:$E$10),"Unknown Product")</x:f>
        <x:v>Marketing Automation</x:v>
      </x:c>
      <x:c r="S1407" t="str">
        <x:f>IFERROR(XLOOKUP(F1407,Lookups!$D$5:$D$10,Lookups!$F$5:$F$10),"Unknown")</x:f>
        <x:v>Marketing</x:v>
      </x:c>
      <x:c r="T1407" t="str">
        <x:f>IF(L1407&gt;=50000,"Enterprise",IF(L1407&gt;=20000,"Mid-Market","SMB"))</x:f>
        <x:v>Mid-Market</x:v>
      </x:c>
      <x:c r="U1407" t="str">
        <x:f>IF(I1407="Closed Won","Won",IF(I1407="Closed Lost","Lost","Open"))</x:f>
        <x:v>Open</x:v>
      </x:c>
      <x:c r="V1407" s="22" t="n">
        <x:f>IF(U1407="Won",L1407*(1-M1407),0)</x:f>
        <x:v>0</x:v>
      </x:c>
      <x:c r="W1407" s="22" t="n">
        <x:f>IF(U1407="Open",L1407*N1407,0)</x:f>
        <x:v>22525</x:v>
      </x:c>
      <x:c r="X1407" s="26" t="str">
        <x:f>IF(U1407="Open","",IFERROR(K1407-B1407,""))</x:f>
      </x:c>
      <x:c r="Y1407" s="26" t="n">
        <x:f>IF(U1407="Open",Lookups!$B$2-B1407,X1407)</x:f>
        <x:v>201</x:v>
      </x:c>
      <x:c r="Z1407" t="str">
        <x:f>IF(AND(U1407="Open",Y1407&gt;30),"STALE","OK")</x:f>
        <x:v>STALE</x:v>
      </x:c>
      <x:c r="AA1407" t="str">
        <x:f>TEXT(B1407,"yyyy-mm")</x:f>
        <x:v>2026-02</x:v>
      </x:c>
      <x:c r="AB1407" t="str">
        <x:f>IF(K1407="","",TEXT(K1407,"yyyy-mm"))</x:f>
      </x:c>
      <x:c r="AC1407" t="str">
        <x:f>"Q"&amp;ROUNDUP(MONTH(B1407)/3,0)&amp;"-"&amp;YEAR(B1407)</x:f>
        <x:v>Q1-2026</x:v>
      </x:c>
      <x:c r="AD1407" s="26" t="n">
        <x:f>MIN(100,IF(H1407="Enterprise",30,IF(H1407="Mid-Market",22,14))+IF(T1407="Enterprise",25,IF(T1407="Mid-Market",18,10))+IF(Q1407="Referral",25,IF(Q1407="Organic Search",20,IF(Q1407="Email",18,14)))+IF(G1407="Technology",10,5))</x:f>
        <x:v>59</x:v>
      </x:c>
      <x:c r="AE1407" t="str">
        <x:f>IF(U1407&lt;&gt;"Open",U1407,IF(N1407&gt;=0.8,"Commit",IF(N1407&gt;=0.5,"Best Case","Pipeline")))</x:f>
        <x:v>Commit</x:v>
      </x:c>
    </x:row>
    <x:row r="1408">
      <x:c r="A1408" t="str">
        <x:v>L01407</x:v>
      </x:c>
      <x:c r="B1408" s="10" t="n">
        <x:v>45802</x:v>
      </x:c>
      <x:c r="C1408" t="str">
        <x:v>Bao Tran</x:v>
      </x:c>
      <x:c r="D1408" t="str">
        <x:v>South</x:v>
      </x:c>
      <x:c r="E1408" t="str">
        <x:v>google cpc</x:v>
      </x:c>
      <x:c r="F1408" t="str">
        <x:v>CS-CLOUD</x:v>
      </x:c>
      <x:c r="G1408" t="str">
        <x:v>Education</x:v>
      </x:c>
      <x:c r="H1408" t="str">
        <x:v>Enterprise</x:v>
      </x:c>
      <x:c r="I1408" t="str">
        <x:v>Closed Lost</x:v>
      </x:c>
      <x:c r="J1408" s="10" t="n">
        <x:v>45848</x:v>
      </x:c>
      <x:c r="K1408" s="10" t="n">
        <x:v>45848</x:v>
      </x:c>
      <x:c r="L1408" s="22" t="n">
        <x:v>71400</x:v>
      </x:c>
      <x:c r="M1408" s="24" t="n">
        <x:v>0</x:v>
      </x:c>
      <x:c r="N1408" s="24" t="n">
        <x:v>0</x:v>
      </x:c>
      <x:c r="O1408" t="str">
        <x:v>Timing</x:v>
      </x:c>
      <x:c r="P1408" t="n">
        <x:v>4</x:v>
      </x:c>
      <x:c r="Q1408" t="str">
        <x:f>IFERROR(XLOOKUP(E1408,Lookups!$A$5:$A$24,Lookups!$B$5:$B$24),"Other")</x:f>
        <x:v>Paid Search</x:v>
      </x:c>
      <x:c r="R1408" t="str">
        <x:f>IFERROR(XLOOKUP(F1408,Lookups!$D$5:$D$10,Lookups!$E$5:$E$10),"Unknown Product")</x:f>
        <x:v>Service Cloud</x:v>
      </x:c>
      <x:c r="S1408" t="str">
        <x:f>IFERROR(XLOOKUP(F1408,Lookups!$D$5:$D$10,Lookups!$F$5:$F$10),"Unknown")</x:f>
        <x:v>Customer Service</x:v>
      </x:c>
      <x:c r="T1408" t="str">
        <x:f>IF(L1408&gt;=50000,"Enterprise",IF(L1408&gt;=20000,"Mid-Market","SMB"))</x:f>
        <x:v>Enterprise</x:v>
      </x:c>
      <x:c r="U1408" t="str">
        <x:f>IF(I1408="Closed Won","Won",IF(I1408="Closed Lost","Lost","Open"))</x:f>
        <x:v>Lost</x:v>
      </x:c>
      <x:c r="V1408" s="22" t="n">
        <x:f>IF(U1408="Won",L1408*(1-M1408),0)</x:f>
        <x:v>0</x:v>
      </x:c>
      <x:c r="W1408" s="22" t="n">
        <x:f>IF(U1408="Open",L1408*N1408,0)</x:f>
        <x:v>0</x:v>
      </x:c>
      <x:c r="X1408" s="26" t="n">
        <x:f>IF(U1408="Open","",IFERROR(K1408-B1408,""))</x:f>
        <x:v>46</x:v>
      </x:c>
      <x:c r="Y1408" s="26" t="n">
        <x:f>IF(U1408="Open",Lookups!$B$2-B1408,X1408)</x:f>
        <x:v>46</x:v>
      </x:c>
      <x:c r="Z1408" t="str">
        <x:f>IF(AND(U1408="Open",Y1408&gt;30),"STALE","OK")</x:f>
        <x:v>OK</x:v>
      </x:c>
      <x:c r="AA1408" t="str">
        <x:f>TEXT(B1408,"yyyy-mm")</x:f>
        <x:v>2025-05</x:v>
      </x:c>
      <x:c r="AB1408" t="str">
        <x:f>IF(K1408="","",TEXT(K1408,"yyyy-mm"))</x:f>
        <x:v>2025-07</x:v>
      </x:c>
      <x:c r="AC1408" t="str">
        <x:f>"Q"&amp;ROUNDUP(MONTH(B1408)/3,0)&amp;"-"&amp;YEAR(B1408)</x:f>
        <x:v>Q2-2025</x:v>
      </x:c>
      <x:c r="AD1408" s="26" t="n">
        <x:f>MIN(100,IF(H1408="Enterprise",30,IF(H1408="Mid-Market",22,14))+IF(T1408="Enterprise",25,IF(T1408="Mid-Market",18,10))+IF(Q1408="Referral",25,IF(Q1408="Organic Search",20,IF(Q1408="Email",18,14)))+IF(G1408="Technology",10,5))</x:f>
        <x:v>74</x:v>
      </x:c>
      <x:c r="AE1408" t="str">
        <x:f>IF(U1408&lt;&gt;"Open",U1408,IF(N1408&gt;=0.8,"Commit",IF(N1408&gt;=0.5,"Best Case","Pipeline")))</x:f>
        <x:v>Lost</x:v>
      </x:c>
    </x:row>
    <x:row r="1409">
      <x:c r="A1409" t="str">
        <x:v>L01408</x:v>
      </x:c>
      <x:c r="B1409" s="10" t="n">
        <x:v>46132</x:v>
      </x:c>
      <x:c r="C1409" t="str">
        <x:v>Bao Tran</x:v>
      </x:c>
      <x:c r="D1409" t="str">
        <x:v>South</x:v>
      </x:c>
      <x:c r="E1409" t="str">
        <x:v>Google Ads</x:v>
      </x:c>
      <x:c r="F1409" t="str">
        <x:v>MKT-AUTO</x:v>
      </x:c>
      <x:c r="G1409" t="str">
        <x:v>Retail</x:v>
      </x:c>
      <x:c r="H1409" t="str">
        <x:v>Mid-Market</x:v>
      </x:c>
      <x:c r="I1409" t="str">
        <x:v>Closed Lost</x:v>
      </x:c>
      <x:c r="J1409" s="10" t="n">
        <x:v>46194</x:v>
      </x:c>
      <x:c r="K1409" s="10" t="n">
        <x:v>46194</x:v>
      </x:c>
      <x:c r="L1409" s="22" t="n">
        <x:v>27100</x:v>
      </x:c>
      <x:c r="M1409" s="24" t="n">
        <x:v>0</x:v>
      </x:c>
      <x:c r="N1409" s="24" t="n">
        <x:v>0</x:v>
      </x:c>
      <x:c r="O1409" t="str">
        <x:v>Competitor</x:v>
      </x:c>
      <x:c r="P1409" t="n">
        <x:v>5</x:v>
      </x:c>
      <x:c r="Q1409" t="str">
        <x:f>IFERROR(XLOOKUP(E1409,Lookups!$A$5:$A$24,Lookups!$B$5:$B$24),"Other")</x:f>
        <x:v>Paid Search</x:v>
      </x:c>
      <x:c r="R1409" t="str">
        <x:f>IFERROR(XLOOKUP(F1409,Lookups!$D$5:$D$10,Lookups!$E$5:$E$10),"Unknown Product")</x:f>
        <x:v>Marketing Automation</x:v>
      </x:c>
      <x:c r="S1409" t="str">
        <x:f>IFERROR(XLOOKUP(F1409,Lookups!$D$5:$D$10,Lookups!$F$5:$F$10),"Unknown")</x:f>
        <x:v>Marketing</x:v>
      </x:c>
      <x:c r="T1409" t="str">
        <x:f>IF(L1409&gt;=50000,"Enterprise",IF(L1409&gt;=20000,"Mid-Market","SMB"))</x:f>
        <x:v>Mid-Market</x:v>
      </x:c>
      <x:c r="U1409" t="str">
        <x:f>IF(I1409="Closed Won","Won",IF(I1409="Closed Lost","Lost","Open"))</x:f>
        <x:v>Lost</x:v>
      </x:c>
      <x:c r="V1409" s="22" t="n">
        <x:f>IF(U1409="Won",L1409*(1-M1409),0)</x:f>
        <x:v>0</x:v>
      </x:c>
      <x:c r="W1409" s="22" t="n">
        <x:f>IF(U1409="Open",L1409*N1409,0)</x:f>
        <x:v>0</x:v>
      </x:c>
      <x:c r="X1409" s="26" t="n">
        <x:f>IF(U1409="Open","",IFERROR(K1409-B1409,""))</x:f>
        <x:v>62</x:v>
      </x:c>
      <x:c r="Y1409" s="26" t="n">
        <x:f>IF(U1409="Open",Lookups!$B$2-B1409,X1409)</x:f>
        <x:v>62</x:v>
      </x:c>
      <x:c r="Z1409" t="str">
        <x:f>IF(AND(U1409="Open",Y1409&gt;30),"STALE","OK")</x:f>
        <x:v>OK</x:v>
      </x:c>
      <x:c r="AA1409" t="str">
        <x:f>TEXT(B1409,"yyyy-mm")</x:f>
        <x:v>2026-04</x:v>
      </x:c>
      <x:c r="AB1409" t="str">
        <x:f>IF(K1409="","",TEXT(K1409,"yyyy-mm"))</x:f>
        <x:v>2026-06</x:v>
      </x:c>
      <x:c r="AC1409" t="str">
        <x:f>"Q"&amp;ROUNDUP(MONTH(B1409)/3,0)&amp;"-"&amp;YEAR(B1409)</x:f>
        <x:v>Q2-2026</x:v>
      </x:c>
      <x:c r="AD1409" s="26" t="n">
        <x:f>MIN(100,IF(H1409="Enterprise",30,IF(H1409="Mid-Market",22,14))+IF(T1409="Enterprise",25,IF(T1409="Mid-Market",18,10))+IF(Q1409="Referral",25,IF(Q1409="Organic Search",20,IF(Q1409="Email",18,14)))+IF(G1409="Technology",10,5))</x:f>
        <x:v>59</x:v>
      </x:c>
      <x:c r="AE1409" t="str">
        <x:f>IF(U1409&lt;&gt;"Open",U1409,IF(N1409&gt;=0.8,"Commit",IF(N1409&gt;=0.5,"Best Case","Pipeline")))</x:f>
        <x:v>Lost</x:v>
      </x:c>
    </x:row>
    <x:row r="1410">
      <x:c r="A1410" t="str">
        <x:v>L01409</x:v>
      </x:c>
      <x:c r="B1410" s="10" t="n">
        <x:v>46073</x:v>
      </x:c>
      <x:c r="C1410" t="str">
        <x:v>Chi Le</x:v>
      </x:c>
      <x:c r="D1410" t="str">
        <x:v>South</x:v>
      </x:c>
      <x:c r="E1410" t="str">
        <x:v>email nurture</x:v>
      </x:c>
      <x:c r="F1410" t="str">
        <x:v>REV-OPS</x:v>
      </x:c>
      <x:c r="G1410" t="str">
        <x:v>Education</x:v>
      </x:c>
      <x:c r="H1410" t="str">
        <x:v>SMB</x:v>
      </x:c>
      <x:c r="I1410" t="str">
        <x:v>Closed Won</x:v>
      </x:c>
      <x:c r="J1410" s="10" t="n">
        <x:v>46103</x:v>
      </x:c>
      <x:c r="K1410" s="10" t="n">
        <x:v>46103</x:v>
      </x:c>
      <x:c r="L1410" s="22" t="n">
        <x:v>31400</x:v>
      </x:c>
      <x:c r="M1410" s="24" t="n">
        <x:v>0.12</x:v>
      </x:c>
      <x:c r="N1410" s="24" t="n">
        <x:v>1</x:v>
      </x:c>
      <x:c r="O1410" t="str"/>
      <x:c r="P1410" t="n">
        <x:v>6</x:v>
      </x:c>
      <x:c r="Q1410" t="str">
        <x:f>IFERROR(XLOOKUP(E1410,Lookups!$A$5:$A$24,Lookups!$B$5:$B$24),"Other")</x:f>
        <x:v>Email</x:v>
      </x:c>
      <x:c r="R1410" t="str">
        <x:f>IFERROR(XLOOKUP(F1410,Lookups!$D$5:$D$10,Lookups!$E$5:$E$10),"Unknown Product")</x:f>
        <x:v>Revenue Operations Suite</x:v>
      </x:c>
      <x:c r="S1410" t="str">
        <x:f>IFERROR(XLOOKUP(F1410,Lookups!$D$5:$D$10,Lookups!$F$5:$F$10),"Unknown")</x:f>
        <x:v>Revenue Ops</x:v>
      </x:c>
      <x:c r="T1410" t="str">
        <x:f>IF(L1410&gt;=50000,"Enterprise",IF(L1410&gt;=20000,"Mid-Market","SMB"))</x:f>
        <x:v>Mid-Market</x:v>
      </x:c>
      <x:c r="U1410" t="str">
        <x:f>IF(I1410="Closed Won","Won",IF(I1410="Closed Lost","Lost","Open"))</x:f>
        <x:v>Won</x:v>
      </x:c>
      <x:c r="V1410" s="22" t="n">
        <x:f>IF(U1410="Won",L1410*(1-M1410),0)</x:f>
        <x:v>27632</x:v>
      </x:c>
      <x:c r="W1410" s="22" t="n">
        <x:f>IF(U1410="Open",L1410*N1410,0)</x:f>
        <x:v>0</x:v>
      </x:c>
      <x:c r="X1410" s="26" t="n">
        <x:f>IF(U1410="Open","",IFERROR(K1410-B1410,""))</x:f>
        <x:v>30</x:v>
      </x:c>
      <x:c r="Y1410" s="26" t="n">
        <x:f>IF(U1410="Open",Lookups!$B$2-B1410,X1410)</x:f>
        <x:v>30</x:v>
      </x:c>
      <x:c r="Z1410" t="str">
        <x:f>IF(AND(U1410="Open",Y1410&gt;30),"STALE","OK")</x:f>
        <x:v>OK</x:v>
      </x:c>
      <x:c r="AA1410" t="str">
        <x:f>TEXT(B1410,"yyyy-mm")</x:f>
        <x:v>2026-02</x:v>
      </x:c>
      <x:c r="AB1410" t="str">
        <x:f>IF(K1410="","",TEXT(K1410,"yyyy-mm"))</x:f>
        <x:v>2026-03</x:v>
      </x:c>
      <x:c r="AC1410" t="str">
        <x:f>"Q"&amp;ROUNDUP(MONTH(B1410)/3,0)&amp;"-"&amp;YEAR(B1410)</x:f>
        <x:v>Q1-2026</x:v>
      </x:c>
      <x:c r="AD1410" s="26" t="n">
        <x:f>MIN(100,IF(H1410="Enterprise",30,IF(H1410="Mid-Market",22,14))+IF(T1410="Enterprise",25,IF(T1410="Mid-Market",18,10))+IF(Q1410="Referral",25,IF(Q1410="Organic Search",20,IF(Q1410="Email",18,14)))+IF(G1410="Technology",10,5))</x:f>
        <x:v>55</x:v>
      </x:c>
      <x:c r="AE1410" t="str">
        <x:f>IF(U1410&lt;&gt;"Open",U1410,IF(N1410&gt;=0.8,"Commit",IF(N1410&gt;=0.5,"Best Case","Pipeline")))</x:f>
        <x:v>Won</x:v>
      </x:c>
    </x:row>
    <x:row r="1411">
      <x:c r="A1411" t="str">
        <x:v>L01410</x:v>
      </x:c>
      <x:c r="B1411" s="10" t="n">
        <x:v>46074</x:v>
      </x:c>
      <x:c r="C1411" t="str">
        <x:v>Minh Do</x:v>
      </x:c>
      <x:c r="D1411" t="str">
        <x:v>North</x:v>
      </x:c>
      <x:c r="E1411" t="str">
        <x:v>SDR Outreach</x:v>
      </x:c>
      <x:c r="F1411" t="str">
        <x:v>REV-OPS</x:v>
      </x:c>
      <x:c r="G1411" t="str">
        <x:v>Retail</x:v>
      </x:c>
      <x:c r="H1411" t="str">
        <x:v>SMB</x:v>
      </x:c>
      <x:c r="I1411" t="str">
        <x:v>Closed Lost</x:v>
      </x:c>
      <x:c r="J1411" s="10" t="n">
        <x:v>46135</x:v>
      </x:c>
      <x:c r="K1411" s="10" t="n">
        <x:v>46135</x:v>
      </x:c>
      <x:c r="L1411" s="22" t="n">
        <x:v>24100</x:v>
      </x:c>
      <x:c r="M1411" s="24" t="n">
        <x:v>0</x:v>
      </x:c>
      <x:c r="N1411" s="24" t="n">
        <x:v>0</x:v>
      </x:c>
      <x:c r="O1411" t="str">
        <x:v>Price</x:v>
      </x:c>
      <x:c r="P1411" t="n">
        <x:v>3</x:v>
      </x:c>
      <x:c r="Q1411" t="str">
        <x:f>IFERROR(XLOOKUP(E1411,Lookups!$A$5:$A$24,Lookups!$B$5:$B$24),"Other")</x:f>
        <x:v>Outbound</x:v>
      </x:c>
      <x:c r="R1411" t="str">
        <x:f>IFERROR(XLOOKUP(F1411,Lookups!$D$5:$D$10,Lookups!$E$5:$E$10),"Unknown Product")</x:f>
        <x:v>Revenue Operations Suite</x:v>
      </x:c>
      <x:c r="S1411" t="str">
        <x:f>IFERROR(XLOOKUP(F1411,Lookups!$D$5:$D$10,Lookups!$F$5:$F$10),"Unknown")</x:f>
        <x:v>Revenue Ops</x:v>
      </x:c>
      <x:c r="T1411" t="str">
        <x:f>IF(L1411&gt;=50000,"Enterprise",IF(L1411&gt;=20000,"Mid-Market","SMB"))</x:f>
        <x:v>Mid-Market</x:v>
      </x:c>
      <x:c r="U1411" t="str">
        <x:f>IF(I1411="Closed Won","Won",IF(I1411="Closed Lost","Lost","Open"))</x:f>
        <x:v>Lost</x:v>
      </x:c>
      <x:c r="V1411" s="22" t="n">
        <x:f>IF(U1411="Won",L1411*(1-M1411),0)</x:f>
        <x:v>0</x:v>
      </x:c>
      <x:c r="W1411" s="22" t="n">
        <x:f>IF(U1411="Open",L1411*N1411,0)</x:f>
        <x:v>0</x:v>
      </x:c>
      <x:c r="X1411" s="26" t="n">
        <x:f>IF(U1411="Open","",IFERROR(K1411-B1411,""))</x:f>
        <x:v>61</x:v>
      </x:c>
      <x:c r="Y1411" s="26" t="n">
        <x:f>IF(U1411="Open",Lookups!$B$2-B1411,X1411)</x:f>
        <x:v>61</x:v>
      </x:c>
      <x:c r="Z1411" t="str">
        <x:f>IF(AND(U1411="Open",Y1411&gt;30),"STALE","OK")</x:f>
        <x:v>OK</x:v>
      </x:c>
      <x:c r="AA1411" t="str">
        <x:f>TEXT(B1411,"yyyy-mm")</x:f>
        <x:v>2026-02</x:v>
      </x:c>
      <x:c r="AB1411" t="str">
        <x:f>IF(K1411="","",TEXT(K1411,"yyyy-mm"))</x:f>
        <x:v>2026-04</x:v>
      </x:c>
      <x:c r="AC1411" t="str">
        <x:f>"Q"&amp;ROUNDUP(MONTH(B1411)/3,0)&amp;"-"&amp;YEAR(B1411)</x:f>
        <x:v>Q1-2026</x:v>
      </x:c>
      <x:c r="AD1411" s="26" t="n">
        <x:f>MIN(100,IF(H1411="Enterprise",30,IF(H1411="Mid-Market",22,14))+IF(T1411="Enterprise",25,IF(T1411="Mid-Market",18,10))+IF(Q1411="Referral",25,IF(Q1411="Organic Search",20,IF(Q1411="Email",18,14)))+IF(G1411="Technology",10,5))</x:f>
        <x:v>51</x:v>
      </x:c>
      <x:c r="AE1411" t="str">
        <x:f>IF(U1411&lt;&gt;"Open",U1411,IF(N1411&gt;=0.8,"Commit",IF(N1411&gt;=0.5,"Best Case","Pipeline")))</x:f>
        <x:v>Lost</x:v>
      </x:c>
    </x:row>
    <x:row r="1412">
      <x:c r="A1412" t="str">
        <x:v>L01411</x:v>
      </x:c>
      <x:c r="B1412" s="10" t="n">
        <x:v>46101</x:v>
      </x:c>
      <x:c r="C1412" t="str">
        <x:v>Tuan Bui</x:v>
      </x:c>
      <x:c r="D1412" t="str">
        <x:v>Central</x:v>
      </x:c>
      <x:c r="E1412" t="str">
        <x:v>Cold Email</x:v>
      </x:c>
      <x:c r="F1412" t="str">
        <x:v>REV-OPS</x:v>
      </x:c>
      <x:c r="G1412" t="str">
        <x:v>Retail</x:v>
      </x:c>
      <x:c r="H1412" t="str">
        <x:v>SMB</x:v>
      </x:c>
      <x:c r="I1412" t="str">
        <x:v>Closed Lost</x:v>
      </x:c>
      <x:c r="J1412" s="10" t="n">
        <x:v>46151</x:v>
      </x:c>
      <x:c r="K1412" s="10" t="n">
        <x:v>46151</x:v>
      </x:c>
      <x:c r="L1412" s="22" t="n">
        <x:v>41600</x:v>
      </x:c>
      <x:c r="M1412" s="24" t="n">
        <x:v>0</x:v>
      </x:c>
      <x:c r="N1412" s="24" t="n">
        <x:v>0</x:v>
      </x:c>
      <x:c r="O1412" t="str">
        <x:v>Price</x:v>
      </x:c>
      <x:c r="P1412" t="n">
        <x:v>5</x:v>
      </x:c>
      <x:c r="Q1412" t="str">
        <x:f>IFERROR(XLOOKUP(E1412,Lookups!$A$5:$A$24,Lookups!$B$5:$B$24),"Other")</x:f>
        <x:v>Outbound</x:v>
      </x:c>
      <x:c r="R1412" t="str">
        <x:f>IFERROR(XLOOKUP(F1412,Lookups!$D$5:$D$10,Lookups!$E$5:$E$10),"Unknown Product")</x:f>
        <x:v>Revenue Operations Suite</x:v>
      </x:c>
      <x:c r="S1412" t="str">
        <x:f>IFERROR(XLOOKUP(F1412,Lookups!$D$5:$D$10,Lookups!$F$5:$F$10),"Unknown")</x:f>
        <x:v>Revenue Ops</x:v>
      </x:c>
      <x:c r="T1412" t="str">
        <x:f>IF(L1412&gt;=50000,"Enterprise",IF(L1412&gt;=20000,"Mid-Market","SMB"))</x:f>
        <x:v>Mid-Market</x:v>
      </x:c>
      <x:c r="U1412" t="str">
        <x:f>IF(I1412="Closed Won","Won",IF(I1412="Closed Lost","Lost","Open"))</x:f>
        <x:v>Lost</x:v>
      </x:c>
      <x:c r="V1412" s="22" t="n">
        <x:f>IF(U1412="Won",L1412*(1-M1412),0)</x:f>
        <x:v>0</x:v>
      </x:c>
      <x:c r="W1412" s="22" t="n">
        <x:f>IF(U1412="Open",L1412*N1412,0)</x:f>
        <x:v>0</x:v>
      </x:c>
      <x:c r="X1412" s="26" t="n">
        <x:f>IF(U1412="Open","",IFERROR(K1412-B1412,""))</x:f>
        <x:v>50</x:v>
      </x:c>
      <x:c r="Y1412" s="26" t="n">
        <x:f>IF(U1412="Open",Lookups!$B$2-B1412,X1412)</x:f>
        <x:v>50</x:v>
      </x:c>
      <x:c r="Z1412" t="str">
        <x:f>IF(AND(U1412="Open",Y1412&gt;30),"STALE","OK")</x:f>
        <x:v>OK</x:v>
      </x:c>
      <x:c r="AA1412" t="str">
        <x:f>TEXT(B1412,"yyyy-mm")</x:f>
        <x:v>2026-03</x:v>
      </x:c>
      <x:c r="AB1412" t="str">
        <x:f>IF(K1412="","",TEXT(K1412,"yyyy-mm"))</x:f>
        <x:v>2026-05</x:v>
      </x:c>
      <x:c r="AC1412" t="str">
        <x:f>"Q"&amp;ROUNDUP(MONTH(B1412)/3,0)&amp;"-"&amp;YEAR(B1412)</x:f>
        <x:v>Q1-2026</x:v>
      </x:c>
      <x:c r="AD1412" s="26" t="n">
        <x:f>MIN(100,IF(H1412="Enterprise",30,IF(H1412="Mid-Market",22,14))+IF(T1412="Enterprise",25,IF(T1412="Mid-Market",18,10))+IF(Q1412="Referral",25,IF(Q1412="Organic Search",20,IF(Q1412="Email",18,14)))+IF(G1412="Technology",10,5))</x:f>
        <x:v>51</x:v>
      </x:c>
      <x:c r="AE1412" t="str">
        <x:f>IF(U1412&lt;&gt;"Open",U1412,IF(N1412&gt;=0.8,"Commit",IF(N1412&gt;=0.5,"Best Case","Pipeline")))</x:f>
        <x:v>Lost</x:v>
      </x:c>
    </x:row>
    <x:row r="1413">
      <x:c r="A1413" t="str">
        <x:v>L01412</x:v>
      </x:c>
      <x:c r="B1413" s="10" t="n">
        <x:v>45756</x:v>
      </x:c>
      <x:c r="C1413" t="str">
        <x:v>Minh Do</x:v>
      </x:c>
      <x:c r="D1413" t="str">
        <x:v>North</x:v>
      </x:c>
      <x:c r="E1413" t="str">
        <x:v>Partner Referral</x:v>
      </x:c>
      <x:c r="F1413" t="str">
        <x:v>REV-OPS</x:v>
      </x:c>
      <x:c r="G1413" t="str">
        <x:v>Healthcare</x:v>
      </x:c>
      <x:c r="H1413" t="str">
        <x:v>SMB</x:v>
      </x:c>
      <x:c r="I1413" t="str">
        <x:v>Closed Lost</x:v>
      </x:c>
      <x:c r="J1413" s="10" t="n">
        <x:v>45810</x:v>
      </x:c>
      <x:c r="K1413" s="10" t="n">
        <x:v>45810</x:v>
      </x:c>
      <x:c r="L1413" s="22" t="n">
        <x:v>34700</x:v>
      </x:c>
      <x:c r="M1413" s="24" t="n">
        <x:v>0</x:v>
      </x:c>
      <x:c r="N1413" s="24" t="n">
        <x:v>0</x:v>
      </x:c>
      <x:c r="O1413" t="str">
        <x:v>No Decision</x:v>
      </x:c>
      <x:c r="P1413" t="n">
        <x:v>3</x:v>
      </x:c>
      <x:c r="Q1413" t="str">
        <x:f>IFERROR(XLOOKUP(E1413,Lookups!$A$5:$A$24,Lookups!$B$5:$B$24),"Other")</x:f>
        <x:v>Referral</x:v>
      </x:c>
      <x:c r="R1413" t="str">
        <x:f>IFERROR(XLOOKUP(F1413,Lookups!$D$5:$D$10,Lookups!$E$5:$E$10),"Unknown Product")</x:f>
        <x:v>Revenue Operations Suite</x:v>
      </x:c>
      <x:c r="S1413" t="str">
        <x:f>IFERROR(XLOOKUP(F1413,Lookups!$D$5:$D$10,Lookups!$F$5:$F$10),"Unknown")</x:f>
        <x:v>Revenue Ops</x:v>
      </x:c>
      <x:c r="T1413" t="str">
        <x:f>IF(L1413&gt;=50000,"Enterprise",IF(L1413&gt;=20000,"Mid-Market","SMB"))</x:f>
        <x:v>Mid-Market</x:v>
      </x:c>
      <x:c r="U1413" t="str">
        <x:f>IF(I1413="Closed Won","Won",IF(I1413="Closed Lost","Lost","Open"))</x:f>
        <x:v>Lost</x:v>
      </x:c>
      <x:c r="V1413" s="22" t="n">
        <x:f>IF(U1413="Won",L1413*(1-M1413),0)</x:f>
        <x:v>0</x:v>
      </x:c>
      <x:c r="W1413" s="22" t="n">
        <x:f>IF(U1413="Open",L1413*N1413,0)</x:f>
        <x:v>0</x:v>
      </x:c>
      <x:c r="X1413" s="26" t="n">
        <x:f>IF(U1413="Open","",IFERROR(K1413-B1413,""))</x:f>
        <x:v>54</x:v>
      </x:c>
      <x:c r="Y1413" s="26" t="n">
        <x:f>IF(U1413="Open",Lookups!$B$2-B1413,X1413)</x:f>
        <x:v>54</x:v>
      </x:c>
      <x:c r="Z1413" t="str">
        <x:f>IF(AND(U1413="Open",Y1413&gt;30),"STALE","OK")</x:f>
        <x:v>OK</x:v>
      </x:c>
      <x:c r="AA1413" t="str">
        <x:f>TEXT(B1413,"yyyy-mm")</x:f>
        <x:v>2025-04</x:v>
      </x:c>
      <x:c r="AB1413" t="str">
        <x:f>IF(K1413="","",TEXT(K1413,"yyyy-mm"))</x:f>
        <x:v>2025-06</x:v>
      </x:c>
      <x:c r="AC1413" t="str">
        <x:f>"Q"&amp;ROUNDUP(MONTH(B1413)/3,0)&amp;"-"&amp;YEAR(B1413)</x:f>
        <x:v>Q2-2025</x:v>
      </x:c>
      <x:c r="AD1413" s="26" t="n">
        <x:f>MIN(100,IF(H1413="Enterprise",30,IF(H1413="Mid-Market",22,14))+IF(T1413="Enterprise",25,IF(T1413="Mid-Market",18,10))+IF(Q1413="Referral",25,IF(Q1413="Organic Search",20,IF(Q1413="Email",18,14)))+IF(G1413="Technology",10,5))</x:f>
        <x:v>62</x:v>
      </x:c>
      <x:c r="AE1413" t="str">
        <x:f>IF(U1413&lt;&gt;"Open",U1413,IF(N1413&gt;=0.8,"Commit",IF(N1413&gt;=0.5,"Best Case","Pipeline")))</x:f>
        <x:v>Lost</x:v>
      </x:c>
    </x:row>
    <x:row r="1414">
      <x:c r="A1414" t="str">
        <x:v>L01413</x:v>
      </x:c>
      <x:c r="B1414" s="10" t="n">
        <x:v>45934</x:v>
      </x:c>
      <x:c r="C1414" t="str">
        <x:v>Bao Tran</x:v>
      </x:c>
      <x:c r="D1414" t="str">
        <x:v>South</x:v>
      </x:c>
      <x:c r="E1414" t="str">
        <x:v>linkedin</x:v>
      </x:c>
      <x:c r="F1414" t="str">
        <x:v>BI-PLUS</x:v>
      </x:c>
      <x:c r="G1414" t="str">
        <x:v>Professional Services</x:v>
      </x:c>
      <x:c r="H1414" t="str">
        <x:v>Mid-Market</x:v>
      </x:c>
      <x:c r="I1414" t="str">
        <x:v>Closed Lost</x:v>
      </x:c>
      <x:c r="J1414" s="10" t="n">
        <x:v>45966</x:v>
      </x:c>
      <x:c r="K1414" s="10" t="n">
        <x:v>45966</x:v>
      </x:c>
      <x:c r="L1414" s="22" t="n">
        <x:v>23100</x:v>
      </x:c>
      <x:c r="M1414" s="24" t="n">
        <x:v>0</x:v>
      </x:c>
      <x:c r="N1414" s="24" t="n">
        <x:v>0</x:v>
      </x:c>
      <x:c r="O1414" t="str">
        <x:v>Budget</x:v>
      </x:c>
      <x:c r="P1414" t="n">
        <x:v>3</x:v>
      </x:c>
      <x:c r="Q1414" t="str">
        <x:f>IFERROR(XLOOKUP(E1414,Lookups!$A$5:$A$24,Lookups!$B$5:$B$24),"Other")</x:f>
        <x:v>LinkedIn</x:v>
      </x:c>
      <x:c r="R1414" t="str">
        <x:f>IFERROR(XLOOKUP(F1414,Lookups!$D$5:$D$10,Lookups!$E$5:$E$10),"Unknown Product")</x:f>
        <x:v>Analytics Plus</x:v>
      </x:c>
      <x:c r="S1414" t="str">
        <x:f>IFERROR(XLOOKUP(F1414,Lookups!$D$5:$D$10,Lookups!$F$5:$F$10),"Unknown")</x:f>
        <x:v>Analytics</x:v>
      </x:c>
      <x:c r="T1414" t="str">
        <x:f>IF(L1414&gt;=50000,"Enterprise",IF(L1414&gt;=20000,"Mid-Market","SMB"))</x:f>
        <x:v>Mid-Market</x:v>
      </x:c>
      <x:c r="U1414" t="str">
        <x:f>IF(I1414="Closed Won","Won",IF(I1414="Closed Lost","Lost","Open"))</x:f>
        <x:v>Lost</x:v>
      </x:c>
      <x:c r="V1414" s="22" t="n">
        <x:f>IF(U1414="Won",L1414*(1-M1414),0)</x:f>
        <x:v>0</x:v>
      </x:c>
      <x:c r="W1414" s="22" t="n">
        <x:f>IF(U1414="Open",L1414*N1414,0)</x:f>
        <x:v>0</x:v>
      </x:c>
      <x:c r="X1414" s="26" t="n">
        <x:f>IF(U1414="Open","",IFERROR(K1414-B1414,""))</x:f>
        <x:v>32</x:v>
      </x:c>
      <x:c r="Y1414" s="26" t="n">
        <x:f>IF(U1414="Open",Lookups!$B$2-B1414,X1414)</x:f>
        <x:v>32</x:v>
      </x:c>
      <x:c r="Z1414" t="str">
        <x:f>IF(AND(U1414="Open",Y1414&gt;30),"STALE","OK")</x:f>
        <x:v>OK</x:v>
      </x:c>
      <x:c r="AA1414" t="str">
        <x:f>TEXT(B1414,"yyyy-mm")</x:f>
        <x:v>2025-10</x:v>
      </x:c>
      <x:c r="AB1414" t="str">
        <x:f>IF(K1414="","",TEXT(K1414,"yyyy-mm"))</x:f>
        <x:v>2025-11</x:v>
      </x:c>
      <x:c r="AC1414" t="str">
        <x:f>"Q"&amp;ROUNDUP(MONTH(B1414)/3,0)&amp;"-"&amp;YEAR(B1414)</x:f>
        <x:v>Q4-2025</x:v>
      </x:c>
      <x:c r="AD1414" s="26" t="n">
        <x:f>MIN(100,IF(H1414="Enterprise",30,IF(H1414="Mid-Market",22,14))+IF(T1414="Enterprise",25,IF(T1414="Mid-Market",18,10))+IF(Q1414="Referral",25,IF(Q1414="Organic Search",20,IF(Q1414="Email",18,14)))+IF(G1414="Technology",10,5))</x:f>
        <x:v>59</x:v>
      </x:c>
      <x:c r="AE1414" t="str">
        <x:f>IF(U1414&lt;&gt;"Open",U1414,IF(N1414&gt;=0.8,"Commit",IF(N1414&gt;=0.5,"Best Case","Pipeline")))</x:f>
        <x:v>Lost</x:v>
      </x:c>
    </x:row>
    <x:row r="1415">
      <x:c r="A1415" t="str">
        <x:v>L01414</x:v>
      </x:c>
      <x:c r="B1415" s="10" t="n">
        <x:v>46176</x:v>
      </x:c>
      <x:c r="C1415" t="str">
        <x:v>Quynh Vu</x:v>
      </x:c>
      <x:c r="D1415" t="str">
        <x:v>North</x:v>
      </x:c>
      <x:c r="E1415" t="str">
        <x:v>organic search</x:v>
      </x:c>
      <x:c r="F1415" t="str">
        <x:v>CRM-CORE</x:v>
      </x:c>
      <x:c r="G1415" t="str">
        <x:v>Healthcare</x:v>
      </x:c>
      <x:c r="H1415" t="str">
        <x:v>SMB</x:v>
      </x:c>
      <x:c r="I1415" t="str">
        <x:v>Closed Lost</x:v>
      </x:c>
      <x:c r="J1415" s="10" t="n">
        <x:v>46251</x:v>
      </x:c>
      <x:c r="K1415" s="10" t="n">
        <x:v>46251</x:v>
      </x:c>
      <x:c r="L1415" s="22" t="n">
        <x:v>8200</x:v>
      </x:c>
      <x:c r="M1415" s="24" t="n">
        <x:v>0</x:v>
      </x:c>
      <x:c r="N1415" s="24" t="n">
        <x:v>0</x:v>
      </x:c>
      <x:c r="O1415" t="str">
        <x:v>Price</x:v>
      </x:c>
      <x:c r="P1415" t="n">
        <x:v>5</x:v>
      </x:c>
      <x:c r="Q1415" t="str">
        <x:f>IFERROR(XLOOKUP(E1415,Lookups!$A$5:$A$24,Lookups!$B$5:$B$24),"Other")</x:f>
        <x:v>Organic Search</x:v>
      </x:c>
      <x:c r="R1415" t="str">
        <x:f>IFERROR(XLOOKUP(F1415,Lookups!$D$5:$D$10,Lookups!$E$5:$E$10),"Unknown Product")</x:f>
        <x:v>NexaCRM Core</x:v>
      </x:c>
      <x:c r="S1415" t="str">
        <x:f>IFERROR(XLOOKUP(F1415,Lookups!$D$5:$D$10,Lookups!$F$5:$F$10),"Unknown")</x:f>
        <x:v>CRM</x:v>
      </x:c>
      <x:c r="T1415" t="str">
        <x:f>IF(L1415&gt;=50000,"Enterprise",IF(L1415&gt;=20000,"Mid-Market","SMB"))</x:f>
        <x:v>SMB</x:v>
      </x:c>
      <x:c r="U1415" t="str">
        <x:f>IF(I1415="Closed Won","Won",IF(I1415="Closed Lost","Lost","Open"))</x:f>
        <x:v>Lost</x:v>
      </x:c>
      <x:c r="V1415" s="22" t="n">
        <x:f>IF(U1415="Won",L1415*(1-M1415),0)</x:f>
        <x:v>0</x:v>
      </x:c>
      <x:c r="W1415" s="22" t="n">
        <x:f>IF(U1415="Open",L1415*N1415,0)</x:f>
        <x:v>0</x:v>
      </x:c>
      <x:c r="X1415" s="26" t="n">
        <x:f>IF(U1415="Open","",IFERROR(K1415-B1415,""))</x:f>
        <x:v>75</x:v>
      </x:c>
      <x:c r="Y1415" s="26" t="n">
        <x:f>IF(U1415="Open",Lookups!$B$2-B1415,X1415)</x:f>
        <x:v>75</x:v>
      </x:c>
      <x:c r="Z1415" t="str">
        <x:f>IF(AND(U1415="Open",Y1415&gt;30),"STALE","OK")</x:f>
        <x:v>OK</x:v>
      </x:c>
      <x:c r="AA1415" t="str">
        <x:f>TEXT(B1415,"yyyy-mm")</x:f>
        <x:v>2026-06</x:v>
      </x:c>
      <x:c r="AB1415" t="str">
        <x:f>IF(K1415="","",TEXT(K1415,"yyyy-mm"))</x:f>
        <x:v>2026-08</x:v>
      </x:c>
      <x:c r="AC1415" t="str">
        <x:f>"Q"&amp;ROUNDUP(MONTH(B1415)/3,0)&amp;"-"&amp;YEAR(B1415)</x:f>
        <x:v>Q2-2026</x:v>
      </x:c>
      <x:c r="AD1415" s="26" t="n">
        <x:f>MIN(100,IF(H1415="Enterprise",30,IF(H1415="Mid-Market",22,14))+IF(T1415="Enterprise",25,IF(T1415="Mid-Market",18,10))+IF(Q1415="Referral",25,IF(Q1415="Organic Search",20,IF(Q1415="Email",18,14)))+IF(G1415="Technology",10,5))</x:f>
        <x:v>49</x:v>
      </x:c>
      <x:c r="AE1415" t="str">
        <x:f>IF(U1415&lt;&gt;"Open",U1415,IF(N1415&gt;=0.8,"Commit",IF(N1415&gt;=0.5,"Best Case","Pipeline")))</x:f>
        <x:v>Lost</x:v>
      </x:c>
    </x:row>
    <x:row r="1416">
      <x:c r="A1416" t="str">
        <x:v>L01415</x:v>
      </x:c>
      <x:c r="B1416" s="10" t="n">
        <x:v>45710</x:v>
      </x:c>
      <x:c r="C1416" t="str">
        <x:v>Minh Do</x:v>
      </x:c>
      <x:c r="D1416" t="str">
        <x:v>North</x:v>
      </x:c>
      <x:c r="E1416" t="str">
        <x:v>customer referral</x:v>
      </x:c>
      <x:c r="F1416" t="str">
        <x:v>CRM-PRO</x:v>
      </x:c>
      <x:c r="G1416" t="str">
        <x:v>Manufacturing</x:v>
      </x:c>
      <x:c r="H1416" t="str">
        <x:v>SMB</x:v>
      </x:c>
      <x:c r="I1416" t="str">
        <x:v>Closed Won</x:v>
      </x:c>
      <x:c r="J1416" s="10" t="n">
        <x:v>45740</x:v>
      </x:c>
      <x:c r="K1416" s="10" t="n">
        <x:v>45740</x:v>
      </x:c>
      <x:c r="L1416" s="22" t="n">
        <x:v>11100</x:v>
      </x:c>
      <x:c r="M1416" s="24" t="n">
        <x:v>0.05</x:v>
      </x:c>
      <x:c r="N1416" s="24" t="n">
        <x:v>1</x:v>
      </x:c>
      <x:c r="O1416" t="str"/>
      <x:c r="P1416" t="n">
        <x:v>6</x:v>
      </x:c>
      <x:c r="Q1416" t="str">
        <x:f>IFERROR(XLOOKUP(E1416,Lookups!$A$5:$A$24,Lookups!$B$5:$B$24),"Other")</x:f>
        <x:v>Referral</x:v>
      </x:c>
      <x:c r="R1416" t="str">
        <x:f>IFERROR(XLOOKUP(F1416,Lookups!$D$5:$D$10,Lookups!$E$5:$E$10),"Unknown Product")</x:f>
        <x:v>NexaCRM Pro</x:v>
      </x:c>
      <x:c r="S1416" t="str">
        <x:f>IFERROR(XLOOKUP(F1416,Lookups!$D$5:$D$10,Lookups!$F$5:$F$10),"Unknown")</x:f>
        <x:v>CRM</x:v>
      </x:c>
      <x:c r="T1416" t="str">
        <x:f>IF(L1416&gt;=50000,"Enterprise",IF(L1416&gt;=20000,"Mid-Market","SMB"))</x:f>
        <x:v>SMB</x:v>
      </x:c>
      <x:c r="U1416" t="str">
        <x:f>IF(I1416="Closed Won","Won",IF(I1416="Closed Lost","Lost","Open"))</x:f>
        <x:v>Won</x:v>
      </x:c>
      <x:c r="V1416" s="22" t="n">
        <x:f>IF(U1416="Won",L1416*(1-M1416),0)</x:f>
        <x:v>10545</x:v>
      </x:c>
      <x:c r="W1416" s="22" t="n">
        <x:f>IF(U1416="Open",L1416*N1416,0)</x:f>
        <x:v>0</x:v>
      </x:c>
      <x:c r="X1416" s="26" t="n">
        <x:f>IF(U1416="Open","",IFERROR(K1416-B1416,""))</x:f>
        <x:v>30</x:v>
      </x:c>
      <x:c r="Y1416" s="26" t="n">
        <x:f>IF(U1416="Open",Lookups!$B$2-B1416,X1416)</x:f>
        <x:v>30</x:v>
      </x:c>
      <x:c r="Z1416" t="str">
        <x:f>IF(AND(U1416="Open",Y1416&gt;30),"STALE","OK")</x:f>
        <x:v>OK</x:v>
      </x:c>
      <x:c r="AA1416" t="str">
        <x:f>TEXT(B1416,"yyyy-mm")</x:f>
        <x:v>2025-02</x:v>
      </x:c>
      <x:c r="AB1416" t="str">
        <x:f>IF(K1416="","",TEXT(K1416,"yyyy-mm"))</x:f>
        <x:v>2025-03</x:v>
      </x:c>
      <x:c r="AC1416" t="str">
        <x:f>"Q"&amp;ROUNDUP(MONTH(B1416)/3,0)&amp;"-"&amp;YEAR(B1416)</x:f>
        <x:v>Q1-2025</x:v>
      </x:c>
      <x:c r="AD1416" s="26" t="n">
        <x:f>MIN(100,IF(H1416="Enterprise",30,IF(H1416="Mid-Market",22,14))+IF(T1416="Enterprise",25,IF(T1416="Mid-Market",18,10))+IF(Q1416="Referral",25,IF(Q1416="Organic Search",20,IF(Q1416="Email",18,14)))+IF(G1416="Technology",10,5))</x:f>
        <x:v>54</x:v>
      </x:c>
      <x:c r="AE1416" t="str">
        <x:f>IF(U1416&lt;&gt;"Open",U1416,IF(N1416&gt;=0.8,"Commit",IF(N1416&gt;=0.5,"Best Case","Pipeline")))</x:f>
        <x:v>Won</x:v>
      </x:c>
    </x:row>
    <x:row r="1417">
      <x:c r="A1417" t="str">
        <x:v>L01416</x:v>
      </x:c>
      <x:c r="B1417" s="10" t="n">
        <x:v>45954</x:v>
      </x:c>
      <x:c r="C1417" t="str">
        <x:v>Tuan Bui</x:v>
      </x:c>
      <x:c r="D1417" t="str">
        <x:v>Central</x:v>
      </x:c>
      <x:c r="E1417" t="str">
        <x:v>linkedin</x:v>
      </x:c>
      <x:c r="F1417" t="str">
        <x:v>MKT-AUTO</x:v>
      </x:c>
      <x:c r="G1417" t="str">
        <x:v>Healthcare</x:v>
      </x:c>
      <x:c r="H1417" t="str">
        <x:v>Mid-Market</x:v>
      </x:c>
      <x:c r="I1417" t="str">
        <x:v>Closed Won</x:v>
      </x:c>
      <x:c r="J1417" s="10" t="n">
        <x:v>46016</x:v>
      </x:c>
      <x:c r="K1417" s="10" t="n">
        <x:v>46016</x:v>
      </x:c>
      <x:c r="L1417" s="22" t="n">
        <x:v>20000</x:v>
      </x:c>
      <x:c r="M1417" s="24" t="n">
        <x:v>0.12</x:v>
      </x:c>
      <x:c r="N1417" s="24" t="n">
        <x:v>1</x:v>
      </x:c>
      <x:c r="O1417" t="str"/>
      <x:c r="P1417" t="n">
        <x:v>6</x:v>
      </x:c>
      <x:c r="Q1417" t="str">
        <x:f>IFERROR(XLOOKUP(E1417,Lookups!$A$5:$A$24,Lookups!$B$5:$B$24),"Other")</x:f>
        <x:v>LinkedIn</x:v>
      </x:c>
      <x:c r="R1417" t="str">
        <x:f>IFERROR(XLOOKUP(F1417,Lookups!$D$5:$D$10,Lookups!$E$5:$E$10),"Unknown Product")</x:f>
        <x:v>Marketing Automation</x:v>
      </x:c>
      <x:c r="S1417" t="str">
        <x:f>IFERROR(XLOOKUP(F1417,Lookups!$D$5:$D$10,Lookups!$F$5:$F$10),"Unknown")</x:f>
        <x:v>Marketing</x:v>
      </x:c>
      <x:c r="T1417" t="str">
        <x:f>IF(L1417&gt;=50000,"Enterprise",IF(L1417&gt;=20000,"Mid-Market","SMB"))</x:f>
        <x:v>Mid-Market</x:v>
      </x:c>
      <x:c r="U1417" t="str">
        <x:f>IF(I1417="Closed Won","Won",IF(I1417="Closed Lost","Lost","Open"))</x:f>
        <x:v>Won</x:v>
      </x:c>
      <x:c r="V1417" s="22" t="n">
        <x:f>IF(U1417="Won",L1417*(1-M1417),0)</x:f>
        <x:v>17600</x:v>
      </x:c>
      <x:c r="W1417" s="22" t="n">
        <x:f>IF(U1417="Open",L1417*N1417,0)</x:f>
        <x:v>0</x:v>
      </x:c>
      <x:c r="X1417" s="26" t="n">
        <x:f>IF(U1417="Open","",IFERROR(K1417-B1417,""))</x:f>
        <x:v>62</x:v>
      </x:c>
      <x:c r="Y1417" s="26" t="n">
        <x:f>IF(U1417="Open",Lookups!$B$2-B1417,X1417)</x:f>
        <x:v>62</x:v>
      </x:c>
      <x:c r="Z1417" t="str">
        <x:f>IF(AND(U1417="Open",Y1417&gt;30),"STALE","OK")</x:f>
        <x:v>OK</x:v>
      </x:c>
      <x:c r="AA1417" t="str">
        <x:f>TEXT(B1417,"yyyy-mm")</x:f>
        <x:v>2025-10</x:v>
      </x:c>
      <x:c r="AB1417" t="str">
        <x:f>IF(K1417="","",TEXT(K1417,"yyyy-mm"))</x:f>
        <x:v>2025-12</x:v>
      </x:c>
      <x:c r="AC1417" t="str">
        <x:f>"Q"&amp;ROUNDUP(MONTH(B1417)/3,0)&amp;"-"&amp;YEAR(B1417)</x:f>
        <x:v>Q4-2025</x:v>
      </x:c>
      <x:c r="AD1417" s="26" t="n">
        <x:f>MIN(100,IF(H1417="Enterprise",30,IF(H1417="Mid-Market",22,14))+IF(T1417="Enterprise",25,IF(T1417="Mid-Market",18,10))+IF(Q1417="Referral",25,IF(Q1417="Organic Search",20,IF(Q1417="Email",18,14)))+IF(G1417="Technology",10,5))</x:f>
        <x:v>59</x:v>
      </x:c>
      <x:c r="AE1417" t="str">
        <x:f>IF(U1417&lt;&gt;"Open",U1417,IF(N1417&gt;=0.8,"Commit",IF(N1417&gt;=0.5,"Best Case","Pipeline")))</x:f>
        <x:v>Won</x:v>
      </x:c>
    </x:row>
    <x:row r="1418">
      <x:c r="A1418" t="str">
        <x:v>L01417</x:v>
      </x:c>
      <x:c r="B1418" s="10" t="n">
        <x:v>45702</x:v>
      </x:c>
      <x:c r="C1418" t="str">
        <x:v>Duy Pham</x:v>
      </x:c>
      <x:c r="D1418" t="str">
        <x:v>South</x:v>
      </x:c>
      <x:c r="E1418" t="str">
        <x:v>SEO</x:v>
      </x:c>
      <x:c r="F1418" t="str">
        <x:v>CRM-CORE</x:v>
      </x:c>
      <x:c r="G1418" t="str">
        <x:v>Manufacturing</x:v>
      </x:c>
      <x:c r="H1418" t="str">
        <x:v>Mid-Market</x:v>
      </x:c>
      <x:c r="I1418" t="str">
        <x:v>Closed Lost</x:v>
      </x:c>
      <x:c r="J1418" s="10" t="n">
        <x:v>45750</x:v>
      </x:c>
      <x:c r="K1418" s="10" t="n">
        <x:v>45750</x:v>
      </x:c>
      <x:c r="L1418" s="22" t="n">
        <x:v>8100</x:v>
      </x:c>
      <x:c r="M1418" s="24" t="n">
        <x:v>0</x:v>
      </x:c>
      <x:c r="N1418" s="24" t="n">
        <x:v>0</x:v>
      </x:c>
      <x:c r="O1418" t="str">
        <x:v>Price</x:v>
      </x:c>
      <x:c r="P1418" t="n">
        <x:v>4</x:v>
      </x:c>
      <x:c r="Q1418" t="str">
        <x:f>IFERROR(XLOOKUP(E1418,Lookups!$A$5:$A$24,Lookups!$B$5:$B$24),"Other")</x:f>
        <x:v>Organic Search</x:v>
      </x:c>
      <x:c r="R1418" t="str">
        <x:f>IFERROR(XLOOKUP(F1418,Lookups!$D$5:$D$10,Lookups!$E$5:$E$10),"Unknown Product")</x:f>
        <x:v>NexaCRM Core</x:v>
      </x:c>
      <x:c r="S1418" t="str">
        <x:f>IFERROR(XLOOKUP(F1418,Lookups!$D$5:$D$10,Lookups!$F$5:$F$10),"Unknown")</x:f>
        <x:v>CRM</x:v>
      </x:c>
      <x:c r="T1418" t="str">
        <x:f>IF(L1418&gt;=50000,"Enterprise",IF(L1418&gt;=20000,"Mid-Market","SMB"))</x:f>
        <x:v>SMB</x:v>
      </x:c>
      <x:c r="U1418" t="str">
        <x:f>IF(I1418="Closed Won","Won",IF(I1418="Closed Lost","Lost","Open"))</x:f>
        <x:v>Lost</x:v>
      </x:c>
      <x:c r="V1418" s="22" t="n">
        <x:f>IF(U1418="Won",L1418*(1-M1418),0)</x:f>
        <x:v>0</x:v>
      </x:c>
      <x:c r="W1418" s="22" t="n">
        <x:f>IF(U1418="Open",L1418*N1418,0)</x:f>
        <x:v>0</x:v>
      </x:c>
      <x:c r="X1418" s="26" t="n">
        <x:f>IF(U1418="Open","",IFERROR(K1418-B1418,""))</x:f>
        <x:v>48</x:v>
      </x:c>
      <x:c r="Y1418" s="26" t="n">
        <x:f>IF(U1418="Open",Lookups!$B$2-B1418,X1418)</x:f>
        <x:v>48</x:v>
      </x:c>
      <x:c r="Z1418" t="str">
        <x:f>IF(AND(U1418="Open",Y1418&gt;30),"STALE","OK")</x:f>
        <x:v>OK</x:v>
      </x:c>
      <x:c r="AA1418" t="str">
        <x:f>TEXT(B1418,"yyyy-mm")</x:f>
        <x:v>2025-02</x:v>
      </x:c>
      <x:c r="AB1418" t="str">
        <x:f>IF(K1418="","",TEXT(K1418,"yyyy-mm"))</x:f>
        <x:v>2025-04</x:v>
      </x:c>
      <x:c r="AC1418" t="str">
        <x:f>"Q"&amp;ROUNDUP(MONTH(B1418)/3,0)&amp;"-"&amp;YEAR(B1418)</x:f>
        <x:v>Q1-2025</x:v>
      </x:c>
      <x:c r="AD1418" s="26" t="n">
        <x:f>MIN(100,IF(H1418="Enterprise",30,IF(H1418="Mid-Market",22,14))+IF(T1418="Enterprise",25,IF(T1418="Mid-Market",18,10))+IF(Q1418="Referral",25,IF(Q1418="Organic Search",20,IF(Q1418="Email",18,14)))+IF(G1418="Technology",10,5))</x:f>
        <x:v>57</x:v>
      </x:c>
      <x:c r="AE1418" t="str">
        <x:f>IF(U1418&lt;&gt;"Open",U1418,IF(N1418&gt;=0.8,"Commit",IF(N1418&gt;=0.5,"Best Case","Pipeline")))</x:f>
        <x:v>Lost</x:v>
      </x:c>
    </x:row>
    <x:row r="1419">
      <x:c r="A1419" t="str">
        <x:v>L01418</x:v>
      </x:c>
      <x:c r="B1419" s="10" t="n">
        <x:v>46207</x:v>
      </x:c>
      <x:c r="C1419" t="str">
        <x:v>An Nguyen</x:v>
      </x:c>
      <x:c r="D1419" t="str">
        <x:v>South</x:v>
      </x:c>
      <x:c r="E1419" t="str">
        <x:v>Google Organic</x:v>
      </x:c>
      <x:c r="F1419" t="str">
        <x:v>CRM-CORE</x:v>
      </x:c>
      <x:c r="G1419" t="str">
        <x:v>Financial Services</x:v>
      </x:c>
      <x:c r="H1419" t="str">
        <x:v>Mid-Market</x:v>
      </x:c>
      <x:c r="I1419" t="str">
        <x:v>Closed Lost</x:v>
      </x:c>
      <x:c r="J1419" s="10" t="n">
        <x:v>46242</x:v>
      </x:c>
      <x:c r="K1419" s="10" t="n">
        <x:v>46242</x:v>
      </x:c>
      <x:c r="L1419" s="22" t="n">
        <x:v>11300</x:v>
      </x:c>
      <x:c r="M1419" s="24" t="n">
        <x:v>0</x:v>
      </x:c>
      <x:c r="N1419" s="24" t="n">
        <x:v>0</x:v>
      </x:c>
      <x:c r="O1419" t="str">
        <x:v>Price</x:v>
      </x:c>
      <x:c r="P1419" t="n">
        <x:v>5</x:v>
      </x:c>
      <x:c r="Q1419" t="str">
        <x:f>IFERROR(XLOOKUP(E1419,Lookups!$A$5:$A$24,Lookups!$B$5:$B$24),"Other")</x:f>
        <x:v>Organic Search</x:v>
      </x:c>
      <x:c r="R1419" t="str">
        <x:f>IFERROR(XLOOKUP(F1419,Lookups!$D$5:$D$10,Lookups!$E$5:$E$10),"Unknown Product")</x:f>
        <x:v>NexaCRM Core</x:v>
      </x:c>
      <x:c r="S1419" t="str">
        <x:f>IFERROR(XLOOKUP(F1419,Lookups!$D$5:$D$10,Lookups!$F$5:$F$10),"Unknown")</x:f>
        <x:v>CRM</x:v>
      </x:c>
      <x:c r="T1419" t="str">
        <x:f>IF(L1419&gt;=50000,"Enterprise",IF(L1419&gt;=20000,"Mid-Market","SMB"))</x:f>
        <x:v>SMB</x:v>
      </x:c>
      <x:c r="U1419" t="str">
        <x:f>IF(I1419="Closed Won","Won",IF(I1419="Closed Lost","Lost","Open"))</x:f>
        <x:v>Lost</x:v>
      </x:c>
      <x:c r="V1419" s="22" t="n">
        <x:f>IF(U1419="Won",L1419*(1-M1419),0)</x:f>
        <x:v>0</x:v>
      </x:c>
      <x:c r="W1419" s="22" t="n">
        <x:f>IF(U1419="Open",L1419*N1419,0)</x:f>
        <x:v>0</x:v>
      </x:c>
      <x:c r="X1419" s="26" t="n">
        <x:f>IF(U1419="Open","",IFERROR(K1419-B1419,""))</x:f>
        <x:v>35</x:v>
      </x:c>
      <x:c r="Y1419" s="26" t="n">
        <x:f>IF(U1419="Open",Lookups!$B$2-B1419,X1419)</x:f>
        <x:v>35</x:v>
      </x:c>
      <x:c r="Z1419" t="str">
        <x:f>IF(AND(U1419="Open",Y1419&gt;30),"STALE","OK")</x:f>
        <x:v>OK</x:v>
      </x:c>
      <x:c r="AA1419" t="str">
        <x:f>TEXT(B1419,"yyyy-mm")</x:f>
        <x:v>2026-07</x:v>
      </x:c>
      <x:c r="AB1419" t="str">
        <x:f>IF(K1419="","",TEXT(K1419,"yyyy-mm"))</x:f>
        <x:v>2026-08</x:v>
      </x:c>
      <x:c r="AC1419" t="str">
        <x:f>"Q"&amp;ROUNDUP(MONTH(B1419)/3,0)&amp;"-"&amp;YEAR(B1419)</x:f>
        <x:v>Q3-2026</x:v>
      </x:c>
      <x:c r="AD1419" s="26" t="n">
        <x:f>MIN(100,IF(H1419="Enterprise",30,IF(H1419="Mid-Market",22,14))+IF(T1419="Enterprise",25,IF(T1419="Mid-Market",18,10))+IF(Q1419="Referral",25,IF(Q1419="Organic Search",20,IF(Q1419="Email",18,14)))+IF(G1419="Technology",10,5))</x:f>
        <x:v>57</x:v>
      </x:c>
      <x:c r="AE1419" t="str">
        <x:f>IF(U1419&lt;&gt;"Open",U1419,IF(N1419&gt;=0.8,"Commit",IF(N1419&gt;=0.5,"Best Case","Pipeline")))</x:f>
        <x:v>Lost</x:v>
      </x:c>
    </x:row>
    <x:row r="1420">
      <x:c r="A1420" t="str">
        <x:v>L01419</x:v>
      </x:c>
      <x:c r="B1420" s="10" t="n">
        <x:v>46173</x:v>
      </x:c>
      <x:c r="C1420" t="str">
        <x:v>Tuan Bui</x:v>
      </x:c>
      <x:c r="D1420" t="str">
        <x:v>Central</x:v>
      </x:c>
      <x:c r="E1420" t="str">
        <x:v>LI Ads</x:v>
      </x:c>
      <x:c r="F1420" t="str">
        <x:v>CRM-PRO</x:v>
      </x:c>
      <x:c r="G1420" t="str">
        <x:v>Technology</x:v>
      </x:c>
      <x:c r="H1420" t="str">
        <x:v>SMB</x:v>
      </x:c>
      <x:c r="I1420" t="str">
        <x:v>Closed Won</x:v>
      </x:c>
      <x:c r="J1420" s="10" t="n">
        <x:v>46255</x:v>
      </x:c>
      <x:c r="K1420" s="10" t="n">
        <x:v>46255</x:v>
      </x:c>
      <x:c r="L1420" s="22" t="n">
        <x:v>14300</x:v>
      </x:c>
      <x:c r="M1420" s="24" t="n">
        <x:v>0.05</x:v>
      </x:c>
      <x:c r="N1420" s="24" t="n">
        <x:v>1</x:v>
      </x:c>
      <x:c r="O1420" t="str"/>
      <x:c r="P1420" t="n">
        <x:v>6</x:v>
      </x:c>
      <x:c r="Q1420" t="str">
        <x:f>IFERROR(XLOOKUP(E1420,Lookups!$A$5:$A$24,Lookups!$B$5:$B$24),"Other")</x:f>
        <x:v>LinkedIn</x:v>
      </x:c>
      <x:c r="R1420" t="str">
        <x:f>IFERROR(XLOOKUP(F1420,Lookups!$D$5:$D$10,Lookups!$E$5:$E$10),"Unknown Product")</x:f>
        <x:v>NexaCRM Pro</x:v>
      </x:c>
      <x:c r="S1420" t="str">
        <x:f>IFERROR(XLOOKUP(F1420,Lookups!$D$5:$D$10,Lookups!$F$5:$F$10),"Unknown")</x:f>
        <x:v>CRM</x:v>
      </x:c>
      <x:c r="T1420" t="str">
        <x:f>IF(L1420&gt;=50000,"Enterprise",IF(L1420&gt;=20000,"Mid-Market","SMB"))</x:f>
        <x:v>SMB</x:v>
      </x:c>
      <x:c r="U1420" t="str">
        <x:f>IF(I1420="Closed Won","Won",IF(I1420="Closed Lost","Lost","Open"))</x:f>
        <x:v>Won</x:v>
      </x:c>
      <x:c r="V1420" s="22" t="n">
        <x:f>IF(U1420="Won",L1420*(1-M1420),0)</x:f>
        <x:v>13585</x:v>
      </x:c>
      <x:c r="W1420" s="22" t="n">
        <x:f>IF(U1420="Open",L1420*N1420,0)</x:f>
        <x:v>0</x:v>
      </x:c>
      <x:c r="X1420" s="26" t="n">
        <x:f>IF(U1420="Open","",IFERROR(K1420-B1420,""))</x:f>
        <x:v>82</x:v>
      </x:c>
      <x:c r="Y1420" s="26" t="n">
        <x:f>IF(U1420="Open",Lookups!$B$2-B1420,X1420)</x:f>
        <x:v>82</x:v>
      </x:c>
      <x:c r="Z1420" t="str">
        <x:f>IF(AND(U1420="Open",Y1420&gt;30),"STALE","OK")</x:f>
        <x:v>OK</x:v>
      </x:c>
      <x:c r="AA1420" t="str">
        <x:f>TEXT(B1420,"yyyy-mm")</x:f>
        <x:v>2026-05</x:v>
      </x:c>
      <x:c r="AB1420" t="str">
        <x:f>IF(K1420="","",TEXT(K1420,"yyyy-mm"))</x:f>
        <x:v>2026-08</x:v>
      </x:c>
      <x:c r="AC1420" t="str">
        <x:f>"Q"&amp;ROUNDUP(MONTH(B1420)/3,0)&amp;"-"&amp;YEAR(B1420)</x:f>
        <x:v>Q2-2026</x:v>
      </x:c>
      <x:c r="AD1420" s="26" t="n">
        <x:f>MIN(100,IF(H1420="Enterprise",30,IF(H1420="Mid-Market",22,14))+IF(T1420="Enterprise",25,IF(T1420="Mid-Market",18,10))+IF(Q1420="Referral",25,IF(Q1420="Organic Search",20,IF(Q1420="Email",18,14)))+IF(G1420="Technology",10,5))</x:f>
        <x:v>48</x:v>
      </x:c>
      <x:c r="AE1420" t="str">
        <x:f>IF(U1420&lt;&gt;"Open",U1420,IF(N1420&gt;=0.8,"Commit",IF(N1420&gt;=0.5,"Best Case","Pipeline")))</x:f>
        <x:v>Won</x:v>
      </x:c>
    </x:row>
    <x:row r="1421">
      <x:c r="A1421" t="str">
        <x:v>L01420</x:v>
      </x:c>
      <x:c r="B1421" s="10" t="n">
        <x:v>45765</x:v>
      </x:c>
      <x:c r="C1421" t="str">
        <x:v>An Nguyen</x:v>
      </x:c>
      <x:c r="D1421" t="str">
        <x:v>South</x:v>
      </x:c>
      <x:c r="E1421" t="str">
        <x:v>linkedin</x:v>
      </x:c>
      <x:c r="F1421" t="str">
        <x:v>BI-PLUS</x:v>
      </x:c>
      <x:c r="G1421" t="str">
        <x:v>Retail</x:v>
      </x:c>
      <x:c r="H1421" t="str">
        <x:v>Mid-Market</x:v>
      </x:c>
      <x:c r="I1421" t="str">
        <x:v>Closed Won</x:v>
      </x:c>
      <x:c r="J1421" s="10" t="n">
        <x:v>45824</x:v>
      </x:c>
      <x:c r="K1421" s="10" t="n">
        <x:v>45824</x:v>
      </x:c>
      <x:c r="L1421" s="22" t="n">
        <x:v>40000</x:v>
      </x:c>
      <x:c r="M1421" s="24" t="n">
        <x:v>0.1</x:v>
      </x:c>
      <x:c r="N1421" s="24" t="n">
        <x:v>1</x:v>
      </x:c>
      <x:c r="O1421" t="str"/>
      <x:c r="P1421" t="n">
        <x:v>6</x:v>
      </x:c>
      <x:c r="Q1421" t="str">
        <x:f>IFERROR(XLOOKUP(E1421,Lookups!$A$5:$A$24,Lookups!$B$5:$B$24),"Other")</x:f>
        <x:v>LinkedIn</x:v>
      </x:c>
      <x:c r="R1421" t="str">
        <x:f>IFERROR(XLOOKUP(F1421,Lookups!$D$5:$D$10,Lookups!$E$5:$E$10),"Unknown Product")</x:f>
        <x:v>Analytics Plus</x:v>
      </x:c>
      <x:c r="S1421" t="str">
        <x:f>IFERROR(XLOOKUP(F1421,Lookups!$D$5:$D$10,Lookups!$F$5:$F$10),"Unknown")</x:f>
        <x:v>Analytics</x:v>
      </x:c>
      <x:c r="T1421" t="str">
        <x:f>IF(L1421&gt;=50000,"Enterprise",IF(L1421&gt;=20000,"Mid-Market","SMB"))</x:f>
        <x:v>Mid-Market</x:v>
      </x:c>
      <x:c r="U1421" t="str">
        <x:f>IF(I1421="Closed Won","Won",IF(I1421="Closed Lost","Lost","Open"))</x:f>
        <x:v>Won</x:v>
      </x:c>
      <x:c r="V1421" s="22" t="n">
        <x:f>IF(U1421="Won",L1421*(1-M1421),0)</x:f>
        <x:v>36000</x:v>
      </x:c>
      <x:c r="W1421" s="22" t="n">
        <x:f>IF(U1421="Open",L1421*N1421,0)</x:f>
        <x:v>0</x:v>
      </x:c>
      <x:c r="X1421" s="26" t="n">
        <x:f>IF(U1421="Open","",IFERROR(K1421-B1421,""))</x:f>
        <x:v>59</x:v>
      </x:c>
      <x:c r="Y1421" s="26" t="n">
        <x:f>IF(U1421="Open",Lookups!$B$2-B1421,X1421)</x:f>
        <x:v>59</x:v>
      </x:c>
      <x:c r="Z1421" t="str">
        <x:f>IF(AND(U1421="Open",Y1421&gt;30),"STALE","OK")</x:f>
        <x:v>OK</x:v>
      </x:c>
      <x:c r="AA1421" t="str">
        <x:f>TEXT(B1421,"yyyy-mm")</x:f>
        <x:v>2025-04</x:v>
      </x:c>
      <x:c r="AB1421" t="str">
        <x:f>IF(K1421="","",TEXT(K1421,"yyyy-mm"))</x:f>
        <x:v>2025-06</x:v>
      </x:c>
      <x:c r="AC1421" t="str">
        <x:f>"Q"&amp;ROUNDUP(MONTH(B1421)/3,0)&amp;"-"&amp;YEAR(B1421)</x:f>
        <x:v>Q2-2025</x:v>
      </x:c>
      <x:c r="AD1421" s="26" t="n">
        <x:f>MIN(100,IF(H1421="Enterprise",30,IF(H1421="Mid-Market",22,14))+IF(T1421="Enterprise",25,IF(T1421="Mid-Market",18,10))+IF(Q1421="Referral",25,IF(Q1421="Organic Search",20,IF(Q1421="Email",18,14)))+IF(G1421="Technology",10,5))</x:f>
        <x:v>59</x:v>
      </x:c>
      <x:c r="AE1421" t="str">
        <x:f>IF(U1421&lt;&gt;"Open",U1421,IF(N1421&gt;=0.8,"Commit",IF(N1421&gt;=0.5,"Best Case","Pipeline")))</x:f>
        <x:v>Won</x:v>
      </x:c>
    </x:row>
    <x:row r="1422">
      <x:c r="A1422" t="str">
        <x:v>L01421</x:v>
      </x:c>
      <x:c r="B1422" s="10" t="n">
        <x:v>46124</x:v>
      </x:c>
      <x:c r="C1422" t="str">
        <x:v>Tuan Bui</x:v>
      </x:c>
      <x:c r="D1422" t="str">
        <x:v>Central</x:v>
      </x:c>
      <x:c r="E1422" t="str">
        <x:v>Email Campaign</x:v>
      </x:c>
      <x:c r="F1422" t="str">
        <x:v>BI-PLUS</x:v>
      </x:c>
      <x:c r="G1422" t="str">
        <x:v>Technology</x:v>
      </x:c>
      <x:c r="H1422" t="str">
        <x:v>Mid-Market</x:v>
      </x:c>
      <x:c r="I1422" t="str">
        <x:v>Closed Won</x:v>
      </x:c>
      <x:c r="J1422" s="10" t="n">
        <x:v>46136</x:v>
      </x:c>
      <x:c r="K1422" s="10" t="n">
        <x:v>46136</x:v>
      </x:c>
      <x:c r="L1422" s="22" t="n">
        <x:v>47400</x:v>
      </x:c>
      <x:c r="M1422" s="24" t="n">
        <x:v>0.1</x:v>
      </x:c>
      <x:c r="N1422" s="24" t="n">
        <x:v>1</x:v>
      </x:c>
      <x:c r="O1422" t="str"/>
      <x:c r="P1422" t="n">
        <x:v>6</x:v>
      </x:c>
      <x:c r="Q1422" t="str">
        <x:f>IFERROR(XLOOKUP(E1422,Lookups!$A$5:$A$24,Lookups!$B$5:$B$24),"Other")</x:f>
        <x:v>Email</x:v>
      </x:c>
      <x:c r="R1422" t="str">
        <x:f>IFERROR(XLOOKUP(F1422,Lookups!$D$5:$D$10,Lookups!$E$5:$E$10),"Unknown Product")</x:f>
        <x:v>Analytics Plus</x:v>
      </x:c>
      <x:c r="S1422" t="str">
        <x:f>IFERROR(XLOOKUP(F1422,Lookups!$D$5:$D$10,Lookups!$F$5:$F$10),"Unknown")</x:f>
        <x:v>Analytics</x:v>
      </x:c>
      <x:c r="T1422" t="str">
        <x:f>IF(L1422&gt;=50000,"Enterprise",IF(L1422&gt;=20000,"Mid-Market","SMB"))</x:f>
        <x:v>Mid-Market</x:v>
      </x:c>
      <x:c r="U1422" t="str">
        <x:f>IF(I1422="Closed Won","Won",IF(I1422="Closed Lost","Lost","Open"))</x:f>
        <x:v>Won</x:v>
      </x:c>
      <x:c r="V1422" s="22" t="n">
        <x:f>IF(U1422="Won",L1422*(1-M1422),0)</x:f>
        <x:v>42660</x:v>
      </x:c>
      <x:c r="W1422" s="22" t="n">
        <x:f>IF(U1422="Open",L1422*N1422,0)</x:f>
        <x:v>0</x:v>
      </x:c>
      <x:c r="X1422" s="26" t="n">
        <x:f>IF(U1422="Open","",IFERROR(K1422-B1422,""))</x:f>
        <x:v>12</x:v>
      </x:c>
      <x:c r="Y1422" s="26" t="n">
        <x:f>IF(U1422="Open",Lookups!$B$2-B1422,X1422)</x:f>
        <x:v>12</x:v>
      </x:c>
      <x:c r="Z1422" t="str">
        <x:f>IF(AND(U1422="Open",Y1422&gt;30),"STALE","OK")</x:f>
        <x:v>OK</x:v>
      </x:c>
      <x:c r="AA1422" t="str">
        <x:f>TEXT(B1422,"yyyy-mm")</x:f>
        <x:v>2026-04</x:v>
      </x:c>
      <x:c r="AB1422" t="str">
        <x:f>IF(K1422="","",TEXT(K1422,"yyyy-mm"))</x:f>
        <x:v>2026-04</x:v>
      </x:c>
      <x:c r="AC1422" t="str">
        <x:f>"Q"&amp;ROUNDUP(MONTH(B1422)/3,0)&amp;"-"&amp;YEAR(B1422)</x:f>
        <x:v>Q2-2026</x:v>
      </x:c>
      <x:c r="AD1422" s="26" t="n">
        <x:f>MIN(100,IF(H1422="Enterprise",30,IF(H1422="Mid-Market",22,14))+IF(T1422="Enterprise",25,IF(T1422="Mid-Market",18,10))+IF(Q1422="Referral",25,IF(Q1422="Organic Search",20,IF(Q1422="Email",18,14)))+IF(G1422="Technology",10,5))</x:f>
        <x:v>68</x:v>
      </x:c>
      <x:c r="AE1422" t="str">
        <x:f>IF(U1422&lt;&gt;"Open",U1422,IF(N1422&gt;=0.8,"Commit",IF(N1422&gt;=0.5,"Best Case","Pipeline")))</x:f>
        <x:v>Won</x:v>
      </x:c>
    </x:row>
    <x:row r="1423">
      <x:c r="A1423" t="str">
        <x:v>L01422</x:v>
      </x:c>
      <x:c r="B1423" s="10" t="n">
        <x:v>45851</x:v>
      </x:c>
      <x:c r="C1423" t="str">
        <x:v>Bao Tran</x:v>
      </x:c>
      <x:c r="D1423" t="str">
        <x:v>South</x:v>
      </x:c>
      <x:c r="E1423" t="str">
        <x:v>SEM - Google</x:v>
      </x:c>
      <x:c r="F1423" t="str">
        <x:v>MKT-AUTO</x:v>
      </x:c>
      <x:c r="G1423" t="str">
        <x:v>Financial Services</x:v>
      </x:c>
      <x:c r="H1423" t="str">
        <x:v>Mid-Market</x:v>
      </x:c>
      <x:c r="I1423" t="str">
        <x:v>Closed Won</x:v>
      </x:c>
      <x:c r="J1423" s="10" t="n">
        <x:v>45868</x:v>
      </x:c>
      <x:c r="K1423" s="10" t="n">
        <x:v>45868</x:v>
      </x:c>
      <x:c r="L1423" s="22" t="n">
        <x:v>16200</x:v>
      </x:c>
      <x:c r="M1423" s="24" t="n">
        <x:v>0.12</x:v>
      </x:c>
      <x:c r="N1423" s="24" t="n">
        <x:v>1</x:v>
      </x:c>
      <x:c r="O1423" t="str"/>
      <x:c r="P1423" t="n">
        <x:v>6</x:v>
      </x:c>
      <x:c r="Q1423" t="str">
        <x:f>IFERROR(XLOOKUP(E1423,Lookups!$A$5:$A$24,Lookups!$B$5:$B$24),"Other")</x:f>
        <x:v>Paid Search</x:v>
      </x:c>
      <x:c r="R1423" t="str">
        <x:f>IFERROR(XLOOKUP(F1423,Lookups!$D$5:$D$10,Lookups!$E$5:$E$10),"Unknown Product")</x:f>
        <x:v>Marketing Automation</x:v>
      </x:c>
      <x:c r="S1423" t="str">
        <x:f>IFERROR(XLOOKUP(F1423,Lookups!$D$5:$D$10,Lookups!$F$5:$F$10),"Unknown")</x:f>
        <x:v>Marketing</x:v>
      </x:c>
      <x:c r="T1423" t="str">
        <x:f>IF(L1423&gt;=50000,"Enterprise",IF(L1423&gt;=20000,"Mid-Market","SMB"))</x:f>
        <x:v>SMB</x:v>
      </x:c>
      <x:c r="U1423" t="str">
        <x:f>IF(I1423="Closed Won","Won",IF(I1423="Closed Lost","Lost","Open"))</x:f>
        <x:v>Won</x:v>
      </x:c>
      <x:c r="V1423" s="22" t="n">
        <x:f>IF(U1423="Won",L1423*(1-M1423),0)</x:f>
        <x:v>14256</x:v>
      </x:c>
      <x:c r="W1423" s="22" t="n">
        <x:f>IF(U1423="Open",L1423*N1423,0)</x:f>
        <x:v>0</x:v>
      </x:c>
      <x:c r="X1423" s="26" t="n">
        <x:f>IF(U1423="Open","",IFERROR(K1423-B1423,""))</x:f>
        <x:v>17</x:v>
      </x:c>
      <x:c r="Y1423" s="26" t="n">
        <x:f>IF(U1423="Open",Lookups!$B$2-B1423,X1423)</x:f>
        <x:v>17</x:v>
      </x:c>
      <x:c r="Z1423" t="str">
        <x:f>IF(AND(U1423="Open",Y1423&gt;30),"STALE","OK")</x:f>
        <x:v>OK</x:v>
      </x:c>
      <x:c r="AA1423" t="str">
        <x:f>TEXT(B1423,"yyyy-mm")</x:f>
        <x:v>2025-07</x:v>
      </x:c>
      <x:c r="AB1423" t="str">
        <x:f>IF(K1423="","",TEXT(K1423,"yyyy-mm"))</x:f>
        <x:v>2025-07</x:v>
      </x:c>
      <x:c r="AC1423" t="str">
        <x:f>"Q"&amp;ROUNDUP(MONTH(B1423)/3,0)&amp;"-"&amp;YEAR(B1423)</x:f>
        <x:v>Q3-2025</x:v>
      </x:c>
      <x:c r="AD1423" s="26" t="n">
        <x:f>MIN(100,IF(H1423="Enterprise",30,IF(H1423="Mid-Market",22,14))+IF(T1423="Enterprise",25,IF(T1423="Mid-Market",18,10))+IF(Q1423="Referral",25,IF(Q1423="Organic Search",20,IF(Q1423="Email",18,14)))+IF(G1423="Technology",10,5))</x:f>
        <x:v>51</x:v>
      </x:c>
      <x:c r="AE1423" t="str">
        <x:f>IF(U1423&lt;&gt;"Open",U1423,IF(N1423&gt;=0.8,"Commit",IF(N1423&gt;=0.5,"Best Case","Pipeline")))</x:f>
        <x:v>Won</x:v>
      </x:c>
    </x:row>
    <x:row r="1424">
      <x:c r="A1424" t="str">
        <x:v>L01423</x:v>
      </x:c>
      <x:c r="B1424" s="10" t="n">
        <x:v>46107</x:v>
      </x:c>
      <x:c r="C1424" t="str">
        <x:v>Tuan Bui</x:v>
      </x:c>
      <x:c r="D1424" t="str">
        <x:v>Central</x:v>
      </x:c>
      <x:c r="E1424" t="str">
        <x:v>SEM - Google</x:v>
      </x:c>
      <x:c r="F1424" t="str">
        <x:v>CRM-CORE</x:v>
      </x:c>
      <x:c r="G1424" t="str">
        <x:v>Financial Services</x:v>
      </x:c>
      <x:c r="H1424" t="str">
        <x:v>Enterprise</x:v>
      </x:c>
      <x:c r="I1424" t="str">
        <x:v>Closed Lost</x:v>
      </x:c>
      <x:c r="J1424" s="10" t="n">
        <x:v>46153</x:v>
      </x:c>
      <x:c r="K1424" s="10" t="n">
        <x:v>46153</x:v>
      </x:c>
      <x:c r="L1424" s="22" t="n">
        <x:v>20500</x:v>
      </x:c>
      <x:c r="M1424" s="24" t="n">
        <x:v>0</x:v>
      </x:c>
      <x:c r="N1424" s="24" t="n">
        <x:v>0</x:v>
      </x:c>
      <x:c r="O1424" t="str">
        <x:v>Budget</x:v>
      </x:c>
      <x:c r="P1424" t="n">
        <x:v>4</x:v>
      </x:c>
      <x:c r="Q1424" t="str">
        <x:f>IFERROR(XLOOKUP(E1424,Lookups!$A$5:$A$24,Lookups!$B$5:$B$24),"Other")</x:f>
        <x:v>Paid Search</x:v>
      </x:c>
      <x:c r="R1424" t="str">
        <x:f>IFERROR(XLOOKUP(F1424,Lookups!$D$5:$D$10,Lookups!$E$5:$E$10),"Unknown Product")</x:f>
        <x:v>NexaCRM Core</x:v>
      </x:c>
      <x:c r="S1424" t="str">
        <x:f>IFERROR(XLOOKUP(F1424,Lookups!$D$5:$D$10,Lookups!$F$5:$F$10),"Unknown")</x:f>
        <x:v>CRM</x:v>
      </x:c>
      <x:c r="T1424" t="str">
        <x:f>IF(L1424&gt;=50000,"Enterprise",IF(L1424&gt;=20000,"Mid-Market","SMB"))</x:f>
        <x:v>Mid-Market</x:v>
      </x:c>
      <x:c r="U1424" t="str">
        <x:f>IF(I1424="Closed Won","Won",IF(I1424="Closed Lost","Lost","Open"))</x:f>
        <x:v>Lost</x:v>
      </x:c>
      <x:c r="V1424" s="22" t="n">
        <x:f>IF(U1424="Won",L1424*(1-M1424),0)</x:f>
        <x:v>0</x:v>
      </x:c>
      <x:c r="W1424" s="22" t="n">
        <x:f>IF(U1424="Open",L1424*N1424,0)</x:f>
        <x:v>0</x:v>
      </x:c>
      <x:c r="X1424" s="26" t="n">
        <x:f>IF(U1424="Open","",IFERROR(K1424-B1424,""))</x:f>
        <x:v>46</x:v>
      </x:c>
      <x:c r="Y1424" s="26" t="n">
        <x:f>IF(U1424="Open",Lookups!$B$2-B1424,X1424)</x:f>
        <x:v>46</x:v>
      </x:c>
      <x:c r="Z1424" t="str">
        <x:f>IF(AND(U1424="Open",Y1424&gt;30),"STALE","OK")</x:f>
        <x:v>OK</x:v>
      </x:c>
      <x:c r="AA1424" t="str">
        <x:f>TEXT(B1424,"yyyy-mm")</x:f>
        <x:v>2026-03</x:v>
      </x:c>
      <x:c r="AB1424" t="str">
        <x:f>IF(K1424="","",TEXT(K1424,"yyyy-mm"))</x:f>
        <x:v>2026-05</x:v>
      </x:c>
      <x:c r="AC1424" t="str">
        <x:f>"Q"&amp;ROUNDUP(MONTH(B1424)/3,0)&amp;"-"&amp;YEAR(B1424)</x:f>
        <x:v>Q1-2026</x:v>
      </x:c>
      <x:c r="AD1424" s="26" t="n">
        <x:f>MIN(100,IF(H1424="Enterprise",30,IF(H1424="Mid-Market",22,14))+IF(T1424="Enterprise",25,IF(T1424="Mid-Market",18,10))+IF(Q1424="Referral",25,IF(Q1424="Organic Search",20,IF(Q1424="Email",18,14)))+IF(G1424="Technology",10,5))</x:f>
        <x:v>67</x:v>
      </x:c>
      <x:c r="AE1424" t="str">
        <x:f>IF(U1424&lt;&gt;"Open",U1424,IF(N1424&gt;=0.8,"Commit",IF(N1424&gt;=0.5,"Best Case","Pipeline")))</x:f>
        <x:v>Lost</x:v>
      </x:c>
    </x:row>
    <x:row r="1425">
      <x:c r="A1425" t="str">
        <x:v>L01424</x:v>
      </x:c>
      <x:c r="B1425" s="10" t="n">
        <x:v>45732</x:v>
      </x:c>
      <x:c r="C1425" t="str">
        <x:v>Bao Tran</x:v>
      </x:c>
      <x:c r="D1425" t="str">
        <x:v>South</x:v>
      </x:c>
      <x:c r="E1425" t="str">
        <x:v>SEO</x:v>
      </x:c>
      <x:c r="F1425" t="str">
        <x:v>CRM-CORE</x:v>
      </x:c>
      <x:c r="G1425" t="str">
        <x:v>Education</x:v>
      </x:c>
      <x:c r="H1425" t="str">
        <x:v>Mid-Market</x:v>
      </x:c>
      <x:c r="I1425" t="str">
        <x:v>Closed Won</x:v>
      </x:c>
      <x:c r="J1425" s="10" t="n">
        <x:v>45752</x:v>
      </x:c>
      <x:c r="K1425" s="10" t="n">
        <x:v>45752</x:v>
      </x:c>
      <x:c r="L1425" s="22" t="n">
        <x:v>17100</x:v>
      </x:c>
      <x:c r="M1425" s="24" t="n">
        <x:v>0.1</x:v>
      </x:c>
      <x:c r="N1425" s="24" t="n">
        <x:v>1</x:v>
      </x:c>
      <x:c r="O1425" t="str"/>
      <x:c r="P1425" t="n">
        <x:v>6</x:v>
      </x:c>
      <x:c r="Q1425" t="str">
        <x:f>IFERROR(XLOOKUP(E1425,Lookups!$A$5:$A$24,Lookups!$B$5:$B$24),"Other")</x:f>
        <x:v>Organic Search</x:v>
      </x:c>
      <x:c r="R1425" t="str">
        <x:f>IFERROR(XLOOKUP(F1425,Lookups!$D$5:$D$10,Lookups!$E$5:$E$10),"Unknown Product")</x:f>
        <x:v>NexaCRM Core</x:v>
      </x:c>
      <x:c r="S1425" t="str">
        <x:f>IFERROR(XLOOKUP(F1425,Lookups!$D$5:$D$10,Lookups!$F$5:$F$10),"Unknown")</x:f>
        <x:v>CRM</x:v>
      </x:c>
      <x:c r="T1425" t="str">
        <x:f>IF(L1425&gt;=50000,"Enterprise",IF(L1425&gt;=20000,"Mid-Market","SMB"))</x:f>
        <x:v>SMB</x:v>
      </x:c>
      <x:c r="U1425" t="str">
        <x:f>IF(I1425="Closed Won","Won",IF(I1425="Closed Lost","Lost","Open"))</x:f>
        <x:v>Won</x:v>
      </x:c>
      <x:c r="V1425" s="22" t="n">
        <x:f>IF(U1425="Won",L1425*(1-M1425),0)</x:f>
        <x:v>15390</x:v>
      </x:c>
      <x:c r="W1425" s="22" t="n">
        <x:f>IF(U1425="Open",L1425*N1425,0)</x:f>
        <x:v>0</x:v>
      </x:c>
      <x:c r="X1425" s="26" t="n">
        <x:f>IF(U1425="Open","",IFERROR(K1425-B1425,""))</x:f>
        <x:v>20</x:v>
      </x:c>
      <x:c r="Y1425" s="26" t="n">
        <x:f>IF(U1425="Open",Lookups!$B$2-B1425,X1425)</x:f>
        <x:v>20</x:v>
      </x:c>
      <x:c r="Z1425" t="str">
        <x:f>IF(AND(U1425="Open",Y1425&gt;30),"STALE","OK")</x:f>
        <x:v>OK</x:v>
      </x:c>
      <x:c r="AA1425" t="str">
        <x:f>TEXT(B1425,"yyyy-mm")</x:f>
        <x:v>2025-03</x:v>
      </x:c>
      <x:c r="AB1425" t="str">
        <x:f>IF(K1425="","",TEXT(K1425,"yyyy-mm"))</x:f>
        <x:v>2025-04</x:v>
      </x:c>
      <x:c r="AC1425" t="str">
        <x:f>"Q"&amp;ROUNDUP(MONTH(B1425)/3,0)&amp;"-"&amp;YEAR(B1425)</x:f>
        <x:v>Q1-2025</x:v>
      </x:c>
      <x:c r="AD1425" s="26" t="n">
        <x:f>MIN(100,IF(H1425="Enterprise",30,IF(H1425="Mid-Market",22,14))+IF(T1425="Enterprise",25,IF(T1425="Mid-Market",18,10))+IF(Q1425="Referral",25,IF(Q1425="Organic Search",20,IF(Q1425="Email",18,14)))+IF(G1425="Technology",10,5))</x:f>
        <x:v>57</x:v>
      </x:c>
      <x:c r="AE1425" t="str">
        <x:f>IF(U1425&lt;&gt;"Open",U1425,IF(N1425&gt;=0.8,"Commit",IF(N1425&gt;=0.5,"Best Case","Pipeline")))</x:f>
        <x:v>Won</x:v>
      </x:c>
    </x:row>
    <x:row r="1426">
      <x:c r="A1426" t="str">
        <x:v>L01425</x:v>
      </x:c>
      <x:c r="B1426" s="10" t="n">
        <x:v>45897</x:v>
      </x:c>
      <x:c r="C1426" t="str">
        <x:v>Tuan Bui</x:v>
      </x:c>
      <x:c r="D1426" t="str">
        <x:v>Central</x:v>
      </x:c>
      <x:c r="E1426" t="str">
        <x:v>Webinar</x:v>
      </x:c>
      <x:c r="F1426" t="str">
        <x:v>CRM-CORE</x:v>
      </x:c>
      <x:c r="G1426" t="str">
        <x:v>Education</x:v>
      </x:c>
      <x:c r="H1426" t="str">
        <x:v>Mid-Market</x:v>
      </x:c>
      <x:c r="I1426" t="str">
        <x:v>Closed Lost</x:v>
      </x:c>
      <x:c r="J1426" s="10" t="n">
        <x:v>45952</x:v>
      </x:c>
      <x:c r="K1426" s="10" t="n">
        <x:v>45952</x:v>
      </x:c>
      <x:c r="L1426" s="22" t="n">
        <x:v>9200</x:v>
      </x:c>
      <x:c r="M1426" s="24" t="n">
        <x:v>0</x:v>
      </x:c>
      <x:c r="N1426" s="24" t="n">
        <x:v>0</x:v>
      </x:c>
      <x:c r="O1426" t="str">
        <x:v>Timing</x:v>
      </x:c>
      <x:c r="P1426" t="n">
        <x:v>3</x:v>
      </x:c>
      <x:c r="Q1426" t="str">
        <x:f>IFERROR(XLOOKUP(E1426,Lookups!$A$5:$A$24,Lookups!$B$5:$B$24),"Other")</x:f>
        <x:v>Webinar</x:v>
      </x:c>
      <x:c r="R1426" t="str">
        <x:f>IFERROR(XLOOKUP(F1426,Lookups!$D$5:$D$10,Lookups!$E$5:$E$10),"Unknown Product")</x:f>
        <x:v>NexaCRM Core</x:v>
      </x:c>
      <x:c r="S1426" t="str">
        <x:f>IFERROR(XLOOKUP(F1426,Lookups!$D$5:$D$10,Lookups!$F$5:$F$10),"Unknown")</x:f>
        <x:v>CRM</x:v>
      </x:c>
      <x:c r="T1426" t="str">
        <x:f>IF(L1426&gt;=50000,"Enterprise",IF(L1426&gt;=20000,"Mid-Market","SMB"))</x:f>
        <x:v>SMB</x:v>
      </x:c>
      <x:c r="U1426" t="str">
        <x:f>IF(I1426="Closed Won","Won",IF(I1426="Closed Lost","Lost","Open"))</x:f>
        <x:v>Lost</x:v>
      </x:c>
      <x:c r="V1426" s="22" t="n">
        <x:f>IF(U1426="Won",L1426*(1-M1426),0)</x:f>
        <x:v>0</x:v>
      </x:c>
      <x:c r="W1426" s="22" t="n">
        <x:f>IF(U1426="Open",L1426*N1426,0)</x:f>
        <x:v>0</x:v>
      </x:c>
      <x:c r="X1426" s="26" t="n">
        <x:f>IF(U1426="Open","",IFERROR(K1426-B1426,""))</x:f>
        <x:v>55</x:v>
      </x:c>
      <x:c r="Y1426" s="26" t="n">
        <x:f>IF(U1426="Open",Lookups!$B$2-B1426,X1426)</x:f>
        <x:v>55</x:v>
      </x:c>
      <x:c r="Z1426" t="str">
        <x:f>IF(AND(U1426="Open",Y1426&gt;30),"STALE","OK")</x:f>
        <x:v>OK</x:v>
      </x:c>
      <x:c r="AA1426" t="str">
        <x:f>TEXT(B1426,"yyyy-mm")</x:f>
        <x:v>2025-08</x:v>
      </x:c>
      <x:c r="AB1426" t="str">
        <x:f>IF(K1426="","",TEXT(K1426,"yyyy-mm"))</x:f>
        <x:v>2025-10</x:v>
      </x:c>
      <x:c r="AC1426" t="str">
        <x:f>"Q"&amp;ROUNDUP(MONTH(B1426)/3,0)&amp;"-"&amp;YEAR(B1426)</x:f>
        <x:v>Q3-2025</x:v>
      </x:c>
      <x:c r="AD1426" s="26" t="n">
        <x:f>MIN(100,IF(H1426="Enterprise",30,IF(H1426="Mid-Market",22,14))+IF(T1426="Enterprise",25,IF(T1426="Mid-Market",18,10))+IF(Q1426="Referral",25,IF(Q1426="Organic Search",20,IF(Q1426="Email",18,14)))+IF(G1426="Technology",10,5))</x:f>
        <x:v>51</x:v>
      </x:c>
      <x:c r="AE1426" t="str">
        <x:f>IF(U1426&lt;&gt;"Open",U1426,IF(N1426&gt;=0.8,"Commit",IF(N1426&gt;=0.5,"Best Case","Pipeline")))</x:f>
        <x:v>Lost</x:v>
      </x:c>
    </x:row>
    <x:row r="1427">
      <x:c r="A1427" t="str">
        <x:v>L01426</x:v>
      </x:c>
      <x:c r="B1427" s="10" t="n">
        <x:v>45881</x:v>
      </x:c>
      <x:c r="C1427" t="str">
        <x:v>Ha Vo</x:v>
      </x:c>
      <x:c r="D1427" t="str">
        <x:v>North</x:v>
      </x:c>
      <x:c r="E1427" t="str">
        <x:v>google cpc</x:v>
      </x:c>
      <x:c r="F1427" t="str">
        <x:v>MKT-AUTO</x:v>
      </x:c>
      <x:c r="G1427" t="str">
        <x:v>Financial Services</x:v>
      </x:c>
      <x:c r="H1427" t="str">
        <x:v>Mid-Market</x:v>
      </x:c>
      <x:c r="I1427" t="str">
        <x:v>Closed Lost</x:v>
      </x:c>
      <x:c r="J1427" s="10" t="n">
        <x:v>45926</x:v>
      </x:c>
      <x:c r="K1427" s="10" t="n">
        <x:v>45926</x:v>
      </x:c>
      <x:c r="L1427" s="22" t="n">
        <x:v>30300</x:v>
      </x:c>
      <x:c r="M1427" s="24" t="n">
        <x:v>0</x:v>
      </x:c>
      <x:c r="N1427" s="24" t="n">
        <x:v>0</x:v>
      </x:c>
      <x:c r="O1427" t="str">
        <x:v>No Decision</x:v>
      </x:c>
      <x:c r="P1427" t="n">
        <x:v>2</x:v>
      </x:c>
      <x:c r="Q1427" t="str">
        <x:f>IFERROR(XLOOKUP(E1427,Lookups!$A$5:$A$24,Lookups!$B$5:$B$24),"Other")</x:f>
        <x:v>Paid Search</x:v>
      </x:c>
      <x:c r="R1427" t="str">
        <x:f>IFERROR(XLOOKUP(F1427,Lookups!$D$5:$D$10,Lookups!$E$5:$E$10),"Unknown Product")</x:f>
        <x:v>Marketing Automation</x:v>
      </x:c>
      <x:c r="S1427" t="str">
        <x:f>IFERROR(XLOOKUP(F1427,Lookups!$D$5:$D$10,Lookups!$F$5:$F$10),"Unknown")</x:f>
        <x:v>Marketing</x:v>
      </x:c>
      <x:c r="T1427" t="str">
        <x:f>IF(L1427&gt;=50000,"Enterprise",IF(L1427&gt;=20000,"Mid-Market","SMB"))</x:f>
        <x:v>Mid-Market</x:v>
      </x:c>
      <x:c r="U1427" t="str">
        <x:f>IF(I1427="Closed Won","Won",IF(I1427="Closed Lost","Lost","Open"))</x:f>
        <x:v>Lost</x:v>
      </x:c>
      <x:c r="V1427" s="22" t="n">
        <x:f>IF(U1427="Won",L1427*(1-M1427),0)</x:f>
        <x:v>0</x:v>
      </x:c>
      <x:c r="W1427" s="22" t="n">
        <x:f>IF(U1427="Open",L1427*N1427,0)</x:f>
        <x:v>0</x:v>
      </x:c>
      <x:c r="X1427" s="26" t="n">
        <x:f>IF(U1427="Open","",IFERROR(K1427-B1427,""))</x:f>
        <x:v>45</x:v>
      </x:c>
      <x:c r="Y1427" s="26" t="n">
        <x:f>IF(U1427="Open",Lookups!$B$2-B1427,X1427)</x:f>
        <x:v>45</x:v>
      </x:c>
      <x:c r="Z1427" t="str">
        <x:f>IF(AND(U1427="Open",Y1427&gt;30),"STALE","OK")</x:f>
        <x:v>OK</x:v>
      </x:c>
      <x:c r="AA1427" t="str">
        <x:f>TEXT(B1427,"yyyy-mm")</x:f>
        <x:v>2025-08</x:v>
      </x:c>
      <x:c r="AB1427" t="str">
        <x:f>IF(K1427="","",TEXT(K1427,"yyyy-mm"))</x:f>
        <x:v>2025-09</x:v>
      </x:c>
      <x:c r="AC1427" t="str">
        <x:f>"Q"&amp;ROUNDUP(MONTH(B1427)/3,0)&amp;"-"&amp;YEAR(B1427)</x:f>
        <x:v>Q3-2025</x:v>
      </x:c>
      <x:c r="AD1427" s="26" t="n">
        <x:f>MIN(100,IF(H1427="Enterprise",30,IF(H1427="Mid-Market",22,14))+IF(T1427="Enterprise",25,IF(T1427="Mid-Market",18,10))+IF(Q1427="Referral",25,IF(Q1427="Organic Search",20,IF(Q1427="Email",18,14)))+IF(G1427="Technology",10,5))</x:f>
        <x:v>59</x:v>
      </x:c>
      <x:c r="AE1427" t="str">
        <x:f>IF(U1427&lt;&gt;"Open",U1427,IF(N1427&gt;=0.8,"Commit",IF(N1427&gt;=0.5,"Best Case","Pipeline")))</x:f>
        <x:v>Lost</x:v>
      </x:c>
    </x:row>
    <x:row r="1428">
      <x:c r="A1428" t="str">
        <x:v>L01427</x:v>
      </x:c>
      <x:c r="B1428" s="10" t="n">
        <x:v>45972</x:v>
      </x:c>
      <x:c r="C1428" t="str">
        <x:v>Chi Le</x:v>
      </x:c>
      <x:c r="D1428" t="str">
        <x:v>South</x:v>
      </x:c>
      <x:c r="E1428" t="str">
        <x:v>google cpc</x:v>
      </x:c>
      <x:c r="F1428" t="str">
        <x:v>MKT-AUTO</x:v>
      </x:c>
      <x:c r="G1428" t="str">
        <x:v>Professional Services</x:v>
      </x:c>
      <x:c r="H1428" t="str">
        <x:v>SMB</x:v>
      </x:c>
      <x:c r="I1428" t="str">
        <x:v>Closed Lost</x:v>
      </x:c>
      <x:c r="J1428" s="10" t="n">
        <x:v>45993</x:v>
      </x:c>
      <x:c r="K1428" s="10" t="n">
        <x:v>45993</x:v>
      </x:c>
      <x:c r="L1428" s="22" t="n">
        <x:v>19900</x:v>
      </x:c>
      <x:c r="M1428" s="24" t="n">
        <x:v>0</x:v>
      </x:c>
      <x:c r="N1428" s="24" t="n">
        <x:v>0</x:v>
      </x:c>
      <x:c r="O1428" t="str">
        <x:v>No Decision</x:v>
      </x:c>
      <x:c r="P1428" t="n">
        <x:v>3</x:v>
      </x:c>
      <x:c r="Q1428" t="str">
        <x:f>IFERROR(XLOOKUP(E1428,Lookups!$A$5:$A$24,Lookups!$B$5:$B$24),"Other")</x:f>
        <x:v>Paid Search</x:v>
      </x:c>
      <x:c r="R1428" t="str">
        <x:f>IFERROR(XLOOKUP(F1428,Lookups!$D$5:$D$10,Lookups!$E$5:$E$10),"Unknown Product")</x:f>
        <x:v>Marketing Automation</x:v>
      </x:c>
      <x:c r="S1428" t="str">
        <x:f>IFERROR(XLOOKUP(F1428,Lookups!$D$5:$D$10,Lookups!$F$5:$F$10),"Unknown")</x:f>
        <x:v>Marketing</x:v>
      </x:c>
      <x:c r="T1428" t="str">
        <x:f>IF(L1428&gt;=50000,"Enterprise",IF(L1428&gt;=20000,"Mid-Market","SMB"))</x:f>
        <x:v>SMB</x:v>
      </x:c>
      <x:c r="U1428" t="str">
        <x:f>IF(I1428="Closed Won","Won",IF(I1428="Closed Lost","Lost","Open"))</x:f>
        <x:v>Lost</x:v>
      </x:c>
      <x:c r="V1428" s="22" t="n">
        <x:f>IF(U1428="Won",L1428*(1-M1428),0)</x:f>
        <x:v>0</x:v>
      </x:c>
      <x:c r="W1428" s="22" t="n">
        <x:f>IF(U1428="Open",L1428*N1428,0)</x:f>
        <x:v>0</x:v>
      </x:c>
      <x:c r="X1428" s="26" t="n">
        <x:f>IF(U1428="Open","",IFERROR(K1428-B1428,""))</x:f>
        <x:v>21</x:v>
      </x:c>
      <x:c r="Y1428" s="26" t="n">
        <x:f>IF(U1428="Open",Lookups!$B$2-B1428,X1428)</x:f>
        <x:v>21</x:v>
      </x:c>
      <x:c r="Z1428" t="str">
        <x:f>IF(AND(U1428="Open",Y1428&gt;30),"STALE","OK")</x:f>
        <x:v>OK</x:v>
      </x:c>
      <x:c r="AA1428" t="str">
        <x:f>TEXT(B1428,"yyyy-mm")</x:f>
        <x:v>2025-11</x:v>
      </x:c>
      <x:c r="AB1428" t="str">
        <x:f>IF(K1428="","",TEXT(K1428,"yyyy-mm"))</x:f>
        <x:v>2025-12</x:v>
      </x:c>
      <x:c r="AC1428" t="str">
        <x:f>"Q"&amp;ROUNDUP(MONTH(B1428)/3,0)&amp;"-"&amp;YEAR(B1428)</x:f>
        <x:v>Q4-2025</x:v>
      </x:c>
      <x:c r="AD1428" s="26" t="n">
        <x:f>MIN(100,IF(H1428="Enterprise",30,IF(H1428="Mid-Market",22,14))+IF(T1428="Enterprise",25,IF(T1428="Mid-Market",18,10))+IF(Q1428="Referral",25,IF(Q1428="Organic Search",20,IF(Q1428="Email",18,14)))+IF(G1428="Technology",10,5))</x:f>
        <x:v>43</x:v>
      </x:c>
      <x:c r="AE1428" t="str">
        <x:f>IF(U1428&lt;&gt;"Open",U1428,IF(N1428&gt;=0.8,"Commit",IF(N1428&gt;=0.5,"Best Case","Pipeline")))</x:f>
        <x:v>Lost</x:v>
      </x:c>
    </x:row>
    <x:row r="1429">
      <x:c r="A1429" t="str">
        <x:v>L01428</x:v>
      </x:c>
      <x:c r="B1429" s="10" t="n">
        <x:v>45992</x:v>
      </x:c>
      <x:c r="C1429" t="str">
        <x:v>Bao Tran</x:v>
      </x:c>
      <x:c r="D1429" t="str">
        <x:v>South</x:v>
      </x:c>
      <x:c r="E1429" t="str">
        <x:v>Google Organic</x:v>
      </x:c>
      <x:c r="F1429" t="str">
        <x:v>CRM-CORE</x:v>
      </x:c>
      <x:c r="G1429" t="str">
        <x:v>Financial Services</x:v>
      </x:c>
      <x:c r="H1429" t="str">
        <x:v>SMB</x:v>
      </x:c>
      <x:c r="I1429" t="str">
        <x:v>Closed Won</x:v>
      </x:c>
      <x:c r="J1429" s="10" t="n">
        <x:v>46040</x:v>
      </x:c>
      <x:c r="K1429" s="10" t="n">
        <x:v>46040</x:v>
      </x:c>
      <x:c r="L1429" s="22" t="n">
        <x:v>6800</x:v>
      </x:c>
      <x:c r="M1429" s="24" t="n">
        <x:v>0.1</x:v>
      </x:c>
      <x:c r="N1429" s="24" t="n">
        <x:v>1</x:v>
      </x:c>
      <x:c r="O1429" t="str"/>
      <x:c r="P1429" t="n">
        <x:v>6</x:v>
      </x:c>
      <x:c r="Q1429" t="str">
        <x:f>IFERROR(XLOOKUP(E1429,Lookups!$A$5:$A$24,Lookups!$B$5:$B$24),"Other")</x:f>
        <x:v>Organic Search</x:v>
      </x:c>
      <x:c r="R1429" t="str">
        <x:f>IFERROR(XLOOKUP(F1429,Lookups!$D$5:$D$10,Lookups!$E$5:$E$10),"Unknown Product")</x:f>
        <x:v>NexaCRM Core</x:v>
      </x:c>
      <x:c r="S1429" t="str">
        <x:f>IFERROR(XLOOKUP(F1429,Lookups!$D$5:$D$10,Lookups!$F$5:$F$10),"Unknown")</x:f>
        <x:v>CRM</x:v>
      </x:c>
      <x:c r="T1429" t="str">
        <x:f>IF(L1429&gt;=50000,"Enterprise",IF(L1429&gt;=20000,"Mid-Market","SMB"))</x:f>
        <x:v>SMB</x:v>
      </x:c>
      <x:c r="U1429" t="str">
        <x:f>IF(I1429="Closed Won","Won",IF(I1429="Closed Lost","Lost","Open"))</x:f>
        <x:v>Won</x:v>
      </x:c>
      <x:c r="V1429" s="22" t="n">
        <x:f>IF(U1429="Won",L1429*(1-M1429),0)</x:f>
        <x:v>6120</x:v>
      </x:c>
      <x:c r="W1429" s="22" t="n">
        <x:f>IF(U1429="Open",L1429*N1429,0)</x:f>
        <x:v>0</x:v>
      </x:c>
      <x:c r="X1429" s="26" t="n">
        <x:f>IF(U1429="Open","",IFERROR(K1429-B1429,""))</x:f>
        <x:v>48</x:v>
      </x:c>
      <x:c r="Y1429" s="26" t="n">
        <x:f>IF(U1429="Open",Lookups!$B$2-B1429,X1429)</x:f>
        <x:v>48</x:v>
      </x:c>
      <x:c r="Z1429" t="str">
        <x:f>IF(AND(U1429="Open",Y1429&gt;30),"STALE","OK")</x:f>
        <x:v>OK</x:v>
      </x:c>
      <x:c r="AA1429" t="str">
        <x:f>TEXT(B1429,"yyyy-mm")</x:f>
        <x:v>2025-12</x:v>
      </x:c>
      <x:c r="AB1429" t="str">
        <x:f>IF(K1429="","",TEXT(K1429,"yyyy-mm"))</x:f>
        <x:v>2026-01</x:v>
      </x:c>
      <x:c r="AC1429" t="str">
        <x:f>"Q"&amp;ROUNDUP(MONTH(B1429)/3,0)&amp;"-"&amp;YEAR(B1429)</x:f>
        <x:v>Q4-2025</x:v>
      </x:c>
      <x:c r="AD1429" s="26" t="n">
        <x:f>MIN(100,IF(H1429="Enterprise",30,IF(H1429="Mid-Market",22,14))+IF(T1429="Enterprise",25,IF(T1429="Mid-Market",18,10))+IF(Q1429="Referral",25,IF(Q1429="Organic Search",20,IF(Q1429="Email",18,14)))+IF(G1429="Technology",10,5))</x:f>
        <x:v>49</x:v>
      </x:c>
      <x:c r="AE1429" t="str">
        <x:f>IF(U1429&lt;&gt;"Open",U1429,IF(N1429&gt;=0.8,"Commit",IF(N1429&gt;=0.5,"Best Case","Pipeline")))</x:f>
        <x:v>Won</x:v>
      </x:c>
    </x:row>
    <x:row r="1430">
      <x:c r="A1430" t="str">
        <x:v>L01429</x:v>
      </x:c>
      <x:c r="B1430" s="10" t="n">
        <x:v>46076</x:v>
      </x:c>
      <x:c r="C1430" t="str">
        <x:v>Chi Le</x:v>
      </x:c>
      <x:c r="D1430" t="str">
        <x:v>South</x:v>
      </x:c>
      <x:c r="E1430" t="str">
        <x:v>newsletter</x:v>
      </x:c>
      <x:c r="F1430" t="str">
        <x:v>BI-PLUS</x:v>
      </x:c>
      <x:c r="G1430" t="str">
        <x:v>Professional Services</x:v>
      </x:c>
      <x:c r="H1430" t="str">
        <x:v>Enterprise</x:v>
      </x:c>
      <x:c r="I1430" t="str">
        <x:v>Closed Lost</x:v>
      </x:c>
      <x:c r="J1430" s="10" t="n">
        <x:v>46137</x:v>
      </x:c>
      <x:c r="K1430" s="10" t="n">
        <x:v>46137</x:v>
      </x:c>
      <x:c r="L1430" s="22" t="n">
        <x:v>62100</x:v>
      </x:c>
      <x:c r="M1430" s="24" t="n">
        <x:v>0</x:v>
      </x:c>
      <x:c r="N1430" s="24" t="n">
        <x:v>0</x:v>
      </x:c>
      <x:c r="O1430" t="str">
        <x:v>Feature Gap</x:v>
      </x:c>
      <x:c r="P1430" t="n">
        <x:v>4</x:v>
      </x:c>
      <x:c r="Q1430" t="str">
        <x:f>IFERROR(XLOOKUP(E1430,Lookups!$A$5:$A$24,Lookups!$B$5:$B$24),"Other")</x:f>
        <x:v>Email</x:v>
      </x:c>
      <x:c r="R1430" t="str">
        <x:f>IFERROR(XLOOKUP(F1430,Lookups!$D$5:$D$10,Lookups!$E$5:$E$10),"Unknown Product")</x:f>
        <x:v>Analytics Plus</x:v>
      </x:c>
      <x:c r="S1430" t="str">
        <x:f>IFERROR(XLOOKUP(F1430,Lookups!$D$5:$D$10,Lookups!$F$5:$F$10),"Unknown")</x:f>
        <x:v>Analytics</x:v>
      </x:c>
      <x:c r="T1430" t="str">
        <x:f>IF(L1430&gt;=50000,"Enterprise",IF(L1430&gt;=20000,"Mid-Market","SMB"))</x:f>
        <x:v>Enterprise</x:v>
      </x:c>
      <x:c r="U1430" t="str">
        <x:f>IF(I1430="Closed Won","Won",IF(I1430="Closed Lost","Lost","Open"))</x:f>
        <x:v>Lost</x:v>
      </x:c>
      <x:c r="V1430" s="22" t="n">
        <x:f>IF(U1430="Won",L1430*(1-M1430),0)</x:f>
        <x:v>0</x:v>
      </x:c>
      <x:c r="W1430" s="22" t="n">
        <x:f>IF(U1430="Open",L1430*N1430,0)</x:f>
        <x:v>0</x:v>
      </x:c>
      <x:c r="X1430" s="26" t="n">
        <x:f>IF(U1430="Open","",IFERROR(K1430-B1430,""))</x:f>
        <x:v>61</x:v>
      </x:c>
      <x:c r="Y1430" s="26" t="n">
        <x:f>IF(U1430="Open",Lookups!$B$2-B1430,X1430)</x:f>
        <x:v>61</x:v>
      </x:c>
      <x:c r="Z1430" t="str">
        <x:f>IF(AND(U1430="Open",Y1430&gt;30),"STALE","OK")</x:f>
        <x:v>OK</x:v>
      </x:c>
      <x:c r="AA1430" t="str">
        <x:f>TEXT(B1430,"yyyy-mm")</x:f>
        <x:v>2026-02</x:v>
      </x:c>
      <x:c r="AB1430" t="str">
        <x:f>IF(K1430="","",TEXT(K1430,"yyyy-mm"))</x:f>
        <x:v>2026-04</x:v>
      </x:c>
      <x:c r="AC1430" t="str">
        <x:f>"Q"&amp;ROUNDUP(MONTH(B1430)/3,0)&amp;"-"&amp;YEAR(B1430)</x:f>
        <x:v>Q1-2026</x:v>
      </x:c>
      <x:c r="AD1430" s="26" t="n">
        <x:f>MIN(100,IF(H1430="Enterprise",30,IF(H1430="Mid-Market",22,14))+IF(T1430="Enterprise",25,IF(T1430="Mid-Market",18,10))+IF(Q1430="Referral",25,IF(Q1430="Organic Search",20,IF(Q1430="Email",18,14)))+IF(G1430="Technology",10,5))</x:f>
        <x:v>78</x:v>
      </x:c>
      <x:c r="AE1430" t="str">
        <x:f>IF(U1430&lt;&gt;"Open",U1430,IF(N1430&gt;=0.8,"Commit",IF(N1430&gt;=0.5,"Best Case","Pipeline")))</x:f>
        <x:v>Lost</x:v>
      </x:c>
    </x:row>
    <x:row r="1431">
      <x:c r="A1431" t="str">
        <x:v>L01430</x:v>
      </x:c>
      <x:c r="B1431" s="10" t="n">
        <x:v>45867</x:v>
      </x:c>
      <x:c r="C1431" t="str">
        <x:v>Duy Pham</x:v>
      </x:c>
      <x:c r="D1431" t="str">
        <x:v>South</x:v>
      </x:c>
      <x:c r="E1431" t="str">
        <x:v>Google Organic</x:v>
      </x:c>
      <x:c r="F1431" t="str">
        <x:v>MKT-AUTO</x:v>
      </x:c>
      <x:c r="G1431" t="str">
        <x:v>Retail</x:v>
      </x:c>
      <x:c r="H1431" t="str">
        <x:v>SMB</x:v>
      </x:c>
      <x:c r="I1431" t="str">
        <x:v>Closed Lost</x:v>
      </x:c>
      <x:c r="J1431" s="10" t="n">
        <x:v>45879</x:v>
      </x:c>
      <x:c r="K1431" s="10" t="n">
        <x:v>45879</x:v>
      </x:c>
      <x:c r="L1431" s="22" t="n">
        <x:v>19200</x:v>
      </x:c>
      <x:c r="M1431" s="24" t="n">
        <x:v>0</x:v>
      </x:c>
      <x:c r="N1431" s="24" t="n">
        <x:v>0</x:v>
      </x:c>
      <x:c r="O1431" t="str">
        <x:v>Timing</x:v>
      </x:c>
      <x:c r="P1431" t="n">
        <x:v>2</x:v>
      </x:c>
      <x:c r="Q1431" t="str">
        <x:f>IFERROR(XLOOKUP(E1431,Lookups!$A$5:$A$24,Lookups!$B$5:$B$24),"Other")</x:f>
        <x:v>Organic Search</x:v>
      </x:c>
      <x:c r="R1431" t="str">
        <x:f>IFERROR(XLOOKUP(F1431,Lookups!$D$5:$D$10,Lookups!$E$5:$E$10),"Unknown Product")</x:f>
        <x:v>Marketing Automation</x:v>
      </x:c>
      <x:c r="S1431" t="str">
        <x:f>IFERROR(XLOOKUP(F1431,Lookups!$D$5:$D$10,Lookups!$F$5:$F$10),"Unknown")</x:f>
        <x:v>Marketing</x:v>
      </x:c>
      <x:c r="T1431" t="str">
        <x:f>IF(L1431&gt;=50000,"Enterprise",IF(L1431&gt;=20000,"Mid-Market","SMB"))</x:f>
        <x:v>SMB</x:v>
      </x:c>
      <x:c r="U1431" t="str">
        <x:f>IF(I1431="Closed Won","Won",IF(I1431="Closed Lost","Lost","Open"))</x:f>
        <x:v>Lost</x:v>
      </x:c>
      <x:c r="V1431" s="22" t="n">
        <x:f>IF(U1431="Won",L1431*(1-M1431),0)</x:f>
        <x:v>0</x:v>
      </x:c>
      <x:c r="W1431" s="22" t="n">
        <x:f>IF(U1431="Open",L1431*N1431,0)</x:f>
        <x:v>0</x:v>
      </x:c>
      <x:c r="X1431" s="26" t="n">
        <x:f>IF(U1431="Open","",IFERROR(K1431-B1431,""))</x:f>
        <x:v>12</x:v>
      </x:c>
      <x:c r="Y1431" s="26" t="n">
        <x:f>IF(U1431="Open",Lookups!$B$2-B1431,X1431)</x:f>
        <x:v>12</x:v>
      </x:c>
      <x:c r="Z1431" t="str">
        <x:f>IF(AND(U1431="Open",Y1431&gt;30),"STALE","OK")</x:f>
        <x:v>OK</x:v>
      </x:c>
      <x:c r="AA1431" t="str">
        <x:f>TEXT(B1431,"yyyy-mm")</x:f>
        <x:v>2025-07</x:v>
      </x:c>
      <x:c r="AB1431" t="str">
        <x:f>IF(K1431="","",TEXT(K1431,"yyyy-mm"))</x:f>
        <x:v>2025-08</x:v>
      </x:c>
      <x:c r="AC1431" t="str">
        <x:f>"Q"&amp;ROUNDUP(MONTH(B1431)/3,0)&amp;"-"&amp;YEAR(B1431)</x:f>
        <x:v>Q3-2025</x:v>
      </x:c>
      <x:c r="AD1431" s="26" t="n">
        <x:f>MIN(100,IF(H1431="Enterprise",30,IF(H1431="Mid-Market",22,14))+IF(T1431="Enterprise",25,IF(T1431="Mid-Market",18,10))+IF(Q1431="Referral",25,IF(Q1431="Organic Search",20,IF(Q1431="Email",18,14)))+IF(G1431="Technology",10,5))</x:f>
        <x:v>49</x:v>
      </x:c>
      <x:c r="AE1431" t="str">
        <x:f>IF(U1431&lt;&gt;"Open",U1431,IF(N1431&gt;=0.8,"Commit",IF(N1431&gt;=0.5,"Best Case","Pipeline")))</x:f>
        <x:v>Lost</x:v>
      </x:c>
    </x:row>
    <x:row r="1432">
      <x:c r="A1432" t="str">
        <x:v>L01431</x:v>
      </x:c>
      <x:c r="B1432" s="10" t="n">
        <x:v>45837</x:v>
      </x:c>
      <x:c r="C1432" t="str">
        <x:v>Minh Do</x:v>
      </x:c>
      <x:c r="D1432" t="str">
        <x:v>North</x:v>
      </x:c>
      <x:c r="E1432" t="str">
        <x:v>google cpc</x:v>
      </x:c>
      <x:c r="F1432" t="str">
        <x:v>MKT-AUTO</x:v>
      </x:c>
      <x:c r="G1432" t="str">
        <x:v>Retail</x:v>
      </x:c>
      <x:c r="H1432" t="str">
        <x:v>SMB</x:v>
      </x:c>
      <x:c r="I1432" t="str">
        <x:v>Closed Lost</x:v>
      </x:c>
      <x:c r="J1432" s="10" t="n">
        <x:v>45885</x:v>
      </x:c>
      <x:c r="K1432" s="10" t="n">
        <x:v>45885</x:v>
      </x:c>
      <x:c r="L1432" s="22" t="n">
        <x:v>18200</x:v>
      </x:c>
      <x:c r="M1432" s="24" t="n">
        <x:v>0</x:v>
      </x:c>
      <x:c r="N1432" s="24" t="n">
        <x:v>0</x:v>
      </x:c>
      <x:c r="O1432" t="str">
        <x:v>No Decision</x:v>
      </x:c>
      <x:c r="P1432" t="n">
        <x:v>3</x:v>
      </x:c>
      <x:c r="Q1432" t="str">
        <x:f>IFERROR(XLOOKUP(E1432,Lookups!$A$5:$A$24,Lookups!$B$5:$B$24),"Other")</x:f>
        <x:v>Paid Search</x:v>
      </x:c>
      <x:c r="R1432" t="str">
        <x:f>IFERROR(XLOOKUP(F1432,Lookups!$D$5:$D$10,Lookups!$E$5:$E$10),"Unknown Product")</x:f>
        <x:v>Marketing Automation</x:v>
      </x:c>
      <x:c r="S1432" t="str">
        <x:f>IFERROR(XLOOKUP(F1432,Lookups!$D$5:$D$10,Lookups!$F$5:$F$10),"Unknown")</x:f>
        <x:v>Marketing</x:v>
      </x:c>
      <x:c r="T1432" t="str">
        <x:f>IF(L1432&gt;=50000,"Enterprise",IF(L1432&gt;=20000,"Mid-Market","SMB"))</x:f>
        <x:v>SMB</x:v>
      </x:c>
      <x:c r="U1432" t="str">
        <x:f>IF(I1432="Closed Won","Won",IF(I1432="Closed Lost","Lost","Open"))</x:f>
        <x:v>Lost</x:v>
      </x:c>
      <x:c r="V1432" s="22" t="n">
        <x:f>IF(U1432="Won",L1432*(1-M1432),0)</x:f>
        <x:v>0</x:v>
      </x:c>
      <x:c r="W1432" s="22" t="n">
        <x:f>IF(U1432="Open",L1432*N1432,0)</x:f>
        <x:v>0</x:v>
      </x:c>
      <x:c r="X1432" s="26" t="n">
        <x:f>IF(U1432="Open","",IFERROR(K1432-B1432,""))</x:f>
        <x:v>48</x:v>
      </x:c>
      <x:c r="Y1432" s="26" t="n">
        <x:f>IF(U1432="Open",Lookups!$B$2-B1432,X1432)</x:f>
        <x:v>48</x:v>
      </x:c>
      <x:c r="Z1432" t="str">
        <x:f>IF(AND(U1432="Open",Y1432&gt;30),"STALE","OK")</x:f>
        <x:v>OK</x:v>
      </x:c>
      <x:c r="AA1432" t="str">
        <x:f>TEXT(B1432,"yyyy-mm")</x:f>
        <x:v>2025-06</x:v>
      </x:c>
      <x:c r="AB1432" t="str">
        <x:f>IF(K1432="","",TEXT(K1432,"yyyy-mm"))</x:f>
        <x:v>2025-08</x:v>
      </x:c>
      <x:c r="AC1432" t="str">
        <x:f>"Q"&amp;ROUNDUP(MONTH(B1432)/3,0)&amp;"-"&amp;YEAR(B1432)</x:f>
        <x:v>Q2-2025</x:v>
      </x:c>
      <x:c r="AD1432" s="26" t="n">
        <x:f>MIN(100,IF(H1432="Enterprise",30,IF(H1432="Mid-Market",22,14))+IF(T1432="Enterprise",25,IF(T1432="Mid-Market",18,10))+IF(Q1432="Referral",25,IF(Q1432="Organic Search",20,IF(Q1432="Email",18,14)))+IF(G1432="Technology",10,5))</x:f>
        <x:v>43</x:v>
      </x:c>
      <x:c r="AE1432" t="str">
        <x:f>IF(U1432&lt;&gt;"Open",U1432,IF(N1432&gt;=0.8,"Commit",IF(N1432&gt;=0.5,"Best Case","Pipeline")))</x:f>
        <x:v>Lost</x:v>
      </x:c>
    </x:row>
    <x:row r="1433">
      <x:c r="A1433" t="str">
        <x:v>L01432</x:v>
      </x:c>
      <x:c r="B1433" s="10" t="n">
        <x:v>45934</x:v>
      </x:c>
      <x:c r="C1433" t="str">
        <x:v>Tuan Bui</x:v>
      </x:c>
      <x:c r="D1433" t="str">
        <x:v>Central</x:v>
      </x:c>
      <x:c r="E1433" t="str">
        <x:v>SEO</x:v>
      </x:c>
      <x:c r="F1433" t="str">
        <x:v>CRM-PRO</x:v>
      </x:c>
      <x:c r="G1433" t="str">
        <x:v>Financial Services</x:v>
      </x:c>
      <x:c r="H1433" t="str">
        <x:v>SMB</x:v>
      </x:c>
      <x:c r="I1433" t="str">
        <x:v>Closed Lost</x:v>
      </x:c>
      <x:c r="J1433" s="10" t="n">
        <x:v>45976</x:v>
      </x:c>
      <x:c r="K1433" s="10" t="n">
        <x:v>45976</x:v>
      </x:c>
      <x:c r="L1433" s="22" t="n">
        <x:v>22000</x:v>
      </x:c>
      <x:c r="M1433" s="24" t="n">
        <x:v>0</x:v>
      </x:c>
      <x:c r="N1433" s="24" t="n">
        <x:v>0</x:v>
      </x:c>
      <x:c r="O1433" t="str">
        <x:v>Timing</x:v>
      </x:c>
      <x:c r="P1433" t="n">
        <x:v>4</x:v>
      </x:c>
      <x:c r="Q1433" t="str">
        <x:f>IFERROR(XLOOKUP(E1433,Lookups!$A$5:$A$24,Lookups!$B$5:$B$24),"Other")</x:f>
        <x:v>Organic Search</x:v>
      </x:c>
      <x:c r="R1433" t="str">
        <x:f>IFERROR(XLOOKUP(F1433,Lookups!$D$5:$D$10,Lookups!$E$5:$E$10),"Unknown Product")</x:f>
        <x:v>NexaCRM Pro</x:v>
      </x:c>
      <x:c r="S1433" t="str">
        <x:f>IFERROR(XLOOKUP(F1433,Lookups!$D$5:$D$10,Lookups!$F$5:$F$10),"Unknown")</x:f>
        <x:v>CRM</x:v>
      </x:c>
      <x:c r="T1433" t="str">
        <x:f>IF(L1433&gt;=50000,"Enterprise",IF(L1433&gt;=20000,"Mid-Market","SMB"))</x:f>
        <x:v>Mid-Market</x:v>
      </x:c>
      <x:c r="U1433" t="str">
        <x:f>IF(I1433="Closed Won","Won",IF(I1433="Closed Lost","Lost","Open"))</x:f>
        <x:v>Lost</x:v>
      </x:c>
      <x:c r="V1433" s="22" t="n">
        <x:f>IF(U1433="Won",L1433*(1-M1433),0)</x:f>
        <x:v>0</x:v>
      </x:c>
      <x:c r="W1433" s="22" t="n">
        <x:f>IF(U1433="Open",L1433*N1433,0)</x:f>
        <x:v>0</x:v>
      </x:c>
      <x:c r="X1433" s="26" t="n">
        <x:f>IF(U1433="Open","",IFERROR(K1433-B1433,""))</x:f>
        <x:v>42</x:v>
      </x:c>
      <x:c r="Y1433" s="26" t="n">
        <x:f>IF(U1433="Open",Lookups!$B$2-B1433,X1433)</x:f>
        <x:v>42</x:v>
      </x:c>
      <x:c r="Z1433" t="str">
        <x:f>IF(AND(U1433="Open",Y1433&gt;30),"STALE","OK")</x:f>
        <x:v>OK</x:v>
      </x:c>
      <x:c r="AA1433" t="str">
        <x:f>TEXT(B1433,"yyyy-mm")</x:f>
        <x:v>2025-10</x:v>
      </x:c>
      <x:c r="AB1433" t="str">
        <x:f>IF(K1433="","",TEXT(K1433,"yyyy-mm"))</x:f>
        <x:v>2025-11</x:v>
      </x:c>
      <x:c r="AC1433" t="str">
        <x:f>"Q"&amp;ROUNDUP(MONTH(B1433)/3,0)&amp;"-"&amp;YEAR(B1433)</x:f>
        <x:v>Q4-2025</x:v>
      </x:c>
      <x:c r="AD1433" s="26" t="n">
        <x:f>MIN(100,IF(H1433="Enterprise",30,IF(H1433="Mid-Market",22,14))+IF(T1433="Enterprise",25,IF(T1433="Mid-Market",18,10))+IF(Q1433="Referral",25,IF(Q1433="Organic Search",20,IF(Q1433="Email",18,14)))+IF(G1433="Technology",10,5))</x:f>
        <x:v>57</x:v>
      </x:c>
      <x:c r="AE1433" t="str">
        <x:f>IF(U1433&lt;&gt;"Open",U1433,IF(N1433&gt;=0.8,"Commit",IF(N1433&gt;=0.5,"Best Case","Pipeline")))</x:f>
        <x:v>Lost</x:v>
      </x:c>
    </x:row>
    <x:row r="1434">
      <x:c r="A1434" t="str">
        <x:v>L01433</x:v>
      </x:c>
      <x:c r="B1434" s="10" t="n">
        <x:v>46179</x:v>
      </x:c>
      <x:c r="C1434" t="str">
        <x:v>An Nguyen</x:v>
      </x:c>
      <x:c r="D1434" t="str">
        <x:v>South</x:v>
      </x:c>
      <x:c r="E1434" t="str">
        <x:v>google cpc</x:v>
      </x:c>
      <x:c r="F1434" t="str">
        <x:v>CRM-PRO</x:v>
      </x:c>
      <x:c r="G1434" t="str">
        <x:v>Education</x:v>
      </x:c>
      <x:c r="H1434" t="str">
        <x:v>SMB</x:v>
      </x:c>
      <x:c r="I1434" t="str">
        <x:v>Closed Won</x:v>
      </x:c>
      <x:c r="J1434" s="10" t="n">
        <x:v>46191</x:v>
      </x:c>
      <x:c r="K1434" s="10" t="n">
        <x:v>46191</x:v>
      </x:c>
      <x:c r="L1434" s="22" t="n">
        <x:v>13600</x:v>
      </x:c>
      <x:c r="M1434" s="24" t="n">
        <x:v>0.08</x:v>
      </x:c>
      <x:c r="N1434" s="24" t="n">
        <x:v>1</x:v>
      </x:c>
      <x:c r="O1434" t="str"/>
      <x:c r="P1434" t="n">
        <x:v>6</x:v>
      </x:c>
      <x:c r="Q1434" t="str">
        <x:f>IFERROR(XLOOKUP(E1434,Lookups!$A$5:$A$24,Lookups!$B$5:$B$24),"Other")</x:f>
        <x:v>Paid Search</x:v>
      </x:c>
      <x:c r="R1434" t="str">
        <x:f>IFERROR(XLOOKUP(F1434,Lookups!$D$5:$D$10,Lookups!$E$5:$E$10),"Unknown Product")</x:f>
        <x:v>NexaCRM Pro</x:v>
      </x:c>
      <x:c r="S1434" t="str">
        <x:f>IFERROR(XLOOKUP(F1434,Lookups!$D$5:$D$10,Lookups!$F$5:$F$10),"Unknown")</x:f>
        <x:v>CRM</x:v>
      </x:c>
      <x:c r="T1434" t="str">
        <x:f>IF(L1434&gt;=50000,"Enterprise",IF(L1434&gt;=20000,"Mid-Market","SMB"))</x:f>
        <x:v>SMB</x:v>
      </x:c>
      <x:c r="U1434" t="str">
        <x:f>IF(I1434="Closed Won","Won",IF(I1434="Closed Lost","Lost","Open"))</x:f>
        <x:v>Won</x:v>
      </x:c>
      <x:c r="V1434" s="22" t="n">
        <x:f>IF(U1434="Won",L1434*(1-M1434),0)</x:f>
        <x:v>12512</x:v>
      </x:c>
      <x:c r="W1434" s="22" t="n">
        <x:f>IF(U1434="Open",L1434*N1434,0)</x:f>
        <x:v>0</x:v>
      </x:c>
      <x:c r="X1434" s="26" t="n">
        <x:f>IF(U1434="Open","",IFERROR(K1434-B1434,""))</x:f>
        <x:v>12</x:v>
      </x:c>
      <x:c r="Y1434" s="26" t="n">
        <x:f>IF(U1434="Open",Lookups!$B$2-B1434,X1434)</x:f>
        <x:v>12</x:v>
      </x:c>
      <x:c r="Z1434" t="str">
        <x:f>IF(AND(U1434="Open",Y1434&gt;30),"STALE","OK")</x:f>
        <x:v>OK</x:v>
      </x:c>
      <x:c r="AA1434" t="str">
        <x:f>TEXT(B1434,"yyyy-mm")</x:f>
        <x:v>2026-06</x:v>
      </x:c>
      <x:c r="AB1434" t="str">
        <x:f>IF(K1434="","",TEXT(K1434,"yyyy-mm"))</x:f>
        <x:v>2026-06</x:v>
      </x:c>
      <x:c r="AC1434" t="str">
        <x:f>"Q"&amp;ROUNDUP(MONTH(B1434)/3,0)&amp;"-"&amp;YEAR(B1434)</x:f>
        <x:v>Q2-2026</x:v>
      </x:c>
      <x:c r="AD1434" s="26" t="n">
        <x:f>MIN(100,IF(H1434="Enterprise",30,IF(H1434="Mid-Market",22,14))+IF(T1434="Enterprise",25,IF(T1434="Mid-Market",18,10))+IF(Q1434="Referral",25,IF(Q1434="Organic Search",20,IF(Q1434="Email",18,14)))+IF(G1434="Technology",10,5))</x:f>
        <x:v>43</x:v>
      </x:c>
      <x:c r="AE1434" t="str">
        <x:f>IF(U1434&lt;&gt;"Open",U1434,IF(N1434&gt;=0.8,"Commit",IF(N1434&gt;=0.5,"Best Case","Pipeline")))</x:f>
        <x:v>Won</x:v>
      </x:c>
    </x:row>
    <x:row r="1435">
      <x:c r="A1435" t="str">
        <x:v>L01434</x:v>
      </x:c>
      <x:c r="B1435" s="10" t="n">
        <x:v>46168</x:v>
      </x:c>
      <x:c r="C1435" t="str">
        <x:v>Duy Pham</x:v>
      </x:c>
      <x:c r="D1435" t="str">
        <x:v>South</x:v>
      </x:c>
      <x:c r="E1435" t="str">
        <x:v>Google Organic</x:v>
      </x:c>
      <x:c r="F1435" t="str">
        <x:v>BI-PLUS</x:v>
      </x:c>
      <x:c r="G1435" t="str">
        <x:v>Healthcare</x:v>
      </x:c>
      <x:c r="H1435" t="str">
        <x:v>Mid-Market</x:v>
      </x:c>
      <x:c r="I1435" t="str">
        <x:v>Proposal</x:v>
      </x:c>
      <x:c r="J1435" s="10" t="n">
        <x:v>46248</x:v>
      </x:c>
      <x:c r="K1435" s="10"/>
      <x:c r="L1435" s="22" t="n">
        <x:v>53800</x:v>
      </x:c>
      <x:c r="M1435" s="24" t="n">
        <x:v>0</x:v>
      </x:c>
      <x:c r="N1435" s="24" t="n">
        <x:v>0.65</x:v>
      </x:c>
      <x:c r="O1435" t="str"/>
      <x:c r="P1435" t="n">
        <x:v>4</x:v>
      </x:c>
      <x:c r="Q1435" t="str">
        <x:f>IFERROR(XLOOKUP(E1435,Lookups!$A$5:$A$24,Lookups!$B$5:$B$24),"Other")</x:f>
        <x:v>Organic Search</x:v>
      </x:c>
      <x:c r="R1435" t="str">
        <x:f>IFERROR(XLOOKUP(F1435,Lookups!$D$5:$D$10,Lookups!$E$5:$E$10),"Unknown Product")</x:f>
        <x:v>Analytics Plus</x:v>
      </x:c>
      <x:c r="S1435" t="str">
        <x:f>IFERROR(XLOOKUP(F1435,Lookups!$D$5:$D$10,Lookups!$F$5:$F$10),"Unknown")</x:f>
        <x:v>Analytics</x:v>
      </x:c>
      <x:c r="T1435" t="str">
        <x:f>IF(L1435&gt;=50000,"Enterprise",IF(L1435&gt;=20000,"Mid-Market","SMB"))</x:f>
        <x:v>Enterprise</x:v>
      </x:c>
      <x:c r="U1435" t="str">
        <x:f>IF(I1435="Closed Won","Won",IF(I1435="Closed Lost","Lost","Open"))</x:f>
        <x:v>Open</x:v>
      </x:c>
      <x:c r="V1435" s="22" t="n">
        <x:f>IF(U1435="Won",L1435*(1-M1435),0)</x:f>
        <x:v>0</x:v>
      </x:c>
      <x:c r="W1435" s="22" t="n">
        <x:f>IF(U1435="Open",L1435*N1435,0)</x:f>
        <x:v>34970</x:v>
      </x:c>
      <x:c r="X1435" s="26" t="str">
        <x:f>IF(U1435="Open","",IFERROR(K1435-B1435,""))</x:f>
      </x:c>
      <x:c r="Y1435" s="26" t="n">
        <x:f>IF(U1435="Open",Lookups!$B$2-B1435,X1435)</x:f>
        <x:v>98</x:v>
      </x:c>
      <x:c r="Z1435" t="str">
        <x:f>IF(AND(U1435="Open",Y1435&gt;30),"STALE","OK")</x:f>
        <x:v>STALE</x:v>
      </x:c>
      <x:c r="AA1435" t="str">
        <x:f>TEXT(B1435,"yyyy-mm")</x:f>
        <x:v>2026-05</x:v>
      </x:c>
      <x:c r="AB1435" t="str">
        <x:f>IF(K1435="","",TEXT(K1435,"yyyy-mm"))</x:f>
      </x:c>
      <x:c r="AC1435" t="str">
        <x:f>"Q"&amp;ROUNDUP(MONTH(B1435)/3,0)&amp;"-"&amp;YEAR(B1435)</x:f>
        <x:v>Q2-2026</x:v>
      </x:c>
      <x:c r="AD1435" s="26" t="n">
        <x:f>MIN(100,IF(H1435="Enterprise",30,IF(H1435="Mid-Market",22,14))+IF(T1435="Enterprise",25,IF(T1435="Mid-Market",18,10))+IF(Q1435="Referral",25,IF(Q1435="Organic Search",20,IF(Q1435="Email",18,14)))+IF(G1435="Technology",10,5))</x:f>
        <x:v>72</x:v>
      </x:c>
      <x:c r="AE1435" t="str">
        <x:f>IF(U1435&lt;&gt;"Open",U1435,IF(N1435&gt;=0.8,"Commit",IF(N1435&gt;=0.5,"Best Case","Pipeline")))</x:f>
        <x:v>Best Case</x:v>
      </x:c>
    </x:row>
    <x:row r="1436">
      <x:c r="A1436" t="str">
        <x:v>L01435</x:v>
      </x:c>
      <x:c r="B1436" s="10" t="n">
        <x:v>45877</x:v>
      </x:c>
      <x:c r="C1436" t="str">
        <x:v>Duy Pham</x:v>
      </x:c>
      <x:c r="D1436" t="str">
        <x:v>South</x:v>
      </x:c>
      <x:c r="E1436" t="str">
        <x:v>Google Organic</x:v>
      </x:c>
      <x:c r="F1436" t="str">
        <x:v>CRM-CORE</x:v>
      </x:c>
      <x:c r="G1436" t="str">
        <x:v>Retail</x:v>
      </x:c>
      <x:c r="H1436" t="str">
        <x:v>Mid-Market</x:v>
      </x:c>
      <x:c r="I1436" t="str">
        <x:v>Negotiation</x:v>
      </x:c>
      <x:c r="J1436" s="10" t="n">
        <x:v>46176</x:v>
      </x:c>
      <x:c r="K1436" s="10"/>
      <x:c r="L1436" s="22" t="n">
        <x:v>17800</x:v>
      </x:c>
      <x:c r="M1436" s="24" t="n">
        <x:v>0</x:v>
      </x:c>
      <x:c r="N1436" s="24" t="n">
        <x:v>0.85</x:v>
      </x:c>
      <x:c r="O1436" t="str"/>
      <x:c r="P1436" t="n">
        <x:v>5</x:v>
      </x:c>
      <x:c r="Q1436" t="str">
        <x:f>IFERROR(XLOOKUP(E1436,Lookups!$A$5:$A$24,Lookups!$B$5:$B$24),"Other")</x:f>
        <x:v>Organic Search</x:v>
      </x:c>
      <x:c r="R1436" t="str">
        <x:f>IFERROR(XLOOKUP(F1436,Lookups!$D$5:$D$10,Lookups!$E$5:$E$10),"Unknown Product")</x:f>
        <x:v>NexaCRM Core</x:v>
      </x:c>
      <x:c r="S1436" t="str">
        <x:f>IFERROR(XLOOKUP(F1436,Lookups!$D$5:$D$10,Lookups!$F$5:$F$10),"Unknown")</x:f>
        <x:v>CRM</x:v>
      </x:c>
      <x:c r="T1436" t="str">
        <x:f>IF(L1436&gt;=50000,"Enterprise",IF(L1436&gt;=20000,"Mid-Market","SMB"))</x:f>
        <x:v>SMB</x:v>
      </x:c>
      <x:c r="U1436" t="str">
        <x:f>IF(I1436="Closed Won","Won",IF(I1436="Closed Lost","Lost","Open"))</x:f>
        <x:v>Open</x:v>
      </x:c>
      <x:c r="V1436" s="22" t="n">
        <x:f>IF(U1436="Won",L1436*(1-M1436),0)</x:f>
        <x:v>0</x:v>
      </x:c>
      <x:c r="W1436" s="22" t="n">
        <x:f>IF(U1436="Open",L1436*N1436,0)</x:f>
        <x:v>15130</x:v>
      </x:c>
      <x:c r="X1436" s="26" t="str">
        <x:f>IF(U1436="Open","",IFERROR(K1436-B1436,""))</x:f>
      </x:c>
      <x:c r="Y1436" s="26" t="n">
        <x:f>IF(U1436="Open",Lookups!$B$2-B1436,X1436)</x:f>
        <x:v>389</x:v>
      </x:c>
      <x:c r="Z1436" t="str">
        <x:f>IF(AND(U1436="Open",Y1436&gt;30),"STALE","OK")</x:f>
        <x:v>STALE</x:v>
      </x:c>
      <x:c r="AA1436" t="str">
        <x:f>TEXT(B1436,"yyyy-mm")</x:f>
        <x:v>2025-08</x:v>
      </x:c>
      <x:c r="AB1436" t="str">
        <x:f>IF(K1436="","",TEXT(K1436,"yyyy-mm"))</x:f>
      </x:c>
      <x:c r="AC1436" t="str">
        <x:f>"Q"&amp;ROUNDUP(MONTH(B1436)/3,0)&amp;"-"&amp;YEAR(B1436)</x:f>
        <x:v>Q3-2025</x:v>
      </x:c>
      <x:c r="AD1436" s="26" t="n">
        <x:f>MIN(100,IF(H1436="Enterprise",30,IF(H1436="Mid-Market",22,14))+IF(T1436="Enterprise",25,IF(T1436="Mid-Market",18,10))+IF(Q1436="Referral",25,IF(Q1436="Organic Search",20,IF(Q1436="Email",18,14)))+IF(G1436="Technology",10,5))</x:f>
        <x:v>57</x:v>
      </x:c>
      <x:c r="AE1436" t="str">
        <x:f>IF(U1436&lt;&gt;"Open",U1436,IF(N1436&gt;=0.8,"Commit",IF(N1436&gt;=0.5,"Best Case","Pipeline")))</x:f>
        <x:v>Commit</x:v>
      </x:c>
    </x:row>
    <x:row r="1437">
      <x:c r="A1437" t="str">
        <x:v>L01436</x:v>
      </x:c>
      <x:c r="B1437" s="10" t="n">
        <x:v>45959</x:v>
      </x:c>
      <x:c r="C1437" t="str">
        <x:v>Quynh Vu</x:v>
      </x:c>
      <x:c r="D1437" t="str">
        <x:v>North</x:v>
      </x:c>
      <x:c r="E1437" t="str">
        <x:v>Outbound</x:v>
      </x:c>
      <x:c r="F1437" t="str">
        <x:v>CRM-CORE</x:v>
      </x:c>
      <x:c r="G1437" t="str">
        <x:v>Professional Services</x:v>
      </x:c>
      <x:c r="H1437" t="str">
        <x:v>Mid-Market</x:v>
      </x:c>
      <x:c r="I1437" t="str">
        <x:v>Closed Won</x:v>
      </x:c>
      <x:c r="J1437" s="10" t="n">
        <x:v>46002</x:v>
      </x:c>
      <x:c r="K1437" s="10" t="n">
        <x:v>46002</x:v>
      </x:c>
      <x:c r="L1437" s="22" t="n">
        <x:v>11300</x:v>
      </x:c>
      <x:c r="M1437" s="24" t="n">
        <x:v>0.08</x:v>
      </x:c>
      <x:c r="N1437" s="24" t="n">
        <x:v>1</x:v>
      </x:c>
      <x:c r="O1437" t="str"/>
      <x:c r="P1437" t="n">
        <x:v>6</x:v>
      </x:c>
      <x:c r="Q1437" t="str">
        <x:f>IFERROR(XLOOKUP(E1437,Lookups!$A$5:$A$24,Lookups!$B$5:$B$24),"Other")</x:f>
        <x:v>Outbound</x:v>
      </x:c>
      <x:c r="R1437" t="str">
        <x:f>IFERROR(XLOOKUP(F1437,Lookups!$D$5:$D$10,Lookups!$E$5:$E$10),"Unknown Product")</x:f>
        <x:v>NexaCRM Core</x:v>
      </x:c>
      <x:c r="S1437" t="str">
        <x:f>IFERROR(XLOOKUP(F1437,Lookups!$D$5:$D$10,Lookups!$F$5:$F$10),"Unknown")</x:f>
        <x:v>CRM</x:v>
      </x:c>
      <x:c r="T1437" t="str">
        <x:f>IF(L1437&gt;=50000,"Enterprise",IF(L1437&gt;=20000,"Mid-Market","SMB"))</x:f>
        <x:v>SMB</x:v>
      </x:c>
      <x:c r="U1437" t="str">
        <x:f>IF(I1437="Closed Won","Won",IF(I1437="Closed Lost","Lost","Open"))</x:f>
        <x:v>Won</x:v>
      </x:c>
      <x:c r="V1437" s="22" t="n">
        <x:f>IF(U1437="Won",L1437*(1-M1437),0)</x:f>
        <x:v>10396</x:v>
      </x:c>
      <x:c r="W1437" s="22" t="n">
        <x:f>IF(U1437="Open",L1437*N1437,0)</x:f>
        <x:v>0</x:v>
      </x:c>
      <x:c r="X1437" s="26" t="n">
        <x:f>IF(U1437="Open","",IFERROR(K1437-B1437,""))</x:f>
        <x:v>43</x:v>
      </x:c>
      <x:c r="Y1437" s="26" t="n">
        <x:f>IF(U1437="Open",Lookups!$B$2-B1437,X1437)</x:f>
        <x:v>43</x:v>
      </x:c>
      <x:c r="Z1437" t="str">
        <x:f>IF(AND(U1437="Open",Y1437&gt;30),"STALE","OK")</x:f>
        <x:v>OK</x:v>
      </x:c>
      <x:c r="AA1437" t="str">
        <x:f>TEXT(B1437,"yyyy-mm")</x:f>
        <x:v>2025-10</x:v>
      </x:c>
      <x:c r="AB1437" t="str">
        <x:f>IF(K1437="","",TEXT(K1437,"yyyy-mm"))</x:f>
        <x:v>2025-12</x:v>
      </x:c>
      <x:c r="AC1437" t="str">
        <x:f>"Q"&amp;ROUNDUP(MONTH(B1437)/3,0)&amp;"-"&amp;YEAR(B1437)</x:f>
        <x:v>Q4-2025</x:v>
      </x:c>
      <x:c r="AD1437" s="26" t="n">
        <x:f>MIN(100,IF(H1437="Enterprise",30,IF(H1437="Mid-Market",22,14))+IF(T1437="Enterprise",25,IF(T1437="Mid-Market",18,10))+IF(Q1437="Referral",25,IF(Q1437="Organic Search",20,IF(Q1437="Email",18,14)))+IF(G1437="Technology",10,5))</x:f>
        <x:v>51</x:v>
      </x:c>
      <x:c r="AE1437" t="str">
        <x:f>IF(U1437&lt;&gt;"Open",U1437,IF(N1437&gt;=0.8,"Commit",IF(N1437&gt;=0.5,"Best Case","Pipeline")))</x:f>
        <x:v>Won</x:v>
      </x:c>
    </x:row>
    <x:row r="1438">
      <x:c r="A1438" t="str">
        <x:v>L01437</x:v>
      </x:c>
      <x:c r="B1438" s="10" t="n">
        <x:v>45917</x:v>
      </x:c>
      <x:c r="C1438" t="str">
        <x:v>Duy Pham</x:v>
      </x:c>
      <x:c r="D1438" t="str">
        <x:v>South</x:v>
      </x:c>
      <x:c r="E1438" t="str">
        <x:v>Outbound</x:v>
      </x:c>
      <x:c r="F1438" t="str">
        <x:v>CRM-PRO</x:v>
      </x:c>
      <x:c r="G1438" t="str">
        <x:v>Education</x:v>
      </x:c>
      <x:c r="H1438" t="str">
        <x:v>Mid-Market</x:v>
      </x:c>
      <x:c r="I1438" t="str">
        <x:v>Closed Lost</x:v>
      </x:c>
      <x:c r="J1438" s="10" t="n">
        <x:v>45986</x:v>
      </x:c>
      <x:c r="K1438" s="10" t="n">
        <x:v>45986</x:v>
      </x:c>
      <x:c r="L1438" s="22" t="n">
        <x:v>21400</x:v>
      </x:c>
      <x:c r="M1438" s="24" t="n">
        <x:v>0</x:v>
      </x:c>
      <x:c r="N1438" s="24" t="n">
        <x:v>0</x:v>
      </x:c>
      <x:c r="O1438" t="str">
        <x:v>Timing</x:v>
      </x:c>
      <x:c r="P1438" t="n">
        <x:v>4</x:v>
      </x:c>
      <x:c r="Q1438" t="str">
        <x:f>IFERROR(XLOOKUP(E1438,Lookups!$A$5:$A$24,Lookups!$B$5:$B$24),"Other")</x:f>
        <x:v>Outbound</x:v>
      </x:c>
      <x:c r="R1438" t="str">
        <x:f>IFERROR(XLOOKUP(F1438,Lookups!$D$5:$D$10,Lookups!$E$5:$E$10),"Unknown Product")</x:f>
        <x:v>NexaCRM Pro</x:v>
      </x:c>
      <x:c r="S1438" t="str">
        <x:f>IFERROR(XLOOKUP(F1438,Lookups!$D$5:$D$10,Lookups!$F$5:$F$10),"Unknown")</x:f>
        <x:v>CRM</x:v>
      </x:c>
      <x:c r="T1438" t="str">
        <x:f>IF(L1438&gt;=50000,"Enterprise",IF(L1438&gt;=20000,"Mid-Market","SMB"))</x:f>
        <x:v>Mid-Market</x:v>
      </x:c>
      <x:c r="U1438" t="str">
        <x:f>IF(I1438="Closed Won","Won",IF(I1438="Closed Lost","Lost","Open"))</x:f>
        <x:v>Lost</x:v>
      </x:c>
      <x:c r="V1438" s="22" t="n">
        <x:f>IF(U1438="Won",L1438*(1-M1438),0)</x:f>
        <x:v>0</x:v>
      </x:c>
      <x:c r="W1438" s="22" t="n">
        <x:f>IF(U1438="Open",L1438*N1438,0)</x:f>
        <x:v>0</x:v>
      </x:c>
      <x:c r="X1438" s="26" t="n">
        <x:f>IF(U1438="Open","",IFERROR(K1438-B1438,""))</x:f>
        <x:v>69</x:v>
      </x:c>
      <x:c r="Y1438" s="26" t="n">
        <x:f>IF(U1438="Open",Lookups!$B$2-B1438,X1438)</x:f>
        <x:v>69</x:v>
      </x:c>
      <x:c r="Z1438" t="str">
        <x:f>IF(AND(U1438="Open",Y1438&gt;30),"STALE","OK")</x:f>
        <x:v>OK</x:v>
      </x:c>
      <x:c r="AA1438" t="str">
        <x:f>TEXT(B1438,"yyyy-mm")</x:f>
        <x:v>2025-09</x:v>
      </x:c>
      <x:c r="AB1438" t="str">
        <x:f>IF(K1438="","",TEXT(K1438,"yyyy-mm"))</x:f>
        <x:v>2025-11</x:v>
      </x:c>
      <x:c r="AC1438" t="str">
        <x:f>"Q"&amp;ROUNDUP(MONTH(B1438)/3,0)&amp;"-"&amp;YEAR(B1438)</x:f>
        <x:v>Q3-2025</x:v>
      </x:c>
      <x:c r="AD1438" s="26" t="n">
        <x:f>MIN(100,IF(H1438="Enterprise",30,IF(H1438="Mid-Market",22,14))+IF(T1438="Enterprise",25,IF(T1438="Mid-Market",18,10))+IF(Q1438="Referral",25,IF(Q1438="Organic Search",20,IF(Q1438="Email",18,14)))+IF(G1438="Technology",10,5))</x:f>
        <x:v>59</x:v>
      </x:c>
      <x:c r="AE1438" t="str">
        <x:f>IF(U1438&lt;&gt;"Open",U1438,IF(N1438&gt;=0.8,"Commit",IF(N1438&gt;=0.5,"Best Case","Pipeline")))</x:f>
        <x:v>Lost</x:v>
      </x:c>
    </x:row>
    <x:row r="1439">
      <x:c r="A1439" t="str">
        <x:v>L01438</x:v>
      </x:c>
      <x:c r="B1439" s="10" t="n">
        <x:v>45954</x:v>
      </x:c>
      <x:c r="C1439" t="str">
        <x:v>Quynh Vu</x:v>
      </x:c>
      <x:c r="D1439" t="str">
        <x:v>North</x:v>
      </x:c>
      <x:c r="E1439" t="str">
        <x:v>linkedin</x:v>
      </x:c>
      <x:c r="F1439" t="str">
        <x:v>REV-OPS</x:v>
      </x:c>
      <x:c r="G1439" t="str">
        <x:v>Professional Services</x:v>
      </x:c>
      <x:c r="H1439" t="str">
        <x:v>SMB</x:v>
      </x:c>
      <x:c r="I1439" t="str">
        <x:v>Closed Lost</x:v>
      </x:c>
      <x:c r="J1439" s="10" t="n">
        <x:v>45980</x:v>
      </x:c>
      <x:c r="K1439" s="10" t="n">
        <x:v>45980</x:v>
      </x:c>
      <x:c r="L1439" s="22" t="n">
        <x:v>25300</x:v>
      </x:c>
      <x:c r="M1439" s="24" t="n">
        <x:v>0</x:v>
      </x:c>
      <x:c r="N1439" s="24" t="n">
        <x:v>0</x:v>
      </x:c>
      <x:c r="O1439" t="str">
        <x:v>No Decision</x:v>
      </x:c>
      <x:c r="P1439" t="n">
        <x:v>2</x:v>
      </x:c>
      <x:c r="Q1439" t="str">
        <x:f>IFERROR(XLOOKUP(E1439,Lookups!$A$5:$A$24,Lookups!$B$5:$B$24),"Other")</x:f>
        <x:v>LinkedIn</x:v>
      </x:c>
      <x:c r="R1439" t="str">
        <x:f>IFERROR(XLOOKUP(F1439,Lookups!$D$5:$D$10,Lookups!$E$5:$E$10),"Unknown Product")</x:f>
        <x:v>Revenue Operations Suite</x:v>
      </x:c>
      <x:c r="S1439" t="str">
        <x:f>IFERROR(XLOOKUP(F1439,Lookups!$D$5:$D$10,Lookups!$F$5:$F$10),"Unknown")</x:f>
        <x:v>Revenue Ops</x:v>
      </x:c>
      <x:c r="T1439" t="str">
        <x:f>IF(L1439&gt;=50000,"Enterprise",IF(L1439&gt;=20000,"Mid-Market","SMB"))</x:f>
        <x:v>Mid-Market</x:v>
      </x:c>
      <x:c r="U1439" t="str">
        <x:f>IF(I1439="Closed Won","Won",IF(I1439="Closed Lost","Lost","Open"))</x:f>
        <x:v>Lost</x:v>
      </x:c>
      <x:c r="V1439" s="22" t="n">
        <x:f>IF(U1439="Won",L1439*(1-M1439),0)</x:f>
        <x:v>0</x:v>
      </x:c>
      <x:c r="W1439" s="22" t="n">
        <x:f>IF(U1439="Open",L1439*N1439,0)</x:f>
        <x:v>0</x:v>
      </x:c>
      <x:c r="X1439" s="26" t="n">
        <x:f>IF(U1439="Open","",IFERROR(K1439-B1439,""))</x:f>
        <x:v>26</x:v>
      </x:c>
      <x:c r="Y1439" s="26" t="n">
        <x:f>IF(U1439="Open",Lookups!$B$2-B1439,X1439)</x:f>
        <x:v>26</x:v>
      </x:c>
      <x:c r="Z1439" t="str">
        <x:f>IF(AND(U1439="Open",Y1439&gt;30),"STALE","OK")</x:f>
        <x:v>OK</x:v>
      </x:c>
      <x:c r="AA1439" t="str">
        <x:f>TEXT(B1439,"yyyy-mm")</x:f>
        <x:v>2025-10</x:v>
      </x:c>
      <x:c r="AB1439" t="str">
        <x:f>IF(K1439="","",TEXT(K1439,"yyyy-mm"))</x:f>
        <x:v>2025-11</x:v>
      </x:c>
      <x:c r="AC1439" t="str">
        <x:f>"Q"&amp;ROUNDUP(MONTH(B1439)/3,0)&amp;"-"&amp;YEAR(B1439)</x:f>
        <x:v>Q4-2025</x:v>
      </x:c>
      <x:c r="AD1439" s="26" t="n">
        <x:f>MIN(100,IF(H1439="Enterprise",30,IF(H1439="Mid-Market",22,14))+IF(T1439="Enterprise",25,IF(T1439="Mid-Market",18,10))+IF(Q1439="Referral",25,IF(Q1439="Organic Search",20,IF(Q1439="Email",18,14)))+IF(G1439="Technology",10,5))</x:f>
        <x:v>51</x:v>
      </x:c>
      <x:c r="AE1439" t="str">
        <x:f>IF(U1439&lt;&gt;"Open",U1439,IF(N1439&gt;=0.8,"Commit",IF(N1439&gt;=0.5,"Best Case","Pipeline")))</x:f>
        <x:v>Lost</x:v>
      </x:c>
    </x:row>
    <x:row r="1440">
      <x:c r="A1440" t="str">
        <x:v>L01439</x:v>
      </x:c>
      <x:c r="B1440" s="10" t="n">
        <x:v>46065</x:v>
      </x:c>
      <x:c r="C1440" t="str">
        <x:v>Ha Vo</x:v>
      </x:c>
      <x:c r="D1440" t="str">
        <x:v>North</x:v>
      </x:c>
      <x:c r="E1440" t="str">
        <x:v>google cpc</x:v>
      </x:c>
      <x:c r="F1440" t="str">
        <x:v>CRM-PRO</x:v>
      </x:c>
      <x:c r="G1440" t="str">
        <x:v>Professional Services</x:v>
      </x:c>
      <x:c r="H1440" t="str">
        <x:v>SMB</x:v>
      </x:c>
      <x:c r="I1440" t="str">
        <x:v>Closed Won</x:v>
      </x:c>
      <x:c r="J1440" s="10" t="n">
        <x:v>46077</x:v>
      </x:c>
      <x:c r="K1440" s="10" t="n">
        <x:v>46077</x:v>
      </x:c>
      <x:c r="L1440" s="22" t="n">
        <x:v>14800</x:v>
      </x:c>
      <x:c r="M1440" s="24" t="n">
        <x:v>0</x:v>
      </x:c>
      <x:c r="N1440" s="24" t="n">
        <x:v>1</x:v>
      </x:c>
      <x:c r="O1440" t="str"/>
      <x:c r="P1440" t="n">
        <x:v>6</x:v>
      </x:c>
      <x:c r="Q1440" t="str">
        <x:f>IFERROR(XLOOKUP(E1440,Lookups!$A$5:$A$24,Lookups!$B$5:$B$24),"Other")</x:f>
        <x:v>Paid Search</x:v>
      </x:c>
      <x:c r="R1440" t="str">
        <x:f>IFERROR(XLOOKUP(F1440,Lookups!$D$5:$D$10,Lookups!$E$5:$E$10),"Unknown Product")</x:f>
        <x:v>NexaCRM Pro</x:v>
      </x:c>
      <x:c r="S1440" t="str">
        <x:f>IFERROR(XLOOKUP(F1440,Lookups!$D$5:$D$10,Lookups!$F$5:$F$10),"Unknown")</x:f>
        <x:v>CRM</x:v>
      </x:c>
      <x:c r="T1440" t="str">
        <x:f>IF(L1440&gt;=50000,"Enterprise",IF(L1440&gt;=20000,"Mid-Market","SMB"))</x:f>
        <x:v>SMB</x:v>
      </x:c>
      <x:c r="U1440" t="str">
        <x:f>IF(I1440="Closed Won","Won",IF(I1440="Closed Lost","Lost","Open"))</x:f>
        <x:v>Won</x:v>
      </x:c>
      <x:c r="V1440" s="22" t="n">
        <x:f>IF(U1440="Won",L1440*(1-M1440),0)</x:f>
        <x:v>14800</x:v>
      </x:c>
      <x:c r="W1440" s="22" t="n">
        <x:f>IF(U1440="Open",L1440*N1440,0)</x:f>
        <x:v>0</x:v>
      </x:c>
      <x:c r="X1440" s="26" t="n">
        <x:f>IF(U1440="Open","",IFERROR(K1440-B1440,""))</x:f>
        <x:v>12</x:v>
      </x:c>
      <x:c r="Y1440" s="26" t="n">
        <x:f>IF(U1440="Open",Lookups!$B$2-B1440,X1440)</x:f>
        <x:v>12</x:v>
      </x:c>
      <x:c r="Z1440" t="str">
        <x:f>IF(AND(U1440="Open",Y1440&gt;30),"STALE","OK")</x:f>
        <x:v>OK</x:v>
      </x:c>
      <x:c r="AA1440" t="str">
        <x:f>TEXT(B1440,"yyyy-mm")</x:f>
        <x:v>2026-02</x:v>
      </x:c>
      <x:c r="AB1440" t="str">
        <x:f>IF(K1440="","",TEXT(K1440,"yyyy-mm"))</x:f>
        <x:v>2026-02</x:v>
      </x:c>
      <x:c r="AC1440" t="str">
        <x:f>"Q"&amp;ROUNDUP(MONTH(B1440)/3,0)&amp;"-"&amp;YEAR(B1440)</x:f>
        <x:v>Q1-2026</x:v>
      </x:c>
      <x:c r="AD1440" s="26" t="n">
        <x:f>MIN(100,IF(H1440="Enterprise",30,IF(H1440="Mid-Market",22,14))+IF(T1440="Enterprise",25,IF(T1440="Mid-Market",18,10))+IF(Q1440="Referral",25,IF(Q1440="Organic Search",20,IF(Q1440="Email",18,14)))+IF(G1440="Technology",10,5))</x:f>
        <x:v>43</x:v>
      </x:c>
      <x:c r="AE1440" t="str">
        <x:f>IF(U1440&lt;&gt;"Open",U1440,IF(N1440&gt;=0.8,"Commit",IF(N1440&gt;=0.5,"Best Case","Pipeline")))</x:f>
        <x:v>Won</x:v>
      </x:c>
    </x:row>
    <x:row r="1441">
      <x:c r="A1441" t="str">
        <x:v>L01440</x:v>
      </x:c>
      <x:c r="B1441" s="10" t="n">
        <x:v>45979</x:v>
      </x:c>
      <x:c r="C1441" t="str">
        <x:v>Ha Vo</x:v>
      </x:c>
      <x:c r="D1441" t="str">
        <x:v>North</x:v>
      </x:c>
      <x:c r="E1441" t="str">
        <x:v>LinkedIn Ads</x:v>
      </x:c>
      <x:c r="F1441" t="str">
        <x:v>CRM-CORE</x:v>
      </x:c>
      <x:c r="G1441" t="str">
        <x:v>Education</x:v>
      </x:c>
      <x:c r="H1441" t="str">
        <x:v>Enterprise</x:v>
      </x:c>
      <x:c r="I1441" t="str">
        <x:v>Closed Won</x:v>
      </x:c>
      <x:c r="J1441" s="10" t="n">
        <x:v>46058</x:v>
      </x:c>
      <x:c r="K1441" s="10" t="n">
        <x:v>46058</x:v>
      </x:c>
      <x:c r="L1441" s="22" t="n">
        <x:v>30100</x:v>
      </x:c>
      <x:c r="M1441" s="24" t="n">
        <x:v>0</x:v>
      </x:c>
      <x:c r="N1441" s="24" t="n">
        <x:v>1</x:v>
      </x:c>
      <x:c r="O1441" t="str"/>
      <x:c r="P1441" t="n">
        <x:v>6</x:v>
      </x:c>
      <x:c r="Q1441" t="str">
        <x:f>IFERROR(XLOOKUP(E1441,Lookups!$A$5:$A$24,Lookups!$B$5:$B$24),"Other")</x:f>
        <x:v>LinkedIn</x:v>
      </x:c>
      <x:c r="R1441" t="str">
        <x:f>IFERROR(XLOOKUP(F1441,Lookups!$D$5:$D$10,Lookups!$E$5:$E$10),"Unknown Product")</x:f>
        <x:v>NexaCRM Core</x:v>
      </x:c>
      <x:c r="S1441" t="str">
        <x:f>IFERROR(XLOOKUP(F1441,Lookups!$D$5:$D$10,Lookups!$F$5:$F$10),"Unknown")</x:f>
        <x:v>CRM</x:v>
      </x:c>
      <x:c r="T1441" t="str">
        <x:f>IF(L1441&gt;=50000,"Enterprise",IF(L1441&gt;=20000,"Mid-Market","SMB"))</x:f>
        <x:v>Mid-Market</x:v>
      </x:c>
      <x:c r="U1441" t="str">
        <x:f>IF(I1441="Closed Won","Won",IF(I1441="Closed Lost","Lost","Open"))</x:f>
        <x:v>Won</x:v>
      </x:c>
      <x:c r="V1441" s="22" t="n">
        <x:f>IF(U1441="Won",L1441*(1-M1441),0)</x:f>
        <x:v>30100</x:v>
      </x:c>
      <x:c r="W1441" s="22" t="n">
        <x:f>IF(U1441="Open",L1441*N1441,0)</x:f>
        <x:v>0</x:v>
      </x:c>
      <x:c r="X1441" s="26" t="n">
        <x:f>IF(U1441="Open","",IFERROR(K1441-B1441,""))</x:f>
        <x:v>79</x:v>
      </x:c>
      <x:c r="Y1441" s="26" t="n">
        <x:f>IF(U1441="Open",Lookups!$B$2-B1441,X1441)</x:f>
        <x:v>79</x:v>
      </x:c>
      <x:c r="Z1441" t="str">
        <x:f>IF(AND(U1441="Open",Y1441&gt;30),"STALE","OK")</x:f>
        <x:v>OK</x:v>
      </x:c>
      <x:c r="AA1441" t="str">
        <x:f>TEXT(B1441,"yyyy-mm")</x:f>
        <x:v>2025-11</x:v>
      </x:c>
      <x:c r="AB1441" t="str">
        <x:f>IF(K1441="","",TEXT(K1441,"yyyy-mm"))</x:f>
        <x:v>2026-02</x:v>
      </x:c>
      <x:c r="AC1441" t="str">
        <x:f>"Q"&amp;ROUNDUP(MONTH(B1441)/3,0)&amp;"-"&amp;YEAR(B1441)</x:f>
        <x:v>Q4-2025</x:v>
      </x:c>
      <x:c r="AD1441" s="26" t="n">
        <x:f>MIN(100,IF(H1441="Enterprise",30,IF(H1441="Mid-Market",22,14))+IF(T1441="Enterprise",25,IF(T1441="Mid-Market",18,10))+IF(Q1441="Referral",25,IF(Q1441="Organic Search",20,IF(Q1441="Email",18,14)))+IF(G1441="Technology",10,5))</x:f>
        <x:v>67</x:v>
      </x:c>
      <x:c r="AE1441" t="str">
        <x:f>IF(U1441&lt;&gt;"Open",U1441,IF(N1441&gt;=0.8,"Commit",IF(N1441&gt;=0.5,"Best Case","Pipeline")))</x:f>
        <x:v>Won</x:v>
      </x:c>
    </x:row>
    <x:row r="1442">
      <x:c r="A1442" t="str">
        <x:v>L01441</x:v>
      </x:c>
      <x:c r="B1442" s="10" t="n">
        <x:v>45705</x:v>
      </x:c>
      <x:c r="C1442" t="str">
        <x:v>Quynh Vu</x:v>
      </x:c>
      <x:c r="D1442" t="str">
        <x:v>North</x:v>
      </x:c>
      <x:c r="E1442" t="str">
        <x:v>organic search</x:v>
      </x:c>
      <x:c r="F1442" t="str">
        <x:v>CRM-PRO</x:v>
      </x:c>
      <x:c r="G1442" t="str">
        <x:v>Technology</x:v>
      </x:c>
      <x:c r="H1442" t="str">
        <x:v>Mid-Market</x:v>
      </x:c>
      <x:c r="I1442" t="str">
        <x:v>Closed Lost</x:v>
      </x:c>
      <x:c r="J1442" s="10" t="n">
        <x:v>45727</x:v>
      </x:c>
      <x:c r="K1442" s="10" t="n">
        <x:v>45727</x:v>
      </x:c>
      <x:c r="L1442" s="22" t="n">
        <x:v>43200</x:v>
      </x:c>
      <x:c r="M1442" s="24" t="n">
        <x:v>0</x:v>
      </x:c>
      <x:c r="N1442" s="24" t="n">
        <x:v>0</x:v>
      </x:c>
      <x:c r="O1442" t="str">
        <x:v>Budget</x:v>
      </x:c>
      <x:c r="P1442" t="n">
        <x:v>5</x:v>
      </x:c>
      <x:c r="Q1442" t="str">
        <x:f>IFERROR(XLOOKUP(E1442,Lookups!$A$5:$A$24,Lookups!$B$5:$B$24),"Other")</x:f>
        <x:v>Organic Search</x:v>
      </x:c>
      <x:c r="R1442" t="str">
        <x:f>IFERROR(XLOOKUP(F1442,Lookups!$D$5:$D$10,Lookups!$E$5:$E$10),"Unknown Product")</x:f>
        <x:v>NexaCRM Pro</x:v>
      </x:c>
      <x:c r="S1442" t="str">
        <x:f>IFERROR(XLOOKUP(F1442,Lookups!$D$5:$D$10,Lookups!$F$5:$F$10),"Unknown")</x:f>
        <x:v>CRM</x:v>
      </x:c>
      <x:c r="T1442" t="str">
        <x:f>IF(L1442&gt;=50000,"Enterprise",IF(L1442&gt;=20000,"Mid-Market","SMB"))</x:f>
        <x:v>Mid-Market</x:v>
      </x:c>
      <x:c r="U1442" t="str">
        <x:f>IF(I1442="Closed Won","Won",IF(I1442="Closed Lost","Lost","Open"))</x:f>
        <x:v>Lost</x:v>
      </x:c>
      <x:c r="V1442" s="22" t="n">
        <x:f>IF(U1442="Won",L1442*(1-M1442),0)</x:f>
        <x:v>0</x:v>
      </x:c>
      <x:c r="W1442" s="22" t="n">
        <x:f>IF(U1442="Open",L1442*N1442,0)</x:f>
        <x:v>0</x:v>
      </x:c>
      <x:c r="X1442" s="26" t="n">
        <x:f>IF(U1442="Open","",IFERROR(K1442-B1442,""))</x:f>
        <x:v>22</x:v>
      </x:c>
      <x:c r="Y1442" s="26" t="n">
        <x:f>IF(U1442="Open",Lookups!$B$2-B1442,X1442)</x:f>
        <x:v>22</x:v>
      </x:c>
      <x:c r="Z1442" t="str">
        <x:f>IF(AND(U1442="Open",Y1442&gt;30),"STALE","OK")</x:f>
        <x:v>OK</x:v>
      </x:c>
      <x:c r="AA1442" t="str">
        <x:f>TEXT(B1442,"yyyy-mm")</x:f>
        <x:v>2025-02</x:v>
      </x:c>
      <x:c r="AB1442" t="str">
        <x:f>IF(K1442="","",TEXT(K1442,"yyyy-mm"))</x:f>
        <x:v>2025-03</x:v>
      </x:c>
      <x:c r="AC1442" t="str">
        <x:f>"Q"&amp;ROUNDUP(MONTH(B1442)/3,0)&amp;"-"&amp;YEAR(B1442)</x:f>
        <x:v>Q1-2025</x:v>
      </x:c>
      <x:c r="AD1442" s="26" t="n">
        <x:f>MIN(100,IF(H1442="Enterprise",30,IF(H1442="Mid-Market",22,14))+IF(T1442="Enterprise",25,IF(T1442="Mid-Market",18,10))+IF(Q1442="Referral",25,IF(Q1442="Organic Search",20,IF(Q1442="Email",18,14)))+IF(G1442="Technology",10,5))</x:f>
        <x:v>70</x:v>
      </x:c>
      <x:c r="AE1442" t="str">
        <x:f>IF(U1442&lt;&gt;"Open",U1442,IF(N1442&gt;=0.8,"Commit",IF(N1442&gt;=0.5,"Best Case","Pipeline")))</x:f>
        <x:v>Lost</x:v>
      </x:c>
    </x:row>
    <x:row r="1443">
      <x:c r="A1443" t="str">
        <x:v>L01442</x:v>
      </x:c>
      <x:c r="B1443" s="10" t="n">
        <x:v>46099</x:v>
      </x:c>
      <x:c r="C1443" t="str">
        <x:v>Bao Tran</x:v>
      </x:c>
      <x:c r="D1443" t="str">
        <x:v>South</x:v>
      </x:c>
      <x:c r="E1443" t="str">
        <x:v>google cpc</x:v>
      </x:c>
      <x:c r="F1443" t="str">
        <x:v>CRM-PRO</x:v>
      </x:c>
      <x:c r="G1443" t="str">
        <x:v>Healthcare</x:v>
      </x:c>
      <x:c r="H1443" t="str">
        <x:v>Mid-Market</x:v>
      </x:c>
      <x:c r="I1443" t="str">
        <x:v>Closed Won</x:v>
      </x:c>
      <x:c r="J1443" s="10" t="n">
        <x:v>46175</x:v>
      </x:c>
      <x:c r="K1443" s="10" t="n">
        <x:v>46175</x:v>
      </x:c>
      <x:c r="L1443" s="22" t="n">
        <x:v>20600</x:v>
      </x:c>
      <x:c r="M1443" s="24" t="n">
        <x:v>0</x:v>
      </x:c>
      <x:c r="N1443" s="24" t="n">
        <x:v>1</x:v>
      </x:c>
      <x:c r="O1443" t="str"/>
      <x:c r="P1443" t="n">
        <x:v>6</x:v>
      </x:c>
      <x:c r="Q1443" t="str">
        <x:f>IFERROR(XLOOKUP(E1443,Lookups!$A$5:$A$24,Lookups!$B$5:$B$24),"Other")</x:f>
        <x:v>Paid Search</x:v>
      </x:c>
      <x:c r="R1443" t="str">
        <x:f>IFERROR(XLOOKUP(F1443,Lookups!$D$5:$D$10,Lookups!$E$5:$E$10),"Unknown Product")</x:f>
        <x:v>NexaCRM Pro</x:v>
      </x:c>
      <x:c r="S1443" t="str">
        <x:f>IFERROR(XLOOKUP(F1443,Lookups!$D$5:$D$10,Lookups!$F$5:$F$10),"Unknown")</x:f>
        <x:v>CRM</x:v>
      </x:c>
      <x:c r="T1443" t="str">
        <x:f>IF(L1443&gt;=50000,"Enterprise",IF(L1443&gt;=20000,"Mid-Market","SMB"))</x:f>
        <x:v>Mid-Market</x:v>
      </x:c>
      <x:c r="U1443" t="str">
        <x:f>IF(I1443="Closed Won","Won",IF(I1443="Closed Lost","Lost","Open"))</x:f>
        <x:v>Won</x:v>
      </x:c>
      <x:c r="V1443" s="22" t="n">
        <x:f>IF(U1443="Won",L1443*(1-M1443),0)</x:f>
        <x:v>20600</x:v>
      </x:c>
      <x:c r="W1443" s="22" t="n">
        <x:f>IF(U1443="Open",L1443*N1443,0)</x:f>
        <x:v>0</x:v>
      </x:c>
      <x:c r="X1443" s="26" t="n">
        <x:f>IF(U1443="Open","",IFERROR(K1443-B1443,""))</x:f>
        <x:v>76</x:v>
      </x:c>
      <x:c r="Y1443" s="26" t="n">
        <x:f>IF(U1443="Open",Lookups!$B$2-B1443,X1443)</x:f>
        <x:v>76</x:v>
      </x:c>
      <x:c r="Z1443" t="str">
        <x:f>IF(AND(U1443="Open",Y1443&gt;30),"STALE","OK")</x:f>
        <x:v>OK</x:v>
      </x:c>
      <x:c r="AA1443" t="str">
        <x:f>TEXT(B1443,"yyyy-mm")</x:f>
        <x:v>2026-03</x:v>
      </x:c>
      <x:c r="AB1443" t="str">
        <x:f>IF(K1443="","",TEXT(K1443,"yyyy-mm"))</x:f>
        <x:v>2026-06</x:v>
      </x:c>
      <x:c r="AC1443" t="str">
        <x:f>"Q"&amp;ROUNDUP(MONTH(B1443)/3,0)&amp;"-"&amp;YEAR(B1443)</x:f>
        <x:v>Q1-2026</x:v>
      </x:c>
      <x:c r="AD1443" s="26" t="n">
        <x:f>MIN(100,IF(H1443="Enterprise",30,IF(H1443="Mid-Market",22,14))+IF(T1443="Enterprise",25,IF(T1443="Mid-Market",18,10))+IF(Q1443="Referral",25,IF(Q1443="Organic Search",20,IF(Q1443="Email",18,14)))+IF(G1443="Technology",10,5))</x:f>
        <x:v>59</x:v>
      </x:c>
      <x:c r="AE1443" t="str">
        <x:f>IF(U1443&lt;&gt;"Open",U1443,IF(N1443&gt;=0.8,"Commit",IF(N1443&gt;=0.5,"Best Case","Pipeline")))</x:f>
        <x:v>Won</x:v>
      </x:c>
    </x:row>
    <x:row r="1444">
      <x:c r="A1444" t="str">
        <x:v>L01443</x:v>
      </x:c>
      <x:c r="B1444" s="10" t="n">
        <x:v>45833</x:v>
      </x:c>
      <x:c r="C1444" t="str">
        <x:v>Tuan Bui</x:v>
      </x:c>
      <x:c r="D1444" t="str">
        <x:v>Central</x:v>
      </x:c>
      <x:c r="E1444" t="str">
        <x:v>customer referral</x:v>
      </x:c>
      <x:c r="F1444" t="str">
        <x:v>REV-OPS</x:v>
      </x:c>
      <x:c r="G1444" t="str">
        <x:v>Financial Services</x:v>
      </x:c>
      <x:c r="H1444" t="str">
        <x:v>SMB</x:v>
      </x:c>
      <x:c r="I1444" t="str">
        <x:v>Closed Won</x:v>
      </x:c>
      <x:c r="J1444" s="10" t="n">
        <x:v>45896</x:v>
      </x:c>
      <x:c r="K1444" s="10" t="n">
        <x:v>45896</x:v>
      </x:c>
      <x:c r="L1444" s="22" t="n">
        <x:v>43400</x:v>
      </x:c>
      <x:c r="M1444" s="24" t="n">
        <x:v>0.05</x:v>
      </x:c>
      <x:c r="N1444" s="24" t="n">
        <x:v>1</x:v>
      </x:c>
      <x:c r="O1444" t="str"/>
      <x:c r="P1444" t="n">
        <x:v>6</x:v>
      </x:c>
      <x:c r="Q1444" t="str">
        <x:f>IFERROR(XLOOKUP(E1444,Lookups!$A$5:$A$24,Lookups!$B$5:$B$24),"Other")</x:f>
        <x:v>Referral</x:v>
      </x:c>
      <x:c r="R1444" t="str">
        <x:f>IFERROR(XLOOKUP(F1444,Lookups!$D$5:$D$10,Lookups!$E$5:$E$10),"Unknown Product")</x:f>
        <x:v>Revenue Operations Suite</x:v>
      </x:c>
      <x:c r="S1444" t="str">
        <x:f>IFERROR(XLOOKUP(F1444,Lookups!$D$5:$D$10,Lookups!$F$5:$F$10),"Unknown")</x:f>
        <x:v>Revenue Ops</x:v>
      </x:c>
      <x:c r="T1444" t="str">
        <x:f>IF(L1444&gt;=50000,"Enterprise",IF(L1444&gt;=20000,"Mid-Market","SMB"))</x:f>
        <x:v>Mid-Market</x:v>
      </x:c>
      <x:c r="U1444" t="str">
        <x:f>IF(I1444="Closed Won","Won",IF(I1444="Closed Lost","Lost","Open"))</x:f>
        <x:v>Won</x:v>
      </x:c>
      <x:c r="V1444" s="22" t="n">
        <x:f>IF(U1444="Won",L1444*(1-M1444),0)</x:f>
        <x:v>41230</x:v>
      </x:c>
      <x:c r="W1444" s="22" t="n">
        <x:f>IF(U1444="Open",L1444*N1444,0)</x:f>
        <x:v>0</x:v>
      </x:c>
      <x:c r="X1444" s="26" t="n">
        <x:f>IF(U1444="Open","",IFERROR(K1444-B1444,""))</x:f>
        <x:v>63</x:v>
      </x:c>
      <x:c r="Y1444" s="26" t="n">
        <x:f>IF(U1444="Open",Lookups!$B$2-B1444,X1444)</x:f>
        <x:v>63</x:v>
      </x:c>
      <x:c r="Z1444" t="str">
        <x:f>IF(AND(U1444="Open",Y1444&gt;30),"STALE","OK")</x:f>
        <x:v>OK</x:v>
      </x:c>
      <x:c r="AA1444" t="str">
        <x:f>TEXT(B1444,"yyyy-mm")</x:f>
        <x:v>2025-06</x:v>
      </x:c>
      <x:c r="AB1444" t="str">
        <x:f>IF(K1444="","",TEXT(K1444,"yyyy-mm"))</x:f>
        <x:v>2025-08</x:v>
      </x:c>
      <x:c r="AC1444" t="str">
        <x:f>"Q"&amp;ROUNDUP(MONTH(B1444)/3,0)&amp;"-"&amp;YEAR(B1444)</x:f>
        <x:v>Q2-2025</x:v>
      </x:c>
      <x:c r="AD1444" s="26" t="n">
        <x:f>MIN(100,IF(H1444="Enterprise",30,IF(H1444="Mid-Market",22,14))+IF(T1444="Enterprise",25,IF(T1444="Mid-Market",18,10))+IF(Q1444="Referral",25,IF(Q1444="Organic Search",20,IF(Q1444="Email",18,14)))+IF(G1444="Technology",10,5))</x:f>
        <x:v>62</x:v>
      </x:c>
      <x:c r="AE1444" t="str">
        <x:f>IF(U1444&lt;&gt;"Open",U1444,IF(N1444&gt;=0.8,"Commit",IF(N1444&gt;=0.5,"Best Case","Pipeline")))</x:f>
        <x:v>Won</x:v>
      </x:c>
    </x:row>
    <x:row r="1445">
      <x:c r="A1445" t="str">
        <x:v>L01444</x:v>
      </x:c>
      <x:c r="B1445" s="10" t="n">
        <x:v>46255</x:v>
      </x:c>
      <x:c r="C1445" t="str">
        <x:v>Bao Tran</x:v>
      </x:c>
      <x:c r="D1445" t="str">
        <x:v>South</x:v>
      </x:c>
      <x:c r="E1445" t="str">
        <x:v>SDR Outreach</x:v>
      </x:c>
      <x:c r="F1445" t="str">
        <x:v>CRM-PRO</x:v>
      </x:c>
      <x:c r="G1445" t="str">
        <x:v>Technology</x:v>
      </x:c>
      <x:c r="H1445" t="str">
        <x:v>Mid-Market</x:v>
      </x:c>
      <x:c r="I1445" t="str">
        <x:v>New</x:v>
      </x:c>
      <x:c r="J1445" s="10" t="n">
        <x:v>46260</x:v>
      </x:c>
      <x:c r="K1445" s="10"/>
      <x:c r="L1445" s="22" t="n">
        <x:v>44300</x:v>
      </x:c>
      <x:c r="M1445" s="24" t="n">
        <x:v>0.03</x:v>
      </x:c>
      <x:c r="N1445" s="24" t="n">
        <x:v>0.05</x:v>
      </x:c>
      <x:c r="O1445" t="str"/>
      <x:c r="P1445" t="n">
        <x:v>1</x:v>
      </x:c>
      <x:c r="Q1445" t="str">
        <x:f>IFERROR(XLOOKUP(E1445,Lookups!$A$5:$A$24,Lookups!$B$5:$B$24),"Other")</x:f>
        <x:v>Outbound</x:v>
      </x:c>
      <x:c r="R1445" t="str">
        <x:f>IFERROR(XLOOKUP(F1445,Lookups!$D$5:$D$10,Lookups!$E$5:$E$10),"Unknown Product")</x:f>
        <x:v>NexaCRM Pro</x:v>
      </x:c>
      <x:c r="S1445" t="str">
        <x:f>IFERROR(XLOOKUP(F1445,Lookups!$D$5:$D$10,Lookups!$F$5:$F$10),"Unknown")</x:f>
        <x:v>CRM</x:v>
      </x:c>
      <x:c r="T1445" t="str">
        <x:f>IF(L1445&gt;=50000,"Enterprise",IF(L1445&gt;=20000,"Mid-Market","SMB"))</x:f>
        <x:v>Mid-Market</x:v>
      </x:c>
      <x:c r="U1445" t="str">
        <x:f>IF(I1445="Closed Won","Won",IF(I1445="Closed Lost","Lost","Open"))</x:f>
        <x:v>Open</x:v>
      </x:c>
      <x:c r="V1445" s="22" t="n">
        <x:f>IF(U1445="Won",L1445*(1-M1445),0)</x:f>
        <x:v>0</x:v>
      </x:c>
      <x:c r="W1445" s="22" t="n">
        <x:f>IF(U1445="Open",L1445*N1445,0)</x:f>
        <x:v>2215</x:v>
      </x:c>
      <x:c r="X1445" s="26" t="str">
        <x:f>IF(U1445="Open","",IFERROR(K1445-B1445,""))</x:f>
      </x:c>
      <x:c r="Y1445" s="26" t="n">
        <x:f>IF(U1445="Open",Lookups!$B$2-B1445,X1445)</x:f>
        <x:v>11</x:v>
      </x:c>
      <x:c r="Z1445" t="str">
        <x:f>IF(AND(U1445="Open",Y1445&gt;30),"STALE","OK")</x:f>
        <x:v>OK</x:v>
      </x:c>
      <x:c r="AA1445" t="str">
        <x:f>TEXT(B1445,"yyyy-mm")</x:f>
        <x:v>2026-08</x:v>
      </x:c>
      <x:c r="AB1445" t="str">
        <x:f>IF(K1445="","",TEXT(K1445,"yyyy-mm"))</x:f>
      </x:c>
      <x:c r="AC1445" t="str">
        <x:f>"Q"&amp;ROUNDUP(MONTH(B1445)/3,0)&amp;"-"&amp;YEAR(B1445)</x:f>
        <x:v>Q3-2026</x:v>
      </x:c>
      <x:c r="AD1445" s="26" t="n">
        <x:f>MIN(100,IF(H1445="Enterprise",30,IF(H1445="Mid-Market",22,14))+IF(T1445="Enterprise",25,IF(T1445="Mid-Market",18,10))+IF(Q1445="Referral",25,IF(Q1445="Organic Search",20,IF(Q1445="Email",18,14)))+IF(G1445="Technology",10,5))</x:f>
        <x:v>64</x:v>
      </x:c>
      <x:c r="AE1445" t="str">
        <x:f>IF(U1445&lt;&gt;"Open",U1445,IF(N1445&gt;=0.8,"Commit",IF(N1445&gt;=0.5,"Best Case","Pipeline")))</x:f>
        <x:v>Pipeline</x:v>
      </x:c>
    </x:row>
    <x:row r="1446">
      <x:c r="A1446" t="str">
        <x:v>L01445</x:v>
      </x:c>
      <x:c r="B1446" s="10" t="n">
        <x:v>46003</x:v>
      </x:c>
      <x:c r="C1446" t="str">
        <x:v>Tuan Bui</x:v>
      </x:c>
      <x:c r="D1446" t="str">
        <x:v>Central</x:v>
      </x:c>
      <x:c r="E1446" t="str">
        <x:v>SEM - Google</x:v>
      </x:c>
      <x:c r="F1446" t="str">
        <x:v>BI-PLUS</x:v>
      </x:c>
      <x:c r="G1446" t="str">
        <x:v>Financial Services</x:v>
      </x:c>
      <x:c r="H1446" t="str">
        <x:v>Mid-Market</x:v>
      </x:c>
      <x:c r="I1446" t="str">
        <x:v>Closed Lost</x:v>
      </x:c>
      <x:c r="J1446" s="10" t="n">
        <x:v>46062</x:v>
      </x:c>
      <x:c r="K1446" s="10" t="n">
        <x:v>46062</x:v>
      </x:c>
      <x:c r="L1446" s="22" t="n">
        <x:v>28900</x:v>
      </x:c>
      <x:c r="M1446" s="24" t="n">
        <x:v>0</x:v>
      </x:c>
      <x:c r="N1446" s="24" t="n">
        <x:v>0</x:v>
      </x:c>
      <x:c r="O1446" t="str">
        <x:v>Competitor</x:v>
      </x:c>
      <x:c r="P1446" t="n">
        <x:v>5</x:v>
      </x:c>
      <x:c r="Q1446" t="str">
        <x:f>IFERROR(XLOOKUP(E1446,Lookups!$A$5:$A$24,Lookups!$B$5:$B$24),"Other")</x:f>
        <x:v>Paid Search</x:v>
      </x:c>
      <x:c r="R1446" t="str">
        <x:f>IFERROR(XLOOKUP(F1446,Lookups!$D$5:$D$10,Lookups!$E$5:$E$10),"Unknown Product")</x:f>
        <x:v>Analytics Plus</x:v>
      </x:c>
      <x:c r="S1446" t="str">
        <x:f>IFERROR(XLOOKUP(F1446,Lookups!$D$5:$D$10,Lookups!$F$5:$F$10),"Unknown")</x:f>
        <x:v>Analytics</x:v>
      </x:c>
      <x:c r="T1446" t="str">
        <x:f>IF(L1446&gt;=50000,"Enterprise",IF(L1446&gt;=20000,"Mid-Market","SMB"))</x:f>
        <x:v>Mid-Market</x:v>
      </x:c>
      <x:c r="U1446" t="str">
        <x:f>IF(I1446="Closed Won","Won",IF(I1446="Closed Lost","Lost","Open"))</x:f>
        <x:v>Lost</x:v>
      </x:c>
      <x:c r="V1446" s="22" t="n">
        <x:f>IF(U1446="Won",L1446*(1-M1446),0)</x:f>
        <x:v>0</x:v>
      </x:c>
      <x:c r="W1446" s="22" t="n">
        <x:f>IF(U1446="Open",L1446*N1446,0)</x:f>
        <x:v>0</x:v>
      </x:c>
      <x:c r="X1446" s="26" t="n">
        <x:f>IF(U1446="Open","",IFERROR(K1446-B1446,""))</x:f>
        <x:v>59</x:v>
      </x:c>
      <x:c r="Y1446" s="26" t="n">
        <x:f>IF(U1446="Open",Lookups!$B$2-B1446,X1446)</x:f>
        <x:v>59</x:v>
      </x:c>
      <x:c r="Z1446" t="str">
        <x:f>IF(AND(U1446="Open",Y1446&gt;30),"STALE","OK")</x:f>
        <x:v>OK</x:v>
      </x:c>
      <x:c r="AA1446" t="str">
        <x:f>TEXT(B1446,"yyyy-mm")</x:f>
        <x:v>2025-12</x:v>
      </x:c>
      <x:c r="AB1446" t="str">
        <x:f>IF(K1446="","",TEXT(K1446,"yyyy-mm"))</x:f>
        <x:v>2026-02</x:v>
      </x:c>
      <x:c r="AC1446" t="str">
        <x:f>"Q"&amp;ROUNDUP(MONTH(B1446)/3,0)&amp;"-"&amp;YEAR(B1446)</x:f>
        <x:v>Q4-2025</x:v>
      </x:c>
      <x:c r="AD1446" s="26" t="n">
        <x:f>MIN(100,IF(H1446="Enterprise",30,IF(H1446="Mid-Market",22,14))+IF(T1446="Enterprise",25,IF(T1446="Mid-Market",18,10))+IF(Q1446="Referral",25,IF(Q1446="Organic Search",20,IF(Q1446="Email",18,14)))+IF(G1446="Technology",10,5))</x:f>
        <x:v>59</x:v>
      </x:c>
      <x:c r="AE1446" t="str">
        <x:f>IF(U1446&lt;&gt;"Open",U1446,IF(N1446&gt;=0.8,"Commit",IF(N1446&gt;=0.5,"Best Case","Pipeline")))</x:f>
        <x:v>Lost</x:v>
      </x:c>
    </x:row>
    <x:row r="1447">
      <x:c r="A1447" t="str">
        <x:v>L01446</x:v>
      </x:c>
      <x:c r="B1447" s="10" t="n">
        <x:v>46087</x:v>
      </x:c>
      <x:c r="C1447" t="str">
        <x:v>Bao Tran</x:v>
      </x:c>
      <x:c r="D1447" t="str">
        <x:v>South</x:v>
      </x:c>
      <x:c r="E1447" t="str">
        <x:v>Google Ads</x:v>
      </x:c>
      <x:c r="F1447" t="str">
        <x:v>BI-PLUS</x:v>
      </x:c>
      <x:c r="G1447" t="str">
        <x:v>Professional Services</x:v>
      </x:c>
      <x:c r="H1447" t="str">
        <x:v>Enterprise</x:v>
      </x:c>
      <x:c r="I1447" t="str">
        <x:v>Closed Lost</x:v>
      </x:c>
      <x:c r="J1447" s="10" t="n">
        <x:v>46124</x:v>
      </x:c>
      <x:c r="K1447" s="10" t="n">
        <x:v>46124</x:v>
      </x:c>
      <x:c r="L1447" s="22" t="n">
        <x:v>52600</x:v>
      </x:c>
      <x:c r="M1447" s="24" t="n">
        <x:v>0</x:v>
      </x:c>
      <x:c r="N1447" s="24" t="n">
        <x:v>0</x:v>
      </x:c>
      <x:c r="O1447" t="str">
        <x:v>Price</x:v>
      </x:c>
      <x:c r="P1447" t="n">
        <x:v>3</x:v>
      </x:c>
      <x:c r="Q1447" t="str">
        <x:f>IFERROR(XLOOKUP(E1447,Lookups!$A$5:$A$24,Lookups!$B$5:$B$24),"Other")</x:f>
        <x:v>Paid Search</x:v>
      </x:c>
      <x:c r="R1447" t="str">
        <x:f>IFERROR(XLOOKUP(F1447,Lookups!$D$5:$D$10,Lookups!$E$5:$E$10),"Unknown Product")</x:f>
        <x:v>Analytics Plus</x:v>
      </x:c>
      <x:c r="S1447" t="str">
        <x:f>IFERROR(XLOOKUP(F1447,Lookups!$D$5:$D$10,Lookups!$F$5:$F$10),"Unknown")</x:f>
        <x:v>Analytics</x:v>
      </x:c>
      <x:c r="T1447" t="str">
        <x:f>IF(L1447&gt;=50000,"Enterprise",IF(L1447&gt;=20000,"Mid-Market","SMB"))</x:f>
        <x:v>Enterprise</x:v>
      </x:c>
      <x:c r="U1447" t="str">
        <x:f>IF(I1447="Closed Won","Won",IF(I1447="Closed Lost","Lost","Open"))</x:f>
        <x:v>Lost</x:v>
      </x:c>
      <x:c r="V1447" s="22" t="n">
        <x:f>IF(U1447="Won",L1447*(1-M1447),0)</x:f>
        <x:v>0</x:v>
      </x:c>
      <x:c r="W1447" s="22" t="n">
        <x:f>IF(U1447="Open",L1447*N1447,0)</x:f>
        <x:v>0</x:v>
      </x:c>
      <x:c r="X1447" s="26" t="n">
        <x:f>IF(U1447="Open","",IFERROR(K1447-B1447,""))</x:f>
        <x:v>37</x:v>
      </x:c>
      <x:c r="Y1447" s="26" t="n">
        <x:f>IF(U1447="Open",Lookups!$B$2-B1447,X1447)</x:f>
        <x:v>37</x:v>
      </x:c>
      <x:c r="Z1447" t="str">
        <x:f>IF(AND(U1447="Open",Y1447&gt;30),"STALE","OK")</x:f>
        <x:v>OK</x:v>
      </x:c>
      <x:c r="AA1447" t="str">
        <x:f>TEXT(B1447,"yyyy-mm")</x:f>
        <x:v>2026-03</x:v>
      </x:c>
      <x:c r="AB1447" t="str">
        <x:f>IF(K1447="","",TEXT(K1447,"yyyy-mm"))</x:f>
        <x:v>2026-04</x:v>
      </x:c>
      <x:c r="AC1447" t="str">
        <x:f>"Q"&amp;ROUNDUP(MONTH(B1447)/3,0)&amp;"-"&amp;YEAR(B1447)</x:f>
        <x:v>Q1-2026</x:v>
      </x:c>
      <x:c r="AD1447" s="26" t="n">
        <x:f>MIN(100,IF(H1447="Enterprise",30,IF(H1447="Mid-Market",22,14))+IF(T1447="Enterprise",25,IF(T1447="Mid-Market",18,10))+IF(Q1447="Referral",25,IF(Q1447="Organic Search",20,IF(Q1447="Email",18,14)))+IF(G1447="Technology",10,5))</x:f>
        <x:v>74</x:v>
      </x:c>
      <x:c r="AE1447" t="str">
        <x:f>IF(U1447&lt;&gt;"Open",U1447,IF(N1447&gt;=0.8,"Commit",IF(N1447&gt;=0.5,"Best Case","Pipeline")))</x:f>
        <x:v>Lost</x:v>
      </x:c>
    </x:row>
    <x:row r="1448">
      <x:c r="A1448" t="str">
        <x:v>L01447</x:v>
      </x:c>
      <x:c r="B1448" s="10" t="n">
        <x:v>46024</x:v>
      </x:c>
      <x:c r="C1448" t="str">
        <x:v>Ha Vo</x:v>
      </x:c>
      <x:c r="D1448" t="str">
        <x:v>North</x:v>
      </x:c>
      <x:c r="E1448" t="str">
        <x:v>Google Organic</x:v>
      </x:c>
      <x:c r="F1448" t="str">
        <x:v>MKT-AUTO</x:v>
      </x:c>
      <x:c r="G1448" t="str">
        <x:v>Healthcare</x:v>
      </x:c>
      <x:c r="H1448" t="str">
        <x:v>SMB</x:v>
      </x:c>
      <x:c r="I1448" t="str">
        <x:v>Negotiation</x:v>
      </x:c>
      <x:c r="J1448" s="10" t="n">
        <x:v>46170</x:v>
      </x:c>
      <x:c r="K1448" s="10"/>
      <x:c r="L1448" s="22" t="n">
        <x:v>9900</x:v>
      </x:c>
      <x:c r="M1448" s="24" t="n">
        <x:v>0.05</x:v>
      </x:c>
      <x:c r="N1448" s="24" t="n">
        <x:v>0.85</x:v>
      </x:c>
      <x:c r="O1448" t="str"/>
      <x:c r="P1448" t="n">
        <x:v>5</x:v>
      </x:c>
      <x:c r="Q1448" t="str">
        <x:f>IFERROR(XLOOKUP(E1448,Lookups!$A$5:$A$24,Lookups!$B$5:$B$24),"Other")</x:f>
        <x:v>Organic Search</x:v>
      </x:c>
      <x:c r="R1448" t="str">
        <x:f>IFERROR(XLOOKUP(F1448,Lookups!$D$5:$D$10,Lookups!$E$5:$E$10),"Unknown Product")</x:f>
        <x:v>Marketing Automation</x:v>
      </x:c>
      <x:c r="S1448" t="str">
        <x:f>IFERROR(XLOOKUP(F1448,Lookups!$D$5:$D$10,Lookups!$F$5:$F$10),"Unknown")</x:f>
        <x:v>Marketing</x:v>
      </x:c>
      <x:c r="T1448" t="str">
        <x:f>IF(L1448&gt;=50000,"Enterprise",IF(L1448&gt;=20000,"Mid-Market","SMB"))</x:f>
        <x:v>SMB</x:v>
      </x:c>
      <x:c r="U1448" t="str">
        <x:f>IF(I1448="Closed Won","Won",IF(I1448="Closed Lost","Lost","Open"))</x:f>
        <x:v>Open</x:v>
      </x:c>
      <x:c r="V1448" s="22" t="n">
        <x:f>IF(U1448="Won",L1448*(1-M1448),0)</x:f>
        <x:v>0</x:v>
      </x:c>
      <x:c r="W1448" s="22" t="n">
        <x:f>IF(U1448="Open",L1448*N1448,0)</x:f>
        <x:v>8415</x:v>
      </x:c>
      <x:c r="X1448" s="26" t="str">
        <x:f>IF(U1448="Open","",IFERROR(K1448-B1448,""))</x:f>
      </x:c>
      <x:c r="Y1448" s="26" t="n">
        <x:f>IF(U1448="Open",Lookups!$B$2-B1448,X1448)</x:f>
        <x:v>242</x:v>
      </x:c>
      <x:c r="Z1448" t="str">
        <x:f>IF(AND(U1448="Open",Y1448&gt;30),"STALE","OK")</x:f>
        <x:v>STALE</x:v>
      </x:c>
      <x:c r="AA1448" t="str">
        <x:f>TEXT(B1448,"yyyy-mm")</x:f>
        <x:v>2026-01</x:v>
      </x:c>
      <x:c r="AB1448" t="str">
        <x:f>IF(K1448="","",TEXT(K1448,"yyyy-mm"))</x:f>
      </x:c>
      <x:c r="AC1448" t="str">
        <x:f>"Q"&amp;ROUNDUP(MONTH(B1448)/3,0)&amp;"-"&amp;YEAR(B1448)</x:f>
        <x:v>Q1-2026</x:v>
      </x:c>
      <x:c r="AD1448" s="26" t="n">
        <x:f>MIN(100,IF(H1448="Enterprise",30,IF(H1448="Mid-Market",22,14))+IF(T1448="Enterprise",25,IF(T1448="Mid-Market",18,10))+IF(Q1448="Referral",25,IF(Q1448="Organic Search",20,IF(Q1448="Email",18,14)))+IF(G1448="Technology",10,5))</x:f>
        <x:v>49</x:v>
      </x:c>
      <x:c r="AE1448" t="str">
        <x:f>IF(U1448&lt;&gt;"Open",U1448,IF(N1448&gt;=0.8,"Commit",IF(N1448&gt;=0.5,"Best Case","Pipeline")))</x:f>
        <x:v>Commit</x:v>
      </x:c>
    </x:row>
    <x:row r="1449">
      <x:c r="A1449" t="str">
        <x:v>L01448</x:v>
      </x:c>
      <x:c r="B1449" s="10" t="n">
        <x:v>45874</x:v>
      </x:c>
      <x:c r="C1449" t="str">
        <x:v>Tuan Bui</x:v>
      </x:c>
      <x:c r="D1449" t="str">
        <x:v>Central</x:v>
      </x:c>
      <x:c r="E1449" t="str">
        <x:v>Email Campaign</x:v>
      </x:c>
      <x:c r="F1449" t="str">
        <x:v>CRM-CORE</x:v>
      </x:c>
      <x:c r="G1449" t="str">
        <x:v>Professional Services</x:v>
      </x:c>
      <x:c r="H1449" t="str">
        <x:v>SMB</x:v>
      </x:c>
      <x:c r="I1449" t="str">
        <x:v>Closed Lost</x:v>
      </x:c>
      <x:c r="J1449" s="10" t="n">
        <x:v>45944</x:v>
      </x:c>
      <x:c r="K1449" s="10" t="n">
        <x:v>45944</x:v>
      </x:c>
      <x:c r="L1449" s="22" t="n">
        <x:v>4800</x:v>
      </x:c>
      <x:c r="M1449" s="24" t="n">
        <x:v>0</x:v>
      </x:c>
      <x:c r="N1449" s="24" t="n">
        <x:v>0</x:v>
      </x:c>
      <x:c r="O1449" t="str">
        <x:v>No Decision</x:v>
      </x:c>
      <x:c r="P1449" t="n">
        <x:v>2</x:v>
      </x:c>
      <x:c r="Q1449" t="str">
        <x:f>IFERROR(XLOOKUP(E1449,Lookups!$A$5:$A$24,Lookups!$B$5:$B$24),"Other")</x:f>
        <x:v>Email</x:v>
      </x:c>
      <x:c r="R1449" t="str">
        <x:f>IFERROR(XLOOKUP(F1449,Lookups!$D$5:$D$10,Lookups!$E$5:$E$10),"Unknown Product")</x:f>
        <x:v>NexaCRM Core</x:v>
      </x:c>
      <x:c r="S1449" t="str">
        <x:f>IFERROR(XLOOKUP(F1449,Lookups!$D$5:$D$10,Lookups!$F$5:$F$10),"Unknown")</x:f>
        <x:v>CRM</x:v>
      </x:c>
      <x:c r="T1449" t="str">
        <x:f>IF(L1449&gt;=50000,"Enterprise",IF(L1449&gt;=20000,"Mid-Market","SMB"))</x:f>
        <x:v>SMB</x:v>
      </x:c>
      <x:c r="U1449" t="str">
        <x:f>IF(I1449="Closed Won","Won",IF(I1449="Closed Lost","Lost","Open"))</x:f>
        <x:v>Lost</x:v>
      </x:c>
      <x:c r="V1449" s="22" t="n">
        <x:f>IF(U1449="Won",L1449*(1-M1449),0)</x:f>
        <x:v>0</x:v>
      </x:c>
      <x:c r="W1449" s="22" t="n">
        <x:f>IF(U1449="Open",L1449*N1449,0)</x:f>
        <x:v>0</x:v>
      </x:c>
      <x:c r="X1449" s="26" t="n">
        <x:f>IF(U1449="Open","",IFERROR(K1449-B1449,""))</x:f>
        <x:v>70</x:v>
      </x:c>
      <x:c r="Y1449" s="26" t="n">
        <x:f>IF(U1449="Open",Lookups!$B$2-B1449,X1449)</x:f>
        <x:v>70</x:v>
      </x:c>
      <x:c r="Z1449" t="str">
        <x:f>IF(AND(U1449="Open",Y1449&gt;30),"STALE","OK")</x:f>
        <x:v>OK</x:v>
      </x:c>
      <x:c r="AA1449" t="str">
        <x:f>TEXT(B1449,"yyyy-mm")</x:f>
        <x:v>2025-08</x:v>
      </x:c>
      <x:c r="AB1449" t="str">
        <x:f>IF(K1449="","",TEXT(K1449,"yyyy-mm"))</x:f>
        <x:v>2025-10</x:v>
      </x:c>
      <x:c r="AC1449" t="str">
        <x:f>"Q"&amp;ROUNDUP(MONTH(B1449)/3,0)&amp;"-"&amp;YEAR(B1449)</x:f>
        <x:v>Q3-2025</x:v>
      </x:c>
      <x:c r="AD1449" s="26" t="n">
        <x:f>MIN(100,IF(H1449="Enterprise",30,IF(H1449="Mid-Market",22,14))+IF(T1449="Enterprise",25,IF(T1449="Mid-Market",18,10))+IF(Q1449="Referral",25,IF(Q1449="Organic Search",20,IF(Q1449="Email",18,14)))+IF(G1449="Technology",10,5))</x:f>
        <x:v>47</x:v>
      </x:c>
      <x:c r="AE1449" t="str">
        <x:f>IF(U1449&lt;&gt;"Open",U1449,IF(N1449&gt;=0.8,"Commit",IF(N1449&gt;=0.5,"Best Case","Pipeline")))</x:f>
        <x:v>Lost</x:v>
      </x:c>
    </x:row>
    <x:row r="1450">
      <x:c r="A1450" t="str">
        <x:v>L01449</x:v>
      </x:c>
      <x:c r="B1450" s="10" t="n">
        <x:v>45741</x:v>
      </x:c>
      <x:c r="C1450" t="str">
        <x:v>Bao Tran</x:v>
      </x:c>
      <x:c r="D1450" t="str">
        <x:v>South</x:v>
      </x:c>
      <x:c r="E1450" t="str">
        <x:v>Webinar</x:v>
      </x:c>
      <x:c r="F1450" t="str">
        <x:v>CRM-PRO</x:v>
      </x:c>
      <x:c r="G1450" t="str">
        <x:v>Education</x:v>
      </x:c>
      <x:c r="H1450" t="str">
        <x:v>SMB</x:v>
      </x:c>
      <x:c r="I1450" t="str">
        <x:v>Closed Lost</x:v>
      </x:c>
      <x:c r="J1450" s="10" t="n">
        <x:v>45786</x:v>
      </x:c>
      <x:c r="K1450" s="10" t="n">
        <x:v>45786</x:v>
      </x:c>
      <x:c r="L1450" s="22" t="n">
        <x:v>17200</x:v>
      </x:c>
      <x:c r="M1450" s="24" t="n">
        <x:v>0</x:v>
      </x:c>
      <x:c r="N1450" s="24" t="n">
        <x:v>0</x:v>
      </x:c>
      <x:c r="O1450" t="str">
        <x:v>Competitor</x:v>
      </x:c>
      <x:c r="P1450" t="n">
        <x:v>4</x:v>
      </x:c>
      <x:c r="Q1450" t="str">
        <x:f>IFERROR(XLOOKUP(E1450,Lookups!$A$5:$A$24,Lookups!$B$5:$B$24),"Other")</x:f>
        <x:v>Webinar</x:v>
      </x:c>
      <x:c r="R1450" t="str">
        <x:f>IFERROR(XLOOKUP(F1450,Lookups!$D$5:$D$10,Lookups!$E$5:$E$10),"Unknown Product")</x:f>
        <x:v>NexaCRM Pro</x:v>
      </x:c>
      <x:c r="S1450" t="str">
        <x:f>IFERROR(XLOOKUP(F1450,Lookups!$D$5:$D$10,Lookups!$F$5:$F$10),"Unknown")</x:f>
        <x:v>CRM</x:v>
      </x:c>
      <x:c r="T1450" t="str">
        <x:f>IF(L1450&gt;=50000,"Enterprise",IF(L1450&gt;=20000,"Mid-Market","SMB"))</x:f>
        <x:v>SMB</x:v>
      </x:c>
      <x:c r="U1450" t="str">
        <x:f>IF(I1450="Closed Won","Won",IF(I1450="Closed Lost","Lost","Open"))</x:f>
        <x:v>Lost</x:v>
      </x:c>
      <x:c r="V1450" s="22" t="n">
        <x:f>IF(U1450="Won",L1450*(1-M1450),0)</x:f>
        <x:v>0</x:v>
      </x:c>
      <x:c r="W1450" s="22" t="n">
        <x:f>IF(U1450="Open",L1450*N1450,0)</x:f>
        <x:v>0</x:v>
      </x:c>
      <x:c r="X1450" s="26" t="n">
        <x:f>IF(U1450="Open","",IFERROR(K1450-B1450,""))</x:f>
        <x:v>45</x:v>
      </x:c>
      <x:c r="Y1450" s="26" t="n">
        <x:f>IF(U1450="Open",Lookups!$B$2-B1450,X1450)</x:f>
        <x:v>45</x:v>
      </x:c>
      <x:c r="Z1450" t="str">
        <x:f>IF(AND(U1450="Open",Y1450&gt;30),"STALE","OK")</x:f>
        <x:v>OK</x:v>
      </x:c>
      <x:c r="AA1450" t="str">
        <x:f>TEXT(B1450,"yyyy-mm")</x:f>
        <x:v>2025-03</x:v>
      </x:c>
      <x:c r="AB1450" t="str">
        <x:f>IF(K1450="","",TEXT(K1450,"yyyy-mm"))</x:f>
        <x:v>2025-05</x:v>
      </x:c>
      <x:c r="AC1450" t="str">
        <x:f>"Q"&amp;ROUNDUP(MONTH(B1450)/3,0)&amp;"-"&amp;YEAR(B1450)</x:f>
        <x:v>Q1-2025</x:v>
      </x:c>
      <x:c r="AD1450" s="26" t="n">
        <x:f>MIN(100,IF(H1450="Enterprise",30,IF(H1450="Mid-Market",22,14))+IF(T1450="Enterprise",25,IF(T1450="Mid-Market",18,10))+IF(Q1450="Referral",25,IF(Q1450="Organic Search",20,IF(Q1450="Email",18,14)))+IF(G1450="Technology",10,5))</x:f>
        <x:v>43</x:v>
      </x:c>
      <x:c r="AE1450" t="str">
        <x:f>IF(U1450&lt;&gt;"Open",U1450,IF(N1450&gt;=0.8,"Commit",IF(N1450&gt;=0.5,"Best Case","Pipeline")))</x:f>
        <x:v>Lost</x:v>
      </x:c>
    </x:row>
    <x:row r="1451">
      <x:c r="A1451" t="str">
        <x:v>L01450</x:v>
      </x:c>
      <x:c r="B1451" s="10" t="n">
        <x:v>46087</x:v>
      </x:c>
      <x:c r="C1451" t="str">
        <x:v>Quynh Vu</x:v>
      </x:c>
      <x:c r="D1451" t="str">
        <x:v>North</x:v>
      </x:c>
      <x:c r="E1451" t="str">
        <x:v>organic search</x:v>
      </x:c>
      <x:c r="F1451" t="str">
        <x:v>CRM-CORE</x:v>
      </x:c>
      <x:c r="G1451" t="str">
        <x:v>Healthcare</x:v>
      </x:c>
      <x:c r="H1451" t="str">
        <x:v>SMB</x:v>
      </x:c>
      <x:c r="I1451" t="str">
        <x:v>Closed Won</x:v>
      </x:c>
      <x:c r="J1451" s="10" t="n">
        <x:v>46147</x:v>
      </x:c>
      <x:c r="K1451" s="10" t="n">
        <x:v>46147</x:v>
      </x:c>
      <x:c r="L1451" s="22" t="n">
        <x:v>8400</x:v>
      </x:c>
      <x:c r="M1451" s="24" t="n">
        <x:v>0.05</x:v>
      </x:c>
      <x:c r="N1451" s="24" t="n">
        <x:v>1</x:v>
      </x:c>
      <x:c r="O1451" t="str"/>
      <x:c r="P1451" t="n">
        <x:v>6</x:v>
      </x:c>
      <x:c r="Q1451" t="str">
        <x:f>IFERROR(XLOOKUP(E1451,Lookups!$A$5:$A$24,Lookups!$B$5:$B$24),"Other")</x:f>
        <x:v>Organic Search</x:v>
      </x:c>
      <x:c r="R1451" t="str">
        <x:f>IFERROR(XLOOKUP(F1451,Lookups!$D$5:$D$10,Lookups!$E$5:$E$10),"Unknown Product")</x:f>
        <x:v>NexaCRM Core</x:v>
      </x:c>
      <x:c r="S1451" t="str">
        <x:f>IFERROR(XLOOKUP(F1451,Lookups!$D$5:$D$10,Lookups!$F$5:$F$10),"Unknown")</x:f>
        <x:v>CRM</x:v>
      </x:c>
      <x:c r="T1451" t="str">
        <x:f>IF(L1451&gt;=50000,"Enterprise",IF(L1451&gt;=20000,"Mid-Market","SMB"))</x:f>
        <x:v>SMB</x:v>
      </x:c>
      <x:c r="U1451" t="str">
        <x:f>IF(I1451="Closed Won","Won",IF(I1451="Closed Lost","Lost","Open"))</x:f>
        <x:v>Won</x:v>
      </x:c>
      <x:c r="V1451" s="22" t="n">
        <x:f>IF(U1451="Won",L1451*(1-M1451),0)</x:f>
        <x:v>7980</x:v>
      </x:c>
      <x:c r="W1451" s="22" t="n">
        <x:f>IF(U1451="Open",L1451*N1451,0)</x:f>
        <x:v>0</x:v>
      </x:c>
      <x:c r="X1451" s="26" t="n">
        <x:f>IF(U1451="Open","",IFERROR(K1451-B1451,""))</x:f>
        <x:v>60</x:v>
      </x:c>
      <x:c r="Y1451" s="26" t="n">
        <x:f>IF(U1451="Open",Lookups!$B$2-B1451,X1451)</x:f>
        <x:v>60</x:v>
      </x:c>
      <x:c r="Z1451" t="str">
        <x:f>IF(AND(U1451="Open",Y1451&gt;30),"STALE","OK")</x:f>
        <x:v>OK</x:v>
      </x:c>
      <x:c r="AA1451" t="str">
        <x:f>TEXT(B1451,"yyyy-mm")</x:f>
        <x:v>2026-03</x:v>
      </x:c>
      <x:c r="AB1451" t="str">
        <x:f>IF(K1451="","",TEXT(K1451,"yyyy-mm"))</x:f>
        <x:v>2026-05</x:v>
      </x:c>
      <x:c r="AC1451" t="str">
        <x:f>"Q"&amp;ROUNDUP(MONTH(B1451)/3,0)&amp;"-"&amp;YEAR(B1451)</x:f>
        <x:v>Q1-2026</x:v>
      </x:c>
      <x:c r="AD1451" s="26" t="n">
        <x:f>MIN(100,IF(H1451="Enterprise",30,IF(H1451="Mid-Market",22,14))+IF(T1451="Enterprise",25,IF(T1451="Mid-Market",18,10))+IF(Q1451="Referral",25,IF(Q1451="Organic Search",20,IF(Q1451="Email",18,14)))+IF(G1451="Technology",10,5))</x:f>
        <x:v>49</x:v>
      </x:c>
      <x:c r="AE1451" t="str">
        <x:f>IF(U1451&lt;&gt;"Open",U1451,IF(N1451&gt;=0.8,"Commit",IF(N1451&gt;=0.5,"Best Case","Pipeline")))</x:f>
        <x:v>Won</x:v>
      </x:c>
    </x:row>
    <x:row r="1452">
      <x:c r="A1452" t="str">
        <x:v>L01451</x:v>
      </x:c>
      <x:c r="B1452" s="10" t="n">
        <x:v>45777</x:v>
      </x:c>
      <x:c r="C1452" t="str">
        <x:v>An Nguyen</x:v>
      </x:c>
      <x:c r="D1452" t="str">
        <x:v>South</x:v>
      </x:c>
      <x:c r="E1452" t="str">
        <x:v>Offline List</x:v>
      </x:c>
      <x:c r="F1452" t="str">
        <x:v>CRM-CORE</x:v>
      </x:c>
      <x:c r="G1452" t="str">
        <x:v>Manufacturing</x:v>
      </x:c>
      <x:c r="H1452" t="str">
        <x:v>Mid-Market</x:v>
      </x:c>
      <x:c r="I1452" t="str">
        <x:v>Closed Won</x:v>
      </x:c>
      <x:c r="J1452" s="10" t="n">
        <x:v>45799</x:v>
      </x:c>
      <x:c r="K1452" s="10" t="n">
        <x:v>45799</x:v>
      </x:c>
      <x:c r="L1452" s="22" t="n">
        <x:v>15700</x:v>
      </x:c>
      <x:c r="M1452" s="24" t="n">
        <x:v>0.1</x:v>
      </x:c>
      <x:c r="N1452" s="24" t="n">
        <x:v>1</x:v>
      </x:c>
      <x:c r="O1452" t="str"/>
      <x:c r="P1452" t="n">
        <x:v>6</x:v>
      </x:c>
      <x:c r="Q1452" t="str">
        <x:f>IFERROR(XLOOKUP(E1452,Lookups!$A$5:$A$24,Lookups!$B$5:$B$24),"Other")</x:f>
        <x:v>Other</x:v>
      </x:c>
      <x:c r="R1452" t="str">
        <x:f>IFERROR(XLOOKUP(F1452,Lookups!$D$5:$D$10,Lookups!$E$5:$E$10),"Unknown Product")</x:f>
        <x:v>NexaCRM Core</x:v>
      </x:c>
      <x:c r="S1452" t="str">
        <x:f>IFERROR(XLOOKUP(F1452,Lookups!$D$5:$D$10,Lookups!$F$5:$F$10),"Unknown")</x:f>
        <x:v>CRM</x:v>
      </x:c>
      <x:c r="T1452" t="str">
        <x:f>IF(L1452&gt;=50000,"Enterprise",IF(L1452&gt;=20000,"Mid-Market","SMB"))</x:f>
        <x:v>SMB</x:v>
      </x:c>
      <x:c r="U1452" t="str">
        <x:f>IF(I1452="Closed Won","Won",IF(I1452="Closed Lost","Lost","Open"))</x:f>
        <x:v>Won</x:v>
      </x:c>
      <x:c r="V1452" s="22" t="n">
        <x:f>IF(U1452="Won",L1452*(1-M1452),0)</x:f>
        <x:v>14130</x:v>
      </x:c>
      <x:c r="W1452" s="22" t="n">
        <x:f>IF(U1452="Open",L1452*N1452,0)</x:f>
        <x:v>0</x:v>
      </x:c>
      <x:c r="X1452" s="26" t="n">
        <x:f>IF(U1452="Open","",IFERROR(K1452-B1452,""))</x:f>
        <x:v>22</x:v>
      </x:c>
      <x:c r="Y1452" s="26" t="n">
        <x:f>IF(U1452="Open",Lookups!$B$2-B1452,X1452)</x:f>
        <x:v>22</x:v>
      </x:c>
      <x:c r="Z1452" t="str">
        <x:f>IF(AND(U1452="Open",Y1452&gt;30),"STALE","OK")</x:f>
        <x:v>OK</x:v>
      </x:c>
      <x:c r="AA1452" t="str">
        <x:f>TEXT(B1452,"yyyy-mm")</x:f>
        <x:v>2025-04</x:v>
      </x:c>
      <x:c r="AB1452" t="str">
        <x:f>IF(K1452="","",TEXT(K1452,"yyyy-mm"))</x:f>
        <x:v>2025-05</x:v>
      </x:c>
      <x:c r="AC1452" t="str">
        <x:f>"Q"&amp;ROUNDUP(MONTH(B1452)/3,0)&amp;"-"&amp;YEAR(B1452)</x:f>
        <x:v>Q2-2025</x:v>
      </x:c>
      <x:c r="AD1452" s="26" t="n">
        <x:f>MIN(100,IF(H1452="Enterprise",30,IF(H1452="Mid-Market",22,14))+IF(T1452="Enterprise",25,IF(T1452="Mid-Market",18,10))+IF(Q1452="Referral",25,IF(Q1452="Organic Search",20,IF(Q1452="Email",18,14)))+IF(G1452="Technology",10,5))</x:f>
        <x:v>51</x:v>
      </x:c>
      <x:c r="AE1452" t="str">
        <x:f>IF(U1452&lt;&gt;"Open",U1452,IF(N1452&gt;=0.8,"Commit",IF(N1452&gt;=0.5,"Best Case","Pipeline")))</x:f>
        <x:v>Won</x:v>
      </x:c>
    </x:row>
    <x:row r="1453">
      <x:c r="A1453" t="str">
        <x:v>L01452</x:v>
      </x:c>
      <x:c r="B1453" s="10" t="n">
        <x:v>45714</x:v>
      </x:c>
      <x:c r="C1453" t="str">
        <x:v>An Nguyen</x:v>
      </x:c>
      <x:c r="D1453" t="str">
        <x:v>South</x:v>
      </x:c>
      <x:c r="E1453" t="str">
        <x:v>Email Campaign</x:v>
      </x:c>
      <x:c r="F1453" t="str">
        <x:v>CRM-CORE</x:v>
      </x:c>
      <x:c r="G1453" t="str">
        <x:v>Education</x:v>
      </x:c>
      <x:c r="H1453" t="str">
        <x:v>Mid-Market</x:v>
      </x:c>
      <x:c r="I1453" t="str">
        <x:v>Closed Lost</x:v>
      </x:c>
      <x:c r="J1453" s="10" t="n">
        <x:v>45742</x:v>
      </x:c>
      <x:c r="K1453" s="10" t="n">
        <x:v>45742</x:v>
      </x:c>
      <x:c r="L1453" s="22" t="n">
        <x:v>17000</x:v>
      </x:c>
      <x:c r="M1453" s="24" t="n">
        <x:v>0</x:v>
      </x:c>
      <x:c r="N1453" s="24" t="n">
        <x:v>0</x:v>
      </x:c>
      <x:c r="O1453" t="str">
        <x:v>No Decision</x:v>
      </x:c>
      <x:c r="P1453" t="n">
        <x:v>3</x:v>
      </x:c>
      <x:c r="Q1453" t="str">
        <x:f>IFERROR(XLOOKUP(E1453,Lookups!$A$5:$A$24,Lookups!$B$5:$B$24),"Other")</x:f>
        <x:v>Email</x:v>
      </x:c>
      <x:c r="R1453" t="str">
        <x:f>IFERROR(XLOOKUP(F1453,Lookups!$D$5:$D$10,Lookups!$E$5:$E$10),"Unknown Product")</x:f>
        <x:v>NexaCRM Core</x:v>
      </x:c>
      <x:c r="S1453" t="str">
        <x:f>IFERROR(XLOOKUP(F1453,Lookups!$D$5:$D$10,Lookups!$F$5:$F$10),"Unknown")</x:f>
        <x:v>CRM</x:v>
      </x:c>
      <x:c r="T1453" t="str">
        <x:f>IF(L1453&gt;=50000,"Enterprise",IF(L1453&gt;=20000,"Mid-Market","SMB"))</x:f>
        <x:v>SMB</x:v>
      </x:c>
      <x:c r="U1453" t="str">
        <x:f>IF(I1453="Closed Won","Won",IF(I1453="Closed Lost","Lost","Open"))</x:f>
        <x:v>Lost</x:v>
      </x:c>
      <x:c r="V1453" s="22" t="n">
        <x:f>IF(U1453="Won",L1453*(1-M1453),0)</x:f>
        <x:v>0</x:v>
      </x:c>
      <x:c r="W1453" s="22" t="n">
        <x:f>IF(U1453="Open",L1453*N1453,0)</x:f>
        <x:v>0</x:v>
      </x:c>
      <x:c r="X1453" s="26" t="n">
        <x:f>IF(U1453="Open","",IFERROR(K1453-B1453,""))</x:f>
        <x:v>28</x:v>
      </x:c>
      <x:c r="Y1453" s="26" t="n">
        <x:f>IF(U1453="Open",Lookups!$B$2-B1453,X1453)</x:f>
        <x:v>28</x:v>
      </x:c>
      <x:c r="Z1453" t="str">
        <x:f>IF(AND(U1453="Open",Y1453&gt;30),"STALE","OK")</x:f>
        <x:v>OK</x:v>
      </x:c>
      <x:c r="AA1453" t="str">
        <x:f>TEXT(B1453,"yyyy-mm")</x:f>
        <x:v>2025-02</x:v>
      </x:c>
      <x:c r="AB1453" t="str">
        <x:f>IF(K1453="","",TEXT(K1453,"yyyy-mm"))</x:f>
        <x:v>2025-03</x:v>
      </x:c>
      <x:c r="AC1453" t="str">
        <x:f>"Q"&amp;ROUNDUP(MONTH(B1453)/3,0)&amp;"-"&amp;YEAR(B1453)</x:f>
        <x:v>Q1-2025</x:v>
      </x:c>
      <x:c r="AD1453" s="26" t="n">
        <x:f>MIN(100,IF(H1453="Enterprise",30,IF(H1453="Mid-Market",22,14))+IF(T1453="Enterprise",25,IF(T1453="Mid-Market",18,10))+IF(Q1453="Referral",25,IF(Q1453="Organic Search",20,IF(Q1453="Email",18,14)))+IF(G1453="Technology",10,5))</x:f>
        <x:v>55</x:v>
      </x:c>
      <x:c r="AE1453" t="str">
        <x:f>IF(U1453&lt;&gt;"Open",U1453,IF(N1453&gt;=0.8,"Commit",IF(N1453&gt;=0.5,"Best Case","Pipeline")))</x:f>
        <x:v>Lost</x:v>
      </x:c>
    </x:row>
    <x:row r="1454">
      <x:c r="A1454" t="str">
        <x:v>L01453</x:v>
      </x:c>
      <x:c r="B1454" s="10" t="n">
        <x:v>46234</x:v>
      </x:c>
      <x:c r="C1454" t="str">
        <x:v>Quynh Vu</x:v>
      </x:c>
      <x:c r="D1454" t="str">
        <x:v>North</x:v>
      </x:c>
      <x:c r="E1454" t="str">
        <x:v>SEM - Google</x:v>
      </x:c>
      <x:c r="F1454" t="str">
        <x:v>CRM-PRO</x:v>
      </x:c>
      <x:c r="G1454" t="str">
        <x:v>Healthcare</x:v>
      </x:c>
      <x:c r="H1454" t="str">
        <x:v>Mid-Market</x:v>
      </x:c>
      <x:c r="I1454" t="str">
        <x:v>New</x:v>
      </x:c>
      <x:c r="J1454" s="10" t="n">
        <x:v>46259</x:v>
      </x:c>
      <x:c r="K1454" s="10"/>
      <x:c r="L1454" s="22" t="n">
        <x:v>31100</x:v>
      </x:c>
      <x:c r="M1454" s="24" t="n">
        <x:v>0.05</x:v>
      </x:c>
      <x:c r="N1454" s="24" t="n">
        <x:v>0.05</x:v>
      </x:c>
      <x:c r="O1454" t="str"/>
      <x:c r="P1454" t="n">
        <x:v>1</x:v>
      </x:c>
      <x:c r="Q1454" t="str">
        <x:f>IFERROR(XLOOKUP(E1454,Lookups!$A$5:$A$24,Lookups!$B$5:$B$24),"Other")</x:f>
        <x:v>Paid Search</x:v>
      </x:c>
      <x:c r="R1454" t="str">
        <x:f>IFERROR(XLOOKUP(F1454,Lookups!$D$5:$D$10,Lookups!$E$5:$E$10),"Unknown Product")</x:f>
        <x:v>NexaCRM Pro</x:v>
      </x:c>
      <x:c r="S1454" t="str">
        <x:f>IFERROR(XLOOKUP(F1454,Lookups!$D$5:$D$10,Lookups!$F$5:$F$10),"Unknown")</x:f>
        <x:v>CRM</x:v>
      </x:c>
      <x:c r="T1454" t="str">
        <x:f>IF(L1454&gt;=50000,"Enterprise",IF(L1454&gt;=20000,"Mid-Market","SMB"))</x:f>
        <x:v>Mid-Market</x:v>
      </x:c>
      <x:c r="U1454" t="str">
        <x:f>IF(I1454="Closed Won","Won",IF(I1454="Closed Lost","Lost","Open"))</x:f>
        <x:v>Open</x:v>
      </x:c>
      <x:c r="V1454" s="22" t="n">
        <x:f>IF(U1454="Won",L1454*(1-M1454),0)</x:f>
        <x:v>0</x:v>
      </x:c>
      <x:c r="W1454" s="22" t="n">
        <x:f>IF(U1454="Open",L1454*N1454,0)</x:f>
        <x:v>1555</x:v>
      </x:c>
      <x:c r="X1454" s="26" t="str">
        <x:f>IF(U1454="Open","",IFERROR(K1454-B1454,""))</x:f>
      </x:c>
      <x:c r="Y1454" s="26" t="n">
        <x:f>IF(U1454="Open",Lookups!$B$2-B1454,X1454)</x:f>
        <x:v>32</x:v>
      </x:c>
      <x:c r="Z1454" t="str">
        <x:f>IF(AND(U1454="Open",Y1454&gt;30),"STALE","OK")</x:f>
        <x:v>STALE</x:v>
      </x:c>
      <x:c r="AA1454" t="str">
        <x:f>TEXT(B1454,"yyyy-mm")</x:f>
        <x:v>2026-07</x:v>
      </x:c>
      <x:c r="AB1454" t="str">
        <x:f>IF(K1454="","",TEXT(K1454,"yyyy-mm"))</x:f>
      </x:c>
      <x:c r="AC1454" t="str">
        <x:f>"Q"&amp;ROUNDUP(MONTH(B1454)/3,0)&amp;"-"&amp;YEAR(B1454)</x:f>
        <x:v>Q3-2026</x:v>
      </x:c>
      <x:c r="AD1454" s="26" t="n">
        <x:f>MIN(100,IF(H1454="Enterprise",30,IF(H1454="Mid-Market",22,14))+IF(T1454="Enterprise",25,IF(T1454="Mid-Market",18,10))+IF(Q1454="Referral",25,IF(Q1454="Organic Search",20,IF(Q1454="Email",18,14)))+IF(G1454="Technology",10,5))</x:f>
        <x:v>59</x:v>
      </x:c>
      <x:c r="AE1454" t="str">
        <x:f>IF(U1454&lt;&gt;"Open",U1454,IF(N1454&gt;=0.8,"Commit",IF(N1454&gt;=0.5,"Best Case","Pipeline")))</x:f>
        <x:v>Pipeline</x:v>
      </x:c>
    </x:row>
    <x:row r="1455">
      <x:c r="A1455" t="str">
        <x:v>L01454</x:v>
      </x:c>
      <x:c r="B1455" s="10" t="n">
        <x:v>45852</x:v>
      </x:c>
      <x:c r="C1455" t="str">
        <x:v>Quynh Vu</x:v>
      </x:c>
      <x:c r="D1455" t="str">
        <x:v>North</x:v>
      </x:c>
      <x:c r="E1455" t="str">
        <x:v>google cpc</x:v>
      </x:c>
      <x:c r="F1455" t="str">
        <x:v>CRM-CORE</x:v>
      </x:c>
      <x:c r="G1455" t="str">
        <x:v>Professional Services</x:v>
      </x:c>
      <x:c r="H1455" t="str">
        <x:v>SMB</x:v>
      </x:c>
      <x:c r="I1455" t="str">
        <x:v>Closed Lost</x:v>
      </x:c>
      <x:c r="J1455" s="10" t="n">
        <x:v>45931</x:v>
      </x:c>
      <x:c r="K1455" s="10" t="n">
        <x:v>45931</x:v>
      </x:c>
      <x:c r="L1455" s="22" t="n">
        <x:v>8000</x:v>
      </x:c>
      <x:c r="M1455" s="24" t="n">
        <x:v>0</x:v>
      </x:c>
      <x:c r="N1455" s="24" t="n">
        <x:v>0</x:v>
      </x:c>
      <x:c r="O1455" t="str">
        <x:v>Budget</x:v>
      </x:c>
      <x:c r="P1455" t="n">
        <x:v>4</x:v>
      </x:c>
      <x:c r="Q1455" t="str">
        <x:f>IFERROR(XLOOKUP(E1455,Lookups!$A$5:$A$24,Lookups!$B$5:$B$24),"Other")</x:f>
        <x:v>Paid Search</x:v>
      </x:c>
      <x:c r="R1455" t="str">
        <x:f>IFERROR(XLOOKUP(F1455,Lookups!$D$5:$D$10,Lookups!$E$5:$E$10),"Unknown Product")</x:f>
        <x:v>NexaCRM Core</x:v>
      </x:c>
      <x:c r="S1455" t="str">
        <x:f>IFERROR(XLOOKUP(F1455,Lookups!$D$5:$D$10,Lookups!$F$5:$F$10),"Unknown")</x:f>
        <x:v>CRM</x:v>
      </x:c>
      <x:c r="T1455" t="str">
        <x:f>IF(L1455&gt;=50000,"Enterprise",IF(L1455&gt;=20000,"Mid-Market","SMB"))</x:f>
        <x:v>SMB</x:v>
      </x:c>
      <x:c r="U1455" t="str">
        <x:f>IF(I1455="Closed Won","Won",IF(I1455="Closed Lost","Lost","Open"))</x:f>
        <x:v>Lost</x:v>
      </x:c>
      <x:c r="V1455" s="22" t="n">
        <x:f>IF(U1455="Won",L1455*(1-M1455),0)</x:f>
        <x:v>0</x:v>
      </x:c>
      <x:c r="W1455" s="22" t="n">
        <x:f>IF(U1455="Open",L1455*N1455,0)</x:f>
        <x:v>0</x:v>
      </x:c>
      <x:c r="X1455" s="26" t="n">
        <x:f>IF(U1455="Open","",IFERROR(K1455-B1455,""))</x:f>
        <x:v>79</x:v>
      </x:c>
      <x:c r="Y1455" s="26" t="n">
        <x:f>IF(U1455="Open",Lookups!$B$2-B1455,X1455)</x:f>
        <x:v>79</x:v>
      </x:c>
      <x:c r="Z1455" t="str">
        <x:f>IF(AND(U1455="Open",Y1455&gt;30),"STALE","OK")</x:f>
        <x:v>OK</x:v>
      </x:c>
      <x:c r="AA1455" t="str">
        <x:f>TEXT(B1455,"yyyy-mm")</x:f>
        <x:v>2025-07</x:v>
      </x:c>
      <x:c r="AB1455" t="str">
        <x:f>IF(K1455="","",TEXT(K1455,"yyyy-mm"))</x:f>
        <x:v>2025-10</x:v>
      </x:c>
      <x:c r="AC1455" t="str">
        <x:f>"Q"&amp;ROUNDUP(MONTH(B1455)/3,0)&amp;"-"&amp;YEAR(B1455)</x:f>
        <x:v>Q3-2025</x:v>
      </x:c>
      <x:c r="AD1455" s="26" t="n">
        <x:f>MIN(100,IF(H1455="Enterprise",30,IF(H1455="Mid-Market",22,14))+IF(T1455="Enterprise",25,IF(T1455="Mid-Market",18,10))+IF(Q1455="Referral",25,IF(Q1455="Organic Search",20,IF(Q1455="Email",18,14)))+IF(G1455="Technology",10,5))</x:f>
        <x:v>43</x:v>
      </x:c>
      <x:c r="AE1455" t="str">
        <x:f>IF(U1455&lt;&gt;"Open",U1455,IF(N1455&gt;=0.8,"Commit",IF(N1455&gt;=0.5,"Best Case","Pipeline")))</x:f>
        <x:v>Lost</x:v>
      </x:c>
    </x:row>
    <x:row r="1456">
      <x:c r="A1456" t="str">
        <x:v>L01455</x:v>
      </x:c>
      <x:c r="B1456" s="10" t="n">
        <x:v>45840</x:v>
      </x:c>
      <x:c r="C1456" t="str">
        <x:v>Bao Tran</x:v>
      </x:c>
      <x:c r="D1456" t="str">
        <x:v>South</x:v>
      </x:c>
      <x:c r="E1456" t="str">
        <x:v>organic search</x:v>
      </x:c>
      <x:c r="F1456" t="str">
        <x:v>CRM-PRO</x:v>
      </x:c>
      <x:c r="G1456" t="str">
        <x:v>Professional Services</x:v>
      </x:c>
      <x:c r="H1456" t="str">
        <x:v>SMB</x:v>
      </x:c>
      <x:c r="I1456" t="str">
        <x:v>Negotiation</x:v>
      </x:c>
      <x:c r="J1456" s="10" t="n">
        <x:v>46188</x:v>
      </x:c>
      <x:c r="K1456" s="10"/>
      <x:c r="L1456" s="22" t="n">
        <x:v>17400</x:v>
      </x:c>
      <x:c r="M1456" s="24" t="n">
        <x:v>0.03</x:v>
      </x:c>
      <x:c r="N1456" s="24" t="n">
        <x:v>0.85</x:v>
      </x:c>
      <x:c r="O1456" t="str"/>
      <x:c r="P1456" t="n">
        <x:v>5</x:v>
      </x:c>
      <x:c r="Q1456" t="str">
        <x:f>IFERROR(XLOOKUP(E1456,Lookups!$A$5:$A$24,Lookups!$B$5:$B$24),"Other")</x:f>
        <x:v>Organic Search</x:v>
      </x:c>
      <x:c r="R1456" t="str">
        <x:f>IFERROR(XLOOKUP(F1456,Lookups!$D$5:$D$10,Lookups!$E$5:$E$10),"Unknown Product")</x:f>
        <x:v>NexaCRM Pro</x:v>
      </x:c>
      <x:c r="S1456" t="str">
        <x:f>IFERROR(XLOOKUP(F1456,Lookups!$D$5:$D$10,Lookups!$F$5:$F$10),"Unknown")</x:f>
        <x:v>CRM</x:v>
      </x:c>
      <x:c r="T1456" t="str">
        <x:f>IF(L1456&gt;=50000,"Enterprise",IF(L1456&gt;=20000,"Mid-Market","SMB"))</x:f>
        <x:v>SMB</x:v>
      </x:c>
      <x:c r="U1456" t="str">
        <x:f>IF(I1456="Closed Won","Won",IF(I1456="Closed Lost","Lost","Open"))</x:f>
        <x:v>Open</x:v>
      </x:c>
      <x:c r="V1456" s="22" t="n">
        <x:f>IF(U1456="Won",L1456*(1-M1456),0)</x:f>
        <x:v>0</x:v>
      </x:c>
      <x:c r="W1456" s="22" t="n">
        <x:f>IF(U1456="Open",L1456*N1456,0)</x:f>
        <x:v>14790</x:v>
      </x:c>
      <x:c r="X1456" s="26" t="str">
        <x:f>IF(U1456="Open","",IFERROR(K1456-B1456,""))</x:f>
      </x:c>
      <x:c r="Y1456" s="26" t="n">
        <x:f>IF(U1456="Open",Lookups!$B$2-B1456,X1456)</x:f>
        <x:v>426</x:v>
      </x:c>
      <x:c r="Z1456" t="str">
        <x:f>IF(AND(U1456="Open",Y1456&gt;30),"STALE","OK")</x:f>
        <x:v>STALE</x:v>
      </x:c>
      <x:c r="AA1456" t="str">
        <x:f>TEXT(B1456,"yyyy-mm")</x:f>
        <x:v>2025-07</x:v>
      </x:c>
      <x:c r="AB1456" t="str">
        <x:f>IF(K1456="","",TEXT(K1456,"yyyy-mm"))</x:f>
      </x:c>
      <x:c r="AC1456" t="str">
        <x:f>"Q"&amp;ROUNDUP(MONTH(B1456)/3,0)&amp;"-"&amp;YEAR(B1456)</x:f>
        <x:v>Q3-2025</x:v>
      </x:c>
      <x:c r="AD1456" s="26" t="n">
        <x:f>MIN(100,IF(H1456="Enterprise",30,IF(H1456="Mid-Market",22,14))+IF(T1456="Enterprise",25,IF(T1456="Mid-Market",18,10))+IF(Q1456="Referral",25,IF(Q1456="Organic Search",20,IF(Q1456="Email",18,14)))+IF(G1456="Technology",10,5))</x:f>
        <x:v>49</x:v>
      </x:c>
      <x:c r="AE1456" t="str">
        <x:f>IF(U1456&lt;&gt;"Open",U1456,IF(N1456&gt;=0.8,"Commit",IF(N1456&gt;=0.5,"Best Case","Pipeline")))</x:f>
        <x:v>Commit</x:v>
      </x:c>
    </x:row>
    <x:row r="1457">
      <x:c r="A1457" t="str">
        <x:v>L01456</x:v>
      </x:c>
      <x:c r="B1457" s="10" t="n">
        <x:v>46116</x:v>
      </x:c>
      <x:c r="C1457" t="str">
        <x:v>Tuan Bui</x:v>
      </x:c>
      <x:c r="D1457" t="str">
        <x:v>Central</x:v>
      </x:c>
      <x:c r="E1457" t="str">
        <x:v>LI Ads</x:v>
      </x:c>
      <x:c r="F1457" t="str">
        <x:v>CRM-PRO</x:v>
      </x:c>
      <x:c r="G1457" t="str">
        <x:v>Manufacturing</x:v>
      </x:c>
      <x:c r="H1457" t="str">
        <x:v>SMB</x:v>
      </x:c>
      <x:c r="I1457" t="str">
        <x:v>Closed Lost</x:v>
      </x:c>
      <x:c r="J1457" s="10" t="n">
        <x:v>46124</x:v>
      </x:c>
      <x:c r="K1457" s="10" t="n">
        <x:v>46124</x:v>
      </x:c>
      <x:c r="L1457" s="22" t="n">
        <x:v>16300</x:v>
      </x:c>
      <x:c r="M1457" s="24" t="n">
        <x:v>0</x:v>
      </x:c>
      <x:c r="N1457" s="24" t="n">
        <x:v>0</x:v>
      </x:c>
      <x:c r="O1457" t="str">
        <x:v>Price</x:v>
      </x:c>
      <x:c r="P1457" t="n">
        <x:v>4</x:v>
      </x:c>
      <x:c r="Q1457" t="str">
        <x:f>IFERROR(XLOOKUP(E1457,Lookups!$A$5:$A$24,Lookups!$B$5:$B$24),"Other")</x:f>
        <x:v>LinkedIn</x:v>
      </x:c>
      <x:c r="R1457" t="str">
        <x:f>IFERROR(XLOOKUP(F1457,Lookups!$D$5:$D$10,Lookups!$E$5:$E$10),"Unknown Product")</x:f>
        <x:v>NexaCRM Pro</x:v>
      </x:c>
      <x:c r="S1457" t="str">
        <x:f>IFERROR(XLOOKUP(F1457,Lookups!$D$5:$D$10,Lookups!$F$5:$F$10),"Unknown")</x:f>
        <x:v>CRM</x:v>
      </x:c>
      <x:c r="T1457" t="str">
        <x:f>IF(L1457&gt;=50000,"Enterprise",IF(L1457&gt;=20000,"Mid-Market","SMB"))</x:f>
        <x:v>SMB</x:v>
      </x:c>
      <x:c r="U1457" t="str">
        <x:f>IF(I1457="Closed Won","Won",IF(I1457="Closed Lost","Lost","Open"))</x:f>
        <x:v>Lost</x:v>
      </x:c>
      <x:c r="V1457" s="22" t="n">
        <x:f>IF(U1457="Won",L1457*(1-M1457),0)</x:f>
        <x:v>0</x:v>
      </x:c>
      <x:c r="W1457" s="22" t="n">
        <x:f>IF(U1457="Open",L1457*N1457,0)</x:f>
        <x:v>0</x:v>
      </x:c>
      <x:c r="X1457" s="26" t="n">
        <x:f>IF(U1457="Open","",IFERROR(K1457-B1457,""))</x:f>
        <x:v>8</x:v>
      </x:c>
      <x:c r="Y1457" s="26" t="n">
        <x:f>IF(U1457="Open",Lookups!$B$2-B1457,X1457)</x:f>
        <x:v>8</x:v>
      </x:c>
      <x:c r="Z1457" t="str">
        <x:f>IF(AND(U1457="Open",Y1457&gt;30),"STALE","OK")</x:f>
        <x:v>OK</x:v>
      </x:c>
      <x:c r="AA1457" t="str">
        <x:f>TEXT(B1457,"yyyy-mm")</x:f>
        <x:v>2026-04</x:v>
      </x:c>
      <x:c r="AB1457" t="str">
        <x:f>IF(K1457="","",TEXT(K1457,"yyyy-mm"))</x:f>
        <x:v>2026-04</x:v>
      </x:c>
      <x:c r="AC1457" t="str">
        <x:f>"Q"&amp;ROUNDUP(MONTH(B1457)/3,0)&amp;"-"&amp;YEAR(B1457)</x:f>
        <x:v>Q2-2026</x:v>
      </x:c>
      <x:c r="AD1457" s="26" t="n">
        <x:f>MIN(100,IF(H1457="Enterprise",30,IF(H1457="Mid-Market",22,14))+IF(T1457="Enterprise",25,IF(T1457="Mid-Market",18,10))+IF(Q1457="Referral",25,IF(Q1457="Organic Search",20,IF(Q1457="Email",18,14)))+IF(G1457="Technology",10,5))</x:f>
        <x:v>43</x:v>
      </x:c>
      <x:c r="AE1457" t="str">
        <x:f>IF(U1457&lt;&gt;"Open",U1457,IF(N1457&gt;=0.8,"Commit",IF(N1457&gt;=0.5,"Best Case","Pipeline")))</x:f>
        <x:v>Lost</x:v>
      </x:c>
    </x:row>
    <x:row r="1458">
      <x:c r="A1458" t="str">
        <x:v>L01457</x:v>
      </x:c>
      <x:c r="B1458" s="10" t="n">
        <x:v>46178</x:v>
      </x:c>
      <x:c r="C1458" t="str">
        <x:v>Bao Tran</x:v>
      </x:c>
      <x:c r="D1458" t="str">
        <x:v>South</x:v>
      </x:c>
      <x:c r="E1458" t="str">
        <x:v>customer referral</x:v>
      </x:c>
      <x:c r="F1458" t="str">
        <x:v>REV-OPS</x:v>
      </x:c>
      <x:c r="G1458" t="str">
        <x:v>Technology</x:v>
      </x:c>
      <x:c r="H1458" t="str">
        <x:v>SMB</x:v>
      </x:c>
      <x:c r="I1458" t="str">
        <x:v>Closed Lost</x:v>
      </x:c>
      <x:c r="J1458" s="10" t="n">
        <x:v>46260</x:v>
      </x:c>
      <x:c r="K1458" s="10" t="n">
        <x:v>46260</x:v>
      </x:c>
      <x:c r="L1458" s="22" t="n">
        <x:v>41700</x:v>
      </x:c>
      <x:c r="M1458" s="24" t="n">
        <x:v>0</x:v>
      </x:c>
      <x:c r="N1458" s="24" t="n">
        <x:v>0</x:v>
      </x:c>
      <x:c r="O1458" t="str">
        <x:v>No Decision</x:v>
      </x:c>
      <x:c r="P1458" t="n">
        <x:v>5</x:v>
      </x:c>
      <x:c r="Q1458" t="str">
        <x:f>IFERROR(XLOOKUP(E1458,Lookups!$A$5:$A$24,Lookups!$B$5:$B$24),"Other")</x:f>
        <x:v>Referral</x:v>
      </x:c>
      <x:c r="R1458" t="str">
        <x:f>IFERROR(XLOOKUP(F1458,Lookups!$D$5:$D$10,Lookups!$E$5:$E$10),"Unknown Product")</x:f>
        <x:v>Revenue Operations Suite</x:v>
      </x:c>
      <x:c r="S1458" t="str">
        <x:f>IFERROR(XLOOKUP(F1458,Lookups!$D$5:$D$10,Lookups!$F$5:$F$10),"Unknown")</x:f>
        <x:v>Revenue Ops</x:v>
      </x:c>
      <x:c r="T1458" t="str">
        <x:f>IF(L1458&gt;=50000,"Enterprise",IF(L1458&gt;=20000,"Mid-Market","SMB"))</x:f>
        <x:v>Mid-Market</x:v>
      </x:c>
      <x:c r="U1458" t="str">
        <x:f>IF(I1458="Closed Won","Won",IF(I1458="Closed Lost","Lost","Open"))</x:f>
        <x:v>Lost</x:v>
      </x:c>
      <x:c r="V1458" s="22" t="n">
        <x:f>IF(U1458="Won",L1458*(1-M1458),0)</x:f>
        <x:v>0</x:v>
      </x:c>
      <x:c r="W1458" s="22" t="n">
        <x:f>IF(U1458="Open",L1458*N1458,0)</x:f>
        <x:v>0</x:v>
      </x:c>
      <x:c r="X1458" s="26" t="n">
        <x:f>IF(U1458="Open","",IFERROR(K1458-B1458,""))</x:f>
        <x:v>82</x:v>
      </x:c>
      <x:c r="Y1458" s="26" t="n">
        <x:f>IF(U1458="Open",Lookups!$B$2-B1458,X1458)</x:f>
        <x:v>82</x:v>
      </x:c>
      <x:c r="Z1458" t="str">
        <x:f>IF(AND(U1458="Open",Y1458&gt;30),"STALE","OK")</x:f>
        <x:v>OK</x:v>
      </x:c>
      <x:c r="AA1458" t="str">
        <x:f>TEXT(B1458,"yyyy-mm")</x:f>
        <x:v>2026-06</x:v>
      </x:c>
      <x:c r="AB1458" t="str">
        <x:f>IF(K1458="","",TEXT(K1458,"yyyy-mm"))</x:f>
        <x:v>2026-08</x:v>
      </x:c>
      <x:c r="AC1458" t="str">
        <x:f>"Q"&amp;ROUNDUP(MONTH(B1458)/3,0)&amp;"-"&amp;YEAR(B1458)</x:f>
        <x:v>Q2-2026</x:v>
      </x:c>
      <x:c r="AD1458" s="26" t="n">
        <x:f>MIN(100,IF(H1458="Enterprise",30,IF(H1458="Mid-Market",22,14))+IF(T1458="Enterprise",25,IF(T1458="Mid-Market",18,10))+IF(Q1458="Referral",25,IF(Q1458="Organic Search",20,IF(Q1458="Email",18,14)))+IF(G1458="Technology",10,5))</x:f>
        <x:v>67</x:v>
      </x:c>
      <x:c r="AE1458" t="str">
        <x:f>IF(U1458&lt;&gt;"Open",U1458,IF(N1458&gt;=0.8,"Commit",IF(N1458&gt;=0.5,"Best Case","Pipeline")))</x:f>
        <x:v>Lost</x:v>
      </x:c>
    </x:row>
    <x:row r="1459">
      <x:c r="A1459" t="str">
        <x:v>L01458</x:v>
      </x:c>
      <x:c r="B1459" s="10" t="n">
        <x:v>45834</x:v>
      </x:c>
      <x:c r="C1459" t="str">
        <x:v>Ha Vo</x:v>
      </x:c>
      <x:c r="D1459" t="str">
        <x:v>North</x:v>
      </x:c>
      <x:c r="E1459" t="str">
        <x:v>Unknown Event</x:v>
      </x:c>
      <x:c r="F1459" t="str">
        <x:v>MKT-AUTO</x:v>
      </x:c>
      <x:c r="G1459" t="str">
        <x:v>Technology</x:v>
      </x:c>
      <x:c r="H1459" t="str">
        <x:v>SMB</x:v>
      </x:c>
      <x:c r="I1459" t="str">
        <x:v>Closed Lost</x:v>
      </x:c>
      <x:c r="J1459" s="10" t="n">
        <x:v>45857</x:v>
      </x:c>
      <x:c r="K1459" s="10" t="n">
        <x:v>45857</x:v>
      </x:c>
      <x:c r="L1459" s="22" t="n">
        <x:v>15700</x:v>
      </x:c>
      <x:c r="M1459" s="24" t="n">
        <x:v>0</x:v>
      </x:c>
      <x:c r="N1459" s="24" t="n">
        <x:v>0</x:v>
      </x:c>
      <x:c r="O1459" t="str">
        <x:v>Feature Gap</x:v>
      </x:c>
      <x:c r="P1459" t="n">
        <x:v>3</x:v>
      </x:c>
      <x:c r="Q1459" t="str">
        <x:f>IFERROR(XLOOKUP(E1459,Lookups!$A$5:$A$24,Lookups!$B$5:$B$24),"Other")</x:f>
        <x:v>Other</x:v>
      </x:c>
      <x:c r="R1459" t="str">
        <x:f>IFERROR(XLOOKUP(F1459,Lookups!$D$5:$D$10,Lookups!$E$5:$E$10),"Unknown Product")</x:f>
        <x:v>Marketing Automation</x:v>
      </x:c>
      <x:c r="S1459" t="str">
        <x:f>IFERROR(XLOOKUP(F1459,Lookups!$D$5:$D$10,Lookups!$F$5:$F$10),"Unknown")</x:f>
        <x:v>Marketing</x:v>
      </x:c>
      <x:c r="T1459" t="str">
        <x:f>IF(L1459&gt;=50000,"Enterprise",IF(L1459&gt;=20000,"Mid-Market","SMB"))</x:f>
        <x:v>SMB</x:v>
      </x:c>
      <x:c r="U1459" t="str">
        <x:f>IF(I1459="Closed Won","Won",IF(I1459="Closed Lost","Lost","Open"))</x:f>
        <x:v>Lost</x:v>
      </x:c>
      <x:c r="V1459" s="22" t="n">
        <x:f>IF(U1459="Won",L1459*(1-M1459),0)</x:f>
        <x:v>0</x:v>
      </x:c>
      <x:c r="W1459" s="22" t="n">
        <x:f>IF(U1459="Open",L1459*N1459,0)</x:f>
        <x:v>0</x:v>
      </x:c>
      <x:c r="X1459" s="26" t="n">
        <x:f>IF(U1459="Open","",IFERROR(K1459-B1459,""))</x:f>
        <x:v>23</x:v>
      </x:c>
      <x:c r="Y1459" s="26" t="n">
        <x:f>IF(U1459="Open",Lookups!$B$2-B1459,X1459)</x:f>
        <x:v>23</x:v>
      </x:c>
      <x:c r="Z1459" t="str">
        <x:f>IF(AND(U1459="Open",Y1459&gt;30),"STALE","OK")</x:f>
        <x:v>OK</x:v>
      </x:c>
      <x:c r="AA1459" t="str">
        <x:f>TEXT(B1459,"yyyy-mm")</x:f>
        <x:v>2025-06</x:v>
      </x:c>
      <x:c r="AB1459" t="str">
        <x:f>IF(K1459="","",TEXT(K1459,"yyyy-mm"))</x:f>
        <x:v>2025-07</x:v>
      </x:c>
      <x:c r="AC1459" t="str">
        <x:f>"Q"&amp;ROUNDUP(MONTH(B1459)/3,0)&amp;"-"&amp;YEAR(B1459)</x:f>
        <x:v>Q2-2025</x:v>
      </x:c>
      <x:c r="AD1459" s="26" t="n">
        <x:f>MIN(100,IF(H1459="Enterprise",30,IF(H1459="Mid-Market",22,14))+IF(T1459="Enterprise",25,IF(T1459="Mid-Market",18,10))+IF(Q1459="Referral",25,IF(Q1459="Organic Search",20,IF(Q1459="Email",18,14)))+IF(G1459="Technology",10,5))</x:f>
        <x:v>48</x:v>
      </x:c>
      <x:c r="AE1459" t="str">
        <x:f>IF(U1459&lt;&gt;"Open",U1459,IF(N1459&gt;=0.8,"Commit",IF(N1459&gt;=0.5,"Best Case","Pipeline")))</x:f>
        <x:v>Lost</x:v>
      </x:c>
    </x:row>
    <x:row r="1460">
      <x:c r="A1460" t="str">
        <x:v>L01459</x:v>
      </x:c>
      <x:c r="B1460" s="10" t="n">
        <x:v>46092</x:v>
      </x:c>
      <x:c r="C1460" t="str">
        <x:v>Tuan Bui</x:v>
      </x:c>
      <x:c r="D1460" t="str">
        <x:v>Central</x:v>
      </x:c>
      <x:c r="E1460" t="str">
        <x:v>SEM - Google</x:v>
      </x:c>
      <x:c r="F1460" t="str">
        <x:v>BI-PLUS</x:v>
      </x:c>
      <x:c r="G1460" t="str">
        <x:v>Professional Services</x:v>
      </x:c>
      <x:c r="H1460" t="str">
        <x:v>SMB</x:v>
      </x:c>
      <x:c r="I1460" t="str">
        <x:v>Closed Won</x:v>
      </x:c>
      <x:c r="J1460" s="10" t="n">
        <x:v>46166</x:v>
      </x:c>
      <x:c r="K1460" s="10" t="n">
        <x:v>46166</x:v>
      </x:c>
      <x:c r="L1460" s="22" t="n">
        <x:v>16800</x:v>
      </x:c>
      <x:c r="M1460" s="24" t="n">
        <x:v>0.08</x:v>
      </x:c>
      <x:c r="N1460" s="24" t="n">
        <x:v>1</x:v>
      </x:c>
      <x:c r="O1460" t="str"/>
      <x:c r="P1460" t="n">
        <x:v>6</x:v>
      </x:c>
      <x:c r="Q1460" t="str">
        <x:f>IFERROR(XLOOKUP(E1460,Lookups!$A$5:$A$24,Lookups!$B$5:$B$24),"Other")</x:f>
        <x:v>Paid Search</x:v>
      </x:c>
      <x:c r="R1460" t="str">
        <x:f>IFERROR(XLOOKUP(F1460,Lookups!$D$5:$D$10,Lookups!$E$5:$E$10),"Unknown Product")</x:f>
        <x:v>Analytics Plus</x:v>
      </x:c>
      <x:c r="S1460" t="str">
        <x:f>IFERROR(XLOOKUP(F1460,Lookups!$D$5:$D$10,Lookups!$F$5:$F$10),"Unknown")</x:f>
        <x:v>Analytics</x:v>
      </x:c>
      <x:c r="T1460" t="str">
        <x:f>IF(L1460&gt;=50000,"Enterprise",IF(L1460&gt;=20000,"Mid-Market","SMB"))</x:f>
        <x:v>SMB</x:v>
      </x:c>
      <x:c r="U1460" t="str">
        <x:f>IF(I1460="Closed Won","Won",IF(I1460="Closed Lost","Lost","Open"))</x:f>
        <x:v>Won</x:v>
      </x:c>
      <x:c r="V1460" s="22" t="n">
        <x:f>IF(U1460="Won",L1460*(1-M1460),0)</x:f>
        <x:v>15456</x:v>
      </x:c>
      <x:c r="W1460" s="22" t="n">
        <x:f>IF(U1460="Open",L1460*N1460,0)</x:f>
        <x:v>0</x:v>
      </x:c>
      <x:c r="X1460" s="26" t="n">
        <x:f>IF(U1460="Open","",IFERROR(K1460-B1460,""))</x:f>
        <x:v>74</x:v>
      </x:c>
      <x:c r="Y1460" s="26" t="n">
        <x:f>IF(U1460="Open",Lookups!$B$2-B1460,X1460)</x:f>
        <x:v>74</x:v>
      </x:c>
      <x:c r="Z1460" t="str">
        <x:f>IF(AND(U1460="Open",Y1460&gt;30),"STALE","OK")</x:f>
        <x:v>OK</x:v>
      </x:c>
      <x:c r="AA1460" t="str">
        <x:f>TEXT(B1460,"yyyy-mm")</x:f>
        <x:v>2026-03</x:v>
      </x:c>
      <x:c r="AB1460" t="str">
        <x:f>IF(K1460="","",TEXT(K1460,"yyyy-mm"))</x:f>
        <x:v>2026-05</x:v>
      </x:c>
      <x:c r="AC1460" t="str">
        <x:f>"Q"&amp;ROUNDUP(MONTH(B1460)/3,0)&amp;"-"&amp;YEAR(B1460)</x:f>
        <x:v>Q1-2026</x:v>
      </x:c>
      <x:c r="AD1460" s="26" t="n">
        <x:f>MIN(100,IF(H1460="Enterprise",30,IF(H1460="Mid-Market",22,14))+IF(T1460="Enterprise",25,IF(T1460="Mid-Market",18,10))+IF(Q1460="Referral",25,IF(Q1460="Organic Search",20,IF(Q1460="Email",18,14)))+IF(G1460="Technology",10,5))</x:f>
        <x:v>43</x:v>
      </x:c>
      <x:c r="AE1460" t="str">
        <x:f>IF(U1460&lt;&gt;"Open",U1460,IF(N1460&gt;=0.8,"Commit",IF(N1460&gt;=0.5,"Best Case","Pipeline")))</x:f>
        <x:v>Won</x:v>
      </x:c>
    </x:row>
    <x:row r="1461">
      <x:c r="A1461" t="str">
        <x:v>L01460</x:v>
      </x:c>
      <x:c r="B1461" s="10" t="n">
        <x:v>46086</x:v>
      </x:c>
      <x:c r="C1461" t="str">
        <x:v>Bao Tran</x:v>
      </x:c>
      <x:c r="D1461" t="str">
        <x:v>South</x:v>
      </x:c>
      <x:c r="E1461" t="str">
        <x:v>newsletter</x:v>
      </x:c>
      <x:c r="F1461" t="str">
        <x:v>CRM-PRO</x:v>
      </x:c>
      <x:c r="G1461" t="str">
        <x:v>Technology</x:v>
      </x:c>
      <x:c r="H1461" t="str">
        <x:v>Mid-Market</x:v>
      </x:c>
      <x:c r="I1461" t="str">
        <x:v>Closed Lost</x:v>
      </x:c>
      <x:c r="J1461" s="10" t="n">
        <x:v>46094</x:v>
      </x:c>
      <x:c r="K1461" s="10" t="n">
        <x:v>46094</x:v>
      </x:c>
      <x:c r="L1461" s="22" t="n">
        <x:v>19800</x:v>
      </x:c>
      <x:c r="M1461" s="24" t="n">
        <x:v>0</x:v>
      </x:c>
      <x:c r="N1461" s="24" t="n">
        <x:v>0</x:v>
      </x:c>
      <x:c r="O1461" t="str">
        <x:v>Timing</x:v>
      </x:c>
      <x:c r="P1461" t="n">
        <x:v>5</x:v>
      </x:c>
      <x:c r="Q1461" t="str">
        <x:f>IFERROR(XLOOKUP(E1461,Lookups!$A$5:$A$24,Lookups!$B$5:$B$24),"Other")</x:f>
        <x:v>Email</x:v>
      </x:c>
      <x:c r="R1461" t="str">
        <x:f>IFERROR(XLOOKUP(F1461,Lookups!$D$5:$D$10,Lookups!$E$5:$E$10),"Unknown Product")</x:f>
        <x:v>NexaCRM Pro</x:v>
      </x:c>
      <x:c r="S1461" t="str">
        <x:f>IFERROR(XLOOKUP(F1461,Lookups!$D$5:$D$10,Lookups!$F$5:$F$10),"Unknown")</x:f>
        <x:v>CRM</x:v>
      </x:c>
      <x:c r="T1461" t="str">
        <x:f>IF(L1461&gt;=50000,"Enterprise",IF(L1461&gt;=20000,"Mid-Market","SMB"))</x:f>
        <x:v>SMB</x:v>
      </x:c>
      <x:c r="U1461" t="str">
        <x:f>IF(I1461="Closed Won","Won",IF(I1461="Closed Lost","Lost","Open"))</x:f>
        <x:v>Lost</x:v>
      </x:c>
      <x:c r="V1461" s="22" t="n">
        <x:f>IF(U1461="Won",L1461*(1-M1461),0)</x:f>
        <x:v>0</x:v>
      </x:c>
      <x:c r="W1461" s="22" t="n">
        <x:f>IF(U1461="Open",L1461*N1461,0)</x:f>
        <x:v>0</x:v>
      </x:c>
      <x:c r="X1461" s="26" t="n">
        <x:f>IF(U1461="Open","",IFERROR(K1461-B1461,""))</x:f>
        <x:v>8</x:v>
      </x:c>
      <x:c r="Y1461" s="26" t="n">
        <x:f>IF(U1461="Open",Lookups!$B$2-B1461,X1461)</x:f>
        <x:v>8</x:v>
      </x:c>
      <x:c r="Z1461" t="str">
        <x:f>IF(AND(U1461="Open",Y1461&gt;30),"STALE","OK")</x:f>
        <x:v>OK</x:v>
      </x:c>
      <x:c r="AA1461" t="str">
        <x:f>TEXT(B1461,"yyyy-mm")</x:f>
        <x:v>2026-03</x:v>
      </x:c>
      <x:c r="AB1461" t="str">
        <x:f>IF(K1461="","",TEXT(K1461,"yyyy-mm"))</x:f>
        <x:v>2026-03</x:v>
      </x:c>
      <x:c r="AC1461" t="str">
        <x:f>"Q"&amp;ROUNDUP(MONTH(B1461)/3,0)&amp;"-"&amp;YEAR(B1461)</x:f>
        <x:v>Q1-2026</x:v>
      </x:c>
      <x:c r="AD1461" s="26" t="n">
        <x:f>MIN(100,IF(H1461="Enterprise",30,IF(H1461="Mid-Market",22,14))+IF(T1461="Enterprise",25,IF(T1461="Mid-Market",18,10))+IF(Q1461="Referral",25,IF(Q1461="Organic Search",20,IF(Q1461="Email",18,14)))+IF(G1461="Technology",10,5))</x:f>
        <x:v>60</x:v>
      </x:c>
      <x:c r="AE1461" t="str">
        <x:f>IF(U1461&lt;&gt;"Open",U1461,IF(N1461&gt;=0.8,"Commit",IF(N1461&gt;=0.5,"Best Case","Pipeline")))</x:f>
        <x:v>Lost</x:v>
      </x:c>
    </x:row>
    <x:row r="1462">
      <x:c r="A1462" t="str">
        <x:v>L01461</x:v>
      </x:c>
      <x:c r="B1462" s="10" t="n">
        <x:v>46263</x:v>
      </x:c>
      <x:c r="C1462" t="str">
        <x:v>Ha Vo</x:v>
      </x:c>
      <x:c r="D1462" t="str">
        <x:v>North</x:v>
      </x:c>
      <x:c r="E1462" t="str">
        <x:v>SEM - Google</x:v>
      </x:c>
      <x:c r="F1462" t="str">
        <x:v>CRM-CORE</x:v>
      </x:c>
      <x:c r="G1462" t="str">
        <x:v>Healthcare</x:v>
      </x:c>
      <x:c r="H1462" t="str">
        <x:v>Mid-Market</x:v>
      </x:c>
      <x:c r="I1462" t="str">
        <x:v>New</x:v>
      </x:c>
      <x:c r="J1462" s="10" t="n">
        <x:v>46265</x:v>
      </x:c>
      <x:c r="K1462" s="10"/>
      <x:c r="L1462" s="22" t="n">
        <x:v>8800</x:v>
      </x:c>
      <x:c r="M1462" s="24" t="n">
        <x:v>0</x:v>
      </x:c>
      <x:c r="N1462" s="24" t="n">
        <x:v>0.05</x:v>
      </x:c>
      <x:c r="O1462" t="str"/>
      <x:c r="P1462" t="n">
        <x:v>1</x:v>
      </x:c>
      <x:c r="Q1462" t="str">
        <x:f>IFERROR(XLOOKUP(E1462,Lookups!$A$5:$A$24,Lookups!$B$5:$B$24),"Other")</x:f>
        <x:v>Paid Search</x:v>
      </x:c>
      <x:c r="R1462" t="str">
        <x:f>IFERROR(XLOOKUP(F1462,Lookups!$D$5:$D$10,Lookups!$E$5:$E$10),"Unknown Product")</x:f>
        <x:v>NexaCRM Core</x:v>
      </x:c>
      <x:c r="S1462" t="str">
        <x:f>IFERROR(XLOOKUP(F1462,Lookups!$D$5:$D$10,Lookups!$F$5:$F$10),"Unknown")</x:f>
        <x:v>CRM</x:v>
      </x:c>
      <x:c r="T1462" t="str">
        <x:f>IF(L1462&gt;=50000,"Enterprise",IF(L1462&gt;=20000,"Mid-Market","SMB"))</x:f>
        <x:v>SMB</x:v>
      </x:c>
      <x:c r="U1462" t="str">
        <x:f>IF(I1462="Closed Won","Won",IF(I1462="Closed Lost","Lost","Open"))</x:f>
        <x:v>Open</x:v>
      </x:c>
      <x:c r="V1462" s="22" t="n">
        <x:f>IF(U1462="Won",L1462*(1-M1462),0)</x:f>
        <x:v>0</x:v>
      </x:c>
      <x:c r="W1462" s="22" t="n">
        <x:f>IF(U1462="Open",L1462*N1462,0)</x:f>
        <x:v>440</x:v>
      </x:c>
      <x:c r="X1462" s="26" t="str">
        <x:f>IF(U1462="Open","",IFERROR(K1462-B1462,""))</x:f>
      </x:c>
      <x:c r="Y1462" s="26" t="n">
        <x:f>IF(U1462="Open",Lookups!$B$2-B1462,X1462)</x:f>
        <x:v>3</x:v>
      </x:c>
      <x:c r="Z1462" t="str">
        <x:f>IF(AND(U1462="Open",Y1462&gt;30),"STALE","OK")</x:f>
        <x:v>OK</x:v>
      </x:c>
      <x:c r="AA1462" t="str">
        <x:f>TEXT(B1462,"yyyy-mm")</x:f>
        <x:v>2026-08</x:v>
      </x:c>
      <x:c r="AB1462" t="str">
        <x:f>IF(K1462="","",TEXT(K1462,"yyyy-mm"))</x:f>
      </x:c>
      <x:c r="AC1462" t="str">
        <x:f>"Q"&amp;ROUNDUP(MONTH(B1462)/3,0)&amp;"-"&amp;YEAR(B1462)</x:f>
        <x:v>Q3-2026</x:v>
      </x:c>
      <x:c r="AD1462" s="26" t="n">
        <x:f>MIN(100,IF(H1462="Enterprise",30,IF(H1462="Mid-Market",22,14))+IF(T1462="Enterprise",25,IF(T1462="Mid-Market",18,10))+IF(Q1462="Referral",25,IF(Q1462="Organic Search",20,IF(Q1462="Email",18,14)))+IF(G1462="Technology",10,5))</x:f>
        <x:v>51</x:v>
      </x:c>
      <x:c r="AE1462" t="str">
        <x:f>IF(U1462&lt;&gt;"Open",U1462,IF(N1462&gt;=0.8,"Commit",IF(N1462&gt;=0.5,"Best Case","Pipeline")))</x:f>
        <x:v>Pipeline</x:v>
      </x:c>
    </x:row>
    <x:row r="1463">
      <x:c r="A1463" t="str">
        <x:v>L01462</x:v>
      </x:c>
      <x:c r="B1463" s="10" t="n">
        <x:v>45794</x:v>
      </x:c>
      <x:c r="C1463" t="str">
        <x:v>Bao Tran</x:v>
      </x:c>
      <x:c r="D1463" t="str">
        <x:v>South</x:v>
      </x:c>
      <x:c r="E1463" t="str">
        <x:v>LinkedIn Ads</x:v>
      </x:c>
      <x:c r="F1463" t="str">
        <x:v>CRM-CORE</x:v>
      </x:c>
      <x:c r="G1463" t="str">
        <x:v>Retail</x:v>
      </x:c>
      <x:c r="H1463" t="str">
        <x:v>Mid-Market</x:v>
      </x:c>
      <x:c r="I1463" t="str">
        <x:v>Closed Lost</x:v>
      </x:c>
      <x:c r="J1463" s="10" t="n">
        <x:v>45840</x:v>
      </x:c>
      <x:c r="K1463" s="10" t="n">
        <x:v>45840</x:v>
      </x:c>
      <x:c r="L1463" s="22" t="n">
        <x:v>14200</x:v>
      </x:c>
      <x:c r="M1463" s="24" t="n">
        <x:v>0</x:v>
      </x:c>
      <x:c r="N1463" s="24" t="n">
        <x:v>0</x:v>
      </x:c>
      <x:c r="O1463" t="str">
        <x:v>Price</x:v>
      </x:c>
      <x:c r="P1463" t="n">
        <x:v>3</x:v>
      </x:c>
      <x:c r="Q1463" t="str">
        <x:f>IFERROR(XLOOKUP(E1463,Lookups!$A$5:$A$24,Lookups!$B$5:$B$24),"Other")</x:f>
        <x:v>LinkedIn</x:v>
      </x:c>
      <x:c r="R1463" t="str">
        <x:f>IFERROR(XLOOKUP(F1463,Lookups!$D$5:$D$10,Lookups!$E$5:$E$10),"Unknown Product")</x:f>
        <x:v>NexaCRM Core</x:v>
      </x:c>
      <x:c r="S1463" t="str">
        <x:f>IFERROR(XLOOKUP(F1463,Lookups!$D$5:$D$10,Lookups!$F$5:$F$10),"Unknown")</x:f>
        <x:v>CRM</x:v>
      </x:c>
      <x:c r="T1463" t="str">
        <x:f>IF(L1463&gt;=50000,"Enterprise",IF(L1463&gt;=20000,"Mid-Market","SMB"))</x:f>
        <x:v>SMB</x:v>
      </x:c>
      <x:c r="U1463" t="str">
        <x:f>IF(I1463="Closed Won","Won",IF(I1463="Closed Lost","Lost","Open"))</x:f>
        <x:v>Lost</x:v>
      </x:c>
      <x:c r="V1463" s="22" t="n">
        <x:f>IF(U1463="Won",L1463*(1-M1463),0)</x:f>
        <x:v>0</x:v>
      </x:c>
      <x:c r="W1463" s="22" t="n">
        <x:f>IF(U1463="Open",L1463*N1463,0)</x:f>
        <x:v>0</x:v>
      </x:c>
      <x:c r="X1463" s="26" t="n">
        <x:f>IF(U1463="Open","",IFERROR(K1463-B1463,""))</x:f>
        <x:v>46</x:v>
      </x:c>
      <x:c r="Y1463" s="26" t="n">
        <x:f>IF(U1463="Open",Lookups!$B$2-B1463,X1463)</x:f>
        <x:v>46</x:v>
      </x:c>
      <x:c r="Z1463" t="str">
        <x:f>IF(AND(U1463="Open",Y1463&gt;30),"STALE","OK")</x:f>
        <x:v>OK</x:v>
      </x:c>
      <x:c r="AA1463" t="str">
        <x:f>TEXT(B1463,"yyyy-mm")</x:f>
        <x:v>2025-05</x:v>
      </x:c>
      <x:c r="AB1463" t="str">
        <x:f>IF(K1463="","",TEXT(K1463,"yyyy-mm"))</x:f>
        <x:v>2025-07</x:v>
      </x:c>
      <x:c r="AC1463" t="str">
        <x:f>"Q"&amp;ROUNDUP(MONTH(B1463)/3,0)&amp;"-"&amp;YEAR(B1463)</x:f>
        <x:v>Q2-2025</x:v>
      </x:c>
      <x:c r="AD1463" s="26" t="n">
        <x:f>MIN(100,IF(H1463="Enterprise",30,IF(H1463="Mid-Market",22,14))+IF(T1463="Enterprise",25,IF(T1463="Mid-Market",18,10))+IF(Q1463="Referral",25,IF(Q1463="Organic Search",20,IF(Q1463="Email",18,14)))+IF(G1463="Technology",10,5))</x:f>
        <x:v>51</x:v>
      </x:c>
      <x:c r="AE1463" t="str">
        <x:f>IF(U1463&lt;&gt;"Open",U1463,IF(N1463&gt;=0.8,"Commit",IF(N1463&gt;=0.5,"Best Case","Pipeline")))</x:f>
        <x:v>Lost</x:v>
      </x:c>
    </x:row>
    <x:row r="1464">
      <x:c r="A1464" t="str">
        <x:v>L01463</x:v>
      </x:c>
      <x:c r="B1464" s="10" t="n">
        <x:v>45921</x:v>
      </x:c>
      <x:c r="C1464" t="str">
        <x:v>Quynh Vu</x:v>
      </x:c>
      <x:c r="D1464" t="str">
        <x:v>North</x:v>
      </x:c>
      <x:c r="E1464" t="str">
        <x:v>virtual event</x:v>
      </x:c>
      <x:c r="F1464" t="str">
        <x:v>CRM-PRO</x:v>
      </x:c>
      <x:c r="G1464" t="str">
        <x:v>Professional Services</x:v>
      </x:c>
      <x:c r="H1464" t="str">
        <x:v>SMB</x:v>
      </x:c>
      <x:c r="I1464" t="str">
        <x:v>Closed Lost</x:v>
      </x:c>
      <x:c r="J1464" s="10" t="n">
        <x:v>45989</x:v>
      </x:c>
      <x:c r="K1464" s="10" t="n">
        <x:v>45989</x:v>
      </x:c>
      <x:c r="L1464" s="22" t="n">
        <x:v>19500</x:v>
      </x:c>
      <x:c r="M1464" s="24" t="n">
        <x:v>0</x:v>
      </x:c>
      <x:c r="N1464" s="24" t="n">
        <x:v>0</x:v>
      </x:c>
      <x:c r="O1464" t="str">
        <x:v>Competitor</x:v>
      </x:c>
      <x:c r="P1464" t="n">
        <x:v>4</x:v>
      </x:c>
      <x:c r="Q1464" t="str">
        <x:f>IFERROR(XLOOKUP(E1464,Lookups!$A$5:$A$24,Lookups!$B$5:$B$24),"Other")</x:f>
        <x:v>Webinar</x:v>
      </x:c>
      <x:c r="R1464" t="str">
        <x:f>IFERROR(XLOOKUP(F1464,Lookups!$D$5:$D$10,Lookups!$E$5:$E$10),"Unknown Product")</x:f>
        <x:v>NexaCRM Pro</x:v>
      </x:c>
      <x:c r="S1464" t="str">
        <x:f>IFERROR(XLOOKUP(F1464,Lookups!$D$5:$D$10,Lookups!$F$5:$F$10),"Unknown")</x:f>
        <x:v>CRM</x:v>
      </x:c>
      <x:c r="T1464" t="str">
        <x:f>IF(L1464&gt;=50000,"Enterprise",IF(L1464&gt;=20000,"Mid-Market","SMB"))</x:f>
        <x:v>SMB</x:v>
      </x:c>
      <x:c r="U1464" t="str">
        <x:f>IF(I1464="Closed Won","Won",IF(I1464="Closed Lost","Lost","Open"))</x:f>
        <x:v>Lost</x:v>
      </x:c>
      <x:c r="V1464" s="22" t="n">
        <x:f>IF(U1464="Won",L1464*(1-M1464),0)</x:f>
        <x:v>0</x:v>
      </x:c>
      <x:c r="W1464" s="22" t="n">
        <x:f>IF(U1464="Open",L1464*N1464,0)</x:f>
        <x:v>0</x:v>
      </x:c>
      <x:c r="X1464" s="26" t="n">
        <x:f>IF(U1464="Open","",IFERROR(K1464-B1464,""))</x:f>
        <x:v>68</x:v>
      </x:c>
      <x:c r="Y1464" s="26" t="n">
        <x:f>IF(U1464="Open",Lookups!$B$2-B1464,X1464)</x:f>
        <x:v>68</x:v>
      </x:c>
      <x:c r="Z1464" t="str">
        <x:f>IF(AND(U1464="Open",Y1464&gt;30),"STALE","OK")</x:f>
        <x:v>OK</x:v>
      </x:c>
      <x:c r="AA1464" t="str">
        <x:f>TEXT(B1464,"yyyy-mm")</x:f>
        <x:v>2025-09</x:v>
      </x:c>
      <x:c r="AB1464" t="str">
        <x:f>IF(K1464="","",TEXT(K1464,"yyyy-mm"))</x:f>
        <x:v>2025-11</x:v>
      </x:c>
      <x:c r="AC1464" t="str">
        <x:f>"Q"&amp;ROUNDUP(MONTH(B1464)/3,0)&amp;"-"&amp;YEAR(B1464)</x:f>
        <x:v>Q3-2025</x:v>
      </x:c>
      <x:c r="AD1464" s="26" t="n">
        <x:f>MIN(100,IF(H1464="Enterprise",30,IF(H1464="Mid-Market",22,14))+IF(T1464="Enterprise",25,IF(T1464="Mid-Market",18,10))+IF(Q1464="Referral",25,IF(Q1464="Organic Search",20,IF(Q1464="Email",18,14)))+IF(G1464="Technology",10,5))</x:f>
        <x:v>43</x:v>
      </x:c>
      <x:c r="AE1464" t="str">
        <x:f>IF(U1464&lt;&gt;"Open",U1464,IF(N1464&gt;=0.8,"Commit",IF(N1464&gt;=0.5,"Best Case","Pipeline")))</x:f>
        <x:v>Lost</x:v>
      </x:c>
    </x:row>
    <x:row r="1465">
      <x:c r="A1465" t="str">
        <x:v>L01464</x:v>
      </x:c>
      <x:c r="B1465" s="10" t="n">
        <x:v>45685</x:v>
      </x:c>
      <x:c r="C1465" t="str">
        <x:v>Tuan Bui</x:v>
      </x:c>
      <x:c r="D1465" t="str">
        <x:v>Central</x:v>
      </x:c>
      <x:c r="E1465" t="str">
        <x:v>Google Organic</x:v>
      </x:c>
      <x:c r="F1465" t="str">
        <x:v>MKT-AUTO</x:v>
      </x:c>
      <x:c r="G1465" t="str">
        <x:v>Retail</x:v>
      </x:c>
      <x:c r="H1465" t="str">
        <x:v>Enterprise</x:v>
      </x:c>
      <x:c r="I1465" t="str">
        <x:v>Closed Won</x:v>
      </x:c>
      <x:c r="J1465" s="10" t="n">
        <x:v>45766</x:v>
      </x:c>
      <x:c r="K1465" s="10" t="n">
        <x:v>45766</x:v>
      </x:c>
      <x:c r="L1465" s="22" t="n">
        <x:v>67900</x:v>
      </x:c>
      <x:c r="M1465" s="24" t="n">
        <x:v>0.12</x:v>
      </x:c>
      <x:c r="N1465" s="24" t="n">
        <x:v>1</x:v>
      </x:c>
      <x:c r="O1465" t="str"/>
      <x:c r="P1465" t="n">
        <x:v>6</x:v>
      </x:c>
      <x:c r="Q1465" t="str">
        <x:f>IFERROR(XLOOKUP(E1465,Lookups!$A$5:$A$24,Lookups!$B$5:$B$24),"Other")</x:f>
        <x:v>Organic Search</x:v>
      </x:c>
      <x:c r="R1465" t="str">
        <x:f>IFERROR(XLOOKUP(F1465,Lookups!$D$5:$D$10,Lookups!$E$5:$E$10),"Unknown Product")</x:f>
        <x:v>Marketing Automation</x:v>
      </x:c>
      <x:c r="S1465" t="str">
        <x:f>IFERROR(XLOOKUP(F1465,Lookups!$D$5:$D$10,Lookups!$F$5:$F$10),"Unknown")</x:f>
        <x:v>Marketing</x:v>
      </x:c>
      <x:c r="T1465" t="str">
        <x:f>IF(L1465&gt;=50000,"Enterprise",IF(L1465&gt;=20000,"Mid-Market","SMB"))</x:f>
        <x:v>Enterprise</x:v>
      </x:c>
      <x:c r="U1465" t="str">
        <x:f>IF(I1465="Closed Won","Won",IF(I1465="Closed Lost","Lost","Open"))</x:f>
        <x:v>Won</x:v>
      </x:c>
      <x:c r="V1465" s="22" t="n">
        <x:f>IF(U1465="Won",L1465*(1-M1465),0)</x:f>
        <x:v>59752</x:v>
      </x:c>
      <x:c r="W1465" s="22" t="n">
        <x:f>IF(U1465="Open",L1465*N1465,0)</x:f>
        <x:v>0</x:v>
      </x:c>
      <x:c r="X1465" s="26" t="n">
        <x:f>IF(U1465="Open","",IFERROR(K1465-B1465,""))</x:f>
        <x:v>81</x:v>
      </x:c>
      <x:c r="Y1465" s="26" t="n">
        <x:f>IF(U1465="Open",Lookups!$B$2-B1465,X1465)</x:f>
        <x:v>81</x:v>
      </x:c>
      <x:c r="Z1465" t="str">
        <x:f>IF(AND(U1465="Open",Y1465&gt;30),"STALE","OK")</x:f>
        <x:v>OK</x:v>
      </x:c>
      <x:c r="AA1465" t="str">
        <x:f>TEXT(B1465,"yyyy-mm")</x:f>
        <x:v>2025-01</x:v>
      </x:c>
      <x:c r="AB1465" t="str">
        <x:f>IF(K1465="","",TEXT(K1465,"yyyy-mm"))</x:f>
        <x:v>2025-04</x:v>
      </x:c>
      <x:c r="AC1465" t="str">
        <x:f>"Q"&amp;ROUNDUP(MONTH(B1465)/3,0)&amp;"-"&amp;YEAR(B1465)</x:f>
        <x:v>Q1-2025</x:v>
      </x:c>
      <x:c r="AD1465" s="26" t="n">
        <x:f>MIN(100,IF(H1465="Enterprise",30,IF(H1465="Mid-Market",22,14))+IF(T1465="Enterprise",25,IF(T1465="Mid-Market",18,10))+IF(Q1465="Referral",25,IF(Q1465="Organic Search",20,IF(Q1465="Email",18,14)))+IF(G1465="Technology",10,5))</x:f>
        <x:v>80</x:v>
      </x:c>
      <x:c r="AE1465" t="str">
        <x:f>IF(U1465&lt;&gt;"Open",U1465,IF(N1465&gt;=0.8,"Commit",IF(N1465&gt;=0.5,"Best Case","Pipeline")))</x:f>
        <x:v>Won</x:v>
      </x:c>
    </x:row>
    <x:row r="1466">
      <x:c r="A1466" t="str">
        <x:v>L01465</x:v>
      </x:c>
      <x:c r="B1466" s="10" t="n">
        <x:v>46250</x:v>
      </x:c>
      <x:c r="C1466" t="str">
        <x:v>Minh Do</x:v>
      </x:c>
      <x:c r="D1466" t="str">
        <x:v>North</x:v>
      </x:c>
      <x:c r="E1466" t="str">
        <x:v>SEO</x:v>
      </x:c>
      <x:c r="F1466" t="str">
        <x:v>CS-CLOUD</x:v>
      </x:c>
      <x:c r="G1466" t="str">
        <x:v>Professional Services</x:v>
      </x:c>
      <x:c r="H1466" t="str">
        <x:v>Mid-Market</x:v>
      </x:c>
      <x:c r="I1466" t="str">
        <x:v>New</x:v>
      </x:c>
      <x:c r="J1466" s="10" t="n">
        <x:v>46261</x:v>
      </x:c>
      <x:c r="K1466" s="10"/>
      <x:c r="L1466" s="22" t="n">
        <x:v>33300</x:v>
      </x:c>
      <x:c r="M1466" s="24" t="n">
        <x:v>0</x:v>
      </x:c>
      <x:c r="N1466" s="24" t="n">
        <x:v>0.05</x:v>
      </x:c>
      <x:c r="O1466" t="str"/>
      <x:c r="P1466" t="n">
        <x:v>1</x:v>
      </x:c>
      <x:c r="Q1466" t="str">
        <x:f>IFERROR(XLOOKUP(E1466,Lookups!$A$5:$A$24,Lookups!$B$5:$B$24),"Other")</x:f>
        <x:v>Organic Search</x:v>
      </x:c>
      <x:c r="R1466" t="str">
        <x:f>IFERROR(XLOOKUP(F1466,Lookups!$D$5:$D$10,Lookups!$E$5:$E$10),"Unknown Product")</x:f>
        <x:v>Service Cloud</x:v>
      </x:c>
      <x:c r="S1466" t="str">
        <x:f>IFERROR(XLOOKUP(F1466,Lookups!$D$5:$D$10,Lookups!$F$5:$F$10),"Unknown")</x:f>
        <x:v>Customer Service</x:v>
      </x:c>
      <x:c r="T1466" t="str">
        <x:f>IF(L1466&gt;=50000,"Enterprise",IF(L1466&gt;=20000,"Mid-Market","SMB"))</x:f>
        <x:v>Mid-Market</x:v>
      </x:c>
      <x:c r="U1466" t="str">
        <x:f>IF(I1466="Closed Won","Won",IF(I1466="Closed Lost","Lost","Open"))</x:f>
        <x:v>Open</x:v>
      </x:c>
      <x:c r="V1466" s="22" t="n">
        <x:f>IF(U1466="Won",L1466*(1-M1466),0)</x:f>
        <x:v>0</x:v>
      </x:c>
      <x:c r="W1466" s="22" t="n">
        <x:f>IF(U1466="Open",L1466*N1466,0)</x:f>
        <x:v>1665</x:v>
      </x:c>
      <x:c r="X1466" s="26" t="str">
        <x:f>IF(U1466="Open","",IFERROR(K1466-B1466,""))</x:f>
      </x:c>
      <x:c r="Y1466" s="26" t="n">
        <x:f>IF(U1466="Open",Lookups!$B$2-B1466,X1466)</x:f>
        <x:v>16</x:v>
      </x:c>
      <x:c r="Z1466" t="str">
        <x:f>IF(AND(U1466="Open",Y1466&gt;30),"STALE","OK")</x:f>
        <x:v>OK</x:v>
      </x:c>
      <x:c r="AA1466" t="str">
        <x:f>TEXT(B1466,"yyyy-mm")</x:f>
        <x:v>2026-08</x:v>
      </x:c>
      <x:c r="AB1466" t="str">
        <x:f>IF(K1466="","",TEXT(K1466,"yyyy-mm"))</x:f>
      </x:c>
      <x:c r="AC1466" t="str">
        <x:f>"Q"&amp;ROUNDUP(MONTH(B1466)/3,0)&amp;"-"&amp;YEAR(B1466)</x:f>
        <x:v>Q3-2026</x:v>
      </x:c>
      <x:c r="AD1466" s="26" t="n">
        <x:f>MIN(100,IF(H1466="Enterprise",30,IF(H1466="Mid-Market",22,14))+IF(T1466="Enterprise",25,IF(T1466="Mid-Market",18,10))+IF(Q1466="Referral",25,IF(Q1466="Organic Search",20,IF(Q1466="Email",18,14)))+IF(G1466="Technology",10,5))</x:f>
        <x:v>65</x:v>
      </x:c>
      <x:c r="AE1466" t="str">
        <x:f>IF(U1466&lt;&gt;"Open",U1466,IF(N1466&gt;=0.8,"Commit",IF(N1466&gt;=0.5,"Best Case","Pipeline")))</x:f>
        <x:v>Pipeline</x:v>
      </x:c>
    </x:row>
    <x:row r="1467">
      <x:c r="A1467" t="str">
        <x:v>L01466</x:v>
      </x:c>
      <x:c r="B1467" s="10" t="n">
        <x:v>46140</x:v>
      </x:c>
      <x:c r="C1467" t="str">
        <x:v>Bao Tran</x:v>
      </x:c>
      <x:c r="D1467" t="str">
        <x:v>South</x:v>
      </x:c>
      <x:c r="E1467" t="str">
        <x:v>LI Ads</x:v>
      </x:c>
      <x:c r="F1467" t="str">
        <x:v>CRM-PRO</x:v>
      </x:c>
      <x:c r="G1467" t="str">
        <x:v>Manufacturing</x:v>
      </x:c>
      <x:c r="H1467" t="str">
        <x:v>Mid-Market</x:v>
      </x:c>
      <x:c r="I1467" t="str">
        <x:v>Closed Lost</x:v>
      </x:c>
      <x:c r="J1467" s="10" t="n">
        <x:v>46183</x:v>
      </x:c>
      <x:c r="K1467" s="10" t="n">
        <x:v>46183</x:v>
      </x:c>
      <x:c r="L1467" s="22" t="n">
        <x:v>33200</x:v>
      </x:c>
      <x:c r="M1467" s="24" t="n">
        <x:v>0</x:v>
      </x:c>
      <x:c r="N1467" s="24" t="n">
        <x:v>0</x:v>
      </x:c>
      <x:c r="O1467" t="str">
        <x:v>No Decision</x:v>
      </x:c>
      <x:c r="P1467" t="n">
        <x:v>2</x:v>
      </x:c>
      <x:c r="Q1467" t="str">
        <x:f>IFERROR(XLOOKUP(E1467,Lookups!$A$5:$A$24,Lookups!$B$5:$B$24),"Other")</x:f>
        <x:v>LinkedIn</x:v>
      </x:c>
      <x:c r="R1467" t="str">
        <x:f>IFERROR(XLOOKUP(F1467,Lookups!$D$5:$D$10,Lookups!$E$5:$E$10),"Unknown Product")</x:f>
        <x:v>NexaCRM Pro</x:v>
      </x:c>
      <x:c r="S1467" t="str">
        <x:f>IFERROR(XLOOKUP(F1467,Lookups!$D$5:$D$10,Lookups!$F$5:$F$10),"Unknown")</x:f>
        <x:v>CRM</x:v>
      </x:c>
      <x:c r="T1467" t="str">
        <x:f>IF(L1467&gt;=50000,"Enterprise",IF(L1467&gt;=20000,"Mid-Market","SMB"))</x:f>
        <x:v>Mid-Market</x:v>
      </x:c>
      <x:c r="U1467" t="str">
        <x:f>IF(I1467="Closed Won","Won",IF(I1467="Closed Lost","Lost","Open"))</x:f>
        <x:v>Lost</x:v>
      </x:c>
      <x:c r="V1467" s="22" t="n">
        <x:f>IF(U1467="Won",L1467*(1-M1467),0)</x:f>
        <x:v>0</x:v>
      </x:c>
      <x:c r="W1467" s="22" t="n">
        <x:f>IF(U1467="Open",L1467*N1467,0)</x:f>
        <x:v>0</x:v>
      </x:c>
      <x:c r="X1467" s="26" t="n">
        <x:f>IF(U1467="Open","",IFERROR(K1467-B1467,""))</x:f>
        <x:v>43</x:v>
      </x:c>
      <x:c r="Y1467" s="26" t="n">
        <x:f>IF(U1467="Open",Lookups!$B$2-B1467,X1467)</x:f>
        <x:v>43</x:v>
      </x:c>
      <x:c r="Z1467" t="str">
        <x:f>IF(AND(U1467="Open",Y1467&gt;30),"STALE","OK")</x:f>
        <x:v>OK</x:v>
      </x:c>
      <x:c r="AA1467" t="str">
        <x:f>TEXT(B1467,"yyyy-mm")</x:f>
        <x:v>2026-04</x:v>
      </x:c>
      <x:c r="AB1467" t="str">
        <x:f>IF(K1467="","",TEXT(K1467,"yyyy-mm"))</x:f>
        <x:v>2026-06</x:v>
      </x:c>
      <x:c r="AC1467" t="str">
        <x:f>"Q"&amp;ROUNDUP(MONTH(B1467)/3,0)&amp;"-"&amp;YEAR(B1467)</x:f>
        <x:v>Q2-2026</x:v>
      </x:c>
      <x:c r="AD1467" s="26" t="n">
        <x:f>MIN(100,IF(H1467="Enterprise",30,IF(H1467="Mid-Market",22,14))+IF(T1467="Enterprise",25,IF(T1467="Mid-Market",18,10))+IF(Q1467="Referral",25,IF(Q1467="Organic Search",20,IF(Q1467="Email",18,14)))+IF(G1467="Technology",10,5))</x:f>
        <x:v>59</x:v>
      </x:c>
      <x:c r="AE1467" t="str">
        <x:f>IF(U1467&lt;&gt;"Open",U1467,IF(N1467&gt;=0.8,"Commit",IF(N1467&gt;=0.5,"Best Case","Pipeline")))</x:f>
        <x:v>Lost</x:v>
      </x:c>
    </x:row>
    <x:row r="1468">
      <x:c r="A1468" t="str">
        <x:v>L01467</x:v>
      </x:c>
      <x:c r="B1468" s="10" t="n">
        <x:v>45972</x:v>
      </x:c>
      <x:c r="C1468" t="str">
        <x:v>Chi Le</x:v>
      </x:c>
      <x:c r="D1468" t="str">
        <x:v>South</x:v>
      </x:c>
      <x:c r="E1468" t="str">
        <x:v>LinkedIn Ads</x:v>
      </x:c>
      <x:c r="F1468" t="str">
        <x:v>REV-OPS</x:v>
      </x:c>
      <x:c r="G1468" t="str">
        <x:v>Technology</x:v>
      </x:c>
      <x:c r="H1468" t="str">
        <x:v>Enterprise</x:v>
      </x:c>
      <x:c r="I1468" t="str">
        <x:v>Closed Lost</x:v>
      </x:c>
      <x:c r="J1468" s="10" t="n">
        <x:v>46018</x:v>
      </x:c>
      <x:c r="K1468" s="10" t="n">
        <x:v>46018</x:v>
      </x:c>
      <x:c r="L1468" s="22" t="n">
        <x:v>100800</x:v>
      </x:c>
      <x:c r="M1468" s="24" t="n">
        <x:v>0</x:v>
      </x:c>
      <x:c r="N1468" s="24" t="n">
        <x:v>0</x:v>
      </x:c>
      <x:c r="O1468" t="str">
        <x:v>Competitor</x:v>
      </x:c>
      <x:c r="P1468" t="n">
        <x:v>3</x:v>
      </x:c>
      <x:c r="Q1468" t="str">
        <x:f>IFERROR(XLOOKUP(E1468,Lookups!$A$5:$A$24,Lookups!$B$5:$B$24),"Other")</x:f>
        <x:v>LinkedIn</x:v>
      </x:c>
      <x:c r="R1468" t="str">
        <x:f>IFERROR(XLOOKUP(F1468,Lookups!$D$5:$D$10,Lookups!$E$5:$E$10),"Unknown Product")</x:f>
        <x:v>Revenue Operations Suite</x:v>
      </x:c>
      <x:c r="S1468" t="str">
        <x:f>IFERROR(XLOOKUP(F1468,Lookups!$D$5:$D$10,Lookups!$F$5:$F$10),"Unknown")</x:f>
        <x:v>Revenue Ops</x:v>
      </x:c>
      <x:c r="T1468" t="str">
        <x:f>IF(L1468&gt;=50000,"Enterprise",IF(L1468&gt;=20000,"Mid-Market","SMB"))</x:f>
        <x:v>Enterprise</x:v>
      </x:c>
      <x:c r="U1468" t="str">
        <x:f>IF(I1468="Closed Won","Won",IF(I1468="Closed Lost","Lost","Open"))</x:f>
        <x:v>Lost</x:v>
      </x:c>
      <x:c r="V1468" s="22" t="n">
        <x:f>IF(U1468="Won",L1468*(1-M1468),0)</x:f>
        <x:v>0</x:v>
      </x:c>
      <x:c r="W1468" s="22" t="n">
        <x:f>IF(U1468="Open",L1468*N1468,0)</x:f>
        <x:v>0</x:v>
      </x:c>
      <x:c r="X1468" s="26" t="n">
        <x:f>IF(U1468="Open","",IFERROR(K1468-B1468,""))</x:f>
        <x:v>46</x:v>
      </x:c>
      <x:c r="Y1468" s="26" t="n">
        <x:f>IF(U1468="Open",Lookups!$B$2-B1468,X1468)</x:f>
        <x:v>46</x:v>
      </x:c>
      <x:c r="Z1468" t="str">
        <x:f>IF(AND(U1468="Open",Y1468&gt;30),"STALE","OK")</x:f>
        <x:v>OK</x:v>
      </x:c>
      <x:c r="AA1468" t="str">
        <x:f>TEXT(B1468,"yyyy-mm")</x:f>
        <x:v>2025-11</x:v>
      </x:c>
      <x:c r="AB1468" t="str">
        <x:f>IF(K1468="","",TEXT(K1468,"yyyy-mm"))</x:f>
        <x:v>2025-12</x:v>
      </x:c>
      <x:c r="AC1468" t="str">
        <x:f>"Q"&amp;ROUNDUP(MONTH(B1468)/3,0)&amp;"-"&amp;YEAR(B1468)</x:f>
        <x:v>Q4-2025</x:v>
      </x:c>
      <x:c r="AD1468" s="26" t="n">
        <x:f>MIN(100,IF(H1468="Enterprise",30,IF(H1468="Mid-Market",22,14))+IF(T1468="Enterprise",25,IF(T1468="Mid-Market",18,10))+IF(Q1468="Referral",25,IF(Q1468="Organic Search",20,IF(Q1468="Email",18,14)))+IF(G1468="Technology",10,5))</x:f>
        <x:v>79</x:v>
      </x:c>
      <x:c r="AE1468" t="str">
        <x:f>IF(U1468&lt;&gt;"Open",U1468,IF(N1468&gt;=0.8,"Commit",IF(N1468&gt;=0.5,"Best Case","Pipeline")))</x:f>
        <x:v>Lost</x:v>
      </x:c>
    </x:row>
    <x:row r="1469">
      <x:c r="A1469" t="str">
        <x:v>L01468</x:v>
      </x:c>
      <x:c r="B1469" s="10" t="n">
        <x:v>45893</x:v>
      </x:c>
      <x:c r="C1469" t="str">
        <x:v>Duy Pham</x:v>
      </x:c>
      <x:c r="D1469" t="str">
        <x:v>South</x:v>
      </x:c>
      <x:c r="E1469" t="str">
        <x:v>linkedin</x:v>
      </x:c>
      <x:c r="F1469" t="str">
        <x:v>CS-CLOUD</x:v>
      </x:c>
      <x:c r="G1469" t="str">
        <x:v>Technology</x:v>
      </x:c>
      <x:c r="H1469" t="str">
        <x:v>SMB</x:v>
      </x:c>
      <x:c r="I1469" t="str">
        <x:v>Closed Lost</x:v>
      </x:c>
      <x:c r="J1469" s="10" t="n">
        <x:v>45945</x:v>
      </x:c>
      <x:c r="K1469" s="10" t="n">
        <x:v>45945</x:v>
      </x:c>
      <x:c r="L1469" s="22" t="n">
        <x:v>22200</x:v>
      </x:c>
      <x:c r="M1469" s="24" t="n">
        <x:v>0</x:v>
      </x:c>
      <x:c r="N1469" s="24" t="n">
        <x:v>0</x:v>
      </x:c>
      <x:c r="O1469" t="str">
        <x:v>No Decision</x:v>
      </x:c>
      <x:c r="P1469" t="n">
        <x:v>3</x:v>
      </x:c>
      <x:c r="Q1469" t="str">
        <x:f>IFERROR(XLOOKUP(E1469,Lookups!$A$5:$A$24,Lookups!$B$5:$B$24),"Other")</x:f>
        <x:v>LinkedIn</x:v>
      </x:c>
      <x:c r="R1469" t="str">
        <x:f>IFERROR(XLOOKUP(F1469,Lookups!$D$5:$D$10,Lookups!$E$5:$E$10),"Unknown Product")</x:f>
        <x:v>Service Cloud</x:v>
      </x:c>
      <x:c r="S1469" t="str">
        <x:f>IFERROR(XLOOKUP(F1469,Lookups!$D$5:$D$10,Lookups!$F$5:$F$10),"Unknown")</x:f>
        <x:v>Customer Service</x:v>
      </x:c>
      <x:c r="T1469" t="str">
        <x:f>IF(L1469&gt;=50000,"Enterprise",IF(L1469&gt;=20000,"Mid-Market","SMB"))</x:f>
        <x:v>Mid-Market</x:v>
      </x:c>
      <x:c r="U1469" t="str">
        <x:f>IF(I1469="Closed Won","Won",IF(I1469="Closed Lost","Lost","Open"))</x:f>
        <x:v>Lost</x:v>
      </x:c>
      <x:c r="V1469" s="22" t="n">
        <x:f>IF(U1469="Won",L1469*(1-M1469),0)</x:f>
        <x:v>0</x:v>
      </x:c>
      <x:c r="W1469" s="22" t="n">
        <x:f>IF(U1469="Open",L1469*N1469,0)</x:f>
        <x:v>0</x:v>
      </x:c>
      <x:c r="X1469" s="26" t="n">
        <x:f>IF(U1469="Open","",IFERROR(K1469-B1469,""))</x:f>
        <x:v>52</x:v>
      </x:c>
      <x:c r="Y1469" s="26" t="n">
        <x:f>IF(U1469="Open",Lookups!$B$2-B1469,X1469)</x:f>
        <x:v>52</x:v>
      </x:c>
      <x:c r="Z1469" t="str">
        <x:f>IF(AND(U1469="Open",Y1469&gt;30),"STALE","OK")</x:f>
        <x:v>OK</x:v>
      </x:c>
      <x:c r="AA1469" t="str">
        <x:f>TEXT(B1469,"yyyy-mm")</x:f>
        <x:v>2025-08</x:v>
      </x:c>
      <x:c r="AB1469" t="str">
        <x:f>IF(K1469="","",TEXT(K1469,"yyyy-mm"))</x:f>
        <x:v>2025-10</x:v>
      </x:c>
      <x:c r="AC1469" t="str">
        <x:f>"Q"&amp;ROUNDUP(MONTH(B1469)/3,0)&amp;"-"&amp;YEAR(B1469)</x:f>
        <x:v>Q3-2025</x:v>
      </x:c>
      <x:c r="AD1469" s="26" t="n">
        <x:f>MIN(100,IF(H1469="Enterprise",30,IF(H1469="Mid-Market",22,14))+IF(T1469="Enterprise",25,IF(T1469="Mid-Market",18,10))+IF(Q1469="Referral",25,IF(Q1469="Organic Search",20,IF(Q1469="Email",18,14)))+IF(G1469="Technology",10,5))</x:f>
        <x:v>56</x:v>
      </x:c>
      <x:c r="AE1469" t="str">
        <x:f>IF(U1469&lt;&gt;"Open",U1469,IF(N1469&gt;=0.8,"Commit",IF(N1469&gt;=0.5,"Best Case","Pipeline")))</x:f>
        <x:v>Lost</x:v>
      </x:c>
    </x:row>
    <x:row r="1470">
      <x:c r="A1470" t="str">
        <x:v>L01469</x:v>
      </x:c>
      <x:c r="B1470" s="10" t="n">
        <x:v>45659</x:v>
      </x:c>
      <x:c r="C1470" t="str">
        <x:v>Minh Do</x:v>
      </x:c>
      <x:c r="D1470" t="str">
        <x:v>North</x:v>
      </x:c>
      <x:c r="E1470" t="str">
        <x:v>email nurture</x:v>
      </x:c>
      <x:c r="F1470" t="str">
        <x:v>CRM-CORE</x:v>
      </x:c>
      <x:c r="G1470" t="str">
        <x:v>Healthcare</x:v>
      </x:c>
      <x:c r="H1470" t="str">
        <x:v>Mid-Market</x:v>
      </x:c>
      <x:c r="I1470" t="str">
        <x:v>Closed Won</x:v>
      </x:c>
      <x:c r="J1470" s="10" t="n">
        <x:v>45698</x:v>
      </x:c>
      <x:c r="K1470" s="10" t="n">
        <x:v>45698</x:v>
      </x:c>
      <x:c r="L1470" s="22" t="n">
        <x:v>8000</x:v>
      </x:c>
      <x:c r="M1470" s="24" t="n">
        <x:v>0.08</x:v>
      </x:c>
      <x:c r="N1470" s="24" t="n">
        <x:v>1</x:v>
      </x:c>
      <x:c r="O1470" t="str"/>
      <x:c r="P1470" t="n">
        <x:v>6</x:v>
      </x:c>
      <x:c r="Q1470" t="str">
        <x:f>IFERROR(XLOOKUP(E1470,Lookups!$A$5:$A$24,Lookups!$B$5:$B$24),"Other")</x:f>
        <x:v>Email</x:v>
      </x:c>
      <x:c r="R1470" t="str">
        <x:f>IFERROR(XLOOKUP(F1470,Lookups!$D$5:$D$10,Lookups!$E$5:$E$10),"Unknown Product")</x:f>
        <x:v>NexaCRM Core</x:v>
      </x:c>
      <x:c r="S1470" t="str">
        <x:f>IFERROR(XLOOKUP(F1470,Lookups!$D$5:$D$10,Lookups!$F$5:$F$10),"Unknown")</x:f>
        <x:v>CRM</x:v>
      </x:c>
      <x:c r="T1470" t="str">
        <x:f>IF(L1470&gt;=50000,"Enterprise",IF(L1470&gt;=20000,"Mid-Market","SMB"))</x:f>
        <x:v>SMB</x:v>
      </x:c>
      <x:c r="U1470" t="str">
        <x:f>IF(I1470="Closed Won","Won",IF(I1470="Closed Lost","Lost","Open"))</x:f>
        <x:v>Won</x:v>
      </x:c>
      <x:c r="V1470" s="22" t="n">
        <x:f>IF(U1470="Won",L1470*(1-M1470),0)</x:f>
        <x:v>7360</x:v>
      </x:c>
      <x:c r="W1470" s="22" t="n">
        <x:f>IF(U1470="Open",L1470*N1470,0)</x:f>
        <x:v>0</x:v>
      </x:c>
      <x:c r="X1470" s="26" t="n">
        <x:f>IF(U1470="Open","",IFERROR(K1470-B1470,""))</x:f>
        <x:v>39</x:v>
      </x:c>
      <x:c r="Y1470" s="26" t="n">
        <x:f>IF(U1470="Open",Lookups!$B$2-B1470,X1470)</x:f>
        <x:v>39</x:v>
      </x:c>
      <x:c r="Z1470" t="str">
        <x:f>IF(AND(U1470="Open",Y1470&gt;30),"STALE","OK")</x:f>
        <x:v>OK</x:v>
      </x:c>
      <x:c r="AA1470" t="str">
        <x:f>TEXT(B1470,"yyyy-mm")</x:f>
        <x:v>2025-01</x:v>
      </x:c>
      <x:c r="AB1470" t="str">
        <x:f>IF(K1470="","",TEXT(K1470,"yyyy-mm"))</x:f>
        <x:v>2025-02</x:v>
      </x:c>
      <x:c r="AC1470" t="str">
        <x:f>"Q"&amp;ROUNDUP(MONTH(B1470)/3,0)&amp;"-"&amp;YEAR(B1470)</x:f>
        <x:v>Q1-2025</x:v>
      </x:c>
      <x:c r="AD1470" s="26" t="n">
        <x:f>MIN(100,IF(H1470="Enterprise",30,IF(H1470="Mid-Market",22,14))+IF(T1470="Enterprise",25,IF(T1470="Mid-Market",18,10))+IF(Q1470="Referral",25,IF(Q1470="Organic Search",20,IF(Q1470="Email",18,14)))+IF(G1470="Technology",10,5))</x:f>
        <x:v>55</x:v>
      </x:c>
      <x:c r="AE1470" t="str">
        <x:f>IF(U1470&lt;&gt;"Open",U1470,IF(N1470&gt;=0.8,"Commit",IF(N1470&gt;=0.5,"Best Case","Pipeline")))</x:f>
        <x:v>Won</x:v>
      </x:c>
    </x:row>
    <x:row r="1471">
      <x:c r="A1471" t="str">
        <x:v>L01470</x:v>
      </x:c>
      <x:c r="B1471" s="10" t="n">
        <x:v>45931</x:v>
      </x:c>
      <x:c r="C1471" t="str">
        <x:v>Chi Le</x:v>
      </x:c>
      <x:c r="D1471" t="str">
        <x:v>South</x:v>
      </x:c>
      <x:c r="E1471" t="str">
        <x:v>SDR Outreach</x:v>
      </x:c>
      <x:c r="F1471" t="str">
        <x:v>CRM-CORE</x:v>
      </x:c>
      <x:c r="G1471" t="str">
        <x:v>Healthcare</x:v>
      </x:c>
      <x:c r="H1471" t="str">
        <x:v>Enterprise</x:v>
      </x:c>
      <x:c r="I1471" t="str">
        <x:v>Closed Won</x:v>
      </x:c>
      <x:c r="J1471" s="10" t="n">
        <x:v>45973</x:v>
      </x:c>
      <x:c r="K1471" s="10" t="n">
        <x:v>45973</x:v>
      </x:c>
      <x:c r="L1471" s="22" t="n">
        <x:v>31900</x:v>
      </x:c>
      <x:c r="M1471" s="24" t="n">
        <x:v>0.12</x:v>
      </x:c>
      <x:c r="N1471" s="24" t="n">
        <x:v>1</x:v>
      </x:c>
      <x:c r="O1471" t="str"/>
      <x:c r="P1471" t="n">
        <x:v>6</x:v>
      </x:c>
      <x:c r="Q1471" t="str">
        <x:f>IFERROR(XLOOKUP(E1471,Lookups!$A$5:$A$24,Lookups!$B$5:$B$24),"Other")</x:f>
        <x:v>Outbound</x:v>
      </x:c>
      <x:c r="R1471" t="str">
        <x:f>IFERROR(XLOOKUP(F1471,Lookups!$D$5:$D$10,Lookups!$E$5:$E$10),"Unknown Product")</x:f>
        <x:v>NexaCRM Core</x:v>
      </x:c>
      <x:c r="S1471" t="str">
        <x:f>IFERROR(XLOOKUP(F1471,Lookups!$D$5:$D$10,Lookups!$F$5:$F$10),"Unknown")</x:f>
        <x:v>CRM</x:v>
      </x:c>
      <x:c r="T1471" t="str">
        <x:f>IF(L1471&gt;=50000,"Enterprise",IF(L1471&gt;=20000,"Mid-Market","SMB"))</x:f>
        <x:v>Mid-Market</x:v>
      </x:c>
      <x:c r="U1471" t="str">
        <x:f>IF(I1471="Closed Won","Won",IF(I1471="Closed Lost","Lost","Open"))</x:f>
        <x:v>Won</x:v>
      </x:c>
      <x:c r="V1471" s="22" t="n">
        <x:f>IF(U1471="Won",L1471*(1-M1471),0)</x:f>
        <x:v>28072</x:v>
      </x:c>
      <x:c r="W1471" s="22" t="n">
        <x:f>IF(U1471="Open",L1471*N1471,0)</x:f>
        <x:v>0</x:v>
      </x:c>
      <x:c r="X1471" s="26" t="n">
        <x:f>IF(U1471="Open","",IFERROR(K1471-B1471,""))</x:f>
        <x:v>42</x:v>
      </x:c>
      <x:c r="Y1471" s="26" t="n">
        <x:f>IF(U1471="Open",Lookups!$B$2-B1471,X1471)</x:f>
        <x:v>42</x:v>
      </x:c>
      <x:c r="Z1471" t="str">
        <x:f>IF(AND(U1471="Open",Y1471&gt;30),"STALE","OK")</x:f>
        <x:v>OK</x:v>
      </x:c>
      <x:c r="AA1471" t="str">
        <x:f>TEXT(B1471,"yyyy-mm")</x:f>
        <x:v>2025-10</x:v>
      </x:c>
      <x:c r="AB1471" t="str">
        <x:f>IF(K1471="","",TEXT(K1471,"yyyy-mm"))</x:f>
        <x:v>2025-11</x:v>
      </x:c>
      <x:c r="AC1471" t="str">
        <x:f>"Q"&amp;ROUNDUP(MONTH(B1471)/3,0)&amp;"-"&amp;YEAR(B1471)</x:f>
        <x:v>Q4-2025</x:v>
      </x:c>
      <x:c r="AD1471" s="26" t="n">
        <x:f>MIN(100,IF(H1471="Enterprise",30,IF(H1471="Mid-Market",22,14))+IF(T1471="Enterprise",25,IF(T1471="Mid-Market",18,10))+IF(Q1471="Referral",25,IF(Q1471="Organic Search",20,IF(Q1471="Email",18,14)))+IF(G1471="Technology",10,5))</x:f>
        <x:v>67</x:v>
      </x:c>
      <x:c r="AE1471" t="str">
        <x:f>IF(U1471&lt;&gt;"Open",U1471,IF(N1471&gt;=0.8,"Commit",IF(N1471&gt;=0.5,"Best Case","Pipeline")))</x:f>
        <x:v>Won</x:v>
      </x:c>
    </x:row>
    <x:row r="1472">
      <x:c r="A1472" t="str">
        <x:v>L01471</x:v>
      </x:c>
      <x:c r="B1472" s="10" t="n">
        <x:v>45763</x:v>
      </x:c>
      <x:c r="C1472" t="str">
        <x:v>An Nguyen</x:v>
      </x:c>
      <x:c r="D1472" t="str">
        <x:v>South</x:v>
      </x:c>
      <x:c r="E1472" t="str">
        <x:v>SEO</x:v>
      </x:c>
      <x:c r="F1472" t="str">
        <x:v>CRM-PRO</x:v>
      </x:c>
      <x:c r="G1472" t="str">
        <x:v>Financial Services</x:v>
      </x:c>
      <x:c r="H1472" t="str">
        <x:v>SMB</x:v>
      </x:c>
      <x:c r="I1472" t="str">
        <x:v>Negotiation</x:v>
      </x:c>
      <x:c r="J1472" s="10" t="n">
        <x:v>45957</x:v>
      </x:c>
      <x:c r="K1472" s="10"/>
      <x:c r="L1472" s="22" t="n">
        <x:v>20400</x:v>
      </x:c>
      <x:c r="M1472" s="24" t="n">
        <x:v>0</x:v>
      </x:c>
      <x:c r="N1472" s="24" t="n">
        <x:v>0.85</x:v>
      </x:c>
      <x:c r="O1472" t="str"/>
      <x:c r="P1472" t="n">
        <x:v>5</x:v>
      </x:c>
      <x:c r="Q1472" t="str">
        <x:f>IFERROR(XLOOKUP(E1472,Lookups!$A$5:$A$24,Lookups!$B$5:$B$24),"Other")</x:f>
        <x:v>Organic Search</x:v>
      </x:c>
      <x:c r="R1472" t="str">
        <x:f>IFERROR(XLOOKUP(F1472,Lookups!$D$5:$D$10,Lookups!$E$5:$E$10),"Unknown Product")</x:f>
        <x:v>NexaCRM Pro</x:v>
      </x:c>
      <x:c r="S1472" t="str">
        <x:f>IFERROR(XLOOKUP(F1472,Lookups!$D$5:$D$10,Lookups!$F$5:$F$10),"Unknown")</x:f>
        <x:v>CRM</x:v>
      </x:c>
      <x:c r="T1472" t="str">
        <x:f>IF(L1472&gt;=50000,"Enterprise",IF(L1472&gt;=20000,"Mid-Market","SMB"))</x:f>
        <x:v>Mid-Market</x:v>
      </x:c>
      <x:c r="U1472" t="str">
        <x:f>IF(I1472="Closed Won","Won",IF(I1472="Closed Lost","Lost","Open"))</x:f>
        <x:v>Open</x:v>
      </x:c>
      <x:c r="V1472" s="22" t="n">
        <x:f>IF(U1472="Won",L1472*(1-M1472),0)</x:f>
        <x:v>0</x:v>
      </x:c>
      <x:c r="W1472" s="22" t="n">
        <x:f>IF(U1472="Open",L1472*N1472,0)</x:f>
        <x:v>17340</x:v>
      </x:c>
      <x:c r="X1472" s="26" t="str">
        <x:f>IF(U1472="Open","",IFERROR(K1472-B1472,""))</x:f>
      </x:c>
      <x:c r="Y1472" s="26" t="n">
        <x:f>IF(U1472="Open",Lookups!$B$2-B1472,X1472)</x:f>
        <x:v>503</x:v>
      </x:c>
      <x:c r="Z1472" t="str">
        <x:f>IF(AND(U1472="Open",Y1472&gt;30),"STALE","OK")</x:f>
        <x:v>STALE</x:v>
      </x:c>
      <x:c r="AA1472" t="str">
        <x:f>TEXT(B1472,"yyyy-mm")</x:f>
        <x:v>2025-04</x:v>
      </x:c>
      <x:c r="AB1472" t="str">
        <x:f>IF(K1472="","",TEXT(K1472,"yyyy-mm"))</x:f>
      </x:c>
      <x:c r="AC1472" t="str">
        <x:f>"Q"&amp;ROUNDUP(MONTH(B1472)/3,0)&amp;"-"&amp;YEAR(B1472)</x:f>
        <x:v>Q2-2025</x:v>
      </x:c>
      <x:c r="AD1472" s="26" t="n">
        <x:f>MIN(100,IF(H1472="Enterprise",30,IF(H1472="Mid-Market",22,14))+IF(T1472="Enterprise",25,IF(T1472="Mid-Market",18,10))+IF(Q1472="Referral",25,IF(Q1472="Organic Search",20,IF(Q1472="Email",18,14)))+IF(G1472="Technology",10,5))</x:f>
        <x:v>57</x:v>
      </x:c>
      <x:c r="AE1472" t="str">
        <x:f>IF(U1472&lt;&gt;"Open",U1472,IF(N1472&gt;=0.8,"Commit",IF(N1472&gt;=0.5,"Best Case","Pipeline")))</x:f>
        <x:v>Commit</x:v>
      </x:c>
    </x:row>
    <x:row r="1473">
      <x:c r="A1473" t="str">
        <x:v>L01472</x:v>
      </x:c>
      <x:c r="B1473" s="10" t="n">
        <x:v>46188</x:v>
      </x:c>
      <x:c r="C1473" t="str">
        <x:v>Minh Do</x:v>
      </x:c>
      <x:c r="D1473" t="str">
        <x:v>North</x:v>
      </x:c>
      <x:c r="E1473" t="str">
        <x:v>Email Campaign</x:v>
      </x:c>
      <x:c r="F1473" t="str">
        <x:v>CRM-CORE</x:v>
      </x:c>
      <x:c r="G1473" t="str">
        <x:v>Retail</x:v>
      </x:c>
      <x:c r="H1473" t="str">
        <x:v>Mid-Market</x:v>
      </x:c>
      <x:c r="I1473" t="str">
        <x:v>Closed Lost</x:v>
      </x:c>
      <x:c r="J1473" s="10" t="n">
        <x:v>46232</x:v>
      </x:c>
      <x:c r="K1473" s="10" t="n">
        <x:v>46232</x:v>
      </x:c>
      <x:c r="L1473" s="22" t="n">
        <x:v>14600</x:v>
      </x:c>
      <x:c r="M1473" s="24" t="n">
        <x:v>0</x:v>
      </x:c>
      <x:c r="N1473" s="24" t="n">
        <x:v>0</x:v>
      </x:c>
      <x:c r="O1473" t="str">
        <x:v>Timing</x:v>
      </x:c>
      <x:c r="P1473" t="n">
        <x:v>3</x:v>
      </x:c>
      <x:c r="Q1473" t="str">
        <x:f>IFERROR(XLOOKUP(E1473,Lookups!$A$5:$A$24,Lookups!$B$5:$B$24),"Other")</x:f>
        <x:v>Email</x:v>
      </x:c>
      <x:c r="R1473" t="str">
        <x:f>IFERROR(XLOOKUP(F1473,Lookups!$D$5:$D$10,Lookups!$E$5:$E$10),"Unknown Product")</x:f>
        <x:v>NexaCRM Core</x:v>
      </x:c>
      <x:c r="S1473" t="str">
        <x:f>IFERROR(XLOOKUP(F1473,Lookups!$D$5:$D$10,Lookups!$F$5:$F$10),"Unknown")</x:f>
        <x:v>CRM</x:v>
      </x:c>
      <x:c r="T1473" t="str">
        <x:f>IF(L1473&gt;=50000,"Enterprise",IF(L1473&gt;=20000,"Mid-Market","SMB"))</x:f>
        <x:v>SMB</x:v>
      </x:c>
      <x:c r="U1473" t="str">
        <x:f>IF(I1473="Closed Won","Won",IF(I1473="Closed Lost","Lost","Open"))</x:f>
        <x:v>Lost</x:v>
      </x:c>
      <x:c r="V1473" s="22" t="n">
        <x:f>IF(U1473="Won",L1473*(1-M1473),0)</x:f>
        <x:v>0</x:v>
      </x:c>
      <x:c r="W1473" s="22" t="n">
        <x:f>IF(U1473="Open",L1473*N1473,0)</x:f>
        <x:v>0</x:v>
      </x:c>
      <x:c r="X1473" s="26" t="n">
        <x:f>IF(U1473="Open","",IFERROR(K1473-B1473,""))</x:f>
        <x:v>44</x:v>
      </x:c>
      <x:c r="Y1473" s="26" t="n">
        <x:f>IF(U1473="Open",Lookups!$B$2-B1473,X1473)</x:f>
        <x:v>44</x:v>
      </x:c>
      <x:c r="Z1473" t="str">
        <x:f>IF(AND(U1473="Open",Y1473&gt;30),"STALE","OK")</x:f>
        <x:v>OK</x:v>
      </x:c>
      <x:c r="AA1473" t="str">
        <x:f>TEXT(B1473,"yyyy-mm")</x:f>
        <x:v>2026-06</x:v>
      </x:c>
      <x:c r="AB1473" t="str">
        <x:f>IF(K1473="","",TEXT(K1473,"yyyy-mm"))</x:f>
        <x:v>2026-07</x:v>
      </x:c>
      <x:c r="AC1473" t="str">
        <x:f>"Q"&amp;ROUNDUP(MONTH(B1473)/3,0)&amp;"-"&amp;YEAR(B1473)</x:f>
        <x:v>Q2-2026</x:v>
      </x:c>
      <x:c r="AD1473" s="26" t="n">
        <x:f>MIN(100,IF(H1473="Enterprise",30,IF(H1473="Mid-Market",22,14))+IF(T1473="Enterprise",25,IF(T1473="Mid-Market",18,10))+IF(Q1473="Referral",25,IF(Q1473="Organic Search",20,IF(Q1473="Email",18,14)))+IF(G1473="Technology",10,5))</x:f>
        <x:v>55</x:v>
      </x:c>
      <x:c r="AE1473" t="str">
        <x:f>IF(U1473&lt;&gt;"Open",U1473,IF(N1473&gt;=0.8,"Commit",IF(N1473&gt;=0.5,"Best Case","Pipeline")))</x:f>
        <x:v>Lost</x:v>
      </x:c>
    </x:row>
    <x:row r="1474">
      <x:c r="A1474" t="str">
        <x:v>L01473</x:v>
      </x:c>
      <x:c r="B1474" s="10" t="n">
        <x:v>46042</x:v>
      </x:c>
      <x:c r="C1474" t="str">
        <x:v>Tuan Bui</x:v>
      </x:c>
      <x:c r="D1474" t="str">
        <x:v>Central</x:v>
      </x:c>
      <x:c r="E1474" t="str">
        <x:v>Google Organic</x:v>
      </x:c>
      <x:c r="F1474" t="str">
        <x:v>CRM-CORE</x:v>
      </x:c>
      <x:c r="G1474" t="str">
        <x:v>Financial Services</x:v>
      </x:c>
      <x:c r="H1474" t="str">
        <x:v>SMB</x:v>
      </x:c>
      <x:c r="I1474" t="str">
        <x:v>Closed Lost</x:v>
      </x:c>
      <x:c r="J1474" s="10" t="n">
        <x:v>46100</x:v>
      </x:c>
      <x:c r="K1474" s="10" t="n">
        <x:v>46100</x:v>
      </x:c>
      <x:c r="L1474" s="22" t="n">
        <x:v>5800</x:v>
      </x:c>
      <x:c r="M1474" s="24" t="n">
        <x:v>0</x:v>
      </x:c>
      <x:c r="N1474" s="24" t="n">
        <x:v>0</x:v>
      </x:c>
      <x:c r="O1474" t="str">
        <x:v>Budget</x:v>
      </x:c>
      <x:c r="P1474" t="n">
        <x:v>2</x:v>
      </x:c>
      <x:c r="Q1474" t="str">
        <x:f>IFERROR(XLOOKUP(E1474,Lookups!$A$5:$A$24,Lookups!$B$5:$B$24),"Other")</x:f>
        <x:v>Organic Search</x:v>
      </x:c>
      <x:c r="R1474" t="str">
        <x:f>IFERROR(XLOOKUP(F1474,Lookups!$D$5:$D$10,Lookups!$E$5:$E$10),"Unknown Product")</x:f>
        <x:v>NexaCRM Core</x:v>
      </x:c>
      <x:c r="S1474" t="str">
        <x:f>IFERROR(XLOOKUP(F1474,Lookups!$D$5:$D$10,Lookups!$F$5:$F$10),"Unknown")</x:f>
        <x:v>CRM</x:v>
      </x:c>
      <x:c r="T1474" t="str">
        <x:f>IF(L1474&gt;=50000,"Enterprise",IF(L1474&gt;=20000,"Mid-Market","SMB"))</x:f>
        <x:v>SMB</x:v>
      </x:c>
      <x:c r="U1474" t="str">
        <x:f>IF(I1474="Closed Won","Won",IF(I1474="Closed Lost","Lost","Open"))</x:f>
        <x:v>Lost</x:v>
      </x:c>
      <x:c r="V1474" s="22" t="n">
        <x:f>IF(U1474="Won",L1474*(1-M1474),0)</x:f>
        <x:v>0</x:v>
      </x:c>
      <x:c r="W1474" s="22" t="n">
        <x:f>IF(U1474="Open",L1474*N1474,0)</x:f>
        <x:v>0</x:v>
      </x:c>
      <x:c r="X1474" s="26" t="n">
        <x:f>IF(U1474="Open","",IFERROR(K1474-B1474,""))</x:f>
        <x:v>58</x:v>
      </x:c>
      <x:c r="Y1474" s="26" t="n">
        <x:f>IF(U1474="Open",Lookups!$B$2-B1474,X1474)</x:f>
        <x:v>58</x:v>
      </x:c>
      <x:c r="Z1474" t="str">
        <x:f>IF(AND(U1474="Open",Y1474&gt;30),"STALE","OK")</x:f>
        <x:v>OK</x:v>
      </x:c>
      <x:c r="AA1474" t="str">
        <x:f>TEXT(B1474,"yyyy-mm")</x:f>
        <x:v>2026-01</x:v>
      </x:c>
      <x:c r="AB1474" t="str">
        <x:f>IF(K1474="","",TEXT(K1474,"yyyy-mm"))</x:f>
        <x:v>2026-03</x:v>
      </x:c>
      <x:c r="AC1474" t="str">
        <x:f>"Q"&amp;ROUNDUP(MONTH(B1474)/3,0)&amp;"-"&amp;YEAR(B1474)</x:f>
        <x:v>Q1-2026</x:v>
      </x:c>
      <x:c r="AD1474" s="26" t="n">
        <x:f>MIN(100,IF(H1474="Enterprise",30,IF(H1474="Mid-Market",22,14))+IF(T1474="Enterprise",25,IF(T1474="Mid-Market",18,10))+IF(Q1474="Referral",25,IF(Q1474="Organic Search",20,IF(Q1474="Email",18,14)))+IF(G1474="Technology",10,5))</x:f>
        <x:v>49</x:v>
      </x:c>
      <x:c r="AE1474" t="str">
        <x:f>IF(U1474&lt;&gt;"Open",U1474,IF(N1474&gt;=0.8,"Commit",IF(N1474&gt;=0.5,"Best Case","Pipeline")))</x:f>
        <x:v>Lost</x:v>
      </x:c>
    </x:row>
    <x:row r="1475">
      <x:c r="A1475" t="str">
        <x:v>L01474</x:v>
      </x:c>
      <x:c r="B1475" s="10" t="n">
        <x:v>45999</x:v>
      </x:c>
      <x:c r="C1475" t="str">
        <x:v>An Nguyen</x:v>
      </x:c>
      <x:c r="D1475" t="str">
        <x:v>South</x:v>
      </x:c>
      <x:c r="E1475" t="str">
        <x:v>SEO</x:v>
      </x:c>
      <x:c r="F1475" t="str">
        <x:v>CRM-PRO</x:v>
      </x:c>
      <x:c r="G1475" t="str">
        <x:v>Professional Services</x:v>
      </x:c>
      <x:c r="H1475" t="str">
        <x:v>Mid-Market</x:v>
      </x:c>
      <x:c r="I1475" t="str">
        <x:v>Closed Won</x:v>
      </x:c>
      <x:c r="J1475" s="10" t="n">
        <x:v>46057</x:v>
      </x:c>
      <x:c r="K1475" s="10" t="n">
        <x:v>46057</x:v>
      </x:c>
      <x:c r="L1475" s="22" t="n">
        <x:v>27200</x:v>
      </x:c>
      <x:c r="M1475" s="24" t="n">
        <x:v>0</x:v>
      </x:c>
      <x:c r="N1475" s="24" t="n">
        <x:v>1</x:v>
      </x:c>
      <x:c r="O1475" t="str"/>
      <x:c r="P1475" t="n">
        <x:v>6</x:v>
      </x:c>
      <x:c r="Q1475" t="str">
        <x:f>IFERROR(XLOOKUP(E1475,Lookups!$A$5:$A$24,Lookups!$B$5:$B$24),"Other")</x:f>
        <x:v>Organic Search</x:v>
      </x:c>
      <x:c r="R1475" t="str">
        <x:f>IFERROR(XLOOKUP(F1475,Lookups!$D$5:$D$10,Lookups!$E$5:$E$10),"Unknown Product")</x:f>
        <x:v>NexaCRM Pro</x:v>
      </x:c>
      <x:c r="S1475" t="str">
        <x:f>IFERROR(XLOOKUP(F1475,Lookups!$D$5:$D$10,Lookups!$F$5:$F$10),"Unknown")</x:f>
        <x:v>CRM</x:v>
      </x:c>
      <x:c r="T1475" t="str">
        <x:f>IF(L1475&gt;=50000,"Enterprise",IF(L1475&gt;=20000,"Mid-Market","SMB"))</x:f>
        <x:v>Mid-Market</x:v>
      </x:c>
      <x:c r="U1475" t="str">
        <x:f>IF(I1475="Closed Won","Won",IF(I1475="Closed Lost","Lost","Open"))</x:f>
        <x:v>Won</x:v>
      </x:c>
      <x:c r="V1475" s="22" t="n">
        <x:f>IF(U1475="Won",L1475*(1-M1475),0)</x:f>
        <x:v>27200</x:v>
      </x:c>
      <x:c r="W1475" s="22" t="n">
        <x:f>IF(U1475="Open",L1475*N1475,0)</x:f>
        <x:v>0</x:v>
      </x:c>
      <x:c r="X1475" s="26" t="n">
        <x:f>IF(U1475="Open","",IFERROR(K1475-B1475,""))</x:f>
        <x:v>58</x:v>
      </x:c>
      <x:c r="Y1475" s="26" t="n">
        <x:f>IF(U1475="Open",Lookups!$B$2-B1475,X1475)</x:f>
        <x:v>58</x:v>
      </x:c>
      <x:c r="Z1475" t="str">
        <x:f>IF(AND(U1475="Open",Y1475&gt;30),"STALE","OK")</x:f>
        <x:v>OK</x:v>
      </x:c>
      <x:c r="AA1475" t="str">
        <x:f>TEXT(B1475,"yyyy-mm")</x:f>
        <x:v>2025-12</x:v>
      </x:c>
      <x:c r="AB1475" t="str">
        <x:f>IF(K1475="","",TEXT(K1475,"yyyy-mm"))</x:f>
        <x:v>2026-02</x:v>
      </x:c>
      <x:c r="AC1475" t="str">
        <x:f>"Q"&amp;ROUNDUP(MONTH(B1475)/3,0)&amp;"-"&amp;YEAR(B1475)</x:f>
        <x:v>Q4-2025</x:v>
      </x:c>
      <x:c r="AD1475" s="26" t="n">
        <x:f>MIN(100,IF(H1475="Enterprise",30,IF(H1475="Mid-Market",22,14))+IF(T1475="Enterprise",25,IF(T1475="Mid-Market",18,10))+IF(Q1475="Referral",25,IF(Q1475="Organic Search",20,IF(Q1475="Email",18,14)))+IF(G1475="Technology",10,5))</x:f>
        <x:v>65</x:v>
      </x:c>
      <x:c r="AE1475" t="str">
        <x:f>IF(U1475&lt;&gt;"Open",U1475,IF(N1475&gt;=0.8,"Commit",IF(N1475&gt;=0.5,"Best Case","Pipeline")))</x:f>
        <x:v>Won</x:v>
      </x:c>
    </x:row>
    <x:row r="1476">
      <x:c r="A1476" t="str">
        <x:v>L01475</x:v>
      </x:c>
      <x:c r="B1476" s="10" t="n">
        <x:v>46218</x:v>
      </x:c>
      <x:c r="C1476" t="str">
        <x:v>Quynh Vu</x:v>
      </x:c>
      <x:c r="D1476" t="str">
        <x:v>North</x:v>
      </x:c>
      <x:c r="E1476" t="str">
        <x:v>Unknown Event</x:v>
      </x:c>
      <x:c r="F1476" t="str">
        <x:v>REV-OPS</x:v>
      </x:c>
      <x:c r="G1476" t="str">
        <x:v>Technology</x:v>
      </x:c>
      <x:c r="H1476" t="str">
        <x:v>SMB</x:v>
      </x:c>
      <x:c r="I1476" t="str">
        <x:v>Qualified</x:v>
      </x:c>
      <x:c r="J1476" s="10" t="n">
        <x:v>46243</x:v>
      </x:c>
      <x:c r="K1476" s="10"/>
      <x:c r="L1476" s="22" t="n">
        <x:v>48300</x:v>
      </x:c>
      <x:c r="M1476" s="24" t="n">
        <x:v>0.03</x:v>
      </x:c>
      <x:c r="N1476" s="24" t="n">
        <x:v>0.2</x:v>
      </x:c>
      <x:c r="O1476" t="str"/>
      <x:c r="P1476" t="n">
        <x:v>2</x:v>
      </x:c>
      <x:c r="Q1476" t="str">
        <x:f>IFERROR(XLOOKUP(E1476,Lookups!$A$5:$A$24,Lookups!$B$5:$B$24),"Other")</x:f>
        <x:v>Other</x:v>
      </x:c>
      <x:c r="R1476" t="str">
        <x:f>IFERROR(XLOOKUP(F1476,Lookups!$D$5:$D$10,Lookups!$E$5:$E$10),"Unknown Product")</x:f>
        <x:v>Revenue Operations Suite</x:v>
      </x:c>
      <x:c r="S1476" t="str">
        <x:f>IFERROR(XLOOKUP(F1476,Lookups!$D$5:$D$10,Lookups!$F$5:$F$10),"Unknown")</x:f>
        <x:v>Revenue Ops</x:v>
      </x:c>
      <x:c r="T1476" t="str">
        <x:f>IF(L1476&gt;=50000,"Enterprise",IF(L1476&gt;=20000,"Mid-Market","SMB"))</x:f>
        <x:v>Mid-Market</x:v>
      </x:c>
      <x:c r="U1476" t="str">
        <x:f>IF(I1476="Closed Won","Won",IF(I1476="Closed Lost","Lost","Open"))</x:f>
        <x:v>Open</x:v>
      </x:c>
      <x:c r="V1476" s="22" t="n">
        <x:f>IF(U1476="Won",L1476*(1-M1476),0)</x:f>
        <x:v>0</x:v>
      </x:c>
      <x:c r="W1476" s="22" t="n">
        <x:f>IF(U1476="Open",L1476*N1476,0)</x:f>
        <x:v>9660</x:v>
      </x:c>
      <x:c r="X1476" s="26" t="str">
        <x:f>IF(U1476="Open","",IFERROR(K1476-B1476,""))</x:f>
      </x:c>
      <x:c r="Y1476" s="26" t="n">
        <x:f>IF(U1476="Open",Lookups!$B$2-B1476,X1476)</x:f>
        <x:v>48</x:v>
      </x:c>
      <x:c r="Z1476" t="str">
        <x:f>IF(AND(U1476="Open",Y1476&gt;30),"STALE","OK")</x:f>
        <x:v>STALE</x:v>
      </x:c>
      <x:c r="AA1476" t="str">
        <x:f>TEXT(B1476,"yyyy-mm")</x:f>
        <x:v>2026-07</x:v>
      </x:c>
      <x:c r="AB1476" t="str">
        <x:f>IF(K1476="","",TEXT(K1476,"yyyy-mm"))</x:f>
      </x:c>
      <x:c r="AC1476" t="str">
        <x:f>"Q"&amp;ROUNDUP(MONTH(B1476)/3,0)&amp;"-"&amp;YEAR(B1476)</x:f>
        <x:v>Q3-2026</x:v>
      </x:c>
      <x:c r="AD1476" s="26" t="n">
        <x:f>MIN(100,IF(H1476="Enterprise",30,IF(H1476="Mid-Market",22,14))+IF(T1476="Enterprise",25,IF(T1476="Mid-Market",18,10))+IF(Q1476="Referral",25,IF(Q1476="Organic Search",20,IF(Q1476="Email",18,14)))+IF(G1476="Technology",10,5))</x:f>
        <x:v>56</x:v>
      </x:c>
      <x:c r="AE1476" t="str">
        <x:f>IF(U1476&lt;&gt;"Open",U1476,IF(N1476&gt;=0.8,"Commit",IF(N1476&gt;=0.5,"Best Case","Pipeline")))</x:f>
        <x:v>Pipeline</x:v>
      </x:c>
    </x:row>
    <x:row r="1477">
      <x:c r="A1477" t="str">
        <x:v>L01476</x:v>
      </x:c>
      <x:c r="B1477" s="10" t="n">
        <x:v>46034</x:v>
      </x:c>
      <x:c r="C1477" t="str">
        <x:v>Chi Le</x:v>
      </x:c>
      <x:c r="D1477" t="str">
        <x:v>South</x:v>
      </x:c>
      <x:c r="E1477" t="str">
        <x:v>organic search</x:v>
      </x:c>
      <x:c r="F1477" t="str">
        <x:v>CS-CLOUD</x:v>
      </x:c>
      <x:c r="G1477" t="str">
        <x:v>Technology</x:v>
      </x:c>
      <x:c r="H1477" t="str">
        <x:v>Mid-Market</x:v>
      </x:c>
      <x:c r="I1477" t="str">
        <x:v>Closed Lost</x:v>
      </x:c>
      <x:c r="J1477" s="10" t="n">
        <x:v>46089</x:v>
      </x:c>
      <x:c r="K1477" s="10" t="n">
        <x:v>46089</x:v>
      </x:c>
      <x:c r="L1477" s="22" t="n">
        <x:v>39200</x:v>
      </x:c>
      <x:c r="M1477" s="24" t="n">
        <x:v>0</x:v>
      </x:c>
      <x:c r="N1477" s="24" t="n">
        <x:v>0</x:v>
      </x:c>
      <x:c r="O1477" t="str">
        <x:v>Timing</x:v>
      </x:c>
      <x:c r="P1477" t="n">
        <x:v>3</x:v>
      </x:c>
      <x:c r="Q1477" t="str">
        <x:f>IFERROR(XLOOKUP(E1477,Lookups!$A$5:$A$24,Lookups!$B$5:$B$24),"Other")</x:f>
        <x:v>Organic Search</x:v>
      </x:c>
      <x:c r="R1477" t="str">
        <x:f>IFERROR(XLOOKUP(F1477,Lookups!$D$5:$D$10,Lookups!$E$5:$E$10),"Unknown Product")</x:f>
        <x:v>Service Cloud</x:v>
      </x:c>
      <x:c r="S1477" t="str">
        <x:f>IFERROR(XLOOKUP(F1477,Lookups!$D$5:$D$10,Lookups!$F$5:$F$10),"Unknown")</x:f>
        <x:v>Customer Service</x:v>
      </x:c>
      <x:c r="T1477" t="str">
        <x:f>IF(L1477&gt;=50000,"Enterprise",IF(L1477&gt;=20000,"Mid-Market","SMB"))</x:f>
        <x:v>Mid-Market</x:v>
      </x:c>
      <x:c r="U1477" t="str">
        <x:f>IF(I1477="Closed Won","Won",IF(I1477="Closed Lost","Lost","Open"))</x:f>
        <x:v>Lost</x:v>
      </x:c>
      <x:c r="V1477" s="22" t="n">
        <x:f>IF(U1477="Won",L1477*(1-M1477),0)</x:f>
        <x:v>0</x:v>
      </x:c>
      <x:c r="W1477" s="22" t="n">
        <x:f>IF(U1477="Open",L1477*N1477,0)</x:f>
        <x:v>0</x:v>
      </x:c>
      <x:c r="X1477" s="26" t="n">
        <x:f>IF(U1477="Open","",IFERROR(K1477-B1477,""))</x:f>
        <x:v>55</x:v>
      </x:c>
      <x:c r="Y1477" s="26" t="n">
        <x:f>IF(U1477="Open",Lookups!$B$2-B1477,X1477)</x:f>
        <x:v>55</x:v>
      </x:c>
      <x:c r="Z1477" t="str">
        <x:f>IF(AND(U1477="Open",Y1477&gt;30),"STALE","OK")</x:f>
        <x:v>OK</x:v>
      </x:c>
      <x:c r="AA1477" t="str">
        <x:f>TEXT(B1477,"yyyy-mm")</x:f>
        <x:v>2026-01</x:v>
      </x:c>
      <x:c r="AB1477" t="str">
        <x:f>IF(K1477="","",TEXT(K1477,"yyyy-mm"))</x:f>
        <x:v>2026-03</x:v>
      </x:c>
      <x:c r="AC1477" t="str">
        <x:f>"Q"&amp;ROUNDUP(MONTH(B1477)/3,0)&amp;"-"&amp;YEAR(B1477)</x:f>
        <x:v>Q1-2026</x:v>
      </x:c>
      <x:c r="AD1477" s="26" t="n">
        <x:f>MIN(100,IF(H1477="Enterprise",30,IF(H1477="Mid-Market",22,14))+IF(T1477="Enterprise",25,IF(T1477="Mid-Market",18,10))+IF(Q1477="Referral",25,IF(Q1477="Organic Search",20,IF(Q1477="Email",18,14)))+IF(G1477="Technology",10,5))</x:f>
        <x:v>70</x:v>
      </x:c>
      <x:c r="AE1477" t="str">
        <x:f>IF(U1477&lt;&gt;"Open",U1477,IF(N1477&gt;=0.8,"Commit",IF(N1477&gt;=0.5,"Best Case","Pipeline")))</x:f>
        <x:v>Lost</x:v>
      </x:c>
    </x:row>
    <x:row r="1478">
      <x:c r="A1478" t="str">
        <x:v>L01477</x:v>
      </x:c>
      <x:c r="B1478" s="10" t="n">
        <x:v>46054</x:v>
      </x:c>
      <x:c r="C1478" t="str">
        <x:v>Minh Do</x:v>
      </x:c>
      <x:c r="D1478" t="str">
        <x:v>North</x:v>
      </x:c>
      <x:c r="E1478" t="str">
        <x:v>linkedin</x:v>
      </x:c>
      <x:c r="F1478" t="str">
        <x:v>CRM-CORE</x:v>
      </x:c>
      <x:c r="G1478" t="str">
        <x:v>Healthcare</x:v>
      </x:c>
      <x:c r="H1478" t="str">
        <x:v>SMB</x:v>
      </x:c>
      <x:c r="I1478" t="str">
        <x:v>Closed Won</x:v>
      </x:c>
      <x:c r="J1478" s="10" t="n">
        <x:v>46129</x:v>
      </x:c>
      <x:c r="K1478" s="10" t="n">
        <x:v>46129</x:v>
      </x:c>
      <x:c r="L1478" s="22" t="n">
        <x:v>4800</x:v>
      </x:c>
      <x:c r="M1478" s="24" t="n">
        <x:v>0.08</x:v>
      </x:c>
      <x:c r="N1478" s="24" t="n">
        <x:v>1</x:v>
      </x:c>
      <x:c r="O1478" t="str"/>
      <x:c r="P1478" t="n">
        <x:v>6</x:v>
      </x:c>
      <x:c r="Q1478" t="str">
        <x:f>IFERROR(XLOOKUP(E1478,Lookups!$A$5:$A$24,Lookups!$B$5:$B$24),"Other")</x:f>
        <x:v>LinkedIn</x:v>
      </x:c>
      <x:c r="R1478" t="str">
        <x:f>IFERROR(XLOOKUP(F1478,Lookups!$D$5:$D$10,Lookups!$E$5:$E$10),"Unknown Product")</x:f>
        <x:v>NexaCRM Core</x:v>
      </x:c>
      <x:c r="S1478" t="str">
        <x:f>IFERROR(XLOOKUP(F1478,Lookups!$D$5:$D$10,Lookups!$F$5:$F$10),"Unknown")</x:f>
        <x:v>CRM</x:v>
      </x:c>
      <x:c r="T1478" t="str">
        <x:f>IF(L1478&gt;=50000,"Enterprise",IF(L1478&gt;=20000,"Mid-Market","SMB"))</x:f>
        <x:v>SMB</x:v>
      </x:c>
      <x:c r="U1478" t="str">
        <x:f>IF(I1478="Closed Won","Won",IF(I1478="Closed Lost","Lost","Open"))</x:f>
        <x:v>Won</x:v>
      </x:c>
      <x:c r="V1478" s="22" t="n">
        <x:f>IF(U1478="Won",L1478*(1-M1478),0)</x:f>
        <x:v>4416</x:v>
      </x:c>
      <x:c r="W1478" s="22" t="n">
        <x:f>IF(U1478="Open",L1478*N1478,0)</x:f>
        <x:v>0</x:v>
      </x:c>
      <x:c r="X1478" s="26" t="n">
        <x:f>IF(U1478="Open","",IFERROR(K1478-B1478,""))</x:f>
        <x:v>75</x:v>
      </x:c>
      <x:c r="Y1478" s="26" t="n">
        <x:f>IF(U1478="Open",Lookups!$B$2-B1478,X1478)</x:f>
        <x:v>75</x:v>
      </x:c>
      <x:c r="Z1478" t="str">
        <x:f>IF(AND(U1478="Open",Y1478&gt;30),"STALE","OK")</x:f>
        <x:v>OK</x:v>
      </x:c>
      <x:c r="AA1478" t="str">
        <x:f>TEXT(B1478,"yyyy-mm")</x:f>
        <x:v>2026-02</x:v>
      </x:c>
      <x:c r="AB1478" t="str">
        <x:f>IF(K1478="","",TEXT(K1478,"yyyy-mm"))</x:f>
        <x:v>2026-04</x:v>
      </x:c>
      <x:c r="AC1478" t="str">
        <x:f>"Q"&amp;ROUNDUP(MONTH(B1478)/3,0)&amp;"-"&amp;YEAR(B1478)</x:f>
        <x:v>Q1-2026</x:v>
      </x:c>
      <x:c r="AD1478" s="26" t="n">
        <x:f>MIN(100,IF(H1478="Enterprise",30,IF(H1478="Mid-Market",22,14))+IF(T1478="Enterprise",25,IF(T1478="Mid-Market",18,10))+IF(Q1478="Referral",25,IF(Q1478="Organic Search",20,IF(Q1478="Email",18,14)))+IF(G1478="Technology",10,5))</x:f>
        <x:v>43</x:v>
      </x:c>
      <x:c r="AE1478" t="str">
        <x:f>IF(U1478&lt;&gt;"Open",U1478,IF(N1478&gt;=0.8,"Commit",IF(N1478&gt;=0.5,"Best Case","Pipeline")))</x:f>
        <x:v>Won</x:v>
      </x:c>
    </x:row>
    <x:row r="1479">
      <x:c r="A1479" t="str">
        <x:v>L01478</x:v>
      </x:c>
      <x:c r="B1479" s="10" t="n">
        <x:v>45748</x:v>
      </x:c>
      <x:c r="C1479" t="str">
        <x:v>Tuan Bui</x:v>
      </x:c>
      <x:c r="D1479" t="str">
        <x:v>Central</x:v>
      </x:c>
      <x:c r="E1479" t="str">
        <x:v>SEO</x:v>
      </x:c>
      <x:c r="F1479" t="str">
        <x:v>CRM-CORE</x:v>
      </x:c>
      <x:c r="G1479" t="str">
        <x:v>Education</x:v>
      </x:c>
      <x:c r="H1479" t="str">
        <x:v>Mid-Market</x:v>
      </x:c>
      <x:c r="I1479" t="str">
        <x:v>Closed Lost</x:v>
      </x:c>
      <x:c r="J1479" s="10" t="n">
        <x:v>45805</x:v>
      </x:c>
      <x:c r="K1479" s="10" t="n">
        <x:v>45805</x:v>
      </x:c>
      <x:c r="L1479" s="22" t="n">
        <x:v>18800</x:v>
      </x:c>
      <x:c r="M1479" s="24" t="n">
        <x:v>0</x:v>
      </x:c>
      <x:c r="N1479" s="24" t="n">
        <x:v>0</x:v>
      </x:c>
      <x:c r="O1479" t="str">
        <x:v>Budget</x:v>
      </x:c>
      <x:c r="P1479" t="n">
        <x:v>4</x:v>
      </x:c>
      <x:c r="Q1479" t="str">
        <x:f>IFERROR(XLOOKUP(E1479,Lookups!$A$5:$A$24,Lookups!$B$5:$B$24),"Other")</x:f>
        <x:v>Organic Search</x:v>
      </x:c>
      <x:c r="R1479" t="str">
        <x:f>IFERROR(XLOOKUP(F1479,Lookups!$D$5:$D$10,Lookups!$E$5:$E$10),"Unknown Product")</x:f>
        <x:v>NexaCRM Core</x:v>
      </x:c>
      <x:c r="S1479" t="str">
        <x:f>IFERROR(XLOOKUP(F1479,Lookups!$D$5:$D$10,Lookups!$F$5:$F$10),"Unknown")</x:f>
        <x:v>CRM</x:v>
      </x:c>
      <x:c r="T1479" t="str">
        <x:f>IF(L1479&gt;=50000,"Enterprise",IF(L1479&gt;=20000,"Mid-Market","SMB"))</x:f>
        <x:v>SMB</x:v>
      </x:c>
      <x:c r="U1479" t="str">
        <x:f>IF(I1479="Closed Won","Won",IF(I1479="Closed Lost","Lost","Open"))</x:f>
        <x:v>Lost</x:v>
      </x:c>
      <x:c r="V1479" s="22" t="n">
        <x:f>IF(U1479="Won",L1479*(1-M1479),0)</x:f>
        <x:v>0</x:v>
      </x:c>
      <x:c r="W1479" s="22" t="n">
        <x:f>IF(U1479="Open",L1479*N1479,0)</x:f>
        <x:v>0</x:v>
      </x:c>
      <x:c r="X1479" s="26" t="n">
        <x:f>IF(U1479="Open","",IFERROR(K1479-B1479,""))</x:f>
        <x:v>57</x:v>
      </x:c>
      <x:c r="Y1479" s="26" t="n">
        <x:f>IF(U1479="Open",Lookups!$B$2-B1479,X1479)</x:f>
        <x:v>57</x:v>
      </x:c>
      <x:c r="Z1479" t="str">
        <x:f>IF(AND(U1479="Open",Y1479&gt;30),"STALE","OK")</x:f>
        <x:v>OK</x:v>
      </x:c>
      <x:c r="AA1479" t="str">
        <x:f>TEXT(B1479,"yyyy-mm")</x:f>
        <x:v>2025-04</x:v>
      </x:c>
      <x:c r="AB1479" t="str">
        <x:f>IF(K1479="","",TEXT(K1479,"yyyy-mm"))</x:f>
        <x:v>2025-05</x:v>
      </x:c>
      <x:c r="AC1479" t="str">
        <x:f>"Q"&amp;ROUNDUP(MONTH(B1479)/3,0)&amp;"-"&amp;YEAR(B1479)</x:f>
        <x:v>Q2-2025</x:v>
      </x:c>
      <x:c r="AD1479" s="26" t="n">
        <x:f>MIN(100,IF(H1479="Enterprise",30,IF(H1479="Mid-Market",22,14))+IF(T1479="Enterprise",25,IF(T1479="Mid-Market",18,10))+IF(Q1479="Referral",25,IF(Q1479="Organic Search",20,IF(Q1479="Email",18,14)))+IF(G1479="Technology",10,5))</x:f>
        <x:v>57</x:v>
      </x:c>
      <x:c r="AE1479" t="str">
        <x:f>IF(U1479&lt;&gt;"Open",U1479,IF(N1479&gt;=0.8,"Commit",IF(N1479&gt;=0.5,"Best Case","Pipeline")))</x:f>
        <x:v>Lost</x:v>
      </x:c>
    </x:row>
    <x:row r="1480">
      <x:c r="A1480" t="str">
        <x:v>L01479</x:v>
      </x:c>
      <x:c r="B1480" s="10" t="n">
        <x:v>45944</x:v>
      </x:c>
      <x:c r="C1480" t="str">
        <x:v>An Nguyen</x:v>
      </x:c>
      <x:c r="D1480" t="str">
        <x:v>South</x:v>
      </x:c>
      <x:c r="E1480" t="str">
        <x:v>SEO</x:v>
      </x:c>
      <x:c r="F1480" t="str">
        <x:v>REV-OPS</x:v>
      </x:c>
      <x:c r="G1480" t="str">
        <x:v>Retail</x:v>
      </x:c>
      <x:c r="H1480" t="str">
        <x:v>SMB</x:v>
      </x:c>
      <x:c r="I1480" t="str">
        <x:v>Closed Lost</x:v>
      </x:c>
      <x:c r="J1480" s="10" t="n">
        <x:v>45952</x:v>
      </x:c>
      <x:c r="K1480" s="10" t="n">
        <x:v>45952</x:v>
      </x:c>
      <x:c r="L1480" s="22" t="n">
        <x:v>24300</x:v>
      </x:c>
      <x:c r="M1480" s="24" t="n">
        <x:v>0</x:v>
      </x:c>
      <x:c r="N1480" s="24" t="n">
        <x:v>0</x:v>
      </x:c>
      <x:c r="O1480" t="str">
        <x:v>Timing</x:v>
      </x:c>
      <x:c r="P1480" t="n">
        <x:v>3</x:v>
      </x:c>
      <x:c r="Q1480" t="str">
        <x:f>IFERROR(XLOOKUP(E1480,Lookups!$A$5:$A$24,Lookups!$B$5:$B$24),"Other")</x:f>
        <x:v>Organic Search</x:v>
      </x:c>
      <x:c r="R1480" t="str">
        <x:f>IFERROR(XLOOKUP(F1480,Lookups!$D$5:$D$10,Lookups!$E$5:$E$10),"Unknown Product")</x:f>
        <x:v>Revenue Operations Suite</x:v>
      </x:c>
      <x:c r="S1480" t="str">
        <x:f>IFERROR(XLOOKUP(F1480,Lookups!$D$5:$D$10,Lookups!$F$5:$F$10),"Unknown")</x:f>
        <x:v>Revenue Ops</x:v>
      </x:c>
      <x:c r="T1480" t="str">
        <x:f>IF(L1480&gt;=50000,"Enterprise",IF(L1480&gt;=20000,"Mid-Market","SMB"))</x:f>
        <x:v>Mid-Market</x:v>
      </x:c>
      <x:c r="U1480" t="str">
        <x:f>IF(I1480="Closed Won","Won",IF(I1480="Closed Lost","Lost","Open"))</x:f>
        <x:v>Lost</x:v>
      </x:c>
      <x:c r="V1480" s="22" t="n">
        <x:f>IF(U1480="Won",L1480*(1-M1480),0)</x:f>
        <x:v>0</x:v>
      </x:c>
      <x:c r="W1480" s="22" t="n">
        <x:f>IF(U1480="Open",L1480*N1480,0)</x:f>
        <x:v>0</x:v>
      </x:c>
      <x:c r="X1480" s="26" t="n">
        <x:f>IF(U1480="Open","",IFERROR(K1480-B1480,""))</x:f>
        <x:v>8</x:v>
      </x:c>
      <x:c r="Y1480" s="26" t="n">
        <x:f>IF(U1480="Open",Lookups!$B$2-B1480,X1480)</x:f>
        <x:v>8</x:v>
      </x:c>
      <x:c r="Z1480" t="str">
        <x:f>IF(AND(U1480="Open",Y1480&gt;30),"STALE","OK")</x:f>
        <x:v>OK</x:v>
      </x:c>
      <x:c r="AA1480" t="str">
        <x:f>TEXT(B1480,"yyyy-mm")</x:f>
        <x:v>2025-10</x:v>
      </x:c>
      <x:c r="AB1480" t="str">
        <x:f>IF(K1480="","",TEXT(K1480,"yyyy-mm"))</x:f>
        <x:v>2025-10</x:v>
      </x:c>
      <x:c r="AC1480" t="str">
        <x:f>"Q"&amp;ROUNDUP(MONTH(B1480)/3,0)&amp;"-"&amp;YEAR(B1480)</x:f>
        <x:v>Q4-2025</x:v>
      </x:c>
      <x:c r="AD1480" s="26" t="n">
        <x:f>MIN(100,IF(H1480="Enterprise",30,IF(H1480="Mid-Market",22,14))+IF(T1480="Enterprise",25,IF(T1480="Mid-Market",18,10))+IF(Q1480="Referral",25,IF(Q1480="Organic Search",20,IF(Q1480="Email",18,14)))+IF(G1480="Technology",10,5))</x:f>
        <x:v>57</x:v>
      </x:c>
      <x:c r="AE1480" t="str">
        <x:f>IF(U1480&lt;&gt;"Open",U1480,IF(N1480&gt;=0.8,"Commit",IF(N1480&gt;=0.5,"Best Case","Pipeline")))</x:f>
        <x:v>Lost</x:v>
      </x:c>
    </x:row>
    <x:row r="1481">
      <x:c r="A1481" t="str">
        <x:v>L01480</x:v>
      </x:c>
      <x:c r="B1481" s="10" t="n">
        <x:v>46212</x:v>
      </x:c>
      <x:c r="C1481" t="str">
        <x:v>Quynh Vu</x:v>
      </x:c>
      <x:c r="D1481" t="str">
        <x:v>North</x:v>
      </x:c>
      <x:c r="E1481" t="str">
        <x:v>customer referral</x:v>
      </x:c>
      <x:c r="F1481" t="str">
        <x:v>CRM-PRO</x:v>
      </x:c>
      <x:c r="G1481" t="str">
        <x:v>Healthcare</x:v>
      </x:c>
      <x:c r="H1481" t="str">
        <x:v>Mid-Market</x:v>
      </x:c>
      <x:c r="I1481" t="str">
        <x:v>Closed Won</x:v>
      </x:c>
      <x:c r="J1481" s="10" t="n">
        <x:v>46256</x:v>
      </x:c>
      <x:c r="K1481" s="10" t="n">
        <x:v>46256</x:v>
      </x:c>
      <x:c r="L1481" s="22" t="n">
        <x:v>38300</x:v>
      </x:c>
      <x:c r="M1481" s="24" t="n">
        <x:v>0.1</x:v>
      </x:c>
      <x:c r="N1481" s="24" t="n">
        <x:v>1</x:v>
      </x:c>
      <x:c r="O1481" t="str"/>
      <x:c r="P1481" t="n">
        <x:v>6</x:v>
      </x:c>
      <x:c r="Q1481" t="str">
        <x:f>IFERROR(XLOOKUP(E1481,Lookups!$A$5:$A$24,Lookups!$B$5:$B$24),"Other")</x:f>
        <x:v>Referral</x:v>
      </x:c>
      <x:c r="R1481" t="str">
        <x:f>IFERROR(XLOOKUP(F1481,Lookups!$D$5:$D$10,Lookups!$E$5:$E$10),"Unknown Product")</x:f>
        <x:v>NexaCRM Pro</x:v>
      </x:c>
      <x:c r="S1481" t="str">
        <x:f>IFERROR(XLOOKUP(F1481,Lookups!$D$5:$D$10,Lookups!$F$5:$F$10),"Unknown")</x:f>
        <x:v>CRM</x:v>
      </x:c>
      <x:c r="T1481" t="str">
        <x:f>IF(L1481&gt;=50000,"Enterprise",IF(L1481&gt;=20000,"Mid-Market","SMB"))</x:f>
        <x:v>Mid-Market</x:v>
      </x:c>
      <x:c r="U1481" t="str">
        <x:f>IF(I1481="Closed Won","Won",IF(I1481="Closed Lost","Lost","Open"))</x:f>
        <x:v>Won</x:v>
      </x:c>
      <x:c r="V1481" s="22" t="n">
        <x:f>IF(U1481="Won",L1481*(1-M1481),0)</x:f>
        <x:v>34470</x:v>
      </x:c>
      <x:c r="W1481" s="22" t="n">
        <x:f>IF(U1481="Open",L1481*N1481,0)</x:f>
        <x:v>0</x:v>
      </x:c>
      <x:c r="X1481" s="26" t="n">
        <x:f>IF(U1481="Open","",IFERROR(K1481-B1481,""))</x:f>
        <x:v>44</x:v>
      </x:c>
      <x:c r="Y1481" s="26" t="n">
        <x:f>IF(U1481="Open",Lookups!$B$2-B1481,X1481)</x:f>
        <x:v>44</x:v>
      </x:c>
      <x:c r="Z1481" t="str">
        <x:f>IF(AND(U1481="Open",Y1481&gt;30),"STALE","OK")</x:f>
        <x:v>OK</x:v>
      </x:c>
      <x:c r="AA1481" t="str">
        <x:f>TEXT(B1481,"yyyy-mm")</x:f>
        <x:v>2026-07</x:v>
      </x:c>
      <x:c r="AB1481" t="str">
        <x:f>IF(K1481="","",TEXT(K1481,"yyyy-mm"))</x:f>
        <x:v>2026-08</x:v>
      </x:c>
      <x:c r="AC1481" t="str">
        <x:f>"Q"&amp;ROUNDUP(MONTH(B1481)/3,0)&amp;"-"&amp;YEAR(B1481)</x:f>
        <x:v>Q3-2026</x:v>
      </x:c>
      <x:c r="AD1481" s="26" t="n">
        <x:f>MIN(100,IF(H1481="Enterprise",30,IF(H1481="Mid-Market",22,14))+IF(T1481="Enterprise",25,IF(T1481="Mid-Market",18,10))+IF(Q1481="Referral",25,IF(Q1481="Organic Search",20,IF(Q1481="Email",18,14)))+IF(G1481="Technology",10,5))</x:f>
        <x:v>70</x:v>
      </x:c>
      <x:c r="AE1481" t="str">
        <x:f>IF(U1481&lt;&gt;"Open",U1481,IF(N1481&gt;=0.8,"Commit",IF(N1481&gt;=0.5,"Best Case","Pipeline")))</x:f>
        <x:v>Won</x:v>
      </x:c>
    </x:row>
    <x:row r="1482">
      <x:c r="A1482" t="str">
        <x:v>L01481</x:v>
      </x:c>
      <x:c r="B1482" s="10" t="n">
        <x:v>45802</x:v>
      </x:c>
      <x:c r="C1482" t="str">
        <x:v>Bao Tran</x:v>
      </x:c>
      <x:c r="D1482" t="str">
        <x:v>South</x:v>
      </x:c>
      <x:c r="E1482" t="str">
        <x:v>linkedin</x:v>
      </x:c>
      <x:c r="F1482" t="str">
        <x:v>CRM-CORE</x:v>
      </x:c>
      <x:c r="G1482" t="str">
        <x:v>Manufacturing</x:v>
      </x:c>
      <x:c r="H1482" t="str">
        <x:v>Enterprise</x:v>
      </x:c>
      <x:c r="I1482" t="str">
        <x:v>Closed Lost</x:v>
      </x:c>
      <x:c r="J1482" s="10" t="n">
        <x:v>45856</x:v>
      </x:c>
      <x:c r="K1482" s="10" t="n">
        <x:v>45856</x:v>
      </x:c>
      <x:c r="L1482" s="22" t="n">
        <x:v>15600</x:v>
      </x:c>
      <x:c r="M1482" s="24" t="n">
        <x:v>0</x:v>
      </x:c>
      <x:c r="N1482" s="24" t="n">
        <x:v>0</x:v>
      </x:c>
      <x:c r="O1482" t="str">
        <x:v>Feature Gap</x:v>
      </x:c>
      <x:c r="P1482" t="n">
        <x:v>5</x:v>
      </x:c>
      <x:c r="Q1482" t="str">
        <x:f>IFERROR(XLOOKUP(E1482,Lookups!$A$5:$A$24,Lookups!$B$5:$B$24),"Other")</x:f>
        <x:v>LinkedIn</x:v>
      </x:c>
      <x:c r="R1482" t="str">
        <x:f>IFERROR(XLOOKUP(F1482,Lookups!$D$5:$D$10,Lookups!$E$5:$E$10),"Unknown Product")</x:f>
        <x:v>NexaCRM Core</x:v>
      </x:c>
      <x:c r="S1482" t="str">
        <x:f>IFERROR(XLOOKUP(F1482,Lookups!$D$5:$D$10,Lookups!$F$5:$F$10),"Unknown")</x:f>
        <x:v>CRM</x:v>
      </x:c>
      <x:c r="T1482" t="str">
        <x:f>IF(L1482&gt;=50000,"Enterprise",IF(L1482&gt;=20000,"Mid-Market","SMB"))</x:f>
        <x:v>SMB</x:v>
      </x:c>
      <x:c r="U1482" t="str">
        <x:f>IF(I1482="Closed Won","Won",IF(I1482="Closed Lost","Lost","Open"))</x:f>
        <x:v>Lost</x:v>
      </x:c>
      <x:c r="V1482" s="22" t="n">
        <x:f>IF(U1482="Won",L1482*(1-M1482),0)</x:f>
        <x:v>0</x:v>
      </x:c>
      <x:c r="W1482" s="22" t="n">
        <x:f>IF(U1482="Open",L1482*N1482,0)</x:f>
        <x:v>0</x:v>
      </x:c>
      <x:c r="X1482" s="26" t="n">
        <x:f>IF(U1482="Open","",IFERROR(K1482-B1482,""))</x:f>
        <x:v>54</x:v>
      </x:c>
      <x:c r="Y1482" s="26" t="n">
        <x:f>IF(U1482="Open",Lookups!$B$2-B1482,X1482)</x:f>
        <x:v>54</x:v>
      </x:c>
      <x:c r="Z1482" t="str">
        <x:f>IF(AND(U1482="Open",Y1482&gt;30),"STALE","OK")</x:f>
        <x:v>OK</x:v>
      </x:c>
      <x:c r="AA1482" t="str">
        <x:f>TEXT(B1482,"yyyy-mm")</x:f>
        <x:v>2025-05</x:v>
      </x:c>
      <x:c r="AB1482" t="str">
        <x:f>IF(K1482="","",TEXT(K1482,"yyyy-mm"))</x:f>
        <x:v>2025-07</x:v>
      </x:c>
      <x:c r="AC1482" t="str">
        <x:f>"Q"&amp;ROUNDUP(MONTH(B1482)/3,0)&amp;"-"&amp;YEAR(B1482)</x:f>
        <x:v>Q2-2025</x:v>
      </x:c>
      <x:c r="AD1482" s="26" t="n">
        <x:f>MIN(100,IF(H1482="Enterprise",30,IF(H1482="Mid-Market",22,14))+IF(T1482="Enterprise",25,IF(T1482="Mid-Market",18,10))+IF(Q1482="Referral",25,IF(Q1482="Organic Search",20,IF(Q1482="Email",18,14)))+IF(G1482="Technology",10,5))</x:f>
        <x:v>59</x:v>
      </x:c>
      <x:c r="AE1482" t="str">
        <x:f>IF(U1482&lt;&gt;"Open",U1482,IF(N1482&gt;=0.8,"Commit",IF(N1482&gt;=0.5,"Best Case","Pipeline")))</x:f>
        <x:v>Lost</x:v>
      </x:c>
    </x:row>
    <x:row r="1483">
      <x:c r="A1483" t="str">
        <x:v>L01482</x:v>
      </x:c>
      <x:c r="B1483" s="10" t="n">
        <x:v>46224</x:v>
      </x:c>
      <x:c r="C1483" t="str">
        <x:v>Minh Do</x:v>
      </x:c>
      <x:c r="D1483" t="str">
        <x:v>North</x:v>
      </x:c>
      <x:c r="E1483" t="str">
        <x:v>newsletter</x:v>
      </x:c>
      <x:c r="F1483" t="str">
        <x:v>CRM-PRO</x:v>
      </x:c>
      <x:c r="G1483" t="str">
        <x:v>Manufacturing</x:v>
      </x:c>
      <x:c r="H1483" t="str">
        <x:v>SMB</x:v>
      </x:c>
      <x:c r="I1483" t="str">
        <x:v>Qualified</x:v>
      </x:c>
      <x:c r="J1483" s="10" t="n">
        <x:v>46239</x:v>
      </x:c>
      <x:c r="K1483" s="10"/>
      <x:c r="L1483" s="22" t="n">
        <x:v>20500</x:v>
      </x:c>
      <x:c r="M1483" s="24" t="n">
        <x:v>0.05</x:v>
      </x:c>
      <x:c r="N1483" s="24" t="n">
        <x:v>0.2</x:v>
      </x:c>
      <x:c r="O1483" t="str"/>
      <x:c r="P1483" t="n">
        <x:v>2</x:v>
      </x:c>
      <x:c r="Q1483" t="str">
        <x:f>IFERROR(XLOOKUP(E1483,Lookups!$A$5:$A$24,Lookups!$B$5:$B$24),"Other")</x:f>
        <x:v>Email</x:v>
      </x:c>
      <x:c r="R1483" t="str">
        <x:f>IFERROR(XLOOKUP(F1483,Lookups!$D$5:$D$10,Lookups!$E$5:$E$10),"Unknown Product")</x:f>
        <x:v>NexaCRM Pro</x:v>
      </x:c>
      <x:c r="S1483" t="str">
        <x:f>IFERROR(XLOOKUP(F1483,Lookups!$D$5:$D$10,Lookups!$F$5:$F$10),"Unknown")</x:f>
        <x:v>CRM</x:v>
      </x:c>
      <x:c r="T1483" t="str">
        <x:f>IF(L1483&gt;=50000,"Enterprise",IF(L1483&gt;=20000,"Mid-Market","SMB"))</x:f>
        <x:v>Mid-Market</x:v>
      </x:c>
      <x:c r="U1483" t="str">
        <x:f>IF(I1483="Closed Won","Won",IF(I1483="Closed Lost","Lost","Open"))</x:f>
        <x:v>Open</x:v>
      </x:c>
      <x:c r="V1483" s="22" t="n">
        <x:f>IF(U1483="Won",L1483*(1-M1483),0)</x:f>
        <x:v>0</x:v>
      </x:c>
      <x:c r="W1483" s="22" t="n">
        <x:f>IF(U1483="Open",L1483*N1483,0)</x:f>
        <x:v>4100</x:v>
      </x:c>
      <x:c r="X1483" s="26" t="str">
        <x:f>IF(U1483="Open","",IFERROR(K1483-B1483,""))</x:f>
      </x:c>
      <x:c r="Y1483" s="26" t="n">
        <x:f>IF(U1483="Open",Lookups!$B$2-B1483,X1483)</x:f>
        <x:v>42</x:v>
      </x:c>
      <x:c r="Z1483" t="str">
        <x:f>IF(AND(U1483="Open",Y1483&gt;30),"STALE","OK")</x:f>
        <x:v>STALE</x:v>
      </x:c>
      <x:c r="AA1483" t="str">
        <x:f>TEXT(B1483,"yyyy-mm")</x:f>
        <x:v>2026-07</x:v>
      </x:c>
      <x:c r="AB1483" t="str">
        <x:f>IF(K1483="","",TEXT(K1483,"yyyy-mm"))</x:f>
      </x:c>
      <x:c r="AC1483" t="str">
        <x:f>"Q"&amp;ROUNDUP(MONTH(B1483)/3,0)&amp;"-"&amp;YEAR(B1483)</x:f>
        <x:v>Q3-2026</x:v>
      </x:c>
      <x:c r="AD1483" s="26" t="n">
        <x:f>MIN(100,IF(H1483="Enterprise",30,IF(H1483="Mid-Market",22,14))+IF(T1483="Enterprise",25,IF(T1483="Mid-Market",18,10))+IF(Q1483="Referral",25,IF(Q1483="Organic Search",20,IF(Q1483="Email",18,14)))+IF(G1483="Technology",10,5))</x:f>
        <x:v>55</x:v>
      </x:c>
      <x:c r="AE1483" t="str">
        <x:f>IF(U1483&lt;&gt;"Open",U1483,IF(N1483&gt;=0.8,"Commit",IF(N1483&gt;=0.5,"Best Case","Pipeline")))</x:f>
        <x:v>Pipeline</x:v>
      </x:c>
    </x:row>
    <x:row r="1484">
      <x:c r="A1484" t="str">
        <x:v>L01483</x:v>
      </x:c>
      <x:c r="B1484" s="10" t="n">
        <x:v>46242</x:v>
      </x:c>
      <x:c r="C1484" t="str">
        <x:v>Duy Pham</x:v>
      </x:c>
      <x:c r="D1484" t="str">
        <x:v>South</x:v>
      </x:c>
      <x:c r="E1484" t="str">
        <x:v>customer referral</x:v>
      </x:c>
      <x:c r="F1484" t="str">
        <x:v>MKT-AUTO</x:v>
      </x:c>
      <x:c r="G1484" t="str">
        <x:v>Retail</x:v>
      </x:c>
      <x:c r="H1484" t="str">
        <x:v>SMB</x:v>
      </x:c>
      <x:c r="I1484" t="str">
        <x:v>Qualified</x:v>
      </x:c>
      <x:c r="J1484" s="10" t="n">
        <x:v>46263</x:v>
      </x:c>
      <x:c r="K1484" s="10"/>
      <x:c r="L1484" s="22" t="n">
        <x:v>19000</x:v>
      </x:c>
      <x:c r="M1484" s="24" t="n">
        <x:v>0.03</x:v>
      </x:c>
      <x:c r="N1484" s="24" t="n">
        <x:v>0.2</x:v>
      </x:c>
      <x:c r="O1484" t="str"/>
      <x:c r="P1484" t="n">
        <x:v>2</x:v>
      </x:c>
      <x:c r="Q1484" t="str">
        <x:f>IFERROR(XLOOKUP(E1484,Lookups!$A$5:$A$24,Lookups!$B$5:$B$24),"Other")</x:f>
        <x:v>Referral</x:v>
      </x:c>
      <x:c r="R1484" t="str">
        <x:f>IFERROR(XLOOKUP(F1484,Lookups!$D$5:$D$10,Lookups!$E$5:$E$10),"Unknown Product")</x:f>
        <x:v>Marketing Automation</x:v>
      </x:c>
      <x:c r="S1484" t="str">
        <x:f>IFERROR(XLOOKUP(F1484,Lookups!$D$5:$D$10,Lookups!$F$5:$F$10),"Unknown")</x:f>
        <x:v>Marketing</x:v>
      </x:c>
      <x:c r="T1484" t="str">
        <x:f>IF(L1484&gt;=50000,"Enterprise",IF(L1484&gt;=20000,"Mid-Market","SMB"))</x:f>
        <x:v>SMB</x:v>
      </x:c>
      <x:c r="U1484" t="str">
        <x:f>IF(I1484="Closed Won","Won",IF(I1484="Closed Lost","Lost","Open"))</x:f>
        <x:v>Open</x:v>
      </x:c>
      <x:c r="V1484" s="22" t="n">
        <x:f>IF(U1484="Won",L1484*(1-M1484),0)</x:f>
        <x:v>0</x:v>
      </x:c>
      <x:c r="W1484" s="22" t="n">
        <x:f>IF(U1484="Open",L1484*N1484,0)</x:f>
        <x:v>3800</x:v>
      </x:c>
      <x:c r="X1484" s="26" t="str">
        <x:f>IF(U1484="Open","",IFERROR(K1484-B1484,""))</x:f>
      </x:c>
      <x:c r="Y1484" s="26" t="n">
        <x:f>IF(U1484="Open",Lookups!$B$2-B1484,X1484)</x:f>
        <x:v>24</x:v>
      </x:c>
      <x:c r="Z1484" t="str">
        <x:f>IF(AND(U1484="Open",Y1484&gt;30),"STALE","OK")</x:f>
        <x:v>OK</x:v>
      </x:c>
      <x:c r="AA1484" t="str">
        <x:f>TEXT(B1484,"yyyy-mm")</x:f>
        <x:v>2026-08</x:v>
      </x:c>
      <x:c r="AB1484" t="str">
        <x:f>IF(K1484="","",TEXT(K1484,"yyyy-mm"))</x:f>
      </x:c>
      <x:c r="AC1484" t="str">
        <x:f>"Q"&amp;ROUNDUP(MONTH(B1484)/3,0)&amp;"-"&amp;YEAR(B1484)</x:f>
        <x:v>Q3-2026</x:v>
      </x:c>
      <x:c r="AD1484" s="26" t="n">
        <x:f>MIN(100,IF(H1484="Enterprise",30,IF(H1484="Mid-Market",22,14))+IF(T1484="Enterprise",25,IF(T1484="Mid-Market",18,10))+IF(Q1484="Referral",25,IF(Q1484="Organic Search",20,IF(Q1484="Email",18,14)))+IF(G1484="Technology",10,5))</x:f>
        <x:v>54</x:v>
      </x:c>
      <x:c r="AE1484" t="str">
        <x:f>IF(U1484&lt;&gt;"Open",U1484,IF(N1484&gt;=0.8,"Commit",IF(N1484&gt;=0.5,"Best Case","Pipeline")))</x:f>
        <x:v>Pipeline</x:v>
      </x:c>
    </x:row>
    <x:row r="1485">
      <x:c r="A1485" t="str">
        <x:v>L01484</x:v>
      </x:c>
      <x:c r="B1485" s="10" t="n">
        <x:v>45937</x:v>
      </x:c>
      <x:c r="C1485" t="str">
        <x:v>Quynh Vu</x:v>
      </x:c>
      <x:c r="D1485" t="str">
        <x:v>North</x:v>
      </x:c>
      <x:c r="E1485" t="str">
        <x:v>newsletter</x:v>
      </x:c>
      <x:c r="F1485" t="str">
        <x:v>CS-CLOUD</x:v>
      </x:c>
      <x:c r="G1485" t="str">
        <x:v>Professional Services</x:v>
      </x:c>
      <x:c r="H1485" t="str">
        <x:v>SMB</x:v>
      </x:c>
      <x:c r="I1485" t="str">
        <x:v>Closed Lost</x:v>
      </x:c>
      <x:c r="J1485" s="10" t="n">
        <x:v>45966</x:v>
      </x:c>
      <x:c r="K1485" s="10" t="n">
        <x:v>45966</x:v>
      </x:c>
      <x:c r="L1485" s="22" t="n">
        <x:v>25000</x:v>
      </x:c>
      <x:c r="M1485" s="24" t="n">
        <x:v>0</x:v>
      </x:c>
      <x:c r="N1485" s="24" t="n">
        <x:v>0</x:v>
      </x:c>
      <x:c r="O1485" t="str">
        <x:v>Competitor</x:v>
      </x:c>
      <x:c r="P1485" t="n">
        <x:v>4</x:v>
      </x:c>
      <x:c r="Q1485" t="str">
        <x:f>IFERROR(XLOOKUP(E1485,Lookups!$A$5:$A$24,Lookups!$B$5:$B$24),"Other")</x:f>
        <x:v>Email</x:v>
      </x:c>
      <x:c r="R1485" t="str">
        <x:f>IFERROR(XLOOKUP(F1485,Lookups!$D$5:$D$10,Lookups!$E$5:$E$10),"Unknown Product")</x:f>
        <x:v>Service Cloud</x:v>
      </x:c>
      <x:c r="S1485" t="str">
        <x:f>IFERROR(XLOOKUP(F1485,Lookups!$D$5:$D$10,Lookups!$F$5:$F$10),"Unknown")</x:f>
        <x:v>Customer Service</x:v>
      </x:c>
      <x:c r="T1485" t="str">
        <x:f>IF(L1485&gt;=50000,"Enterprise",IF(L1485&gt;=20000,"Mid-Market","SMB"))</x:f>
        <x:v>Mid-Market</x:v>
      </x:c>
      <x:c r="U1485" t="str">
        <x:f>IF(I1485="Closed Won","Won",IF(I1485="Closed Lost","Lost","Open"))</x:f>
        <x:v>Lost</x:v>
      </x:c>
      <x:c r="V1485" s="22" t="n">
        <x:f>IF(U1485="Won",L1485*(1-M1485),0)</x:f>
        <x:v>0</x:v>
      </x:c>
      <x:c r="W1485" s="22" t="n">
        <x:f>IF(U1485="Open",L1485*N1485,0)</x:f>
        <x:v>0</x:v>
      </x:c>
      <x:c r="X1485" s="26" t="n">
        <x:f>IF(U1485="Open","",IFERROR(K1485-B1485,""))</x:f>
        <x:v>29</x:v>
      </x:c>
      <x:c r="Y1485" s="26" t="n">
        <x:f>IF(U1485="Open",Lookups!$B$2-B1485,X1485)</x:f>
        <x:v>29</x:v>
      </x:c>
      <x:c r="Z1485" t="str">
        <x:f>IF(AND(U1485="Open",Y1485&gt;30),"STALE","OK")</x:f>
        <x:v>OK</x:v>
      </x:c>
      <x:c r="AA1485" t="str">
        <x:f>TEXT(B1485,"yyyy-mm")</x:f>
        <x:v>2025-10</x:v>
      </x:c>
      <x:c r="AB1485" t="str">
        <x:f>IF(K1485="","",TEXT(K1485,"yyyy-mm"))</x:f>
        <x:v>2025-11</x:v>
      </x:c>
      <x:c r="AC1485" t="str">
        <x:f>"Q"&amp;ROUNDUP(MONTH(B1485)/3,0)&amp;"-"&amp;YEAR(B1485)</x:f>
        <x:v>Q4-2025</x:v>
      </x:c>
      <x:c r="AD1485" s="26" t="n">
        <x:f>MIN(100,IF(H1485="Enterprise",30,IF(H1485="Mid-Market",22,14))+IF(T1485="Enterprise",25,IF(T1485="Mid-Market",18,10))+IF(Q1485="Referral",25,IF(Q1485="Organic Search",20,IF(Q1485="Email",18,14)))+IF(G1485="Technology",10,5))</x:f>
        <x:v>55</x:v>
      </x:c>
      <x:c r="AE1485" t="str">
        <x:f>IF(U1485&lt;&gt;"Open",U1485,IF(N1485&gt;=0.8,"Commit",IF(N1485&gt;=0.5,"Best Case","Pipeline")))</x:f>
        <x:v>Lost</x:v>
      </x:c>
    </x:row>
    <x:row r="1486">
      <x:c r="A1486" t="str">
        <x:v>L01485</x:v>
      </x:c>
      <x:c r="B1486" s="10" t="n">
        <x:v>46195</x:v>
      </x:c>
      <x:c r="C1486" t="str">
        <x:v>Minh Do</x:v>
      </x:c>
      <x:c r="D1486" t="str">
        <x:v>North</x:v>
      </x:c>
      <x:c r="E1486" t="str">
        <x:v>google cpc</x:v>
      </x:c>
      <x:c r="F1486" t="str">
        <x:v>BI-PLUS</x:v>
      </x:c>
      <x:c r="G1486" t="str">
        <x:v>Technology</x:v>
      </x:c>
      <x:c r="H1486" t="str">
        <x:v>Mid-Market</x:v>
      </x:c>
      <x:c r="I1486" t="str">
        <x:v>Demo / Meeting</x:v>
      </x:c>
      <x:c r="J1486" s="10" t="n">
        <x:v>46249</x:v>
      </x:c>
      <x:c r="K1486" s="10"/>
      <x:c r="L1486" s="22" t="n">
        <x:v>50200</x:v>
      </x:c>
      <x:c r="M1486" s="24" t="n">
        <x:v>0.05</x:v>
      </x:c>
      <x:c r="N1486" s="24" t="n">
        <x:v>0.4</x:v>
      </x:c>
      <x:c r="O1486" t="str"/>
      <x:c r="P1486" t="n">
        <x:v>3</x:v>
      </x:c>
      <x:c r="Q1486" t="str">
        <x:f>IFERROR(XLOOKUP(E1486,Lookups!$A$5:$A$24,Lookups!$B$5:$B$24),"Other")</x:f>
        <x:v>Paid Search</x:v>
      </x:c>
      <x:c r="R1486" t="str">
        <x:f>IFERROR(XLOOKUP(F1486,Lookups!$D$5:$D$10,Lookups!$E$5:$E$10),"Unknown Product")</x:f>
        <x:v>Analytics Plus</x:v>
      </x:c>
      <x:c r="S1486" t="str">
        <x:f>IFERROR(XLOOKUP(F1486,Lookups!$D$5:$D$10,Lookups!$F$5:$F$10),"Unknown")</x:f>
        <x:v>Analytics</x:v>
      </x:c>
      <x:c r="T1486" t="str">
        <x:f>IF(L1486&gt;=50000,"Enterprise",IF(L1486&gt;=20000,"Mid-Market","SMB"))</x:f>
        <x:v>Enterprise</x:v>
      </x:c>
      <x:c r="U1486" t="str">
        <x:f>IF(I1486="Closed Won","Won",IF(I1486="Closed Lost","Lost","Open"))</x:f>
        <x:v>Open</x:v>
      </x:c>
      <x:c r="V1486" s="22" t="n">
        <x:f>IF(U1486="Won",L1486*(1-M1486),0)</x:f>
        <x:v>0</x:v>
      </x:c>
      <x:c r="W1486" s="22" t="n">
        <x:f>IF(U1486="Open",L1486*N1486,0)</x:f>
        <x:v>20080</x:v>
      </x:c>
      <x:c r="X1486" s="26" t="str">
        <x:f>IF(U1486="Open","",IFERROR(K1486-B1486,""))</x:f>
      </x:c>
      <x:c r="Y1486" s="26" t="n">
        <x:f>IF(U1486="Open",Lookups!$B$2-B1486,X1486)</x:f>
        <x:v>71</x:v>
      </x:c>
      <x:c r="Z1486" t="str">
        <x:f>IF(AND(U1486="Open",Y1486&gt;30),"STALE","OK")</x:f>
        <x:v>STALE</x:v>
      </x:c>
      <x:c r="AA1486" t="str">
        <x:f>TEXT(B1486,"yyyy-mm")</x:f>
        <x:v>2026-06</x:v>
      </x:c>
      <x:c r="AB1486" t="str">
        <x:f>IF(K1486="","",TEXT(K1486,"yyyy-mm"))</x:f>
      </x:c>
      <x:c r="AC1486" t="str">
        <x:f>"Q"&amp;ROUNDUP(MONTH(B1486)/3,0)&amp;"-"&amp;YEAR(B1486)</x:f>
        <x:v>Q2-2026</x:v>
      </x:c>
      <x:c r="AD1486" s="26" t="n">
        <x:f>MIN(100,IF(H1486="Enterprise",30,IF(H1486="Mid-Market",22,14))+IF(T1486="Enterprise",25,IF(T1486="Mid-Market",18,10))+IF(Q1486="Referral",25,IF(Q1486="Organic Search",20,IF(Q1486="Email",18,14)))+IF(G1486="Technology",10,5))</x:f>
        <x:v>71</x:v>
      </x:c>
      <x:c r="AE1486" t="str">
        <x:f>IF(U1486&lt;&gt;"Open",U1486,IF(N1486&gt;=0.8,"Commit",IF(N1486&gt;=0.5,"Best Case","Pipeline")))</x:f>
        <x:v>Pipeline</x:v>
      </x:c>
    </x:row>
    <x:row r="1487">
      <x:c r="A1487" t="str">
        <x:v>L01486</x:v>
      </x:c>
      <x:c r="B1487" s="10" t="n">
        <x:v>45704</x:v>
      </x:c>
      <x:c r="C1487" t="str">
        <x:v>Tuan Bui</x:v>
      </x:c>
      <x:c r="D1487" t="str">
        <x:v>Central</x:v>
      </x:c>
      <x:c r="E1487" t="str">
        <x:v>linkedin</x:v>
      </x:c>
      <x:c r="F1487" t="str">
        <x:v>BI-PLUS</x:v>
      </x:c>
      <x:c r="G1487" t="str">
        <x:v>Healthcare</x:v>
      </x:c>
      <x:c r="H1487" t="str">
        <x:v>Mid-Market</x:v>
      </x:c>
      <x:c r="I1487" t="str">
        <x:v>Closed Lost</x:v>
      </x:c>
      <x:c r="J1487" s="10" t="n">
        <x:v>45729</x:v>
      </x:c>
      <x:c r="K1487" s="10" t="n">
        <x:v>45729</x:v>
      </x:c>
      <x:c r="L1487" s="22" t="n">
        <x:v>52500</x:v>
      </x:c>
      <x:c r="M1487" s="24" t="n">
        <x:v>0</x:v>
      </x:c>
      <x:c r="N1487" s="24" t="n">
        <x:v>0</x:v>
      </x:c>
      <x:c r="O1487" t="str">
        <x:v>Budget</x:v>
      </x:c>
      <x:c r="P1487" t="n">
        <x:v>5</x:v>
      </x:c>
      <x:c r="Q1487" t="str">
        <x:f>IFERROR(XLOOKUP(E1487,Lookups!$A$5:$A$24,Lookups!$B$5:$B$24),"Other")</x:f>
        <x:v>LinkedIn</x:v>
      </x:c>
      <x:c r="R1487" t="str">
        <x:f>IFERROR(XLOOKUP(F1487,Lookups!$D$5:$D$10,Lookups!$E$5:$E$10),"Unknown Product")</x:f>
        <x:v>Analytics Plus</x:v>
      </x:c>
      <x:c r="S1487" t="str">
        <x:f>IFERROR(XLOOKUP(F1487,Lookups!$D$5:$D$10,Lookups!$F$5:$F$10),"Unknown")</x:f>
        <x:v>Analytics</x:v>
      </x:c>
      <x:c r="T1487" t="str">
        <x:f>IF(L1487&gt;=50000,"Enterprise",IF(L1487&gt;=20000,"Mid-Market","SMB"))</x:f>
        <x:v>Enterprise</x:v>
      </x:c>
      <x:c r="U1487" t="str">
        <x:f>IF(I1487="Closed Won","Won",IF(I1487="Closed Lost","Lost","Open"))</x:f>
        <x:v>Lost</x:v>
      </x:c>
      <x:c r="V1487" s="22" t="n">
        <x:f>IF(U1487="Won",L1487*(1-M1487),0)</x:f>
        <x:v>0</x:v>
      </x:c>
      <x:c r="W1487" s="22" t="n">
        <x:f>IF(U1487="Open",L1487*N1487,0)</x:f>
        <x:v>0</x:v>
      </x:c>
      <x:c r="X1487" s="26" t="n">
        <x:f>IF(U1487="Open","",IFERROR(K1487-B1487,""))</x:f>
        <x:v>25</x:v>
      </x:c>
      <x:c r="Y1487" s="26" t="n">
        <x:f>IF(U1487="Open",Lookups!$B$2-B1487,X1487)</x:f>
        <x:v>25</x:v>
      </x:c>
      <x:c r="Z1487" t="str">
        <x:f>IF(AND(U1487="Open",Y1487&gt;30),"STALE","OK")</x:f>
        <x:v>OK</x:v>
      </x:c>
      <x:c r="AA1487" t="str">
        <x:f>TEXT(B1487,"yyyy-mm")</x:f>
        <x:v>2025-02</x:v>
      </x:c>
      <x:c r="AB1487" t="str">
        <x:f>IF(K1487="","",TEXT(K1487,"yyyy-mm"))</x:f>
        <x:v>2025-03</x:v>
      </x:c>
      <x:c r="AC1487" t="str">
        <x:f>"Q"&amp;ROUNDUP(MONTH(B1487)/3,0)&amp;"-"&amp;YEAR(B1487)</x:f>
        <x:v>Q1-2025</x:v>
      </x:c>
      <x:c r="AD1487" s="26" t="n">
        <x:f>MIN(100,IF(H1487="Enterprise",30,IF(H1487="Mid-Market",22,14))+IF(T1487="Enterprise",25,IF(T1487="Mid-Market",18,10))+IF(Q1487="Referral",25,IF(Q1487="Organic Search",20,IF(Q1487="Email",18,14)))+IF(G1487="Technology",10,5))</x:f>
        <x:v>66</x:v>
      </x:c>
      <x:c r="AE1487" t="str">
        <x:f>IF(U1487&lt;&gt;"Open",U1487,IF(N1487&gt;=0.8,"Commit",IF(N1487&gt;=0.5,"Best Case","Pipeline")))</x:f>
        <x:v>Lost</x:v>
      </x:c>
    </x:row>
    <x:row r="1488">
      <x:c r="A1488" t="str">
        <x:v>L01487</x:v>
      </x:c>
      <x:c r="B1488" s="10" t="n">
        <x:v>46178</x:v>
      </x:c>
      <x:c r="C1488" t="str">
        <x:v>An Nguyen</x:v>
      </x:c>
      <x:c r="D1488" t="str">
        <x:v>South</x:v>
      </x:c>
      <x:c r="E1488" t="str">
        <x:v>Email Campaign</x:v>
      </x:c>
      <x:c r="F1488" t="str">
        <x:v>BI-PLUS</x:v>
      </x:c>
      <x:c r="G1488" t="str">
        <x:v>Financial Services</x:v>
      </x:c>
      <x:c r="H1488" t="str">
        <x:v>SMB</x:v>
      </x:c>
      <x:c r="I1488" t="str">
        <x:v>Closed Lost</x:v>
      </x:c>
      <x:c r="J1488" s="10" t="n">
        <x:v>46192</x:v>
      </x:c>
      <x:c r="K1488" s="10" t="n">
        <x:v>46192</x:v>
      </x:c>
      <x:c r="L1488" s="22" t="n">
        <x:v>30000</x:v>
      </x:c>
      <x:c r="M1488" s="24" t="n">
        <x:v>0</x:v>
      </x:c>
      <x:c r="N1488" s="24" t="n">
        <x:v>0</x:v>
      </x:c>
      <x:c r="O1488" t="str">
        <x:v>No Decision</x:v>
      </x:c>
      <x:c r="P1488" t="n">
        <x:v>5</x:v>
      </x:c>
      <x:c r="Q1488" t="str">
        <x:f>IFERROR(XLOOKUP(E1488,Lookups!$A$5:$A$24,Lookups!$B$5:$B$24),"Other")</x:f>
        <x:v>Email</x:v>
      </x:c>
      <x:c r="R1488" t="str">
        <x:f>IFERROR(XLOOKUP(F1488,Lookups!$D$5:$D$10,Lookups!$E$5:$E$10),"Unknown Product")</x:f>
        <x:v>Analytics Plus</x:v>
      </x:c>
      <x:c r="S1488" t="str">
        <x:f>IFERROR(XLOOKUP(F1488,Lookups!$D$5:$D$10,Lookups!$F$5:$F$10),"Unknown")</x:f>
        <x:v>Analytics</x:v>
      </x:c>
      <x:c r="T1488" t="str">
        <x:f>IF(L1488&gt;=50000,"Enterprise",IF(L1488&gt;=20000,"Mid-Market","SMB"))</x:f>
        <x:v>Mid-Market</x:v>
      </x:c>
      <x:c r="U1488" t="str">
        <x:f>IF(I1488="Closed Won","Won",IF(I1488="Closed Lost","Lost","Open"))</x:f>
        <x:v>Lost</x:v>
      </x:c>
      <x:c r="V1488" s="22" t="n">
        <x:f>IF(U1488="Won",L1488*(1-M1488),0)</x:f>
        <x:v>0</x:v>
      </x:c>
      <x:c r="W1488" s="22" t="n">
        <x:f>IF(U1488="Open",L1488*N1488,0)</x:f>
        <x:v>0</x:v>
      </x:c>
      <x:c r="X1488" s="26" t="n">
        <x:f>IF(U1488="Open","",IFERROR(K1488-B1488,""))</x:f>
        <x:v>14</x:v>
      </x:c>
      <x:c r="Y1488" s="26" t="n">
        <x:f>IF(U1488="Open",Lookups!$B$2-B1488,X1488)</x:f>
        <x:v>14</x:v>
      </x:c>
      <x:c r="Z1488" t="str">
        <x:f>IF(AND(U1488="Open",Y1488&gt;30),"STALE","OK")</x:f>
        <x:v>OK</x:v>
      </x:c>
      <x:c r="AA1488" t="str">
        <x:f>TEXT(B1488,"yyyy-mm")</x:f>
        <x:v>2026-06</x:v>
      </x:c>
      <x:c r="AB1488" t="str">
        <x:f>IF(K1488="","",TEXT(K1488,"yyyy-mm"))</x:f>
        <x:v>2026-06</x:v>
      </x:c>
      <x:c r="AC1488" t="str">
        <x:f>"Q"&amp;ROUNDUP(MONTH(B1488)/3,0)&amp;"-"&amp;YEAR(B1488)</x:f>
        <x:v>Q2-2026</x:v>
      </x:c>
      <x:c r="AD1488" s="26" t="n">
        <x:f>MIN(100,IF(H1488="Enterprise",30,IF(H1488="Mid-Market",22,14))+IF(T1488="Enterprise",25,IF(T1488="Mid-Market",18,10))+IF(Q1488="Referral",25,IF(Q1488="Organic Search",20,IF(Q1488="Email",18,14)))+IF(G1488="Technology",10,5))</x:f>
        <x:v>55</x:v>
      </x:c>
      <x:c r="AE1488" t="str">
        <x:f>IF(U1488&lt;&gt;"Open",U1488,IF(N1488&gt;=0.8,"Commit",IF(N1488&gt;=0.5,"Best Case","Pipeline")))</x:f>
        <x:v>Lost</x:v>
      </x:c>
    </x:row>
    <x:row r="1489">
      <x:c r="A1489" t="str">
        <x:v>L01488</x:v>
      </x:c>
      <x:c r="B1489" s="10" t="n">
        <x:v>45943</x:v>
      </x:c>
      <x:c r="C1489" t="str">
        <x:v>An Nguyen</x:v>
      </x:c>
      <x:c r="D1489" t="str">
        <x:v>South</x:v>
      </x:c>
      <x:c r="E1489" t="str">
        <x:v>Email Campaign</x:v>
      </x:c>
      <x:c r="F1489" t="str">
        <x:v>CRM-PRO</x:v>
      </x:c>
      <x:c r="G1489" t="str">
        <x:v>Financial Services</x:v>
      </x:c>
      <x:c r="H1489" t="str">
        <x:v>Mid-Market</x:v>
      </x:c>
      <x:c r="I1489" t="str">
        <x:v>Closed Lost</x:v>
      </x:c>
      <x:c r="J1489" s="10" t="n">
        <x:v>46012</x:v>
      </x:c>
      <x:c r="K1489" s="10" t="n">
        <x:v>46012</x:v>
      </x:c>
      <x:c r="L1489" s="22" t="n">
        <x:v>23100</x:v>
      </x:c>
      <x:c r="M1489" s="24" t="n">
        <x:v>0</x:v>
      </x:c>
      <x:c r="N1489" s="24" t="n">
        <x:v>0</x:v>
      </x:c>
      <x:c r="O1489" t="str">
        <x:v>Feature Gap</x:v>
      </x:c>
      <x:c r="P1489" t="n">
        <x:v>3</x:v>
      </x:c>
      <x:c r="Q1489" t="str">
        <x:f>IFERROR(XLOOKUP(E1489,Lookups!$A$5:$A$24,Lookups!$B$5:$B$24),"Other")</x:f>
        <x:v>Email</x:v>
      </x:c>
      <x:c r="R1489" t="str">
        <x:f>IFERROR(XLOOKUP(F1489,Lookups!$D$5:$D$10,Lookups!$E$5:$E$10),"Unknown Product")</x:f>
        <x:v>NexaCRM Pro</x:v>
      </x:c>
      <x:c r="S1489" t="str">
        <x:f>IFERROR(XLOOKUP(F1489,Lookups!$D$5:$D$10,Lookups!$F$5:$F$10),"Unknown")</x:f>
        <x:v>CRM</x:v>
      </x:c>
      <x:c r="T1489" t="str">
        <x:f>IF(L1489&gt;=50000,"Enterprise",IF(L1489&gt;=20000,"Mid-Market","SMB"))</x:f>
        <x:v>Mid-Market</x:v>
      </x:c>
      <x:c r="U1489" t="str">
        <x:f>IF(I1489="Closed Won","Won",IF(I1489="Closed Lost","Lost","Open"))</x:f>
        <x:v>Lost</x:v>
      </x:c>
      <x:c r="V1489" s="22" t="n">
        <x:f>IF(U1489="Won",L1489*(1-M1489),0)</x:f>
        <x:v>0</x:v>
      </x:c>
      <x:c r="W1489" s="22" t="n">
        <x:f>IF(U1489="Open",L1489*N1489,0)</x:f>
        <x:v>0</x:v>
      </x:c>
      <x:c r="X1489" s="26" t="n">
        <x:f>IF(U1489="Open","",IFERROR(K1489-B1489,""))</x:f>
        <x:v>69</x:v>
      </x:c>
      <x:c r="Y1489" s="26" t="n">
        <x:f>IF(U1489="Open",Lookups!$B$2-B1489,X1489)</x:f>
        <x:v>69</x:v>
      </x:c>
      <x:c r="Z1489" t="str">
        <x:f>IF(AND(U1489="Open",Y1489&gt;30),"STALE","OK")</x:f>
        <x:v>OK</x:v>
      </x:c>
      <x:c r="AA1489" t="str">
        <x:f>TEXT(B1489,"yyyy-mm")</x:f>
        <x:v>2025-10</x:v>
      </x:c>
      <x:c r="AB1489" t="str">
        <x:f>IF(K1489="","",TEXT(K1489,"yyyy-mm"))</x:f>
        <x:v>2025-12</x:v>
      </x:c>
      <x:c r="AC1489" t="str">
        <x:f>"Q"&amp;ROUNDUP(MONTH(B1489)/3,0)&amp;"-"&amp;YEAR(B1489)</x:f>
        <x:v>Q4-2025</x:v>
      </x:c>
      <x:c r="AD1489" s="26" t="n">
        <x:f>MIN(100,IF(H1489="Enterprise",30,IF(H1489="Mid-Market",22,14))+IF(T1489="Enterprise",25,IF(T1489="Mid-Market",18,10))+IF(Q1489="Referral",25,IF(Q1489="Organic Search",20,IF(Q1489="Email",18,14)))+IF(G1489="Technology",10,5))</x:f>
        <x:v>63</x:v>
      </x:c>
      <x:c r="AE1489" t="str">
        <x:f>IF(U1489&lt;&gt;"Open",U1489,IF(N1489&gt;=0.8,"Commit",IF(N1489&gt;=0.5,"Best Case","Pipeline")))</x:f>
        <x:v>Lost</x:v>
      </x:c>
    </x:row>
    <x:row r="1490">
      <x:c r="A1490" t="str">
        <x:v>L01489</x:v>
      </x:c>
      <x:c r="B1490" s="10" t="n">
        <x:v>45914</x:v>
      </x:c>
      <x:c r="C1490" t="str">
        <x:v>Quynh Vu</x:v>
      </x:c>
      <x:c r="D1490" t="str">
        <x:v>North</x:v>
      </x:c>
      <x:c r="E1490" t="str">
        <x:v>SEO</x:v>
      </x:c>
      <x:c r="F1490" t="str">
        <x:v>CS-CLOUD</x:v>
      </x:c>
      <x:c r="G1490" t="str">
        <x:v>Professional Services</x:v>
      </x:c>
      <x:c r="H1490" t="str">
        <x:v>Mid-Market</x:v>
      </x:c>
      <x:c r="I1490" t="str">
        <x:v>Closed Lost</x:v>
      </x:c>
      <x:c r="J1490" s="10" t="n">
        <x:v>45956</x:v>
      </x:c>
      <x:c r="K1490" s="10" t="n">
        <x:v>45956</x:v>
      </x:c>
      <x:c r="L1490" s="22" t="n">
        <x:v>33100</x:v>
      </x:c>
      <x:c r="M1490" s="24" t="n">
        <x:v>0</x:v>
      </x:c>
      <x:c r="N1490" s="24" t="n">
        <x:v>0</x:v>
      </x:c>
      <x:c r="O1490" t="str">
        <x:v>Feature Gap</x:v>
      </x:c>
      <x:c r="P1490" t="n">
        <x:v>4</x:v>
      </x:c>
      <x:c r="Q1490" t="str">
        <x:f>IFERROR(XLOOKUP(E1490,Lookups!$A$5:$A$24,Lookups!$B$5:$B$24),"Other")</x:f>
        <x:v>Organic Search</x:v>
      </x:c>
      <x:c r="R1490" t="str">
        <x:f>IFERROR(XLOOKUP(F1490,Lookups!$D$5:$D$10,Lookups!$E$5:$E$10),"Unknown Product")</x:f>
        <x:v>Service Cloud</x:v>
      </x:c>
      <x:c r="S1490" t="str">
        <x:f>IFERROR(XLOOKUP(F1490,Lookups!$D$5:$D$10,Lookups!$F$5:$F$10),"Unknown")</x:f>
        <x:v>Customer Service</x:v>
      </x:c>
      <x:c r="T1490" t="str">
        <x:f>IF(L1490&gt;=50000,"Enterprise",IF(L1490&gt;=20000,"Mid-Market","SMB"))</x:f>
        <x:v>Mid-Market</x:v>
      </x:c>
      <x:c r="U1490" t="str">
        <x:f>IF(I1490="Closed Won","Won",IF(I1490="Closed Lost","Lost","Open"))</x:f>
        <x:v>Lost</x:v>
      </x:c>
      <x:c r="V1490" s="22" t="n">
        <x:f>IF(U1490="Won",L1490*(1-M1490),0)</x:f>
        <x:v>0</x:v>
      </x:c>
      <x:c r="W1490" s="22" t="n">
        <x:f>IF(U1490="Open",L1490*N1490,0)</x:f>
        <x:v>0</x:v>
      </x:c>
      <x:c r="X1490" s="26" t="n">
        <x:f>IF(U1490="Open","",IFERROR(K1490-B1490,""))</x:f>
        <x:v>42</x:v>
      </x:c>
      <x:c r="Y1490" s="26" t="n">
        <x:f>IF(U1490="Open",Lookups!$B$2-B1490,X1490)</x:f>
        <x:v>42</x:v>
      </x:c>
      <x:c r="Z1490" t="str">
        <x:f>IF(AND(U1490="Open",Y1490&gt;30),"STALE","OK")</x:f>
        <x:v>OK</x:v>
      </x:c>
      <x:c r="AA1490" t="str">
        <x:f>TEXT(B1490,"yyyy-mm")</x:f>
        <x:v>2025-09</x:v>
      </x:c>
      <x:c r="AB1490" t="str">
        <x:f>IF(K1490="","",TEXT(K1490,"yyyy-mm"))</x:f>
        <x:v>2025-10</x:v>
      </x:c>
      <x:c r="AC1490" t="str">
        <x:f>"Q"&amp;ROUNDUP(MONTH(B1490)/3,0)&amp;"-"&amp;YEAR(B1490)</x:f>
        <x:v>Q3-2025</x:v>
      </x:c>
      <x:c r="AD1490" s="26" t="n">
        <x:f>MIN(100,IF(H1490="Enterprise",30,IF(H1490="Mid-Market",22,14))+IF(T1490="Enterprise",25,IF(T1490="Mid-Market",18,10))+IF(Q1490="Referral",25,IF(Q1490="Organic Search",20,IF(Q1490="Email",18,14)))+IF(G1490="Technology",10,5))</x:f>
        <x:v>65</x:v>
      </x:c>
      <x:c r="AE1490" t="str">
        <x:f>IF(U1490&lt;&gt;"Open",U1490,IF(N1490&gt;=0.8,"Commit",IF(N1490&gt;=0.5,"Best Case","Pipeline")))</x:f>
        <x:v>Lost</x:v>
      </x:c>
    </x:row>
    <x:row r="1491">
      <x:c r="A1491" t="str">
        <x:v>L01490</x:v>
      </x:c>
      <x:c r="B1491" s="10" t="n">
        <x:v>45741</x:v>
      </x:c>
      <x:c r="C1491" t="str">
        <x:v>Minh Do</x:v>
      </x:c>
      <x:c r="D1491" t="str">
        <x:v>North</x:v>
      </x:c>
      <x:c r="E1491" t="str">
        <x:v>SEM - Google</x:v>
      </x:c>
      <x:c r="F1491" t="str">
        <x:v>REV-OPS</x:v>
      </x:c>
      <x:c r="G1491" t="str">
        <x:v>Healthcare</x:v>
      </x:c>
      <x:c r="H1491" t="str">
        <x:v>Mid-Market</x:v>
      </x:c>
      <x:c r="I1491" t="str">
        <x:v>Closed Lost</x:v>
      </x:c>
      <x:c r="J1491" s="10" t="n">
        <x:v>45779</x:v>
      </x:c>
      <x:c r="K1491" s="10" t="n">
        <x:v>45779</x:v>
      </x:c>
      <x:c r="L1491" s="22" t="n">
        <x:v>46900</x:v>
      </x:c>
      <x:c r="M1491" s="24" t="n">
        <x:v>0</x:v>
      </x:c>
      <x:c r="N1491" s="24" t="n">
        <x:v>0</x:v>
      </x:c>
      <x:c r="O1491" t="str">
        <x:v>Budget</x:v>
      </x:c>
      <x:c r="P1491" t="n">
        <x:v>2</x:v>
      </x:c>
      <x:c r="Q1491" t="str">
        <x:f>IFERROR(XLOOKUP(E1491,Lookups!$A$5:$A$24,Lookups!$B$5:$B$24),"Other")</x:f>
        <x:v>Paid Search</x:v>
      </x:c>
      <x:c r="R1491" t="str">
        <x:f>IFERROR(XLOOKUP(F1491,Lookups!$D$5:$D$10,Lookups!$E$5:$E$10),"Unknown Product")</x:f>
        <x:v>Revenue Operations Suite</x:v>
      </x:c>
      <x:c r="S1491" t="str">
        <x:f>IFERROR(XLOOKUP(F1491,Lookups!$D$5:$D$10,Lookups!$F$5:$F$10),"Unknown")</x:f>
        <x:v>Revenue Ops</x:v>
      </x:c>
      <x:c r="T1491" t="str">
        <x:f>IF(L1491&gt;=50000,"Enterprise",IF(L1491&gt;=20000,"Mid-Market","SMB"))</x:f>
        <x:v>Mid-Market</x:v>
      </x:c>
      <x:c r="U1491" t="str">
        <x:f>IF(I1491="Closed Won","Won",IF(I1491="Closed Lost","Lost","Open"))</x:f>
        <x:v>Lost</x:v>
      </x:c>
      <x:c r="V1491" s="22" t="n">
        <x:f>IF(U1491="Won",L1491*(1-M1491),0)</x:f>
        <x:v>0</x:v>
      </x:c>
      <x:c r="W1491" s="22" t="n">
        <x:f>IF(U1491="Open",L1491*N1491,0)</x:f>
        <x:v>0</x:v>
      </x:c>
      <x:c r="X1491" s="26" t="n">
        <x:f>IF(U1491="Open","",IFERROR(K1491-B1491,""))</x:f>
        <x:v>38</x:v>
      </x:c>
      <x:c r="Y1491" s="26" t="n">
        <x:f>IF(U1491="Open",Lookups!$B$2-B1491,X1491)</x:f>
        <x:v>38</x:v>
      </x:c>
      <x:c r="Z1491" t="str">
        <x:f>IF(AND(U1491="Open",Y1491&gt;30),"STALE","OK")</x:f>
        <x:v>OK</x:v>
      </x:c>
      <x:c r="AA1491" t="str">
        <x:f>TEXT(B1491,"yyyy-mm")</x:f>
        <x:v>2025-03</x:v>
      </x:c>
      <x:c r="AB1491" t="str">
        <x:f>IF(K1491="","",TEXT(K1491,"yyyy-mm"))</x:f>
        <x:v>2025-05</x:v>
      </x:c>
      <x:c r="AC1491" t="str">
        <x:f>"Q"&amp;ROUNDUP(MONTH(B1491)/3,0)&amp;"-"&amp;YEAR(B1491)</x:f>
        <x:v>Q1-2025</x:v>
      </x:c>
      <x:c r="AD1491" s="26" t="n">
        <x:f>MIN(100,IF(H1491="Enterprise",30,IF(H1491="Mid-Market",22,14))+IF(T1491="Enterprise",25,IF(T1491="Mid-Market",18,10))+IF(Q1491="Referral",25,IF(Q1491="Organic Search",20,IF(Q1491="Email",18,14)))+IF(G1491="Technology",10,5))</x:f>
        <x:v>59</x:v>
      </x:c>
      <x:c r="AE1491" t="str">
        <x:f>IF(U1491&lt;&gt;"Open",U1491,IF(N1491&gt;=0.8,"Commit",IF(N1491&gt;=0.5,"Best Case","Pipeline")))</x:f>
        <x:v>Lost</x:v>
      </x:c>
    </x:row>
    <x:row r="1492">
      <x:c r="A1492" t="str">
        <x:v>L01491</x:v>
      </x:c>
      <x:c r="B1492" s="10" t="n">
        <x:v>45962</x:v>
      </x:c>
      <x:c r="C1492" t="str">
        <x:v>Chi Le</x:v>
      </x:c>
      <x:c r="D1492" t="str">
        <x:v>South</x:v>
      </x:c>
      <x:c r="E1492" t="str">
        <x:v>SEM - Google</x:v>
      </x:c>
      <x:c r="F1492" t="str">
        <x:v>MKT-AUTO</x:v>
      </x:c>
      <x:c r="G1492" t="str">
        <x:v>Healthcare</x:v>
      </x:c>
      <x:c r="H1492" t="str">
        <x:v>Enterprise</x:v>
      </x:c>
      <x:c r="I1492" t="str">
        <x:v>Negotiation</x:v>
      </x:c>
      <x:c r="J1492" s="10" t="n">
        <x:v>46101</x:v>
      </x:c>
      <x:c r="K1492" s="10"/>
      <x:c r="L1492" s="22" t="n">
        <x:v>49900</x:v>
      </x:c>
      <x:c r="M1492" s="24" t="n">
        <x:v>0</x:v>
      </x:c>
      <x:c r="N1492" s="24" t="n">
        <x:v>0.85</x:v>
      </x:c>
      <x:c r="O1492" t="str"/>
      <x:c r="P1492" t="n">
        <x:v>5</x:v>
      </x:c>
      <x:c r="Q1492" t="str">
        <x:f>IFERROR(XLOOKUP(E1492,Lookups!$A$5:$A$24,Lookups!$B$5:$B$24),"Other")</x:f>
        <x:v>Paid Search</x:v>
      </x:c>
      <x:c r="R1492" t="str">
        <x:f>IFERROR(XLOOKUP(F1492,Lookups!$D$5:$D$10,Lookups!$E$5:$E$10),"Unknown Product")</x:f>
        <x:v>Marketing Automation</x:v>
      </x:c>
      <x:c r="S1492" t="str">
        <x:f>IFERROR(XLOOKUP(F1492,Lookups!$D$5:$D$10,Lookups!$F$5:$F$10),"Unknown")</x:f>
        <x:v>Marketing</x:v>
      </x:c>
      <x:c r="T1492" t="str">
        <x:f>IF(L1492&gt;=50000,"Enterprise",IF(L1492&gt;=20000,"Mid-Market","SMB"))</x:f>
        <x:v>Mid-Market</x:v>
      </x:c>
      <x:c r="U1492" t="str">
        <x:f>IF(I1492="Closed Won","Won",IF(I1492="Closed Lost","Lost","Open"))</x:f>
        <x:v>Open</x:v>
      </x:c>
      <x:c r="V1492" s="22" t="n">
        <x:f>IF(U1492="Won",L1492*(1-M1492),0)</x:f>
        <x:v>0</x:v>
      </x:c>
      <x:c r="W1492" s="22" t="n">
        <x:f>IF(U1492="Open",L1492*N1492,0)</x:f>
        <x:v>42415</x:v>
      </x:c>
      <x:c r="X1492" s="26" t="str">
        <x:f>IF(U1492="Open","",IFERROR(K1492-B1492,""))</x:f>
      </x:c>
      <x:c r="Y1492" s="26" t="n">
        <x:f>IF(U1492="Open",Lookups!$B$2-B1492,X1492)</x:f>
        <x:v>304</x:v>
      </x:c>
      <x:c r="Z1492" t="str">
        <x:f>IF(AND(U1492="Open",Y1492&gt;30),"STALE","OK")</x:f>
        <x:v>STALE</x:v>
      </x:c>
      <x:c r="AA1492" t="str">
        <x:f>TEXT(B1492,"yyyy-mm")</x:f>
        <x:v>2025-11</x:v>
      </x:c>
      <x:c r="AB1492" t="str">
        <x:f>IF(K1492="","",TEXT(K1492,"yyyy-mm"))</x:f>
      </x:c>
      <x:c r="AC1492" t="str">
        <x:f>"Q"&amp;ROUNDUP(MONTH(B1492)/3,0)&amp;"-"&amp;YEAR(B1492)</x:f>
        <x:v>Q4-2025</x:v>
      </x:c>
      <x:c r="AD1492" s="26" t="n">
        <x:f>MIN(100,IF(H1492="Enterprise",30,IF(H1492="Mid-Market",22,14))+IF(T1492="Enterprise",25,IF(T1492="Mid-Market",18,10))+IF(Q1492="Referral",25,IF(Q1492="Organic Search",20,IF(Q1492="Email",18,14)))+IF(G1492="Technology",10,5))</x:f>
        <x:v>67</x:v>
      </x:c>
      <x:c r="AE1492" t="str">
        <x:f>IF(U1492&lt;&gt;"Open",U1492,IF(N1492&gt;=0.8,"Commit",IF(N1492&gt;=0.5,"Best Case","Pipeline")))</x:f>
        <x:v>Commit</x:v>
      </x:c>
    </x:row>
    <x:row r="1493">
      <x:c r="A1493" t="str">
        <x:v>L01492</x:v>
      </x:c>
      <x:c r="B1493" s="10" t="n">
        <x:v>45841</x:v>
      </x:c>
      <x:c r="C1493" t="str">
        <x:v>Duy Pham</x:v>
      </x:c>
      <x:c r="D1493" t="str">
        <x:v>South</x:v>
      </x:c>
      <x:c r="E1493" t="str">
        <x:v>virtual event</x:v>
      </x:c>
      <x:c r="F1493" t="str">
        <x:v>BI-PLUS</x:v>
      </x:c>
      <x:c r="G1493" t="str">
        <x:v>Financial Services</x:v>
      </x:c>
      <x:c r="H1493" t="str">
        <x:v>SMB</x:v>
      </x:c>
      <x:c r="I1493" t="str">
        <x:v>Closed Won</x:v>
      </x:c>
      <x:c r="J1493" s="10" t="n">
        <x:v>45905</x:v>
      </x:c>
      <x:c r="K1493" s="10" t="n">
        <x:v>45905</x:v>
      </x:c>
      <x:c r="L1493" s="22" t="n">
        <x:v>16600</x:v>
      </x:c>
      <x:c r="M1493" s="24" t="n">
        <x:v>0</x:v>
      </x:c>
      <x:c r="N1493" s="24" t="n">
        <x:v>1</x:v>
      </x:c>
      <x:c r="O1493" t="str"/>
      <x:c r="P1493" t="n">
        <x:v>6</x:v>
      </x:c>
      <x:c r="Q1493" t="str">
        <x:f>IFERROR(XLOOKUP(E1493,Lookups!$A$5:$A$24,Lookups!$B$5:$B$24),"Other")</x:f>
        <x:v>Webinar</x:v>
      </x:c>
      <x:c r="R1493" t="str">
        <x:f>IFERROR(XLOOKUP(F1493,Lookups!$D$5:$D$10,Lookups!$E$5:$E$10),"Unknown Product")</x:f>
        <x:v>Analytics Plus</x:v>
      </x:c>
      <x:c r="S1493" t="str">
        <x:f>IFERROR(XLOOKUP(F1493,Lookups!$D$5:$D$10,Lookups!$F$5:$F$10),"Unknown")</x:f>
        <x:v>Analytics</x:v>
      </x:c>
      <x:c r="T1493" t="str">
        <x:f>IF(L1493&gt;=50000,"Enterprise",IF(L1493&gt;=20000,"Mid-Market","SMB"))</x:f>
        <x:v>SMB</x:v>
      </x:c>
      <x:c r="U1493" t="str">
        <x:f>IF(I1493="Closed Won","Won",IF(I1493="Closed Lost","Lost","Open"))</x:f>
        <x:v>Won</x:v>
      </x:c>
      <x:c r="V1493" s="22" t="n">
        <x:f>IF(U1493="Won",L1493*(1-M1493),0)</x:f>
        <x:v>16600</x:v>
      </x:c>
      <x:c r="W1493" s="22" t="n">
        <x:f>IF(U1493="Open",L1493*N1493,0)</x:f>
        <x:v>0</x:v>
      </x:c>
      <x:c r="X1493" s="26" t="n">
        <x:f>IF(U1493="Open","",IFERROR(K1493-B1493,""))</x:f>
        <x:v>64</x:v>
      </x:c>
      <x:c r="Y1493" s="26" t="n">
        <x:f>IF(U1493="Open",Lookups!$B$2-B1493,X1493)</x:f>
        <x:v>64</x:v>
      </x:c>
      <x:c r="Z1493" t="str">
        <x:f>IF(AND(U1493="Open",Y1493&gt;30),"STALE","OK")</x:f>
        <x:v>OK</x:v>
      </x:c>
      <x:c r="AA1493" t="str">
        <x:f>TEXT(B1493,"yyyy-mm")</x:f>
        <x:v>2025-07</x:v>
      </x:c>
      <x:c r="AB1493" t="str">
        <x:f>IF(K1493="","",TEXT(K1493,"yyyy-mm"))</x:f>
        <x:v>2025-09</x:v>
      </x:c>
      <x:c r="AC1493" t="str">
        <x:f>"Q"&amp;ROUNDUP(MONTH(B1493)/3,0)&amp;"-"&amp;YEAR(B1493)</x:f>
        <x:v>Q3-2025</x:v>
      </x:c>
      <x:c r="AD1493" s="26" t="n">
        <x:f>MIN(100,IF(H1493="Enterprise",30,IF(H1493="Mid-Market",22,14))+IF(T1493="Enterprise",25,IF(T1493="Mid-Market",18,10))+IF(Q1493="Referral",25,IF(Q1493="Organic Search",20,IF(Q1493="Email",18,14)))+IF(G1493="Technology",10,5))</x:f>
        <x:v>43</x:v>
      </x:c>
      <x:c r="AE1493" t="str">
        <x:f>IF(U1493&lt;&gt;"Open",U1493,IF(N1493&gt;=0.8,"Commit",IF(N1493&gt;=0.5,"Best Case","Pipeline")))</x:f>
        <x:v>Won</x:v>
      </x:c>
    </x:row>
    <x:row r="1494">
      <x:c r="A1494" t="str">
        <x:v>L01493</x:v>
      </x:c>
      <x:c r="B1494" s="10" t="n">
        <x:v>46149</x:v>
      </x:c>
      <x:c r="C1494" t="str">
        <x:v>Quynh Vu</x:v>
      </x:c>
      <x:c r="D1494" t="str">
        <x:v>North</x:v>
      </x:c>
      <x:c r="E1494" t="str">
        <x:v>SEO</x:v>
      </x:c>
      <x:c r="F1494" t="str">
        <x:v>MKT-AUTO</x:v>
      </x:c>
      <x:c r="G1494" t="str">
        <x:v>Manufacturing</x:v>
      </x:c>
      <x:c r="H1494" t="str">
        <x:v>SMB</x:v>
      </x:c>
      <x:c r="I1494" t="str">
        <x:v>Closed Won</x:v>
      </x:c>
      <x:c r="J1494" s="10" t="n">
        <x:v>46202</x:v>
      </x:c>
      <x:c r="K1494" s="10" t="n">
        <x:v>46202</x:v>
      </x:c>
      <x:c r="L1494" s="22" t="n">
        <x:v>17200</x:v>
      </x:c>
      <x:c r="M1494" s="24" t="n">
        <x:v>0</x:v>
      </x:c>
      <x:c r="N1494" s="24" t="n">
        <x:v>1</x:v>
      </x:c>
      <x:c r="O1494" t="str"/>
      <x:c r="P1494" t="n">
        <x:v>6</x:v>
      </x:c>
      <x:c r="Q1494" t="str">
        <x:f>IFERROR(XLOOKUP(E1494,Lookups!$A$5:$A$24,Lookups!$B$5:$B$24),"Other")</x:f>
        <x:v>Organic Search</x:v>
      </x:c>
      <x:c r="R1494" t="str">
        <x:f>IFERROR(XLOOKUP(F1494,Lookups!$D$5:$D$10,Lookups!$E$5:$E$10),"Unknown Product")</x:f>
        <x:v>Marketing Automation</x:v>
      </x:c>
      <x:c r="S1494" t="str">
        <x:f>IFERROR(XLOOKUP(F1494,Lookups!$D$5:$D$10,Lookups!$F$5:$F$10),"Unknown")</x:f>
        <x:v>Marketing</x:v>
      </x:c>
      <x:c r="T1494" t="str">
        <x:f>IF(L1494&gt;=50000,"Enterprise",IF(L1494&gt;=20000,"Mid-Market","SMB"))</x:f>
        <x:v>SMB</x:v>
      </x:c>
      <x:c r="U1494" t="str">
        <x:f>IF(I1494="Closed Won","Won",IF(I1494="Closed Lost","Lost","Open"))</x:f>
        <x:v>Won</x:v>
      </x:c>
      <x:c r="V1494" s="22" t="n">
        <x:f>IF(U1494="Won",L1494*(1-M1494),0)</x:f>
        <x:v>17200</x:v>
      </x:c>
      <x:c r="W1494" s="22" t="n">
        <x:f>IF(U1494="Open",L1494*N1494,0)</x:f>
        <x:v>0</x:v>
      </x:c>
      <x:c r="X1494" s="26" t="n">
        <x:f>IF(U1494="Open","",IFERROR(K1494-B1494,""))</x:f>
        <x:v>53</x:v>
      </x:c>
      <x:c r="Y1494" s="26" t="n">
        <x:f>IF(U1494="Open",Lookups!$B$2-B1494,X1494)</x:f>
        <x:v>53</x:v>
      </x:c>
      <x:c r="Z1494" t="str">
        <x:f>IF(AND(U1494="Open",Y1494&gt;30),"STALE","OK")</x:f>
        <x:v>OK</x:v>
      </x:c>
      <x:c r="AA1494" t="str">
        <x:f>TEXT(B1494,"yyyy-mm")</x:f>
        <x:v>2026-05</x:v>
      </x:c>
      <x:c r="AB1494" t="str">
        <x:f>IF(K1494="","",TEXT(K1494,"yyyy-mm"))</x:f>
        <x:v>2026-06</x:v>
      </x:c>
      <x:c r="AC1494" t="str">
        <x:f>"Q"&amp;ROUNDUP(MONTH(B1494)/3,0)&amp;"-"&amp;YEAR(B1494)</x:f>
        <x:v>Q2-2026</x:v>
      </x:c>
      <x:c r="AD1494" s="26" t="n">
        <x:f>MIN(100,IF(H1494="Enterprise",30,IF(H1494="Mid-Market",22,14))+IF(T1494="Enterprise",25,IF(T1494="Mid-Market",18,10))+IF(Q1494="Referral",25,IF(Q1494="Organic Search",20,IF(Q1494="Email",18,14)))+IF(G1494="Technology",10,5))</x:f>
        <x:v>49</x:v>
      </x:c>
      <x:c r="AE1494" t="str">
        <x:f>IF(U1494&lt;&gt;"Open",U1494,IF(N1494&gt;=0.8,"Commit",IF(N1494&gt;=0.5,"Best Case","Pipeline")))</x:f>
        <x:v>Won</x:v>
      </x:c>
    </x:row>
    <x:row r="1495">
      <x:c r="A1495" t="str">
        <x:v>L01494</x:v>
      </x:c>
      <x:c r="B1495" s="10" t="n">
        <x:v>46257</x:v>
      </x:c>
      <x:c r="C1495" t="str">
        <x:v>Duy Pham</x:v>
      </x:c>
      <x:c r="D1495" t="str">
        <x:v>South</x:v>
      </x:c>
      <x:c r="E1495" t="str">
        <x:v>virtual event</x:v>
      </x:c>
      <x:c r="F1495" t="str">
        <x:v>BI-PLUS</x:v>
      </x:c>
      <x:c r="G1495" t="str">
        <x:v>Technology</x:v>
      </x:c>
      <x:c r="H1495" t="str">
        <x:v>SMB</x:v>
      </x:c>
      <x:c r="I1495" t="str">
        <x:v>Qualified</x:v>
      </x:c>
      <x:c r="J1495" s="10" t="n">
        <x:v>46260</x:v>
      </x:c>
      <x:c r="K1495" s="10"/>
      <x:c r="L1495" s="22" t="n">
        <x:v>26500</x:v>
      </x:c>
      <x:c r="M1495" s="24" t="n">
        <x:v>0</x:v>
      </x:c>
      <x:c r="N1495" s="24" t="n">
        <x:v>0.2</x:v>
      </x:c>
      <x:c r="O1495" t="str"/>
      <x:c r="P1495" t="n">
        <x:v>2</x:v>
      </x:c>
      <x:c r="Q1495" t="str">
        <x:f>IFERROR(XLOOKUP(E1495,Lookups!$A$5:$A$24,Lookups!$B$5:$B$24),"Other")</x:f>
        <x:v>Webinar</x:v>
      </x:c>
      <x:c r="R1495" t="str">
        <x:f>IFERROR(XLOOKUP(F1495,Lookups!$D$5:$D$10,Lookups!$E$5:$E$10),"Unknown Product")</x:f>
        <x:v>Analytics Plus</x:v>
      </x:c>
      <x:c r="S1495" t="str">
        <x:f>IFERROR(XLOOKUP(F1495,Lookups!$D$5:$D$10,Lookups!$F$5:$F$10),"Unknown")</x:f>
        <x:v>Analytics</x:v>
      </x:c>
      <x:c r="T1495" t="str">
        <x:f>IF(L1495&gt;=50000,"Enterprise",IF(L1495&gt;=20000,"Mid-Market","SMB"))</x:f>
        <x:v>Mid-Market</x:v>
      </x:c>
      <x:c r="U1495" t="str">
        <x:f>IF(I1495="Closed Won","Won",IF(I1495="Closed Lost","Lost","Open"))</x:f>
        <x:v>Open</x:v>
      </x:c>
      <x:c r="V1495" s="22" t="n">
        <x:f>IF(U1495="Won",L1495*(1-M1495),0)</x:f>
        <x:v>0</x:v>
      </x:c>
      <x:c r="W1495" s="22" t="n">
        <x:f>IF(U1495="Open",L1495*N1495,0)</x:f>
        <x:v>5300</x:v>
      </x:c>
      <x:c r="X1495" s="26" t="str">
        <x:f>IF(U1495="Open","",IFERROR(K1495-B1495,""))</x:f>
      </x:c>
      <x:c r="Y1495" s="26" t="n">
        <x:f>IF(U1495="Open",Lookups!$B$2-B1495,X1495)</x:f>
        <x:v>9</x:v>
      </x:c>
      <x:c r="Z1495" t="str">
        <x:f>IF(AND(U1495="Open",Y1495&gt;30),"STALE","OK")</x:f>
        <x:v>OK</x:v>
      </x:c>
      <x:c r="AA1495" t="str">
        <x:f>TEXT(B1495,"yyyy-mm")</x:f>
        <x:v>2026-08</x:v>
      </x:c>
      <x:c r="AB1495" t="str">
        <x:f>IF(K1495="","",TEXT(K1495,"yyyy-mm"))</x:f>
      </x:c>
      <x:c r="AC1495" t="str">
        <x:f>"Q"&amp;ROUNDUP(MONTH(B1495)/3,0)&amp;"-"&amp;YEAR(B1495)</x:f>
        <x:v>Q3-2026</x:v>
      </x:c>
      <x:c r="AD1495" s="26" t="n">
        <x:f>MIN(100,IF(H1495="Enterprise",30,IF(H1495="Mid-Market",22,14))+IF(T1495="Enterprise",25,IF(T1495="Mid-Market",18,10))+IF(Q1495="Referral",25,IF(Q1495="Organic Search",20,IF(Q1495="Email",18,14)))+IF(G1495="Technology",10,5))</x:f>
        <x:v>56</x:v>
      </x:c>
      <x:c r="AE1495" t="str">
        <x:f>IF(U1495&lt;&gt;"Open",U1495,IF(N1495&gt;=0.8,"Commit",IF(N1495&gt;=0.5,"Best Case","Pipeline")))</x:f>
        <x:v>Pipeline</x:v>
      </x:c>
    </x:row>
    <x:row r="1496">
      <x:c r="A1496" t="str">
        <x:v>L01495</x:v>
      </x:c>
      <x:c r="B1496" s="10" t="n">
        <x:v>46241</x:v>
      </x:c>
      <x:c r="C1496" t="str">
        <x:v>Chi Le</x:v>
      </x:c>
      <x:c r="D1496" t="str">
        <x:v>South</x:v>
      </x:c>
      <x:c r="E1496" t="str">
        <x:v>Google Organic</x:v>
      </x:c>
      <x:c r="F1496" t="str">
        <x:v>REV-OPS</x:v>
      </x:c>
      <x:c r="G1496" t="str">
        <x:v>Technology</x:v>
      </x:c>
      <x:c r="H1496" t="str">
        <x:v>SMB</x:v>
      </x:c>
      <x:c r="I1496" t="str">
        <x:v>Qualified</x:v>
      </x:c>
      <x:c r="J1496" s="10" t="n">
        <x:v>46252</x:v>
      </x:c>
      <x:c r="K1496" s="10"/>
      <x:c r="L1496" s="22" t="n">
        <x:v>47600</x:v>
      </x:c>
      <x:c r="M1496" s="24" t="n">
        <x:v>0.05</x:v>
      </x:c>
      <x:c r="N1496" s="24" t="n">
        <x:v>0.2</x:v>
      </x:c>
      <x:c r="O1496" t="str"/>
      <x:c r="P1496" t="n">
        <x:v>2</x:v>
      </x:c>
      <x:c r="Q1496" t="str">
        <x:f>IFERROR(XLOOKUP(E1496,Lookups!$A$5:$A$24,Lookups!$B$5:$B$24),"Other")</x:f>
        <x:v>Organic Search</x:v>
      </x:c>
      <x:c r="R1496" t="str">
        <x:f>IFERROR(XLOOKUP(F1496,Lookups!$D$5:$D$10,Lookups!$E$5:$E$10),"Unknown Product")</x:f>
        <x:v>Revenue Operations Suite</x:v>
      </x:c>
      <x:c r="S1496" t="str">
        <x:f>IFERROR(XLOOKUP(F1496,Lookups!$D$5:$D$10,Lookups!$F$5:$F$10),"Unknown")</x:f>
        <x:v>Revenue Ops</x:v>
      </x:c>
      <x:c r="T1496" t="str">
        <x:f>IF(L1496&gt;=50000,"Enterprise",IF(L1496&gt;=20000,"Mid-Market","SMB"))</x:f>
        <x:v>Mid-Market</x:v>
      </x:c>
      <x:c r="U1496" t="str">
        <x:f>IF(I1496="Closed Won","Won",IF(I1496="Closed Lost","Lost","Open"))</x:f>
        <x:v>Open</x:v>
      </x:c>
      <x:c r="V1496" s="22" t="n">
        <x:f>IF(U1496="Won",L1496*(1-M1496),0)</x:f>
        <x:v>0</x:v>
      </x:c>
      <x:c r="W1496" s="22" t="n">
        <x:f>IF(U1496="Open",L1496*N1496,0)</x:f>
        <x:v>9520</x:v>
      </x:c>
      <x:c r="X1496" s="26" t="str">
        <x:f>IF(U1496="Open","",IFERROR(K1496-B1496,""))</x:f>
      </x:c>
      <x:c r="Y1496" s="26" t="n">
        <x:f>IF(U1496="Open",Lookups!$B$2-B1496,X1496)</x:f>
        <x:v>25</x:v>
      </x:c>
      <x:c r="Z1496" t="str">
        <x:f>IF(AND(U1496="Open",Y1496&gt;30),"STALE","OK")</x:f>
        <x:v>OK</x:v>
      </x:c>
      <x:c r="AA1496" t="str">
        <x:f>TEXT(B1496,"yyyy-mm")</x:f>
        <x:v>2026-08</x:v>
      </x:c>
      <x:c r="AB1496" t="str">
        <x:f>IF(K1496="","",TEXT(K1496,"yyyy-mm"))</x:f>
      </x:c>
      <x:c r="AC1496" t="str">
        <x:f>"Q"&amp;ROUNDUP(MONTH(B1496)/3,0)&amp;"-"&amp;YEAR(B1496)</x:f>
        <x:v>Q3-2026</x:v>
      </x:c>
      <x:c r="AD1496" s="26" t="n">
        <x:f>MIN(100,IF(H1496="Enterprise",30,IF(H1496="Mid-Market",22,14))+IF(T1496="Enterprise",25,IF(T1496="Mid-Market",18,10))+IF(Q1496="Referral",25,IF(Q1496="Organic Search",20,IF(Q1496="Email",18,14)))+IF(G1496="Technology",10,5))</x:f>
        <x:v>62</x:v>
      </x:c>
      <x:c r="AE1496" t="str">
        <x:f>IF(U1496&lt;&gt;"Open",U1496,IF(N1496&gt;=0.8,"Commit",IF(N1496&gt;=0.5,"Best Case","Pipeline")))</x:f>
        <x:v>Pipeline</x:v>
      </x:c>
    </x:row>
    <x:row r="1497">
      <x:c r="A1497" t="str">
        <x:v>L01496</x:v>
      </x:c>
      <x:c r="B1497" s="10" t="n">
        <x:v>45740</x:v>
      </x:c>
      <x:c r="C1497" t="str">
        <x:v>Chi Le</x:v>
      </x:c>
      <x:c r="D1497" t="str">
        <x:v>South</x:v>
      </x:c>
      <x:c r="E1497" t="str">
        <x:v>google cpc</x:v>
      </x:c>
      <x:c r="F1497" t="str">
        <x:v>MKT-AUTO</x:v>
      </x:c>
      <x:c r="G1497" t="str">
        <x:v>Retail</x:v>
      </x:c>
      <x:c r="H1497" t="str">
        <x:v>SMB</x:v>
      </x:c>
      <x:c r="I1497" t="str">
        <x:v>Negotiation</x:v>
      </x:c>
      <x:c r="J1497" s="10" t="n">
        <x:v>46183</x:v>
      </x:c>
      <x:c r="K1497" s="10"/>
      <x:c r="L1497" s="22" t="n">
        <x:v>9100</x:v>
      </x:c>
      <x:c r="M1497" s="24" t="n">
        <x:v>0.05</x:v>
      </x:c>
      <x:c r="N1497" s="24" t="n">
        <x:v>0.85</x:v>
      </x:c>
      <x:c r="O1497" t="str"/>
      <x:c r="P1497" t="n">
        <x:v>5</x:v>
      </x:c>
      <x:c r="Q1497" t="str">
        <x:f>IFERROR(XLOOKUP(E1497,Lookups!$A$5:$A$24,Lookups!$B$5:$B$24),"Other")</x:f>
        <x:v>Paid Search</x:v>
      </x:c>
      <x:c r="R1497" t="str">
        <x:f>IFERROR(XLOOKUP(F1497,Lookups!$D$5:$D$10,Lookups!$E$5:$E$10),"Unknown Product")</x:f>
        <x:v>Marketing Automation</x:v>
      </x:c>
      <x:c r="S1497" t="str">
        <x:f>IFERROR(XLOOKUP(F1497,Lookups!$D$5:$D$10,Lookups!$F$5:$F$10),"Unknown")</x:f>
        <x:v>Marketing</x:v>
      </x:c>
      <x:c r="T1497" t="str">
        <x:f>IF(L1497&gt;=50000,"Enterprise",IF(L1497&gt;=20000,"Mid-Market","SMB"))</x:f>
        <x:v>SMB</x:v>
      </x:c>
      <x:c r="U1497" t="str">
        <x:f>IF(I1497="Closed Won","Won",IF(I1497="Closed Lost","Lost","Open"))</x:f>
        <x:v>Open</x:v>
      </x:c>
      <x:c r="V1497" s="22" t="n">
        <x:f>IF(U1497="Won",L1497*(1-M1497),0)</x:f>
        <x:v>0</x:v>
      </x:c>
      <x:c r="W1497" s="22" t="n">
        <x:f>IF(U1497="Open",L1497*N1497,0)</x:f>
        <x:v>7735</x:v>
      </x:c>
      <x:c r="X1497" s="26" t="str">
        <x:f>IF(U1497="Open","",IFERROR(K1497-B1497,""))</x:f>
      </x:c>
      <x:c r="Y1497" s="26" t="n">
        <x:f>IF(U1497="Open",Lookups!$B$2-B1497,X1497)</x:f>
        <x:v>526</x:v>
      </x:c>
      <x:c r="Z1497" t="str">
        <x:f>IF(AND(U1497="Open",Y1497&gt;30),"STALE","OK")</x:f>
        <x:v>STALE</x:v>
      </x:c>
      <x:c r="AA1497" t="str">
        <x:f>TEXT(B1497,"yyyy-mm")</x:f>
        <x:v>2025-03</x:v>
      </x:c>
      <x:c r="AB1497" t="str">
        <x:f>IF(K1497="","",TEXT(K1497,"yyyy-mm"))</x:f>
      </x:c>
      <x:c r="AC1497" t="str">
        <x:f>"Q"&amp;ROUNDUP(MONTH(B1497)/3,0)&amp;"-"&amp;YEAR(B1497)</x:f>
        <x:v>Q1-2025</x:v>
      </x:c>
      <x:c r="AD1497" s="26" t="n">
        <x:f>MIN(100,IF(H1497="Enterprise",30,IF(H1497="Mid-Market",22,14))+IF(T1497="Enterprise",25,IF(T1497="Mid-Market",18,10))+IF(Q1497="Referral",25,IF(Q1497="Organic Search",20,IF(Q1497="Email",18,14)))+IF(G1497="Technology",10,5))</x:f>
        <x:v>43</x:v>
      </x:c>
      <x:c r="AE1497" t="str">
        <x:f>IF(U1497&lt;&gt;"Open",U1497,IF(N1497&gt;=0.8,"Commit",IF(N1497&gt;=0.5,"Best Case","Pipeline")))</x:f>
        <x:v>Commit</x:v>
      </x:c>
    </x:row>
    <x:row r="1498">
      <x:c r="A1498" t="str">
        <x:v>L01497</x:v>
      </x:c>
      <x:c r="B1498" s="10" t="n">
        <x:v>45879</x:v>
      </x:c>
      <x:c r="C1498" t="str">
        <x:v>Quynh Vu</x:v>
      </x:c>
      <x:c r="D1498" t="str">
        <x:v>North</x:v>
      </x:c>
      <x:c r="E1498" t="str">
        <x:v>email nurture</x:v>
      </x:c>
      <x:c r="F1498" t="str">
        <x:v>CRM-PRO</x:v>
      </x:c>
      <x:c r="G1498" t="str">
        <x:v>Education</x:v>
      </x:c>
      <x:c r="H1498" t="str">
        <x:v>Enterprise</x:v>
      </x:c>
      <x:c r="I1498" t="str">
        <x:v>Closed Lost</x:v>
      </x:c>
      <x:c r="J1498" s="10" t="n">
        <x:v>45938</x:v>
      </x:c>
      <x:c r="K1498" s="10" t="n">
        <x:v>45938</x:v>
      </x:c>
      <x:c r="L1498" s="22" t="n">
        <x:v>60500</x:v>
      </x:c>
      <x:c r="M1498" s="24" t="n">
        <x:v>0</x:v>
      </x:c>
      <x:c r="N1498" s="24" t="n">
        <x:v>0</x:v>
      </x:c>
      <x:c r="O1498" t="str">
        <x:v>Budget</x:v>
      </x:c>
      <x:c r="P1498" t="n">
        <x:v>3</x:v>
      </x:c>
      <x:c r="Q1498" t="str">
        <x:f>IFERROR(XLOOKUP(E1498,Lookups!$A$5:$A$24,Lookups!$B$5:$B$24),"Other")</x:f>
        <x:v>Email</x:v>
      </x:c>
      <x:c r="R1498" t="str">
        <x:f>IFERROR(XLOOKUP(F1498,Lookups!$D$5:$D$10,Lookups!$E$5:$E$10),"Unknown Product")</x:f>
        <x:v>NexaCRM Pro</x:v>
      </x:c>
      <x:c r="S1498" t="str">
        <x:f>IFERROR(XLOOKUP(F1498,Lookups!$D$5:$D$10,Lookups!$F$5:$F$10),"Unknown")</x:f>
        <x:v>CRM</x:v>
      </x:c>
      <x:c r="T1498" t="str">
        <x:f>IF(L1498&gt;=50000,"Enterprise",IF(L1498&gt;=20000,"Mid-Market","SMB"))</x:f>
        <x:v>Enterprise</x:v>
      </x:c>
      <x:c r="U1498" t="str">
        <x:f>IF(I1498="Closed Won","Won",IF(I1498="Closed Lost","Lost","Open"))</x:f>
        <x:v>Lost</x:v>
      </x:c>
      <x:c r="V1498" s="22" t="n">
        <x:f>IF(U1498="Won",L1498*(1-M1498),0)</x:f>
        <x:v>0</x:v>
      </x:c>
      <x:c r="W1498" s="22" t="n">
        <x:f>IF(U1498="Open",L1498*N1498,0)</x:f>
        <x:v>0</x:v>
      </x:c>
      <x:c r="X1498" s="26" t="n">
        <x:f>IF(U1498="Open","",IFERROR(K1498-B1498,""))</x:f>
        <x:v>59</x:v>
      </x:c>
      <x:c r="Y1498" s="26" t="n">
        <x:f>IF(U1498="Open",Lookups!$B$2-B1498,X1498)</x:f>
        <x:v>59</x:v>
      </x:c>
      <x:c r="Z1498" t="str">
        <x:f>IF(AND(U1498="Open",Y1498&gt;30),"STALE","OK")</x:f>
        <x:v>OK</x:v>
      </x:c>
      <x:c r="AA1498" t="str">
        <x:f>TEXT(B1498,"yyyy-mm")</x:f>
        <x:v>2025-08</x:v>
      </x:c>
      <x:c r="AB1498" t="str">
        <x:f>IF(K1498="","",TEXT(K1498,"yyyy-mm"))</x:f>
        <x:v>2025-10</x:v>
      </x:c>
      <x:c r="AC1498" t="str">
        <x:f>"Q"&amp;ROUNDUP(MONTH(B1498)/3,0)&amp;"-"&amp;YEAR(B1498)</x:f>
        <x:v>Q3-2025</x:v>
      </x:c>
      <x:c r="AD1498" s="26" t="n">
        <x:f>MIN(100,IF(H1498="Enterprise",30,IF(H1498="Mid-Market",22,14))+IF(T1498="Enterprise",25,IF(T1498="Mid-Market",18,10))+IF(Q1498="Referral",25,IF(Q1498="Organic Search",20,IF(Q1498="Email",18,14)))+IF(G1498="Technology",10,5))</x:f>
        <x:v>78</x:v>
      </x:c>
      <x:c r="AE1498" t="str">
        <x:f>IF(U1498&lt;&gt;"Open",U1498,IF(N1498&gt;=0.8,"Commit",IF(N1498&gt;=0.5,"Best Case","Pipeline")))</x:f>
        <x:v>Lost</x:v>
      </x:c>
    </x:row>
    <x:row r="1499">
      <x:c r="A1499" t="str">
        <x:v>L01498</x:v>
      </x:c>
      <x:c r="B1499" s="10" t="n">
        <x:v>46025</x:v>
      </x:c>
      <x:c r="C1499" t="str">
        <x:v>Duy Pham</x:v>
      </x:c>
      <x:c r="D1499" t="str">
        <x:v>South</x:v>
      </x:c>
      <x:c r="E1499" t="str">
        <x:v>SEM - Google</x:v>
      </x:c>
      <x:c r="F1499" t="str">
        <x:v>CRM-PRO</x:v>
      </x:c>
      <x:c r="G1499" t="str">
        <x:v>Education</x:v>
      </x:c>
      <x:c r="H1499" t="str">
        <x:v>SMB</x:v>
      </x:c>
      <x:c r="I1499" t="str">
        <x:v>Closed Lost</x:v>
      </x:c>
      <x:c r="J1499" s="10" t="n">
        <x:v>46065</x:v>
      </x:c>
      <x:c r="K1499" s="10" t="n">
        <x:v>46065</x:v>
      </x:c>
      <x:c r="L1499" s="22" t="n">
        <x:v>23400</x:v>
      </x:c>
      <x:c r="M1499" s="24" t="n">
        <x:v>0</x:v>
      </x:c>
      <x:c r="N1499" s="24" t="n">
        <x:v>0</x:v>
      </x:c>
      <x:c r="O1499" t="str">
        <x:v>Price</x:v>
      </x:c>
      <x:c r="P1499" t="n">
        <x:v>4</x:v>
      </x:c>
      <x:c r="Q1499" t="str">
        <x:f>IFERROR(XLOOKUP(E1499,Lookups!$A$5:$A$24,Lookups!$B$5:$B$24),"Other")</x:f>
        <x:v>Paid Search</x:v>
      </x:c>
      <x:c r="R1499" t="str">
        <x:f>IFERROR(XLOOKUP(F1499,Lookups!$D$5:$D$10,Lookups!$E$5:$E$10),"Unknown Product")</x:f>
        <x:v>NexaCRM Pro</x:v>
      </x:c>
      <x:c r="S1499" t="str">
        <x:f>IFERROR(XLOOKUP(F1499,Lookups!$D$5:$D$10,Lookups!$F$5:$F$10),"Unknown")</x:f>
        <x:v>CRM</x:v>
      </x:c>
      <x:c r="T1499" t="str">
        <x:f>IF(L1499&gt;=50000,"Enterprise",IF(L1499&gt;=20000,"Mid-Market","SMB"))</x:f>
        <x:v>Mid-Market</x:v>
      </x:c>
      <x:c r="U1499" t="str">
        <x:f>IF(I1499="Closed Won","Won",IF(I1499="Closed Lost","Lost","Open"))</x:f>
        <x:v>Lost</x:v>
      </x:c>
      <x:c r="V1499" s="22" t="n">
        <x:f>IF(U1499="Won",L1499*(1-M1499),0)</x:f>
        <x:v>0</x:v>
      </x:c>
      <x:c r="W1499" s="22" t="n">
        <x:f>IF(U1499="Open",L1499*N1499,0)</x:f>
        <x:v>0</x:v>
      </x:c>
      <x:c r="X1499" s="26" t="n">
        <x:f>IF(U1499="Open","",IFERROR(K1499-B1499,""))</x:f>
        <x:v>40</x:v>
      </x:c>
      <x:c r="Y1499" s="26" t="n">
        <x:f>IF(U1499="Open",Lookups!$B$2-B1499,X1499)</x:f>
        <x:v>40</x:v>
      </x:c>
      <x:c r="Z1499" t="str">
        <x:f>IF(AND(U1499="Open",Y1499&gt;30),"STALE","OK")</x:f>
        <x:v>OK</x:v>
      </x:c>
      <x:c r="AA1499" t="str">
        <x:f>TEXT(B1499,"yyyy-mm")</x:f>
        <x:v>2026-01</x:v>
      </x:c>
      <x:c r="AB1499" t="str">
        <x:f>IF(K1499="","",TEXT(K1499,"yyyy-mm"))</x:f>
        <x:v>2026-02</x:v>
      </x:c>
      <x:c r="AC1499" t="str">
        <x:f>"Q"&amp;ROUNDUP(MONTH(B1499)/3,0)&amp;"-"&amp;YEAR(B1499)</x:f>
        <x:v>Q1-2026</x:v>
      </x:c>
      <x:c r="AD1499" s="26" t="n">
        <x:f>MIN(100,IF(H1499="Enterprise",30,IF(H1499="Mid-Market",22,14))+IF(T1499="Enterprise",25,IF(T1499="Mid-Market",18,10))+IF(Q1499="Referral",25,IF(Q1499="Organic Search",20,IF(Q1499="Email",18,14)))+IF(G1499="Technology",10,5))</x:f>
        <x:v>51</x:v>
      </x:c>
      <x:c r="AE1499" t="str">
        <x:f>IF(U1499&lt;&gt;"Open",U1499,IF(N1499&gt;=0.8,"Commit",IF(N1499&gt;=0.5,"Best Case","Pipeline")))</x:f>
        <x:v>Lost</x:v>
      </x:c>
    </x:row>
    <x:row r="1500">
      <x:c r="A1500" t="str">
        <x:v>L01499</x:v>
      </x:c>
      <x:c r="B1500" s="10" t="n">
        <x:v>46014</x:v>
      </x:c>
      <x:c r="C1500" t="str">
        <x:v>Duy Pham</x:v>
      </x:c>
      <x:c r="D1500" t="str">
        <x:v>South</x:v>
      </x:c>
      <x:c r="E1500" t="str">
        <x:v>SDR Outreach</x:v>
      </x:c>
      <x:c r="F1500" t="str">
        <x:v>MKT-AUTO</x:v>
      </x:c>
      <x:c r="G1500" t="str">
        <x:v>Manufacturing</x:v>
      </x:c>
      <x:c r="H1500" t="str">
        <x:v>SMB</x:v>
      </x:c>
      <x:c r="I1500" t="str">
        <x:v>Negotiation</x:v>
      </x:c>
      <x:c r="J1500" s="10" t="n">
        <x:v>46130</x:v>
      </x:c>
      <x:c r="K1500" s="10"/>
      <x:c r="L1500" s="22" t="n">
        <x:v>19300</x:v>
      </x:c>
      <x:c r="M1500" s="24" t="n">
        <x:v>0</x:v>
      </x:c>
      <x:c r="N1500" s="24" t="n">
        <x:v>0.85</x:v>
      </x:c>
      <x:c r="O1500" t="str"/>
      <x:c r="P1500" t="n">
        <x:v>5</x:v>
      </x:c>
      <x:c r="Q1500" t="str">
        <x:f>IFERROR(XLOOKUP(E1500,Lookups!$A$5:$A$24,Lookups!$B$5:$B$24),"Other")</x:f>
        <x:v>Outbound</x:v>
      </x:c>
      <x:c r="R1500" t="str">
        <x:f>IFERROR(XLOOKUP(F1500,Lookups!$D$5:$D$10,Lookups!$E$5:$E$10),"Unknown Product")</x:f>
        <x:v>Marketing Automation</x:v>
      </x:c>
      <x:c r="S1500" t="str">
        <x:f>IFERROR(XLOOKUP(F1500,Lookups!$D$5:$D$10,Lookups!$F$5:$F$10),"Unknown")</x:f>
        <x:v>Marketing</x:v>
      </x:c>
      <x:c r="T1500" t="str">
        <x:f>IF(L1500&gt;=50000,"Enterprise",IF(L1500&gt;=20000,"Mid-Market","SMB"))</x:f>
        <x:v>SMB</x:v>
      </x:c>
      <x:c r="U1500" t="str">
        <x:f>IF(I1500="Closed Won","Won",IF(I1500="Closed Lost","Lost","Open"))</x:f>
        <x:v>Open</x:v>
      </x:c>
      <x:c r="V1500" s="22" t="n">
        <x:f>IF(U1500="Won",L1500*(1-M1500),0)</x:f>
        <x:v>0</x:v>
      </x:c>
      <x:c r="W1500" s="22" t="n">
        <x:f>IF(U1500="Open",L1500*N1500,0)</x:f>
        <x:v>16405</x:v>
      </x:c>
      <x:c r="X1500" s="26" t="str">
        <x:f>IF(U1500="Open","",IFERROR(K1500-B1500,""))</x:f>
      </x:c>
      <x:c r="Y1500" s="26" t="n">
        <x:f>IF(U1500="Open",Lookups!$B$2-B1500,X1500)</x:f>
        <x:v>252</x:v>
      </x:c>
      <x:c r="Z1500" t="str">
        <x:f>IF(AND(U1500="Open",Y1500&gt;30),"STALE","OK")</x:f>
        <x:v>STALE</x:v>
      </x:c>
      <x:c r="AA1500" t="str">
        <x:f>TEXT(B1500,"yyyy-mm")</x:f>
        <x:v>2025-12</x:v>
      </x:c>
      <x:c r="AB1500" t="str">
        <x:f>IF(K1500="","",TEXT(K1500,"yyyy-mm"))</x:f>
      </x:c>
      <x:c r="AC1500" t="str">
        <x:f>"Q"&amp;ROUNDUP(MONTH(B1500)/3,0)&amp;"-"&amp;YEAR(B1500)</x:f>
        <x:v>Q4-2025</x:v>
      </x:c>
      <x:c r="AD1500" s="26" t="n">
        <x:f>MIN(100,IF(H1500="Enterprise",30,IF(H1500="Mid-Market",22,14))+IF(T1500="Enterprise",25,IF(T1500="Mid-Market",18,10))+IF(Q1500="Referral",25,IF(Q1500="Organic Search",20,IF(Q1500="Email",18,14)))+IF(G1500="Technology",10,5))</x:f>
        <x:v>43</x:v>
      </x:c>
      <x:c r="AE1500" t="str">
        <x:f>IF(U1500&lt;&gt;"Open",U1500,IF(N1500&gt;=0.8,"Commit",IF(N1500&gt;=0.5,"Best Case","Pipeline")))</x:f>
        <x:v>Commit</x:v>
      </x:c>
    </x:row>
    <x:row r="1501">
      <x:c r="A1501" t="str">
        <x:v>L01500</x:v>
      </x:c>
      <x:c r="B1501" s="10" t="n">
        <x:v>45928</x:v>
      </x:c>
      <x:c r="C1501" t="str">
        <x:v>Minh Do</x:v>
      </x:c>
      <x:c r="D1501" t="str">
        <x:v>North</x:v>
      </x:c>
      <x:c r="E1501" t="str">
        <x:v>Email Campaign</x:v>
      </x:c>
      <x:c r="F1501" t="str">
        <x:v>BI-PLUS</x:v>
      </x:c>
      <x:c r="G1501" t="str">
        <x:v>Retail</x:v>
      </x:c>
      <x:c r="H1501" t="str">
        <x:v>SMB</x:v>
      </x:c>
      <x:c r="I1501" t="str">
        <x:v>Closed Lost</x:v>
      </x:c>
      <x:c r="J1501" s="10" t="n">
        <x:v>45964</x:v>
      </x:c>
      <x:c r="K1501" s="10" t="n">
        <x:v>45964</x:v>
      </x:c>
      <x:c r="L1501" s="22" t="n">
        <x:v>28200</x:v>
      </x:c>
      <x:c r="M1501" s="24" t="n">
        <x:v>0</x:v>
      </x:c>
      <x:c r="N1501" s="24" t="n">
        <x:v>0</x:v>
      </x:c>
      <x:c r="O1501" t="str">
        <x:v>Timing</x:v>
      </x:c>
      <x:c r="P1501" t="n">
        <x:v>2</x:v>
      </x:c>
      <x:c r="Q1501" t="str">
        <x:f>IFERROR(XLOOKUP(E1501,Lookups!$A$5:$A$24,Lookups!$B$5:$B$24),"Other")</x:f>
        <x:v>Email</x:v>
      </x:c>
      <x:c r="R1501" t="str">
        <x:f>IFERROR(XLOOKUP(F1501,Lookups!$D$5:$D$10,Lookups!$E$5:$E$10),"Unknown Product")</x:f>
        <x:v>Analytics Plus</x:v>
      </x:c>
      <x:c r="S1501" t="str">
        <x:f>IFERROR(XLOOKUP(F1501,Lookups!$D$5:$D$10,Lookups!$F$5:$F$10),"Unknown")</x:f>
        <x:v>Analytics</x:v>
      </x:c>
      <x:c r="T1501" t="str">
        <x:f>IF(L1501&gt;=50000,"Enterprise",IF(L1501&gt;=20000,"Mid-Market","SMB"))</x:f>
        <x:v>Mid-Market</x:v>
      </x:c>
      <x:c r="U1501" t="str">
        <x:f>IF(I1501="Closed Won","Won",IF(I1501="Closed Lost","Lost","Open"))</x:f>
        <x:v>Lost</x:v>
      </x:c>
      <x:c r="V1501" s="22" t="n">
        <x:f>IF(U1501="Won",L1501*(1-M1501),0)</x:f>
        <x:v>0</x:v>
      </x:c>
      <x:c r="W1501" s="22" t="n">
        <x:f>IF(U1501="Open",L1501*N1501,0)</x:f>
        <x:v>0</x:v>
      </x:c>
      <x:c r="X1501" s="26" t="n">
        <x:f>IF(U1501="Open","",IFERROR(K1501-B1501,""))</x:f>
        <x:v>36</x:v>
      </x:c>
      <x:c r="Y1501" s="26" t="n">
        <x:f>IF(U1501="Open",Lookups!$B$2-B1501,X1501)</x:f>
        <x:v>36</x:v>
      </x:c>
      <x:c r="Z1501" t="str">
        <x:f>IF(AND(U1501="Open",Y1501&gt;30),"STALE","OK")</x:f>
        <x:v>OK</x:v>
      </x:c>
      <x:c r="AA1501" t="str">
        <x:f>TEXT(B1501,"yyyy-mm")</x:f>
        <x:v>2025-09</x:v>
      </x:c>
      <x:c r="AB1501" t="str">
        <x:f>IF(K1501="","",TEXT(K1501,"yyyy-mm"))</x:f>
        <x:v>2025-11</x:v>
      </x:c>
      <x:c r="AC1501" t="str">
        <x:f>"Q"&amp;ROUNDUP(MONTH(B1501)/3,0)&amp;"-"&amp;YEAR(B1501)</x:f>
        <x:v>Q3-2025</x:v>
      </x:c>
      <x:c r="AD1501" s="26" t="n">
        <x:f>MIN(100,IF(H1501="Enterprise",30,IF(H1501="Mid-Market",22,14))+IF(T1501="Enterprise",25,IF(T1501="Mid-Market",18,10))+IF(Q1501="Referral",25,IF(Q1501="Organic Search",20,IF(Q1501="Email",18,14)))+IF(G1501="Technology",10,5))</x:f>
        <x:v>55</x:v>
      </x:c>
      <x:c r="AE1501" t="str">
        <x:f>IF(U1501&lt;&gt;"Open",U1501,IF(N1501&gt;=0.8,"Commit",IF(N1501&gt;=0.5,"Best Case","Pipeline")))</x:f>
        <x:v>Lost</x:v>
      </x:c>
    </x:row>
    <x:row r="1502">
      <x:c r="A1502" t="str">
        <x:v>L01501</x:v>
      </x:c>
      <x:c r="B1502" s="10" t="n">
        <x:v>46193</x:v>
      </x:c>
      <x:c r="C1502" t="str">
        <x:v>Tuan Bui</x:v>
      </x:c>
      <x:c r="D1502" t="str">
        <x:v>Central</x:v>
      </x:c>
      <x:c r="E1502" t="str">
        <x:v>Webinar</x:v>
      </x:c>
      <x:c r="F1502" t="str">
        <x:v>REV-OPS</x:v>
      </x:c>
      <x:c r="G1502" t="str">
        <x:v>Technology</x:v>
      </x:c>
      <x:c r="H1502" t="str">
        <x:v>Mid-Market</x:v>
      </x:c>
      <x:c r="I1502" t="str">
        <x:v>Closed Lost</x:v>
      </x:c>
      <x:c r="J1502" s="10" t="n">
        <x:v>46265</x:v>
      </x:c>
      <x:c r="K1502" s="10" t="n">
        <x:v>46265</x:v>
      </x:c>
      <x:c r="L1502" s="22" t="n">
        <x:v>46700</x:v>
      </x:c>
      <x:c r="M1502" s="24" t="n">
        <x:v>0</x:v>
      </x:c>
      <x:c r="N1502" s="24" t="n">
        <x:v>0</x:v>
      </x:c>
      <x:c r="O1502" t="str">
        <x:v>Price</x:v>
      </x:c>
      <x:c r="P1502" t="n">
        <x:v>2</x:v>
      </x:c>
      <x:c r="Q1502" t="str">
        <x:f>IFERROR(XLOOKUP(E1502,Lookups!$A$5:$A$24,Lookups!$B$5:$B$24),"Other")</x:f>
        <x:v>Webinar</x:v>
      </x:c>
      <x:c r="R1502" t="str">
        <x:f>IFERROR(XLOOKUP(F1502,Lookups!$D$5:$D$10,Lookups!$E$5:$E$10),"Unknown Product")</x:f>
        <x:v>Revenue Operations Suite</x:v>
      </x:c>
      <x:c r="S1502" t="str">
        <x:f>IFERROR(XLOOKUP(F1502,Lookups!$D$5:$D$10,Lookups!$F$5:$F$10),"Unknown")</x:f>
        <x:v>Revenue Ops</x:v>
      </x:c>
      <x:c r="T1502" t="str">
        <x:f>IF(L1502&gt;=50000,"Enterprise",IF(L1502&gt;=20000,"Mid-Market","SMB"))</x:f>
        <x:v>Mid-Market</x:v>
      </x:c>
      <x:c r="U1502" t="str">
        <x:f>IF(I1502="Closed Won","Won",IF(I1502="Closed Lost","Lost","Open"))</x:f>
        <x:v>Lost</x:v>
      </x:c>
      <x:c r="V1502" s="22" t="n">
        <x:f>IF(U1502="Won",L1502*(1-M1502),0)</x:f>
        <x:v>0</x:v>
      </x:c>
      <x:c r="W1502" s="22" t="n">
        <x:f>IF(U1502="Open",L1502*N1502,0)</x:f>
        <x:v>0</x:v>
      </x:c>
      <x:c r="X1502" s="26" t="n">
        <x:f>IF(U1502="Open","",IFERROR(K1502-B1502,""))</x:f>
        <x:v>72</x:v>
      </x:c>
      <x:c r="Y1502" s="26" t="n">
        <x:f>IF(U1502="Open",Lookups!$B$2-B1502,X1502)</x:f>
        <x:v>72</x:v>
      </x:c>
      <x:c r="Z1502" t="str">
        <x:f>IF(AND(U1502="Open",Y1502&gt;30),"STALE","OK")</x:f>
        <x:v>OK</x:v>
      </x:c>
      <x:c r="AA1502" t="str">
        <x:f>TEXT(B1502,"yyyy-mm")</x:f>
        <x:v>2026-06</x:v>
      </x:c>
      <x:c r="AB1502" t="str">
        <x:f>IF(K1502="","",TEXT(K1502,"yyyy-mm"))</x:f>
        <x:v>2026-08</x:v>
      </x:c>
      <x:c r="AC1502" t="str">
        <x:f>"Q"&amp;ROUNDUP(MONTH(B1502)/3,0)&amp;"-"&amp;YEAR(B1502)</x:f>
        <x:v>Q2-2026</x:v>
      </x:c>
      <x:c r="AD1502" s="26" t="n">
        <x:f>MIN(100,IF(H1502="Enterprise",30,IF(H1502="Mid-Market",22,14))+IF(T1502="Enterprise",25,IF(T1502="Mid-Market",18,10))+IF(Q1502="Referral",25,IF(Q1502="Organic Search",20,IF(Q1502="Email",18,14)))+IF(G1502="Technology",10,5))</x:f>
        <x:v>64</x:v>
      </x:c>
      <x:c r="AE1502" t="str">
        <x:f>IF(U1502&lt;&gt;"Open",U1502,IF(N1502&gt;=0.8,"Commit",IF(N1502&gt;=0.5,"Best Case","Pipeline")))</x:f>
        <x:v>Lost</x:v>
      </x:c>
    </x:row>
    <x:row r="1503">
      <x:c r="A1503" t="str">
        <x:v>L01502</x:v>
      </x:c>
      <x:c r="B1503" s="10" t="n">
        <x:v>46143</x:v>
      </x:c>
      <x:c r="C1503" t="str">
        <x:v>Bao Tran</x:v>
      </x:c>
      <x:c r="D1503" t="str">
        <x:v>South</x:v>
      </x:c>
      <x:c r="E1503" t="str">
        <x:v>LinkedIn Ads</x:v>
      </x:c>
      <x:c r="F1503" t="str">
        <x:v>CRM-PRO</x:v>
      </x:c>
      <x:c r="G1503" t="str">
        <x:v>Financial Services</x:v>
      </x:c>
      <x:c r="H1503" t="str">
        <x:v>Enterprise</x:v>
      </x:c>
      <x:c r="I1503" t="str">
        <x:v>Closed Lost</x:v>
      </x:c>
      <x:c r="J1503" s="10" t="n">
        <x:v>46209</x:v>
      </x:c>
      <x:c r="K1503" s="10" t="n">
        <x:v>46209</x:v>
      </x:c>
      <x:c r="L1503" s="22" t="n">
        <x:v>59800</x:v>
      </x:c>
      <x:c r="M1503" s="24" t="n">
        <x:v>0</x:v>
      </x:c>
      <x:c r="N1503" s="24" t="n">
        <x:v>0</x:v>
      </x:c>
      <x:c r="O1503" t="str">
        <x:v>No Decision</x:v>
      </x:c>
      <x:c r="P1503" t="n">
        <x:v>3</x:v>
      </x:c>
      <x:c r="Q1503" t="str">
        <x:f>IFERROR(XLOOKUP(E1503,Lookups!$A$5:$A$24,Lookups!$B$5:$B$24),"Other")</x:f>
        <x:v>LinkedIn</x:v>
      </x:c>
      <x:c r="R1503" t="str">
        <x:f>IFERROR(XLOOKUP(F1503,Lookups!$D$5:$D$10,Lookups!$E$5:$E$10),"Unknown Product")</x:f>
        <x:v>NexaCRM Pro</x:v>
      </x:c>
      <x:c r="S1503" t="str">
        <x:f>IFERROR(XLOOKUP(F1503,Lookups!$D$5:$D$10,Lookups!$F$5:$F$10),"Unknown")</x:f>
        <x:v>CRM</x:v>
      </x:c>
      <x:c r="T1503" t="str">
        <x:f>IF(L1503&gt;=50000,"Enterprise",IF(L1503&gt;=20000,"Mid-Market","SMB"))</x:f>
        <x:v>Enterprise</x:v>
      </x:c>
      <x:c r="U1503" t="str">
        <x:f>IF(I1503="Closed Won","Won",IF(I1503="Closed Lost","Lost","Open"))</x:f>
        <x:v>Lost</x:v>
      </x:c>
      <x:c r="V1503" s="22" t="n">
        <x:f>IF(U1503="Won",L1503*(1-M1503),0)</x:f>
        <x:v>0</x:v>
      </x:c>
      <x:c r="W1503" s="22" t="n">
        <x:f>IF(U1503="Open",L1503*N1503,0)</x:f>
        <x:v>0</x:v>
      </x:c>
      <x:c r="X1503" s="26" t="n">
        <x:f>IF(U1503="Open","",IFERROR(K1503-B1503,""))</x:f>
        <x:v>66</x:v>
      </x:c>
      <x:c r="Y1503" s="26" t="n">
        <x:f>IF(U1503="Open",Lookups!$B$2-B1503,X1503)</x:f>
        <x:v>66</x:v>
      </x:c>
      <x:c r="Z1503" t="str">
        <x:f>IF(AND(U1503="Open",Y1503&gt;30),"STALE","OK")</x:f>
        <x:v>OK</x:v>
      </x:c>
      <x:c r="AA1503" t="str">
        <x:f>TEXT(B1503,"yyyy-mm")</x:f>
        <x:v>2026-05</x:v>
      </x:c>
      <x:c r="AB1503" t="str">
        <x:f>IF(K1503="","",TEXT(K1503,"yyyy-mm"))</x:f>
        <x:v>2026-07</x:v>
      </x:c>
      <x:c r="AC1503" t="str">
        <x:f>"Q"&amp;ROUNDUP(MONTH(B1503)/3,0)&amp;"-"&amp;YEAR(B1503)</x:f>
        <x:v>Q2-2026</x:v>
      </x:c>
      <x:c r="AD1503" s="26" t="n">
        <x:f>MIN(100,IF(H1503="Enterprise",30,IF(H1503="Mid-Market",22,14))+IF(T1503="Enterprise",25,IF(T1503="Mid-Market",18,10))+IF(Q1503="Referral",25,IF(Q1503="Organic Search",20,IF(Q1503="Email",18,14)))+IF(G1503="Technology",10,5))</x:f>
        <x:v>74</x:v>
      </x:c>
      <x:c r="AE1503" t="str">
        <x:f>IF(U1503&lt;&gt;"Open",U1503,IF(N1503&gt;=0.8,"Commit",IF(N1503&gt;=0.5,"Best Case","Pipeline")))</x:f>
        <x:v>Lost</x:v>
      </x:c>
    </x:row>
    <x:row r="1504">
      <x:c r="A1504" t="str">
        <x:v>L01503</x:v>
      </x:c>
      <x:c r="B1504" s="10" t="n">
        <x:v>45823</x:v>
      </x:c>
      <x:c r="C1504" t="str">
        <x:v>Minh Do</x:v>
      </x:c>
      <x:c r="D1504" t="str">
        <x:v>North</x:v>
      </x:c>
      <x:c r="E1504" t="str">
        <x:v>email nurture</x:v>
      </x:c>
      <x:c r="F1504" t="str">
        <x:v>MKT-AUTO</x:v>
      </x:c>
      <x:c r="G1504" t="str">
        <x:v>Education</x:v>
      </x:c>
      <x:c r="H1504" t="str">
        <x:v>SMB</x:v>
      </x:c>
      <x:c r="I1504" t="str">
        <x:v>Closed Lost</x:v>
      </x:c>
      <x:c r="J1504" s="10" t="n">
        <x:v>45888</x:v>
      </x:c>
      <x:c r="K1504" s="10" t="n">
        <x:v>45888</x:v>
      </x:c>
      <x:c r="L1504" s="22" t="n">
        <x:v>13100</x:v>
      </x:c>
      <x:c r="M1504" s="24" t="n">
        <x:v>0</x:v>
      </x:c>
      <x:c r="N1504" s="24" t="n">
        <x:v>0</x:v>
      </x:c>
      <x:c r="O1504" t="str">
        <x:v>No Decision</x:v>
      </x:c>
      <x:c r="P1504" t="n">
        <x:v>3</x:v>
      </x:c>
      <x:c r="Q1504" t="str">
        <x:f>IFERROR(XLOOKUP(E1504,Lookups!$A$5:$A$24,Lookups!$B$5:$B$24),"Other")</x:f>
        <x:v>Email</x:v>
      </x:c>
      <x:c r="R1504" t="str">
        <x:f>IFERROR(XLOOKUP(F1504,Lookups!$D$5:$D$10,Lookups!$E$5:$E$10),"Unknown Product")</x:f>
        <x:v>Marketing Automation</x:v>
      </x:c>
      <x:c r="S1504" t="str">
        <x:f>IFERROR(XLOOKUP(F1504,Lookups!$D$5:$D$10,Lookups!$F$5:$F$10),"Unknown")</x:f>
        <x:v>Marketing</x:v>
      </x:c>
      <x:c r="T1504" t="str">
        <x:f>IF(L1504&gt;=50000,"Enterprise",IF(L1504&gt;=20000,"Mid-Market","SMB"))</x:f>
        <x:v>SMB</x:v>
      </x:c>
      <x:c r="U1504" t="str">
        <x:f>IF(I1504="Closed Won","Won",IF(I1504="Closed Lost","Lost","Open"))</x:f>
        <x:v>Lost</x:v>
      </x:c>
      <x:c r="V1504" s="22" t="n">
        <x:f>IF(U1504="Won",L1504*(1-M1504),0)</x:f>
        <x:v>0</x:v>
      </x:c>
      <x:c r="W1504" s="22" t="n">
        <x:f>IF(U1504="Open",L1504*N1504,0)</x:f>
        <x:v>0</x:v>
      </x:c>
      <x:c r="X1504" s="26" t="n">
        <x:f>IF(U1504="Open","",IFERROR(K1504-B1504,""))</x:f>
        <x:v>65</x:v>
      </x:c>
      <x:c r="Y1504" s="26" t="n">
        <x:f>IF(U1504="Open",Lookups!$B$2-B1504,X1504)</x:f>
        <x:v>65</x:v>
      </x:c>
      <x:c r="Z1504" t="str">
        <x:f>IF(AND(U1504="Open",Y1504&gt;30),"STALE","OK")</x:f>
        <x:v>OK</x:v>
      </x:c>
      <x:c r="AA1504" t="str">
        <x:f>TEXT(B1504,"yyyy-mm")</x:f>
        <x:v>2025-06</x:v>
      </x:c>
      <x:c r="AB1504" t="str">
        <x:f>IF(K1504="","",TEXT(K1504,"yyyy-mm"))</x:f>
        <x:v>2025-08</x:v>
      </x:c>
      <x:c r="AC1504" t="str">
        <x:f>"Q"&amp;ROUNDUP(MONTH(B1504)/3,0)&amp;"-"&amp;YEAR(B1504)</x:f>
        <x:v>Q2-2025</x:v>
      </x:c>
      <x:c r="AD1504" s="26" t="n">
        <x:f>MIN(100,IF(H1504="Enterprise",30,IF(H1504="Mid-Market",22,14))+IF(T1504="Enterprise",25,IF(T1504="Mid-Market",18,10))+IF(Q1504="Referral",25,IF(Q1504="Organic Search",20,IF(Q1504="Email",18,14)))+IF(G1504="Technology",10,5))</x:f>
        <x:v>47</x:v>
      </x:c>
      <x:c r="AE1504" t="str">
        <x:f>IF(U1504&lt;&gt;"Open",U1504,IF(N1504&gt;=0.8,"Commit",IF(N1504&gt;=0.5,"Best Case","Pipeline")))</x:f>
        <x:v>Lost</x:v>
      </x:c>
    </x:row>
    <x:row r="1505">
      <x:c r="A1505" t="str">
        <x:v>L01504</x:v>
      </x:c>
      <x:c r="B1505" s="10" t="n">
        <x:v>45961</x:v>
      </x:c>
      <x:c r="C1505" t="str">
        <x:v>Minh Do</x:v>
      </x:c>
      <x:c r="D1505" t="str">
        <x:v>North</x:v>
      </x:c>
      <x:c r="E1505" t="str">
        <x:v>Referral</x:v>
      </x:c>
      <x:c r="F1505" t="str">
        <x:v>CRM-CORE</x:v>
      </x:c>
      <x:c r="G1505" t="str">
        <x:v>Financial Services</x:v>
      </x:c>
      <x:c r="H1505" t="str">
        <x:v>SMB</x:v>
      </x:c>
      <x:c r="I1505" t="str">
        <x:v>Closed Won</x:v>
      </x:c>
      <x:c r="J1505" s="10" t="n">
        <x:v>46029</x:v>
      </x:c>
      <x:c r="K1505" s="10" t="n">
        <x:v>46029</x:v>
      </x:c>
      <x:c r="L1505" s="22" t="n">
        <x:v>6200</x:v>
      </x:c>
      <x:c r="M1505" s="24" t="n">
        <x:v>0</x:v>
      </x:c>
      <x:c r="N1505" s="24" t="n">
        <x:v>1</x:v>
      </x:c>
      <x:c r="O1505" t="str"/>
      <x:c r="P1505" t="n">
        <x:v>6</x:v>
      </x:c>
      <x:c r="Q1505" t="str">
        <x:f>IFERROR(XLOOKUP(E1505,Lookups!$A$5:$A$24,Lookups!$B$5:$B$24),"Other")</x:f>
        <x:v>Referral</x:v>
      </x:c>
      <x:c r="R1505" t="str">
        <x:f>IFERROR(XLOOKUP(F1505,Lookups!$D$5:$D$10,Lookups!$E$5:$E$10),"Unknown Product")</x:f>
        <x:v>NexaCRM Core</x:v>
      </x:c>
      <x:c r="S1505" t="str">
        <x:f>IFERROR(XLOOKUP(F1505,Lookups!$D$5:$D$10,Lookups!$F$5:$F$10),"Unknown")</x:f>
        <x:v>CRM</x:v>
      </x:c>
      <x:c r="T1505" t="str">
        <x:f>IF(L1505&gt;=50000,"Enterprise",IF(L1505&gt;=20000,"Mid-Market","SMB"))</x:f>
        <x:v>SMB</x:v>
      </x:c>
      <x:c r="U1505" t="str">
        <x:f>IF(I1505="Closed Won","Won",IF(I1505="Closed Lost","Lost","Open"))</x:f>
        <x:v>Won</x:v>
      </x:c>
      <x:c r="V1505" s="22" t="n">
        <x:f>IF(U1505="Won",L1505*(1-M1505),0)</x:f>
        <x:v>6200</x:v>
      </x:c>
      <x:c r="W1505" s="22" t="n">
        <x:f>IF(U1505="Open",L1505*N1505,0)</x:f>
        <x:v>0</x:v>
      </x:c>
      <x:c r="X1505" s="26" t="n">
        <x:f>IF(U1505="Open","",IFERROR(K1505-B1505,""))</x:f>
        <x:v>68</x:v>
      </x:c>
      <x:c r="Y1505" s="26" t="n">
        <x:f>IF(U1505="Open",Lookups!$B$2-B1505,X1505)</x:f>
        <x:v>68</x:v>
      </x:c>
      <x:c r="Z1505" t="str">
        <x:f>IF(AND(U1505="Open",Y1505&gt;30),"STALE","OK")</x:f>
        <x:v>OK</x:v>
      </x:c>
      <x:c r="AA1505" t="str">
        <x:f>TEXT(B1505,"yyyy-mm")</x:f>
        <x:v>2025-10</x:v>
      </x:c>
      <x:c r="AB1505" t="str">
        <x:f>IF(K1505="","",TEXT(K1505,"yyyy-mm"))</x:f>
        <x:v>2026-01</x:v>
      </x:c>
      <x:c r="AC1505" t="str">
        <x:f>"Q"&amp;ROUNDUP(MONTH(B1505)/3,0)&amp;"-"&amp;YEAR(B1505)</x:f>
        <x:v>Q4-2025</x:v>
      </x:c>
      <x:c r="AD1505" s="26" t="n">
        <x:f>MIN(100,IF(H1505="Enterprise",30,IF(H1505="Mid-Market",22,14))+IF(T1505="Enterprise",25,IF(T1505="Mid-Market",18,10))+IF(Q1505="Referral",25,IF(Q1505="Organic Search",20,IF(Q1505="Email",18,14)))+IF(G1505="Technology",10,5))</x:f>
        <x:v>54</x:v>
      </x:c>
      <x:c r="AE1505" t="str">
        <x:f>IF(U1505&lt;&gt;"Open",U1505,IF(N1505&gt;=0.8,"Commit",IF(N1505&gt;=0.5,"Best Case","Pipeline")))</x:f>
        <x:v>Won</x:v>
      </x:c>
    </x:row>
    <x:row r="1506">
      <x:c r="A1506" t="str">
        <x:v>L01505</x:v>
      </x:c>
      <x:c r="B1506" s="10" t="n">
        <x:v>45732</x:v>
      </x:c>
      <x:c r="C1506" t="str">
        <x:v>An Nguyen</x:v>
      </x:c>
      <x:c r="D1506" t="str">
        <x:v>South</x:v>
      </x:c>
      <x:c r="E1506" t="str">
        <x:v>google cpc</x:v>
      </x:c>
      <x:c r="F1506" t="str">
        <x:v>BI-PLUS</x:v>
      </x:c>
      <x:c r="G1506" t="str">
        <x:v>Education</x:v>
      </x:c>
      <x:c r="H1506" t="str">
        <x:v>SMB</x:v>
      </x:c>
      <x:c r="I1506" t="str">
        <x:v>Closed Lost</x:v>
      </x:c>
      <x:c r="J1506" s="10" t="n">
        <x:v>45850</x:v>
      </x:c>
      <x:c r="K1506" s="10" t="n">
        <x:v>45850</x:v>
      </x:c>
      <x:c r="L1506" s="22" t="n">
        <x:v>24000</x:v>
      </x:c>
      <x:c r="M1506" s="24" t="n">
        <x:v>0</x:v>
      </x:c>
      <x:c r="N1506" s="24" t="n">
        <x:v>0</x:v>
      </x:c>
      <x:c r="O1506" t="str">
        <x:v>Competitor</x:v>
      </x:c>
      <x:c r="P1506" t="n">
        <x:v>4</x:v>
      </x:c>
      <x:c r="Q1506" t="str">
        <x:f>IFERROR(XLOOKUP(E1506,Lookups!$A$5:$A$24,Lookups!$B$5:$B$24),"Other")</x:f>
        <x:v>Paid Search</x:v>
      </x:c>
      <x:c r="R1506" t="str">
        <x:f>IFERROR(XLOOKUP(F1506,Lookups!$D$5:$D$10,Lookups!$E$5:$E$10),"Unknown Product")</x:f>
        <x:v>Analytics Plus</x:v>
      </x:c>
      <x:c r="S1506" t="str">
        <x:f>IFERROR(XLOOKUP(F1506,Lookups!$D$5:$D$10,Lookups!$F$5:$F$10),"Unknown")</x:f>
        <x:v>Analytics</x:v>
      </x:c>
      <x:c r="T1506" t="str">
        <x:f>IF(L1506&gt;=50000,"Enterprise",IF(L1506&gt;=20000,"Mid-Market","SMB"))</x:f>
        <x:v>Mid-Market</x:v>
      </x:c>
      <x:c r="U1506" t="str">
        <x:f>IF(I1506="Closed Won","Won",IF(I1506="Closed Lost","Lost","Open"))</x:f>
        <x:v>Lost</x:v>
      </x:c>
      <x:c r="V1506" s="22" t="n">
        <x:f>IF(U1506="Won",L1506*(1-M1506),0)</x:f>
        <x:v>0</x:v>
      </x:c>
      <x:c r="W1506" s="22" t="n">
        <x:f>IF(U1506="Open",L1506*N1506,0)</x:f>
        <x:v>0</x:v>
      </x:c>
      <x:c r="X1506" s="26" t="n">
        <x:f>IF(U1506="Open","",IFERROR(K1506-B1506,""))</x:f>
        <x:v>118</x:v>
      </x:c>
      <x:c r="Y1506" s="26" t="n">
        <x:f>IF(U1506="Open",Lookups!$B$2-B1506,X1506)</x:f>
        <x:v>118</x:v>
      </x:c>
      <x:c r="Z1506" t="str">
        <x:f>IF(AND(U1506="Open",Y1506&gt;30),"STALE","OK")</x:f>
        <x:v>OK</x:v>
      </x:c>
      <x:c r="AA1506" t="str">
        <x:f>TEXT(B1506,"yyyy-mm")</x:f>
        <x:v>2025-03</x:v>
      </x:c>
      <x:c r="AB1506" t="str">
        <x:f>IF(K1506="","",TEXT(K1506,"yyyy-mm"))</x:f>
        <x:v>2025-07</x:v>
      </x:c>
      <x:c r="AC1506" t="str">
        <x:f>"Q"&amp;ROUNDUP(MONTH(B1506)/3,0)&amp;"-"&amp;YEAR(B1506)</x:f>
        <x:v>Q1-2025</x:v>
      </x:c>
      <x:c r="AD1506" s="26" t="n">
        <x:f>MIN(100,IF(H1506="Enterprise",30,IF(H1506="Mid-Market",22,14))+IF(T1506="Enterprise",25,IF(T1506="Mid-Market",18,10))+IF(Q1506="Referral",25,IF(Q1506="Organic Search",20,IF(Q1506="Email",18,14)))+IF(G1506="Technology",10,5))</x:f>
        <x:v>51</x:v>
      </x:c>
      <x:c r="AE1506" t="str">
        <x:f>IF(U1506&lt;&gt;"Open",U1506,IF(N1506&gt;=0.8,"Commit",IF(N1506&gt;=0.5,"Best Case","Pipeline")))</x:f>
        <x:v>Lost</x:v>
      </x:c>
    </x:row>
    <x:row r="1507">
      <x:c r="A1507" t="str">
        <x:v>L01506</x:v>
      </x:c>
      <x:c r="B1507" s="10" t="n">
        <x:v>45714</x:v>
      </x:c>
      <x:c r="C1507" t="str">
        <x:v>Chi Le</x:v>
      </x:c>
      <x:c r="D1507" t="str">
        <x:v>South</x:v>
      </x:c>
      <x:c r="E1507" t="str">
        <x:v>email nurture</x:v>
      </x:c>
      <x:c r="F1507" t="str">
        <x:v>CRM-CORE</x:v>
      </x:c>
      <x:c r="G1507" t="str">
        <x:v>Financial Services</x:v>
      </x:c>
      <x:c r="H1507" t="str">
        <x:v>SMB</x:v>
      </x:c>
      <x:c r="I1507" t="str">
        <x:v>Closed Lost</x:v>
      </x:c>
      <x:c r="J1507" s="10" t="n">
        <x:v>45747</x:v>
      </x:c>
      <x:c r="K1507" s="10" t="n">
        <x:v>45747</x:v>
      </x:c>
      <x:c r="L1507" s="22" t="n">
        <x:v>5100</x:v>
      </x:c>
      <x:c r="M1507" s="24" t="n">
        <x:v>0</x:v>
      </x:c>
      <x:c r="N1507" s="24" t="n">
        <x:v>0</x:v>
      </x:c>
      <x:c r="O1507" t="str">
        <x:v>Competitor</x:v>
      </x:c>
      <x:c r="P1507" t="n">
        <x:v>3</x:v>
      </x:c>
      <x:c r="Q1507" t="str">
        <x:f>IFERROR(XLOOKUP(E1507,Lookups!$A$5:$A$24,Lookups!$B$5:$B$24),"Other")</x:f>
        <x:v>Email</x:v>
      </x:c>
      <x:c r="R1507" t="str">
        <x:f>IFERROR(XLOOKUP(F1507,Lookups!$D$5:$D$10,Lookups!$E$5:$E$10),"Unknown Product")</x:f>
        <x:v>NexaCRM Core</x:v>
      </x:c>
      <x:c r="S1507" t="str">
        <x:f>IFERROR(XLOOKUP(F1507,Lookups!$D$5:$D$10,Lookups!$F$5:$F$10),"Unknown")</x:f>
        <x:v>CRM</x:v>
      </x:c>
      <x:c r="T1507" t="str">
        <x:f>IF(L1507&gt;=50000,"Enterprise",IF(L1507&gt;=20000,"Mid-Market","SMB"))</x:f>
        <x:v>SMB</x:v>
      </x:c>
      <x:c r="U1507" t="str">
        <x:f>IF(I1507="Closed Won","Won",IF(I1507="Closed Lost","Lost","Open"))</x:f>
        <x:v>Lost</x:v>
      </x:c>
      <x:c r="V1507" s="22" t="n">
        <x:f>IF(U1507="Won",L1507*(1-M1507),0)</x:f>
        <x:v>0</x:v>
      </x:c>
      <x:c r="W1507" s="22" t="n">
        <x:f>IF(U1507="Open",L1507*N1507,0)</x:f>
        <x:v>0</x:v>
      </x:c>
      <x:c r="X1507" s="26" t="n">
        <x:f>IF(U1507="Open","",IFERROR(K1507-B1507,""))</x:f>
        <x:v>33</x:v>
      </x:c>
      <x:c r="Y1507" s="26" t="n">
        <x:f>IF(U1507="Open",Lookups!$B$2-B1507,X1507)</x:f>
        <x:v>33</x:v>
      </x:c>
      <x:c r="Z1507" t="str">
        <x:f>IF(AND(U1507="Open",Y1507&gt;30),"STALE","OK")</x:f>
        <x:v>OK</x:v>
      </x:c>
      <x:c r="AA1507" t="str">
        <x:f>TEXT(B1507,"yyyy-mm")</x:f>
        <x:v>2025-02</x:v>
      </x:c>
      <x:c r="AB1507" t="str">
        <x:f>IF(K1507="","",TEXT(K1507,"yyyy-mm"))</x:f>
        <x:v>2025-03</x:v>
      </x:c>
      <x:c r="AC1507" t="str">
        <x:f>"Q"&amp;ROUNDUP(MONTH(B1507)/3,0)&amp;"-"&amp;YEAR(B1507)</x:f>
        <x:v>Q1-2025</x:v>
      </x:c>
      <x:c r="AD1507" s="26" t="n">
        <x:f>MIN(100,IF(H1507="Enterprise",30,IF(H1507="Mid-Market",22,14))+IF(T1507="Enterprise",25,IF(T1507="Mid-Market",18,10))+IF(Q1507="Referral",25,IF(Q1507="Organic Search",20,IF(Q1507="Email",18,14)))+IF(G1507="Technology",10,5))</x:f>
        <x:v>47</x:v>
      </x:c>
      <x:c r="AE1507" t="str">
        <x:f>IF(U1507&lt;&gt;"Open",U1507,IF(N1507&gt;=0.8,"Commit",IF(N1507&gt;=0.5,"Best Case","Pipeline")))</x:f>
        <x:v>Lost</x:v>
      </x:c>
    </x:row>
    <x:row r="1508">
      <x:c r="A1508" t="str">
        <x:v>L01507</x:v>
      </x:c>
      <x:c r="B1508" s="10" t="n">
        <x:v>45721</x:v>
      </x:c>
      <x:c r="C1508" t="str">
        <x:v>Duy Pham</x:v>
      </x:c>
      <x:c r="D1508" t="str">
        <x:v>South</x:v>
      </x:c>
      <x:c r="E1508" t="str">
        <x:v>Webinar</x:v>
      </x:c>
      <x:c r="F1508" t="str">
        <x:v>BI-PLUS</x:v>
      </x:c>
      <x:c r="G1508" t="str">
        <x:v>Education</x:v>
      </x:c>
      <x:c r="H1508" t="str">
        <x:v>SMB</x:v>
      </x:c>
      <x:c r="I1508" t="str">
        <x:v>Negotiation</x:v>
      </x:c>
      <x:c r="J1508" s="10" t="n">
        <x:v>45977</x:v>
      </x:c>
      <x:c r="K1508" s="10"/>
      <x:c r="L1508" s="22" t="n">
        <x:v>17600</x:v>
      </x:c>
      <x:c r="M1508" s="24" t="n">
        <x:v>0</x:v>
      </x:c>
      <x:c r="N1508" s="24" t="n">
        <x:v>0.85</x:v>
      </x:c>
      <x:c r="O1508" t="str"/>
      <x:c r="P1508" t="n">
        <x:v>5</x:v>
      </x:c>
      <x:c r="Q1508" t="str">
        <x:f>IFERROR(XLOOKUP(E1508,Lookups!$A$5:$A$24,Lookups!$B$5:$B$24),"Other")</x:f>
        <x:v>Webinar</x:v>
      </x:c>
      <x:c r="R1508" t="str">
        <x:f>IFERROR(XLOOKUP(F1508,Lookups!$D$5:$D$10,Lookups!$E$5:$E$10),"Unknown Product")</x:f>
        <x:v>Analytics Plus</x:v>
      </x:c>
      <x:c r="S1508" t="str">
        <x:f>IFERROR(XLOOKUP(F1508,Lookups!$D$5:$D$10,Lookups!$F$5:$F$10),"Unknown")</x:f>
        <x:v>Analytics</x:v>
      </x:c>
      <x:c r="T1508" t="str">
        <x:f>IF(L1508&gt;=50000,"Enterprise",IF(L1508&gt;=20000,"Mid-Market","SMB"))</x:f>
        <x:v>SMB</x:v>
      </x:c>
      <x:c r="U1508" t="str">
        <x:f>IF(I1508="Closed Won","Won",IF(I1508="Closed Lost","Lost","Open"))</x:f>
        <x:v>Open</x:v>
      </x:c>
      <x:c r="V1508" s="22" t="n">
        <x:f>IF(U1508="Won",L1508*(1-M1508),0)</x:f>
        <x:v>0</x:v>
      </x:c>
      <x:c r="W1508" s="22" t="n">
        <x:f>IF(U1508="Open",L1508*N1508,0)</x:f>
        <x:v>14960</x:v>
      </x:c>
      <x:c r="X1508" s="26" t="str">
        <x:f>IF(U1508="Open","",IFERROR(K1508-B1508,""))</x:f>
      </x:c>
      <x:c r="Y1508" s="26" t="n">
        <x:f>IF(U1508="Open",Lookups!$B$2-B1508,X1508)</x:f>
        <x:v>545</x:v>
      </x:c>
      <x:c r="Z1508" t="str">
        <x:f>IF(AND(U1508="Open",Y1508&gt;30),"STALE","OK")</x:f>
        <x:v>STALE</x:v>
      </x:c>
      <x:c r="AA1508" t="str">
        <x:f>TEXT(B1508,"yyyy-mm")</x:f>
        <x:v>2025-03</x:v>
      </x:c>
      <x:c r="AB1508" t="str">
        <x:f>IF(K1508="","",TEXT(K1508,"yyyy-mm"))</x:f>
      </x:c>
      <x:c r="AC1508" t="str">
        <x:f>"Q"&amp;ROUNDUP(MONTH(B1508)/3,0)&amp;"-"&amp;YEAR(B1508)</x:f>
        <x:v>Q1-2025</x:v>
      </x:c>
      <x:c r="AD1508" s="26" t="n">
        <x:f>MIN(100,IF(H1508="Enterprise",30,IF(H1508="Mid-Market",22,14))+IF(T1508="Enterprise",25,IF(T1508="Mid-Market",18,10))+IF(Q1508="Referral",25,IF(Q1508="Organic Search",20,IF(Q1508="Email",18,14)))+IF(G1508="Technology",10,5))</x:f>
        <x:v>43</x:v>
      </x:c>
      <x:c r="AE1508" t="str">
        <x:f>IF(U1508&lt;&gt;"Open",U1508,IF(N1508&gt;=0.8,"Commit",IF(N1508&gt;=0.5,"Best Case","Pipeline")))</x:f>
        <x:v>Commit</x:v>
      </x:c>
    </x:row>
    <x:row r="1509">
      <x:c r="A1509" t="str">
        <x:v>L01508</x:v>
      </x:c>
      <x:c r="B1509" s="10" t="n">
        <x:v>45892</x:v>
      </x:c>
      <x:c r="C1509" t="str">
        <x:v>Tuan Bui</x:v>
      </x:c>
      <x:c r="D1509" t="str">
        <x:v>Central</x:v>
      </x:c>
      <x:c r="E1509" t="str">
        <x:v>Partner Referral</x:v>
      </x:c>
      <x:c r="F1509" t="str">
        <x:v>CRM-PRO</x:v>
      </x:c>
      <x:c r="G1509" t="str">
        <x:v>Manufacturing</x:v>
      </x:c>
      <x:c r="H1509" t="str">
        <x:v>Enterprise</x:v>
      </x:c>
      <x:c r="I1509" t="str">
        <x:v>Closed Lost</x:v>
      </x:c>
      <x:c r="J1509" s="10" t="n">
        <x:v>45933</x:v>
      </x:c>
      <x:c r="K1509" s="10" t="n">
        <x:v>45933</x:v>
      </x:c>
      <x:c r="L1509" s="22" t="n">
        <x:v>86600</x:v>
      </x:c>
      <x:c r="M1509" s="24" t="n">
        <x:v>0</x:v>
      </x:c>
      <x:c r="N1509" s="24" t="n">
        <x:v>0</x:v>
      </x:c>
      <x:c r="O1509" t="str">
        <x:v>Competitor</x:v>
      </x:c>
      <x:c r="P1509" t="n">
        <x:v>2</x:v>
      </x:c>
      <x:c r="Q1509" t="str">
        <x:f>IFERROR(XLOOKUP(E1509,Lookups!$A$5:$A$24,Lookups!$B$5:$B$24),"Other")</x:f>
        <x:v>Referral</x:v>
      </x:c>
      <x:c r="R1509" t="str">
        <x:f>IFERROR(XLOOKUP(F1509,Lookups!$D$5:$D$10,Lookups!$E$5:$E$10),"Unknown Product")</x:f>
        <x:v>NexaCRM Pro</x:v>
      </x:c>
      <x:c r="S1509" t="str">
        <x:f>IFERROR(XLOOKUP(F1509,Lookups!$D$5:$D$10,Lookups!$F$5:$F$10),"Unknown")</x:f>
        <x:v>CRM</x:v>
      </x:c>
      <x:c r="T1509" t="str">
        <x:f>IF(L1509&gt;=50000,"Enterprise",IF(L1509&gt;=20000,"Mid-Market","SMB"))</x:f>
        <x:v>Enterprise</x:v>
      </x:c>
      <x:c r="U1509" t="str">
        <x:f>IF(I1509="Closed Won","Won",IF(I1509="Closed Lost","Lost","Open"))</x:f>
        <x:v>Lost</x:v>
      </x:c>
      <x:c r="V1509" s="22" t="n">
        <x:f>IF(U1509="Won",L1509*(1-M1509),0)</x:f>
        <x:v>0</x:v>
      </x:c>
      <x:c r="W1509" s="22" t="n">
        <x:f>IF(U1509="Open",L1509*N1509,0)</x:f>
        <x:v>0</x:v>
      </x:c>
      <x:c r="X1509" s="26" t="n">
        <x:f>IF(U1509="Open","",IFERROR(K1509-B1509,""))</x:f>
        <x:v>41</x:v>
      </x:c>
      <x:c r="Y1509" s="26" t="n">
        <x:f>IF(U1509="Open",Lookups!$B$2-B1509,X1509)</x:f>
        <x:v>41</x:v>
      </x:c>
      <x:c r="Z1509" t="str">
        <x:f>IF(AND(U1509="Open",Y1509&gt;30),"STALE","OK")</x:f>
        <x:v>OK</x:v>
      </x:c>
      <x:c r="AA1509" t="str">
        <x:f>TEXT(B1509,"yyyy-mm")</x:f>
        <x:v>2025-08</x:v>
      </x:c>
      <x:c r="AB1509" t="str">
        <x:f>IF(K1509="","",TEXT(K1509,"yyyy-mm"))</x:f>
        <x:v>2025-10</x:v>
      </x:c>
      <x:c r="AC1509" t="str">
        <x:f>"Q"&amp;ROUNDUP(MONTH(B1509)/3,0)&amp;"-"&amp;YEAR(B1509)</x:f>
        <x:v>Q3-2025</x:v>
      </x:c>
      <x:c r="AD1509" s="26" t="n">
        <x:f>MIN(100,IF(H1509="Enterprise",30,IF(H1509="Mid-Market",22,14))+IF(T1509="Enterprise",25,IF(T1509="Mid-Market",18,10))+IF(Q1509="Referral",25,IF(Q1509="Organic Search",20,IF(Q1509="Email",18,14)))+IF(G1509="Technology",10,5))</x:f>
        <x:v>85</x:v>
      </x:c>
      <x:c r="AE1509" t="str">
        <x:f>IF(U1509&lt;&gt;"Open",U1509,IF(N1509&gt;=0.8,"Commit",IF(N1509&gt;=0.5,"Best Case","Pipeline")))</x:f>
        <x:v>Lost</x:v>
      </x:c>
    </x:row>
    <x:row r="1510">
      <x:c r="A1510" t="str">
        <x:v>L01509</x:v>
      </x:c>
      <x:c r="B1510" s="10" t="n">
        <x:v>45934</x:v>
      </x:c>
      <x:c r="C1510" t="str">
        <x:v>Tuan Bui</x:v>
      </x:c>
      <x:c r="D1510" t="str">
        <x:v>Central</x:v>
      </x:c>
      <x:c r="E1510" t="str">
        <x:v>LinkedIn Ads</x:v>
      </x:c>
      <x:c r="F1510" t="str">
        <x:v>CRM-PRO</x:v>
      </x:c>
      <x:c r="G1510" t="str">
        <x:v>Education</x:v>
      </x:c>
      <x:c r="H1510" t="str">
        <x:v>SMB</x:v>
      </x:c>
      <x:c r="I1510" t="str">
        <x:v>Negotiation</x:v>
      </x:c>
      <x:c r="J1510" s="10" t="n">
        <x:v>46093</x:v>
      </x:c>
      <x:c r="K1510" s="10"/>
      <x:c r="L1510" s="22" t="n">
        <x:v>18200</x:v>
      </x:c>
      <x:c r="M1510" s="24" t="n">
        <x:v>0</x:v>
      </x:c>
      <x:c r="N1510" s="24" t="n">
        <x:v>0.85</x:v>
      </x:c>
      <x:c r="O1510" t="str"/>
      <x:c r="P1510" t="n">
        <x:v>5</x:v>
      </x:c>
      <x:c r="Q1510" t="str">
        <x:f>IFERROR(XLOOKUP(E1510,Lookups!$A$5:$A$24,Lookups!$B$5:$B$24),"Other")</x:f>
        <x:v>LinkedIn</x:v>
      </x:c>
      <x:c r="R1510" t="str">
        <x:f>IFERROR(XLOOKUP(F1510,Lookups!$D$5:$D$10,Lookups!$E$5:$E$10),"Unknown Product")</x:f>
        <x:v>NexaCRM Pro</x:v>
      </x:c>
      <x:c r="S1510" t="str">
        <x:f>IFERROR(XLOOKUP(F1510,Lookups!$D$5:$D$10,Lookups!$F$5:$F$10),"Unknown")</x:f>
        <x:v>CRM</x:v>
      </x:c>
      <x:c r="T1510" t="str">
        <x:f>IF(L1510&gt;=50000,"Enterprise",IF(L1510&gt;=20000,"Mid-Market","SMB"))</x:f>
        <x:v>SMB</x:v>
      </x:c>
      <x:c r="U1510" t="str">
        <x:f>IF(I1510="Closed Won","Won",IF(I1510="Closed Lost","Lost","Open"))</x:f>
        <x:v>Open</x:v>
      </x:c>
      <x:c r="V1510" s="22" t="n">
        <x:f>IF(U1510="Won",L1510*(1-M1510),0)</x:f>
        <x:v>0</x:v>
      </x:c>
      <x:c r="W1510" s="22" t="n">
        <x:f>IF(U1510="Open",L1510*N1510,0)</x:f>
        <x:v>15470</x:v>
      </x:c>
      <x:c r="X1510" s="26" t="str">
        <x:f>IF(U1510="Open","",IFERROR(K1510-B1510,""))</x:f>
      </x:c>
      <x:c r="Y1510" s="26" t="n">
        <x:f>IF(U1510="Open",Lookups!$B$2-B1510,X1510)</x:f>
        <x:v>332</x:v>
      </x:c>
      <x:c r="Z1510" t="str">
        <x:f>IF(AND(U1510="Open",Y1510&gt;30),"STALE","OK")</x:f>
        <x:v>STALE</x:v>
      </x:c>
      <x:c r="AA1510" t="str">
        <x:f>TEXT(B1510,"yyyy-mm")</x:f>
        <x:v>2025-10</x:v>
      </x:c>
      <x:c r="AB1510" t="str">
        <x:f>IF(K1510="","",TEXT(K1510,"yyyy-mm"))</x:f>
      </x:c>
      <x:c r="AC1510" t="str">
        <x:f>"Q"&amp;ROUNDUP(MONTH(B1510)/3,0)&amp;"-"&amp;YEAR(B1510)</x:f>
        <x:v>Q4-2025</x:v>
      </x:c>
      <x:c r="AD1510" s="26" t="n">
        <x:f>MIN(100,IF(H1510="Enterprise",30,IF(H1510="Mid-Market",22,14))+IF(T1510="Enterprise",25,IF(T1510="Mid-Market",18,10))+IF(Q1510="Referral",25,IF(Q1510="Organic Search",20,IF(Q1510="Email",18,14)))+IF(G1510="Technology",10,5))</x:f>
        <x:v>43</x:v>
      </x:c>
      <x:c r="AE1510" t="str">
        <x:f>IF(U1510&lt;&gt;"Open",U1510,IF(N1510&gt;=0.8,"Commit",IF(N1510&gt;=0.5,"Best Case","Pipeline")))</x:f>
        <x:v>Commit</x:v>
      </x:c>
    </x:row>
    <x:row r="1511">
      <x:c r="A1511" t="str">
        <x:v>L01510</x:v>
      </x:c>
      <x:c r="B1511" s="10" t="n">
        <x:v>45789</x:v>
      </x:c>
      <x:c r="C1511" t="str">
        <x:v>Ha Vo</x:v>
      </x:c>
      <x:c r="D1511" t="str">
        <x:v>North</x:v>
      </x:c>
      <x:c r="E1511" t="str">
        <x:v>email nurture</x:v>
      </x:c>
      <x:c r="F1511" t="str">
        <x:v>MKT-AUTO</x:v>
      </x:c>
      <x:c r="G1511" t="str">
        <x:v>Retail</x:v>
      </x:c>
      <x:c r="H1511" t="str">
        <x:v>Enterprise</x:v>
      </x:c>
      <x:c r="I1511" t="str">
        <x:v>Negotiation</x:v>
      </x:c>
      <x:c r="J1511" s="10" t="n">
        <x:v>46072</x:v>
      </x:c>
      <x:c r="K1511" s="10"/>
      <x:c r="L1511" s="22" t="n">
        <x:v>31800</x:v>
      </x:c>
      <x:c r="M1511" s="24" t="n">
        <x:v>0</x:v>
      </x:c>
      <x:c r="N1511" s="24" t="n">
        <x:v>0.85</x:v>
      </x:c>
      <x:c r="O1511" t="str"/>
      <x:c r="P1511" t="n">
        <x:v>5</x:v>
      </x:c>
      <x:c r="Q1511" t="str">
        <x:f>IFERROR(XLOOKUP(E1511,Lookups!$A$5:$A$24,Lookups!$B$5:$B$24),"Other")</x:f>
        <x:v>Email</x:v>
      </x:c>
      <x:c r="R1511" t="str">
        <x:f>IFERROR(XLOOKUP(F1511,Lookups!$D$5:$D$10,Lookups!$E$5:$E$10),"Unknown Product")</x:f>
        <x:v>Marketing Automation</x:v>
      </x:c>
      <x:c r="S1511" t="str">
        <x:f>IFERROR(XLOOKUP(F1511,Lookups!$D$5:$D$10,Lookups!$F$5:$F$10),"Unknown")</x:f>
        <x:v>Marketing</x:v>
      </x:c>
      <x:c r="T1511" t="str">
        <x:f>IF(L1511&gt;=50000,"Enterprise",IF(L1511&gt;=20000,"Mid-Market","SMB"))</x:f>
        <x:v>Mid-Market</x:v>
      </x:c>
      <x:c r="U1511" t="str">
        <x:f>IF(I1511="Closed Won","Won",IF(I1511="Closed Lost","Lost","Open"))</x:f>
        <x:v>Open</x:v>
      </x:c>
      <x:c r="V1511" s="22" t="n">
        <x:f>IF(U1511="Won",L1511*(1-M1511),0)</x:f>
        <x:v>0</x:v>
      </x:c>
      <x:c r="W1511" s="22" t="n">
        <x:f>IF(U1511="Open",L1511*N1511,0)</x:f>
        <x:v>27030</x:v>
      </x:c>
      <x:c r="X1511" s="26" t="str">
        <x:f>IF(U1511="Open","",IFERROR(K1511-B1511,""))</x:f>
      </x:c>
      <x:c r="Y1511" s="26" t="n">
        <x:f>IF(U1511="Open",Lookups!$B$2-B1511,X1511)</x:f>
        <x:v>477</x:v>
      </x:c>
      <x:c r="Z1511" t="str">
        <x:f>IF(AND(U1511="Open",Y1511&gt;30),"STALE","OK")</x:f>
        <x:v>STALE</x:v>
      </x:c>
      <x:c r="AA1511" t="str">
        <x:f>TEXT(B1511,"yyyy-mm")</x:f>
        <x:v>2025-05</x:v>
      </x:c>
      <x:c r="AB1511" t="str">
        <x:f>IF(K1511="","",TEXT(K1511,"yyyy-mm"))</x:f>
      </x:c>
      <x:c r="AC1511" t="str">
        <x:f>"Q"&amp;ROUNDUP(MONTH(B1511)/3,0)&amp;"-"&amp;YEAR(B1511)</x:f>
        <x:v>Q2-2025</x:v>
      </x:c>
      <x:c r="AD1511" s="26" t="n">
        <x:f>MIN(100,IF(H1511="Enterprise",30,IF(H1511="Mid-Market",22,14))+IF(T1511="Enterprise",25,IF(T1511="Mid-Market",18,10))+IF(Q1511="Referral",25,IF(Q1511="Organic Search",20,IF(Q1511="Email",18,14)))+IF(G1511="Technology",10,5))</x:f>
        <x:v>71</x:v>
      </x:c>
      <x:c r="AE1511" t="str">
        <x:f>IF(U1511&lt;&gt;"Open",U1511,IF(N1511&gt;=0.8,"Commit",IF(N1511&gt;=0.5,"Best Case","Pipeline")))</x:f>
        <x:v>Commit</x:v>
      </x:c>
    </x:row>
    <x:row r="1512">
      <x:c r="A1512" t="str">
        <x:v>L01511</x:v>
      </x:c>
      <x:c r="B1512" s="10" t="n">
        <x:v>45732</x:v>
      </x:c>
      <x:c r="C1512" t="str">
        <x:v>An Nguyen</x:v>
      </x:c>
      <x:c r="D1512" t="str">
        <x:v>South</x:v>
      </x:c>
      <x:c r="E1512" t="str">
        <x:v>organic search</x:v>
      </x:c>
      <x:c r="F1512" t="str">
        <x:v>BI-PLUS</x:v>
      </x:c>
      <x:c r="G1512" t="str">
        <x:v>Financial Services</x:v>
      </x:c>
      <x:c r="H1512" t="str">
        <x:v>Mid-Market</x:v>
      </x:c>
      <x:c r="I1512" t="str">
        <x:v>Closed Won</x:v>
      </x:c>
      <x:c r="J1512" s="10" t="n">
        <x:v>45777</x:v>
      </x:c>
      <x:c r="K1512" s="10" t="n">
        <x:v>45777</x:v>
      </x:c>
      <x:c r="L1512" s="22" t="n">
        <x:v>53800</x:v>
      </x:c>
      <x:c r="M1512" s="24" t="n">
        <x:v>0.12</x:v>
      </x:c>
      <x:c r="N1512" s="24" t="n">
        <x:v>1</x:v>
      </x:c>
      <x:c r="O1512" t="str"/>
      <x:c r="P1512" t="n">
        <x:v>6</x:v>
      </x:c>
      <x:c r="Q1512" t="str">
        <x:f>IFERROR(XLOOKUP(E1512,Lookups!$A$5:$A$24,Lookups!$B$5:$B$24),"Other")</x:f>
        <x:v>Organic Search</x:v>
      </x:c>
      <x:c r="R1512" t="str">
        <x:f>IFERROR(XLOOKUP(F1512,Lookups!$D$5:$D$10,Lookups!$E$5:$E$10),"Unknown Product")</x:f>
        <x:v>Analytics Plus</x:v>
      </x:c>
      <x:c r="S1512" t="str">
        <x:f>IFERROR(XLOOKUP(F1512,Lookups!$D$5:$D$10,Lookups!$F$5:$F$10),"Unknown")</x:f>
        <x:v>Analytics</x:v>
      </x:c>
      <x:c r="T1512" t="str">
        <x:f>IF(L1512&gt;=50000,"Enterprise",IF(L1512&gt;=20000,"Mid-Market","SMB"))</x:f>
        <x:v>Enterprise</x:v>
      </x:c>
      <x:c r="U1512" t="str">
        <x:f>IF(I1512="Closed Won","Won",IF(I1512="Closed Lost","Lost","Open"))</x:f>
        <x:v>Won</x:v>
      </x:c>
      <x:c r="V1512" s="22" t="n">
        <x:f>IF(U1512="Won",L1512*(1-M1512),0)</x:f>
        <x:v>47344</x:v>
      </x:c>
      <x:c r="W1512" s="22" t="n">
        <x:f>IF(U1512="Open",L1512*N1512,0)</x:f>
        <x:v>0</x:v>
      </x:c>
      <x:c r="X1512" s="26" t="n">
        <x:f>IF(U1512="Open","",IFERROR(K1512-B1512,""))</x:f>
        <x:v>45</x:v>
      </x:c>
      <x:c r="Y1512" s="26" t="n">
        <x:f>IF(U1512="Open",Lookups!$B$2-B1512,X1512)</x:f>
        <x:v>45</x:v>
      </x:c>
      <x:c r="Z1512" t="str">
        <x:f>IF(AND(U1512="Open",Y1512&gt;30),"STALE","OK")</x:f>
        <x:v>OK</x:v>
      </x:c>
      <x:c r="AA1512" t="str">
        <x:f>TEXT(B1512,"yyyy-mm")</x:f>
        <x:v>2025-03</x:v>
      </x:c>
      <x:c r="AB1512" t="str">
        <x:f>IF(K1512="","",TEXT(K1512,"yyyy-mm"))</x:f>
        <x:v>2025-04</x:v>
      </x:c>
      <x:c r="AC1512" t="str">
        <x:f>"Q"&amp;ROUNDUP(MONTH(B1512)/3,0)&amp;"-"&amp;YEAR(B1512)</x:f>
        <x:v>Q1-2025</x:v>
      </x:c>
      <x:c r="AD1512" s="26" t="n">
        <x:f>MIN(100,IF(H1512="Enterprise",30,IF(H1512="Mid-Market",22,14))+IF(T1512="Enterprise",25,IF(T1512="Mid-Market",18,10))+IF(Q1512="Referral",25,IF(Q1512="Organic Search",20,IF(Q1512="Email",18,14)))+IF(G1512="Technology",10,5))</x:f>
        <x:v>72</x:v>
      </x:c>
      <x:c r="AE1512" t="str">
        <x:f>IF(U1512&lt;&gt;"Open",U1512,IF(N1512&gt;=0.8,"Commit",IF(N1512&gt;=0.5,"Best Case","Pipeline")))</x:f>
        <x:v>Won</x:v>
      </x:c>
    </x:row>
    <x:row r="1513">
      <x:c r="A1513" t="str">
        <x:v>L01512</x:v>
      </x:c>
      <x:c r="B1513" s="10" t="n">
        <x:v>45924</x:v>
      </x:c>
      <x:c r="C1513" t="str">
        <x:v>Duy Pham</x:v>
      </x:c>
      <x:c r="D1513" t="str">
        <x:v>South</x:v>
      </x:c>
      <x:c r="E1513" t="str">
        <x:v>Partner Referral</x:v>
      </x:c>
      <x:c r="F1513" t="str">
        <x:v>REV-OPS</x:v>
      </x:c>
      <x:c r="G1513" t="str">
        <x:v>Technology</x:v>
      </x:c>
      <x:c r="H1513" t="str">
        <x:v>Enterprise</x:v>
      </x:c>
      <x:c r="I1513" t="str">
        <x:v>Negotiation</x:v>
      </x:c>
      <x:c r="J1513" s="10" t="n">
        <x:v>46156</x:v>
      </x:c>
      <x:c r="K1513" s="10"/>
      <x:c r="L1513" s="22" t="n">
        <x:v>133800</x:v>
      </x:c>
      <x:c r="M1513" s="24" t="n">
        <x:v>0.03</x:v>
      </x:c>
      <x:c r="N1513" s="24" t="n">
        <x:v>0.85</x:v>
      </x:c>
      <x:c r="O1513" t="str"/>
      <x:c r="P1513" t="n">
        <x:v>5</x:v>
      </x:c>
      <x:c r="Q1513" t="str">
        <x:f>IFERROR(XLOOKUP(E1513,Lookups!$A$5:$A$24,Lookups!$B$5:$B$24),"Other")</x:f>
        <x:v>Referral</x:v>
      </x:c>
      <x:c r="R1513" t="str">
        <x:f>IFERROR(XLOOKUP(F1513,Lookups!$D$5:$D$10,Lookups!$E$5:$E$10),"Unknown Product")</x:f>
        <x:v>Revenue Operations Suite</x:v>
      </x:c>
      <x:c r="S1513" t="str">
        <x:f>IFERROR(XLOOKUP(F1513,Lookups!$D$5:$D$10,Lookups!$F$5:$F$10),"Unknown")</x:f>
        <x:v>Revenue Ops</x:v>
      </x:c>
      <x:c r="T1513" t="str">
        <x:f>IF(L1513&gt;=50000,"Enterprise",IF(L1513&gt;=20000,"Mid-Market","SMB"))</x:f>
        <x:v>Enterprise</x:v>
      </x:c>
      <x:c r="U1513" t="str">
        <x:f>IF(I1513="Closed Won","Won",IF(I1513="Closed Lost","Lost","Open"))</x:f>
        <x:v>Open</x:v>
      </x:c>
      <x:c r="V1513" s="22" t="n">
        <x:f>IF(U1513="Won",L1513*(1-M1513),0)</x:f>
        <x:v>0</x:v>
      </x:c>
      <x:c r="W1513" s="22" t="n">
        <x:f>IF(U1513="Open",L1513*N1513,0)</x:f>
        <x:v>113730</x:v>
      </x:c>
      <x:c r="X1513" s="26" t="str">
        <x:f>IF(U1513="Open","",IFERROR(K1513-B1513,""))</x:f>
      </x:c>
      <x:c r="Y1513" s="26" t="n">
        <x:f>IF(U1513="Open",Lookups!$B$2-B1513,X1513)</x:f>
        <x:v>342</x:v>
      </x:c>
      <x:c r="Z1513" t="str">
        <x:f>IF(AND(U1513="Open",Y1513&gt;30),"STALE","OK")</x:f>
        <x:v>STALE</x:v>
      </x:c>
      <x:c r="AA1513" t="str">
        <x:f>TEXT(B1513,"yyyy-mm")</x:f>
        <x:v>2025-09</x:v>
      </x:c>
      <x:c r="AB1513" t="str">
        <x:f>IF(K1513="","",TEXT(K1513,"yyyy-mm"))</x:f>
      </x:c>
      <x:c r="AC1513" t="str">
        <x:f>"Q"&amp;ROUNDUP(MONTH(B1513)/3,0)&amp;"-"&amp;YEAR(B1513)</x:f>
        <x:v>Q3-2025</x:v>
      </x:c>
      <x:c r="AD1513" s="26" t="n">
        <x:f>MIN(100,IF(H1513="Enterprise",30,IF(H1513="Mid-Market",22,14))+IF(T1513="Enterprise",25,IF(T1513="Mid-Market",18,10))+IF(Q1513="Referral",25,IF(Q1513="Organic Search",20,IF(Q1513="Email",18,14)))+IF(G1513="Technology",10,5))</x:f>
        <x:v>90</x:v>
      </x:c>
      <x:c r="AE1513" t="str">
        <x:f>IF(U1513&lt;&gt;"Open",U1513,IF(N1513&gt;=0.8,"Commit",IF(N1513&gt;=0.5,"Best Case","Pipeline")))</x:f>
        <x:v>Commit</x:v>
      </x:c>
    </x:row>
    <x:row r="1514">
      <x:c r="A1514" t="str">
        <x:v>L01513</x:v>
      </x:c>
      <x:c r="B1514" s="10" t="n">
        <x:v>45867</x:v>
      </x:c>
      <x:c r="C1514" t="str">
        <x:v>Tuan Bui</x:v>
      </x:c>
      <x:c r="D1514" t="str">
        <x:v>Central</x:v>
      </x:c>
      <x:c r="E1514" t="str">
        <x:v>Outbound</x:v>
      </x:c>
      <x:c r="F1514" t="str">
        <x:v>MKT-AUTO</x:v>
      </x:c>
      <x:c r="G1514" t="str">
        <x:v>Professional Services</x:v>
      </x:c>
      <x:c r="H1514" t="str">
        <x:v>SMB</x:v>
      </x:c>
      <x:c r="I1514" t="str">
        <x:v>Closed Lost</x:v>
      </x:c>
      <x:c r="J1514" s="10" t="n">
        <x:v>45936</x:v>
      </x:c>
      <x:c r="K1514" s="10" t="n">
        <x:v>45936</x:v>
      </x:c>
      <x:c r="L1514" s="22" t="n">
        <x:v>10900</x:v>
      </x:c>
      <x:c r="M1514" s="24" t="n">
        <x:v>0</x:v>
      </x:c>
      <x:c r="N1514" s="24" t="n">
        <x:v>0</x:v>
      </x:c>
      <x:c r="O1514" t="str">
        <x:v>No Decision</x:v>
      </x:c>
      <x:c r="P1514" t="n">
        <x:v>5</x:v>
      </x:c>
      <x:c r="Q1514" t="str">
        <x:f>IFERROR(XLOOKUP(E1514,Lookups!$A$5:$A$24,Lookups!$B$5:$B$24),"Other")</x:f>
        <x:v>Outbound</x:v>
      </x:c>
      <x:c r="R1514" t="str">
        <x:f>IFERROR(XLOOKUP(F1514,Lookups!$D$5:$D$10,Lookups!$E$5:$E$10),"Unknown Product")</x:f>
        <x:v>Marketing Automation</x:v>
      </x:c>
      <x:c r="S1514" t="str">
        <x:f>IFERROR(XLOOKUP(F1514,Lookups!$D$5:$D$10,Lookups!$F$5:$F$10),"Unknown")</x:f>
        <x:v>Marketing</x:v>
      </x:c>
      <x:c r="T1514" t="str">
        <x:f>IF(L1514&gt;=50000,"Enterprise",IF(L1514&gt;=20000,"Mid-Market","SMB"))</x:f>
        <x:v>SMB</x:v>
      </x:c>
      <x:c r="U1514" t="str">
        <x:f>IF(I1514="Closed Won","Won",IF(I1514="Closed Lost","Lost","Open"))</x:f>
        <x:v>Lost</x:v>
      </x:c>
      <x:c r="V1514" s="22" t="n">
        <x:f>IF(U1514="Won",L1514*(1-M1514),0)</x:f>
        <x:v>0</x:v>
      </x:c>
      <x:c r="W1514" s="22" t="n">
        <x:f>IF(U1514="Open",L1514*N1514,0)</x:f>
        <x:v>0</x:v>
      </x:c>
      <x:c r="X1514" s="26" t="n">
        <x:f>IF(U1514="Open","",IFERROR(K1514-B1514,""))</x:f>
        <x:v>69</x:v>
      </x:c>
      <x:c r="Y1514" s="26" t="n">
        <x:f>IF(U1514="Open",Lookups!$B$2-B1514,X1514)</x:f>
        <x:v>69</x:v>
      </x:c>
      <x:c r="Z1514" t="str">
        <x:f>IF(AND(U1514="Open",Y1514&gt;30),"STALE","OK")</x:f>
        <x:v>OK</x:v>
      </x:c>
      <x:c r="AA1514" t="str">
        <x:f>TEXT(B1514,"yyyy-mm")</x:f>
        <x:v>2025-07</x:v>
      </x:c>
      <x:c r="AB1514" t="str">
        <x:f>IF(K1514="","",TEXT(K1514,"yyyy-mm"))</x:f>
        <x:v>2025-10</x:v>
      </x:c>
      <x:c r="AC1514" t="str">
        <x:f>"Q"&amp;ROUNDUP(MONTH(B1514)/3,0)&amp;"-"&amp;YEAR(B1514)</x:f>
        <x:v>Q3-2025</x:v>
      </x:c>
      <x:c r="AD1514" s="26" t="n">
        <x:f>MIN(100,IF(H1514="Enterprise",30,IF(H1514="Mid-Market",22,14))+IF(T1514="Enterprise",25,IF(T1514="Mid-Market",18,10))+IF(Q1514="Referral",25,IF(Q1514="Organic Search",20,IF(Q1514="Email",18,14)))+IF(G1514="Technology",10,5))</x:f>
        <x:v>43</x:v>
      </x:c>
      <x:c r="AE1514" t="str">
        <x:f>IF(U1514&lt;&gt;"Open",U1514,IF(N1514&gt;=0.8,"Commit",IF(N1514&gt;=0.5,"Best Case","Pipeline")))</x:f>
        <x:v>Lost</x:v>
      </x:c>
    </x:row>
    <x:row r="1515">
      <x:c r="A1515" t="str">
        <x:v>L01514</x:v>
      </x:c>
      <x:c r="B1515" s="10" t="n">
        <x:v>45747</x:v>
      </x:c>
      <x:c r="C1515" t="str">
        <x:v>Chi Le</x:v>
      </x:c>
      <x:c r="D1515" t="str">
        <x:v>South</x:v>
      </x:c>
      <x:c r="E1515" t="str">
        <x:v>google cpc</x:v>
      </x:c>
      <x:c r="F1515" t="str">
        <x:v>MKT-AUTO</x:v>
      </x:c>
      <x:c r="G1515" t="str">
        <x:v>Financial Services</x:v>
      </x:c>
      <x:c r="H1515" t="str">
        <x:v>Mid-Market</x:v>
      </x:c>
      <x:c r="I1515" t="str">
        <x:v>Closed Lost</x:v>
      </x:c>
      <x:c r="J1515" s="10" t="n">
        <x:v>45790</x:v>
      </x:c>
      <x:c r="K1515" s="10" t="n">
        <x:v>45790</x:v>
      </x:c>
      <x:c r="L1515" s="22" t="n">
        <x:v>23200</x:v>
      </x:c>
      <x:c r="M1515" s="24" t="n">
        <x:v>0</x:v>
      </x:c>
      <x:c r="N1515" s="24" t="n">
        <x:v>0</x:v>
      </x:c>
      <x:c r="O1515" t="str">
        <x:v>Budget</x:v>
      </x:c>
      <x:c r="P1515" t="n">
        <x:v>5</x:v>
      </x:c>
      <x:c r="Q1515" t="str">
        <x:f>IFERROR(XLOOKUP(E1515,Lookups!$A$5:$A$24,Lookups!$B$5:$B$24),"Other")</x:f>
        <x:v>Paid Search</x:v>
      </x:c>
      <x:c r="R1515" t="str">
        <x:f>IFERROR(XLOOKUP(F1515,Lookups!$D$5:$D$10,Lookups!$E$5:$E$10),"Unknown Product")</x:f>
        <x:v>Marketing Automation</x:v>
      </x:c>
      <x:c r="S1515" t="str">
        <x:f>IFERROR(XLOOKUP(F1515,Lookups!$D$5:$D$10,Lookups!$F$5:$F$10),"Unknown")</x:f>
        <x:v>Marketing</x:v>
      </x:c>
      <x:c r="T1515" t="str">
        <x:f>IF(L1515&gt;=50000,"Enterprise",IF(L1515&gt;=20000,"Mid-Market","SMB"))</x:f>
        <x:v>Mid-Market</x:v>
      </x:c>
      <x:c r="U1515" t="str">
        <x:f>IF(I1515="Closed Won","Won",IF(I1515="Closed Lost","Lost","Open"))</x:f>
        <x:v>Lost</x:v>
      </x:c>
      <x:c r="V1515" s="22" t="n">
        <x:f>IF(U1515="Won",L1515*(1-M1515),0)</x:f>
        <x:v>0</x:v>
      </x:c>
      <x:c r="W1515" s="22" t="n">
        <x:f>IF(U1515="Open",L1515*N1515,0)</x:f>
        <x:v>0</x:v>
      </x:c>
      <x:c r="X1515" s="26" t="n">
        <x:f>IF(U1515="Open","",IFERROR(K1515-B1515,""))</x:f>
        <x:v>43</x:v>
      </x:c>
      <x:c r="Y1515" s="26" t="n">
        <x:f>IF(U1515="Open",Lookups!$B$2-B1515,X1515)</x:f>
        <x:v>43</x:v>
      </x:c>
      <x:c r="Z1515" t="str">
        <x:f>IF(AND(U1515="Open",Y1515&gt;30),"STALE","OK")</x:f>
        <x:v>OK</x:v>
      </x:c>
      <x:c r="AA1515" t="str">
        <x:f>TEXT(B1515,"yyyy-mm")</x:f>
        <x:v>2025-03</x:v>
      </x:c>
      <x:c r="AB1515" t="str">
        <x:f>IF(K1515="","",TEXT(K1515,"yyyy-mm"))</x:f>
        <x:v>2025-05</x:v>
      </x:c>
      <x:c r="AC1515" t="str">
        <x:f>"Q"&amp;ROUNDUP(MONTH(B1515)/3,0)&amp;"-"&amp;YEAR(B1515)</x:f>
        <x:v>Q1-2025</x:v>
      </x:c>
      <x:c r="AD1515" s="26" t="n">
        <x:f>MIN(100,IF(H1515="Enterprise",30,IF(H1515="Mid-Market",22,14))+IF(T1515="Enterprise",25,IF(T1515="Mid-Market",18,10))+IF(Q1515="Referral",25,IF(Q1515="Organic Search",20,IF(Q1515="Email",18,14)))+IF(G1515="Technology",10,5))</x:f>
        <x:v>59</x:v>
      </x:c>
      <x:c r="AE1515" t="str">
        <x:f>IF(U1515&lt;&gt;"Open",U1515,IF(N1515&gt;=0.8,"Commit",IF(N1515&gt;=0.5,"Best Case","Pipeline")))</x:f>
        <x:v>Lost</x:v>
      </x:c>
    </x:row>
    <x:row r="1516">
      <x:c r="A1516" t="str">
        <x:v>L01515</x:v>
      </x:c>
      <x:c r="B1516" s="10" t="n">
        <x:v>45795</x:v>
      </x:c>
      <x:c r="C1516" t="str">
        <x:v>Bao Tran</x:v>
      </x:c>
      <x:c r="D1516" t="str">
        <x:v>South</x:v>
      </x:c>
      <x:c r="E1516" t="str">
        <x:v>linkedin</x:v>
      </x:c>
      <x:c r="F1516" t="str">
        <x:v>CS-CLOUD</x:v>
      </x:c>
      <x:c r="G1516" t="str">
        <x:v>Retail</x:v>
      </x:c>
      <x:c r="H1516" t="str">
        <x:v>Mid-Market</x:v>
      </x:c>
      <x:c r="I1516" t="str">
        <x:v>Closed Won</x:v>
      </x:c>
      <x:c r="J1516" s="10" t="n">
        <x:v>45881</x:v>
      </x:c>
      <x:c r="K1516" s="10" t="n">
        <x:v>45881</x:v>
      </x:c>
      <x:c r="L1516" s="22" t="n">
        <x:v>30500</x:v>
      </x:c>
      <x:c r="M1516" s="24" t="n">
        <x:v>0</x:v>
      </x:c>
      <x:c r="N1516" s="24" t="n">
        <x:v>1</x:v>
      </x:c>
      <x:c r="O1516" t="str"/>
      <x:c r="P1516" t="n">
        <x:v>6</x:v>
      </x:c>
      <x:c r="Q1516" t="str">
        <x:f>IFERROR(XLOOKUP(E1516,Lookups!$A$5:$A$24,Lookups!$B$5:$B$24),"Other")</x:f>
        <x:v>LinkedIn</x:v>
      </x:c>
      <x:c r="R1516" t="str">
        <x:f>IFERROR(XLOOKUP(F1516,Lookups!$D$5:$D$10,Lookups!$E$5:$E$10),"Unknown Product")</x:f>
        <x:v>Service Cloud</x:v>
      </x:c>
      <x:c r="S1516" t="str">
        <x:f>IFERROR(XLOOKUP(F1516,Lookups!$D$5:$D$10,Lookups!$F$5:$F$10),"Unknown")</x:f>
        <x:v>Customer Service</x:v>
      </x:c>
      <x:c r="T1516" t="str">
        <x:f>IF(L1516&gt;=50000,"Enterprise",IF(L1516&gt;=20000,"Mid-Market","SMB"))</x:f>
        <x:v>Mid-Market</x:v>
      </x:c>
      <x:c r="U1516" t="str">
        <x:f>IF(I1516="Closed Won","Won",IF(I1516="Closed Lost","Lost","Open"))</x:f>
        <x:v>Won</x:v>
      </x:c>
      <x:c r="V1516" s="22" t="n">
        <x:f>IF(U1516="Won",L1516*(1-M1516),0)</x:f>
        <x:v>30500</x:v>
      </x:c>
      <x:c r="W1516" s="22" t="n">
        <x:f>IF(U1516="Open",L1516*N1516,0)</x:f>
        <x:v>0</x:v>
      </x:c>
      <x:c r="X1516" s="26" t="n">
        <x:f>IF(U1516="Open","",IFERROR(K1516-B1516,""))</x:f>
        <x:v>86</x:v>
      </x:c>
      <x:c r="Y1516" s="26" t="n">
        <x:f>IF(U1516="Open",Lookups!$B$2-B1516,X1516)</x:f>
        <x:v>86</x:v>
      </x:c>
      <x:c r="Z1516" t="str">
        <x:f>IF(AND(U1516="Open",Y1516&gt;30),"STALE","OK")</x:f>
        <x:v>OK</x:v>
      </x:c>
      <x:c r="AA1516" t="str">
        <x:f>TEXT(B1516,"yyyy-mm")</x:f>
        <x:v>2025-05</x:v>
      </x:c>
      <x:c r="AB1516" t="str">
        <x:f>IF(K1516="","",TEXT(K1516,"yyyy-mm"))</x:f>
        <x:v>2025-08</x:v>
      </x:c>
      <x:c r="AC1516" t="str">
        <x:f>"Q"&amp;ROUNDUP(MONTH(B1516)/3,0)&amp;"-"&amp;YEAR(B1516)</x:f>
        <x:v>Q2-2025</x:v>
      </x:c>
      <x:c r="AD1516" s="26" t="n">
        <x:f>MIN(100,IF(H1516="Enterprise",30,IF(H1516="Mid-Market",22,14))+IF(T1516="Enterprise",25,IF(T1516="Mid-Market",18,10))+IF(Q1516="Referral",25,IF(Q1516="Organic Search",20,IF(Q1516="Email",18,14)))+IF(G1516="Technology",10,5))</x:f>
        <x:v>59</x:v>
      </x:c>
      <x:c r="AE1516" t="str">
        <x:f>IF(U1516&lt;&gt;"Open",U1516,IF(N1516&gt;=0.8,"Commit",IF(N1516&gt;=0.5,"Best Case","Pipeline")))</x:f>
        <x:v>Won</x:v>
      </x:c>
    </x:row>
    <x:row r="1517">
      <x:c r="A1517" t="str">
        <x:v>L01516</x:v>
      </x:c>
      <x:c r="B1517" s="10" t="n">
        <x:v>45777</x:v>
      </x:c>
      <x:c r="C1517" t="str">
        <x:v>Minh Do</x:v>
      </x:c>
      <x:c r="D1517" t="str">
        <x:v>North</x:v>
      </x:c>
      <x:c r="E1517" t="str">
        <x:v>LinkedIn Ads</x:v>
      </x:c>
      <x:c r="F1517" t="str">
        <x:v>BI-PLUS</x:v>
      </x:c>
      <x:c r="G1517" t="str">
        <x:v>Healthcare</x:v>
      </x:c>
      <x:c r="H1517" t="str">
        <x:v>SMB</x:v>
      </x:c>
      <x:c r="I1517" t="str">
        <x:v>Closed Won</x:v>
      </x:c>
      <x:c r="J1517" s="10" t="n">
        <x:v>45829</x:v>
      </x:c>
      <x:c r="K1517" s="10" t="n">
        <x:v>45829</x:v>
      </x:c>
      <x:c r="L1517" s="22" t="n">
        <x:v>27900</x:v>
      </x:c>
      <x:c r="M1517" s="24" t="n">
        <x:v>0.1</x:v>
      </x:c>
      <x:c r="N1517" s="24" t="n">
        <x:v>1</x:v>
      </x:c>
      <x:c r="O1517" t="str"/>
      <x:c r="P1517" t="n">
        <x:v>6</x:v>
      </x:c>
      <x:c r="Q1517" t="str">
        <x:f>IFERROR(XLOOKUP(E1517,Lookups!$A$5:$A$24,Lookups!$B$5:$B$24),"Other")</x:f>
        <x:v>LinkedIn</x:v>
      </x:c>
      <x:c r="R1517" t="str">
        <x:f>IFERROR(XLOOKUP(F1517,Lookups!$D$5:$D$10,Lookups!$E$5:$E$10),"Unknown Product")</x:f>
        <x:v>Analytics Plus</x:v>
      </x:c>
      <x:c r="S1517" t="str">
        <x:f>IFERROR(XLOOKUP(F1517,Lookups!$D$5:$D$10,Lookups!$F$5:$F$10),"Unknown")</x:f>
        <x:v>Analytics</x:v>
      </x:c>
      <x:c r="T1517" t="str">
        <x:f>IF(L1517&gt;=50000,"Enterprise",IF(L1517&gt;=20000,"Mid-Market","SMB"))</x:f>
        <x:v>Mid-Market</x:v>
      </x:c>
      <x:c r="U1517" t="str">
        <x:f>IF(I1517="Closed Won","Won",IF(I1517="Closed Lost","Lost","Open"))</x:f>
        <x:v>Won</x:v>
      </x:c>
      <x:c r="V1517" s="22" t="n">
        <x:f>IF(U1517="Won",L1517*(1-M1517),0)</x:f>
        <x:v>25110</x:v>
      </x:c>
      <x:c r="W1517" s="22" t="n">
        <x:f>IF(U1517="Open",L1517*N1517,0)</x:f>
        <x:v>0</x:v>
      </x:c>
      <x:c r="X1517" s="26" t="n">
        <x:f>IF(U1517="Open","",IFERROR(K1517-B1517,""))</x:f>
        <x:v>52</x:v>
      </x:c>
      <x:c r="Y1517" s="26" t="n">
        <x:f>IF(U1517="Open",Lookups!$B$2-B1517,X1517)</x:f>
        <x:v>52</x:v>
      </x:c>
      <x:c r="Z1517" t="str">
        <x:f>IF(AND(U1517="Open",Y1517&gt;30),"STALE","OK")</x:f>
        <x:v>OK</x:v>
      </x:c>
      <x:c r="AA1517" t="str">
        <x:f>TEXT(B1517,"yyyy-mm")</x:f>
        <x:v>2025-04</x:v>
      </x:c>
      <x:c r="AB1517" t="str">
        <x:f>IF(K1517="","",TEXT(K1517,"yyyy-mm"))</x:f>
        <x:v>2025-06</x:v>
      </x:c>
      <x:c r="AC1517" t="str">
        <x:f>"Q"&amp;ROUNDUP(MONTH(B1517)/3,0)&amp;"-"&amp;YEAR(B1517)</x:f>
        <x:v>Q2-2025</x:v>
      </x:c>
      <x:c r="AD1517" s="26" t="n">
        <x:f>MIN(100,IF(H1517="Enterprise",30,IF(H1517="Mid-Market",22,14))+IF(T1517="Enterprise",25,IF(T1517="Mid-Market",18,10))+IF(Q1517="Referral",25,IF(Q1517="Organic Search",20,IF(Q1517="Email",18,14)))+IF(G1517="Technology",10,5))</x:f>
        <x:v>51</x:v>
      </x:c>
      <x:c r="AE1517" t="str">
        <x:f>IF(U1517&lt;&gt;"Open",U1517,IF(N1517&gt;=0.8,"Commit",IF(N1517&gt;=0.5,"Best Case","Pipeline")))</x:f>
        <x:v>Won</x:v>
      </x:c>
    </x:row>
    <x:row r="1518">
      <x:c r="A1518" t="str">
        <x:v>L01517</x:v>
      </x:c>
      <x:c r="B1518" s="10" t="n">
        <x:v>46022</x:v>
      </x:c>
      <x:c r="C1518" t="str">
        <x:v>Tuan Bui</x:v>
      </x:c>
      <x:c r="D1518" t="str">
        <x:v>Central</x:v>
      </x:c>
      <x:c r="E1518" t="str">
        <x:v>google cpc</x:v>
      </x:c>
      <x:c r="F1518" t="str">
        <x:v>MKT-AUTO</x:v>
      </x:c>
      <x:c r="G1518" t="str">
        <x:v>Professional Services</x:v>
      </x:c>
      <x:c r="H1518" t="str">
        <x:v>Enterprise</x:v>
      </x:c>
      <x:c r="I1518" t="str">
        <x:v>Negotiation</x:v>
      </x:c>
      <x:c r="J1518" s="10" t="n">
        <x:v>46229</x:v>
      </x:c>
      <x:c r="K1518" s="10"/>
      <x:c r="L1518" s="22" t="n">
        <x:v>42500</x:v>
      </x:c>
      <x:c r="M1518" s="24" t="n">
        <x:v>0</x:v>
      </x:c>
      <x:c r="N1518" s="24" t="n">
        <x:v>0.85</x:v>
      </x:c>
      <x:c r="O1518" t="str"/>
      <x:c r="P1518" t="n">
        <x:v>5</x:v>
      </x:c>
      <x:c r="Q1518" t="str">
        <x:f>IFERROR(XLOOKUP(E1518,Lookups!$A$5:$A$24,Lookups!$B$5:$B$24),"Other")</x:f>
        <x:v>Paid Search</x:v>
      </x:c>
      <x:c r="R1518" t="str">
        <x:f>IFERROR(XLOOKUP(F1518,Lookups!$D$5:$D$10,Lookups!$E$5:$E$10),"Unknown Product")</x:f>
        <x:v>Marketing Automation</x:v>
      </x:c>
      <x:c r="S1518" t="str">
        <x:f>IFERROR(XLOOKUP(F1518,Lookups!$D$5:$D$10,Lookups!$F$5:$F$10),"Unknown")</x:f>
        <x:v>Marketing</x:v>
      </x:c>
      <x:c r="T1518" t="str">
        <x:f>IF(L1518&gt;=50000,"Enterprise",IF(L1518&gt;=20000,"Mid-Market","SMB"))</x:f>
        <x:v>Mid-Market</x:v>
      </x:c>
      <x:c r="U1518" t="str">
        <x:f>IF(I1518="Closed Won","Won",IF(I1518="Closed Lost","Lost","Open"))</x:f>
        <x:v>Open</x:v>
      </x:c>
      <x:c r="V1518" s="22" t="n">
        <x:f>IF(U1518="Won",L1518*(1-M1518),0)</x:f>
        <x:v>0</x:v>
      </x:c>
      <x:c r="W1518" s="22" t="n">
        <x:f>IF(U1518="Open",L1518*N1518,0)</x:f>
        <x:v>36125</x:v>
      </x:c>
      <x:c r="X1518" s="26" t="str">
        <x:f>IF(U1518="Open","",IFERROR(K1518-B1518,""))</x:f>
      </x:c>
      <x:c r="Y1518" s="26" t="n">
        <x:f>IF(U1518="Open",Lookups!$B$2-B1518,X1518)</x:f>
        <x:v>244</x:v>
      </x:c>
      <x:c r="Z1518" t="str">
        <x:f>IF(AND(U1518="Open",Y1518&gt;30),"STALE","OK")</x:f>
        <x:v>STALE</x:v>
      </x:c>
      <x:c r="AA1518" t="str">
        <x:f>TEXT(B1518,"yyyy-mm")</x:f>
        <x:v>2025-12</x:v>
      </x:c>
      <x:c r="AB1518" t="str">
        <x:f>IF(K1518="","",TEXT(K1518,"yyyy-mm"))</x:f>
      </x:c>
      <x:c r="AC1518" t="str">
        <x:f>"Q"&amp;ROUNDUP(MONTH(B1518)/3,0)&amp;"-"&amp;YEAR(B1518)</x:f>
        <x:v>Q4-2025</x:v>
      </x:c>
      <x:c r="AD1518" s="26" t="n">
        <x:f>MIN(100,IF(H1518="Enterprise",30,IF(H1518="Mid-Market",22,14))+IF(T1518="Enterprise",25,IF(T1518="Mid-Market",18,10))+IF(Q1518="Referral",25,IF(Q1518="Organic Search",20,IF(Q1518="Email",18,14)))+IF(G1518="Technology",10,5))</x:f>
        <x:v>67</x:v>
      </x:c>
      <x:c r="AE1518" t="str">
        <x:f>IF(U1518&lt;&gt;"Open",U1518,IF(N1518&gt;=0.8,"Commit",IF(N1518&gt;=0.5,"Best Case","Pipeline")))</x:f>
        <x:v>Commit</x:v>
      </x:c>
    </x:row>
    <x:row r="1519">
      <x:c r="A1519" t="str">
        <x:v>L01518</x:v>
      </x:c>
      <x:c r="B1519" s="10" t="n">
        <x:v>45749</x:v>
      </x:c>
      <x:c r="C1519" t="str">
        <x:v>Duy Pham</x:v>
      </x:c>
      <x:c r="D1519" t="str">
        <x:v>South</x:v>
      </x:c>
      <x:c r="E1519" t="str">
        <x:v>customer referral</x:v>
      </x:c>
      <x:c r="F1519" t="str">
        <x:v>CRM-CORE</x:v>
      </x:c>
      <x:c r="G1519" t="str">
        <x:v>Professional Services</x:v>
      </x:c>
      <x:c r="H1519" t="str">
        <x:v>Mid-Market</x:v>
      </x:c>
      <x:c r="I1519" t="str">
        <x:v>Closed Won</x:v>
      </x:c>
      <x:c r="J1519" s="10" t="n">
        <x:v>45835</x:v>
      </x:c>
      <x:c r="K1519" s="10" t="n">
        <x:v>45835</x:v>
      </x:c>
      <x:c r="L1519" s="22" t="n">
        <x:v>17600</x:v>
      </x:c>
      <x:c r="M1519" s="24" t="n">
        <x:v>0</x:v>
      </x:c>
      <x:c r="N1519" s="24" t="n">
        <x:v>1</x:v>
      </x:c>
      <x:c r="O1519" t="str"/>
      <x:c r="P1519" t="n">
        <x:v>6</x:v>
      </x:c>
      <x:c r="Q1519" t="str">
        <x:f>IFERROR(XLOOKUP(E1519,Lookups!$A$5:$A$24,Lookups!$B$5:$B$24),"Other")</x:f>
        <x:v>Referral</x:v>
      </x:c>
      <x:c r="R1519" t="str">
        <x:f>IFERROR(XLOOKUP(F1519,Lookups!$D$5:$D$10,Lookups!$E$5:$E$10),"Unknown Product")</x:f>
        <x:v>NexaCRM Core</x:v>
      </x:c>
      <x:c r="S1519" t="str">
        <x:f>IFERROR(XLOOKUP(F1519,Lookups!$D$5:$D$10,Lookups!$F$5:$F$10),"Unknown")</x:f>
        <x:v>CRM</x:v>
      </x:c>
      <x:c r="T1519" t="str">
        <x:f>IF(L1519&gt;=50000,"Enterprise",IF(L1519&gt;=20000,"Mid-Market","SMB"))</x:f>
        <x:v>SMB</x:v>
      </x:c>
      <x:c r="U1519" t="str">
        <x:f>IF(I1519="Closed Won","Won",IF(I1519="Closed Lost","Lost","Open"))</x:f>
        <x:v>Won</x:v>
      </x:c>
      <x:c r="V1519" s="22" t="n">
        <x:f>IF(U1519="Won",L1519*(1-M1519),0)</x:f>
        <x:v>17600</x:v>
      </x:c>
      <x:c r="W1519" s="22" t="n">
        <x:f>IF(U1519="Open",L1519*N1519,0)</x:f>
        <x:v>0</x:v>
      </x:c>
      <x:c r="X1519" s="26" t="n">
        <x:f>IF(U1519="Open","",IFERROR(K1519-B1519,""))</x:f>
        <x:v>86</x:v>
      </x:c>
      <x:c r="Y1519" s="26" t="n">
        <x:f>IF(U1519="Open",Lookups!$B$2-B1519,X1519)</x:f>
        <x:v>86</x:v>
      </x:c>
      <x:c r="Z1519" t="str">
        <x:f>IF(AND(U1519="Open",Y1519&gt;30),"STALE","OK")</x:f>
        <x:v>OK</x:v>
      </x:c>
      <x:c r="AA1519" t="str">
        <x:f>TEXT(B1519,"yyyy-mm")</x:f>
        <x:v>2025-04</x:v>
      </x:c>
      <x:c r="AB1519" t="str">
        <x:f>IF(K1519="","",TEXT(K1519,"yyyy-mm"))</x:f>
        <x:v>2025-06</x:v>
      </x:c>
      <x:c r="AC1519" t="str">
        <x:f>"Q"&amp;ROUNDUP(MONTH(B1519)/3,0)&amp;"-"&amp;YEAR(B1519)</x:f>
        <x:v>Q2-2025</x:v>
      </x:c>
      <x:c r="AD1519" s="26" t="n">
        <x:f>MIN(100,IF(H1519="Enterprise",30,IF(H1519="Mid-Market",22,14))+IF(T1519="Enterprise",25,IF(T1519="Mid-Market",18,10))+IF(Q1519="Referral",25,IF(Q1519="Organic Search",20,IF(Q1519="Email",18,14)))+IF(G1519="Technology",10,5))</x:f>
        <x:v>62</x:v>
      </x:c>
      <x:c r="AE1519" t="str">
        <x:f>IF(U1519&lt;&gt;"Open",U1519,IF(N1519&gt;=0.8,"Commit",IF(N1519&gt;=0.5,"Best Case","Pipeline")))</x:f>
        <x:v>Won</x:v>
      </x:c>
    </x:row>
    <x:row r="1520">
      <x:c r="A1520" t="str">
        <x:v>L01519</x:v>
      </x:c>
      <x:c r="B1520" s="10" t="n">
        <x:v>45768</x:v>
      </x:c>
      <x:c r="C1520" t="str">
        <x:v>Chi Le</x:v>
      </x:c>
      <x:c r="D1520" t="str">
        <x:v>South</x:v>
      </x:c>
      <x:c r="E1520" t="str">
        <x:v>Referral</x:v>
      </x:c>
      <x:c r="F1520" t="str">
        <x:v>BI-PLUS</x:v>
      </x:c>
      <x:c r="G1520" t="str">
        <x:v>Technology</x:v>
      </x:c>
      <x:c r="H1520" t="str">
        <x:v>Enterprise</x:v>
      </x:c>
      <x:c r="I1520" t="str">
        <x:v>Negotiation</x:v>
      </x:c>
      <x:c r="J1520" s="10" t="n">
        <x:v>46171</x:v>
      </x:c>
      <x:c r="K1520" s="10"/>
      <x:c r="L1520" s="22" t="n">
        <x:v>97800</x:v>
      </x:c>
      <x:c r="M1520" s="24" t="n">
        <x:v>0</x:v>
      </x:c>
      <x:c r="N1520" s="24" t="n">
        <x:v>0.85</x:v>
      </x:c>
      <x:c r="O1520" t="str"/>
      <x:c r="P1520" t="n">
        <x:v>5</x:v>
      </x:c>
      <x:c r="Q1520" t="str">
        <x:f>IFERROR(XLOOKUP(E1520,Lookups!$A$5:$A$24,Lookups!$B$5:$B$24),"Other")</x:f>
        <x:v>Referral</x:v>
      </x:c>
      <x:c r="R1520" t="str">
        <x:f>IFERROR(XLOOKUP(F1520,Lookups!$D$5:$D$10,Lookups!$E$5:$E$10),"Unknown Product")</x:f>
        <x:v>Analytics Plus</x:v>
      </x:c>
      <x:c r="S1520" t="str">
        <x:f>IFERROR(XLOOKUP(F1520,Lookups!$D$5:$D$10,Lookups!$F$5:$F$10),"Unknown")</x:f>
        <x:v>Analytics</x:v>
      </x:c>
      <x:c r="T1520" t="str">
        <x:f>IF(L1520&gt;=50000,"Enterprise",IF(L1520&gt;=20000,"Mid-Market","SMB"))</x:f>
        <x:v>Enterprise</x:v>
      </x:c>
      <x:c r="U1520" t="str">
        <x:f>IF(I1520="Closed Won","Won",IF(I1520="Closed Lost","Lost","Open"))</x:f>
        <x:v>Open</x:v>
      </x:c>
      <x:c r="V1520" s="22" t="n">
        <x:f>IF(U1520="Won",L1520*(1-M1520),0)</x:f>
        <x:v>0</x:v>
      </x:c>
      <x:c r="W1520" s="22" t="n">
        <x:f>IF(U1520="Open",L1520*N1520,0)</x:f>
        <x:v>83130</x:v>
      </x:c>
      <x:c r="X1520" s="26" t="str">
        <x:f>IF(U1520="Open","",IFERROR(K1520-B1520,""))</x:f>
      </x:c>
      <x:c r="Y1520" s="26" t="n">
        <x:f>IF(U1520="Open",Lookups!$B$2-B1520,X1520)</x:f>
        <x:v>498</x:v>
      </x:c>
      <x:c r="Z1520" t="str">
        <x:f>IF(AND(U1520="Open",Y1520&gt;30),"STALE","OK")</x:f>
        <x:v>STALE</x:v>
      </x:c>
      <x:c r="AA1520" t="str">
        <x:f>TEXT(B1520,"yyyy-mm")</x:f>
        <x:v>2025-04</x:v>
      </x:c>
      <x:c r="AB1520" t="str">
        <x:f>IF(K1520="","",TEXT(K1520,"yyyy-mm"))</x:f>
      </x:c>
      <x:c r="AC1520" t="str">
        <x:f>"Q"&amp;ROUNDUP(MONTH(B1520)/3,0)&amp;"-"&amp;YEAR(B1520)</x:f>
        <x:v>Q2-2025</x:v>
      </x:c>
      <x:c r="AD1520" s="26" t="n">
        <x:f>MIN(100,IF(H1520="Enterprise",30,IF(H1520="Mid-Market",22,14))+IF(T1520="Enterprise",25,IF(T1520="Mid-Market",18,10))+IF(Q1520="Referral",25,IF(Q1520="Organic Search",20,IF(Q1520="Email",18,14)))+IF(G1520="Technology",10,5))</x:f>
        <x:v>90</x:v>
      </x:c>
      <x:c r="AE1520" t="str">
        <x:f>IF(U1520&lt;&gt;"Open",U1520,IF(N1520&gt;=0.8,"Commit",IF(N1520&gt;=0.5,"Best Case","Pipeline")))</x:f>
        <x:v>Commit</x:v>
      </x:c>
    </x:row>
    <x:row r="1521">
      <x:c r="A1521" t="str">
        <x:v>L01520</x:v>
      </x:c>
      <x:c r="B1521" s="10" t="n">
        <x:v>45785</x:v>
      </x:c>
      <x:c r="C1521" t="str">
        <x:v>Duy Pham</x:v>
      </x:c>
      <x:c r="D1521" t="str">
        <x:v>South</x:v>
      </x:c>
      <x:c r="E1521" t="str">
        <x:v>virtual event</x:v>
      </x:c>
      <x:c r="F1521" t="str">
        <x:v>BI-PLUS</x:v>
      </x:c>
      <x:c r="G1521" t="str">
        <x:v>Retail</x:v>
      </x:c>
      <x:c r="H1521" t="str">
        <x:v>SMB</x:v>
      </x:c>
      <x:c r="I1521" t="str">
        <x:v>Closed Lost</x:v>
      </x:c>
      <x:c r="J1521" s="10" t="n">
        <x:v>45871</x:v>
      </x:c>
      <x:c r="K1521" s="10" t="n">
        <x:v>45871</x:v>
      </x:c>
      <x:c r="L1521" s="22" t="n">
        <x:v>28400</x:v>
      </x:c>
      <x:c r="M1521" s="24" t="n">
        <x:v>0</x:v>
      </x:c>
      <x:c r="N1521" s="24" t="n">
        <x:v>0</x:v>
      </x:c>
      <x:c r="O1521" t="str">
        <x:v>Budget</x:v>
      </x:c>
      <x:c r="P1521" t="n">
        <x:v>5</x:v>
      </x:c>
      <x:c r="Q1521" t="str">
        <x:f>IFERROR(XLOOKUP(E1521,Lookups!$A$5:$A$24,Lookups!$B$5:$B$24),"Other")</x:f>
        <x:v>Webinar</x:v>
      </x:c>
      <x:c r="R1521" t="str">
        <x:f>IFERROR(XLOOKUP(F1521,Lookups!$D$5:$D$10,Lookups!$E$5:$E$10),"Unknown Product")</x:f>
        <x:v>Analytics Plus</x:v>
      </x:c>
      <x:c r="S1521" t="str">
        <x:f>IFERROR(XLOOKUP(F1521,Lookups!$D$5:$D$10,Lookups!$F$5:$F$10),"Unknown")</x:f>
        <x:v>Analytics</x:v>
      </x:c>
      <x:c r="T1521" t="str">
        <x:f>IF(L1521&gt;=50000,"Enterprise",IF(L1521&gt;=20000,"Mid-Market","SMB"))</x:f>
        <x:v>Mid-Market</x:v>
      </x:c>
      <x:c r="U1521" t="str">
        <x:f>IF(I1521="Closed Won","Won",IF(I1521="Closed Lost","Lost","Open"))</x:f>
        <x:v>Lost</x:v>
      </x:c>
      <x:c r="V1521" s="22" t="n">
        <x:f>IF(U1521="Won",L1521*(1-M1521),0)</x:f>
        <x:v>0</x:v>
      </x:c>
      <x:c r="W1521" s="22" t="n">
        <x:f>IF(U1521="Open",L1521*N1521,0)</x:f>
        <x:v>0</x:v>
      </x:c>
      <x:c r="X1521" s="26" t="n">
        <x:f>IF(U1521="Open","",IFERROR(K1521-B1521,""))</x:f>
        <x:v>86</x:v>
      </x:c>
      <x:c r="Y1521" s="26" t="n">
        <x:f>IF(U1521="Open",Lookups!$B$2-B1521,X1521)</x:f>
        <x:v>86</x:v>
      </x:c>
      <x:c r="Z1521" t="str">
        <x:f>IF(AND(U1521="Open",Y1521&gt;30),"STALE","OK")</x:f>
        <x:v>OK</x:v>
      </x:c>
      <x:c r="AA1521" t="str">
        <x:f>TEXT(B1521,"yyyy-mm")</x:f>
        <x:v>2025-05</x:v>
      </x:c>
      <x:c r="AB1521" t="str">
        <x:f>IF(K1521="","",TEXT(K1521,"yyyy-mm"))</x:f>
        <x:v>2025-08</x:v>
      </x:c>
      <x:c r="AC1521" t="str">
        <x:f>"Q"&amp;ROUNDUP(MONTH(B1521)/3,0)&amp;"-"&amp;YEAR(B1521)</x:f>
        <x:v>Q2-2025</x:v>
      </x:c>
      <x:c r="AD1521" s="26" t="n">
        <x:f>MIN(100,IF(H1521="Enterprise",30,IF(H1521="Mid-Market",22,14))+IF(T1521="Enterprise",25,IF(T1521="Mid-Market",18,10))+IF(Q1521="Referral",25,IF(Q1521="Organic Search",20,IF(Q1521="Email",18,14)))+IF(G1521="Technology",10,5))</x:f>
        <x:v>51</x:v>
      </x:c>
      <x:c r="AE1521" t="str">
        <x:f>IF(U1521&lt;&gt;"Open",U1521,IF(N1521&gt;=0.8,"Commit",IF(N1521&gt;=0.5,"Best Case","Pipeline")))</x:f>
        <x:v>Lost</x:v>
      </x:c>
    </x:row>
    <x:row r="1522">
      <x:c r="A1522" t="str">
        <x:v>L01521</x:v>
      </x:c>
      <x:c r="B1522" s="10" t="n">
        <x:v>46058</x:v>
      </x:c>
      <x:c r="C1522" t="str">
        <x:v>Tuan Bui</x:v>
      </x:c>
      <x:c r="D1522" t="str">
        <x:v>Central</x:v>
      </x:c>
      <x:c r="E1522" t="str">
        <x:v>virtual event</x:v>
      </x:c>
      <x:c r="F1522" t="str">
        <x:v>MKT-AUTO</x:v>
      </x:c>
      <x:c r="G1522" t="str">
        <x:v>Financial Services</x:v>
      </x:c>
      <x:c r="H1522" t="str">
        <x:v>SMB</x:v>
      </x:c>
      <x:c r="I1522" t="str">
        <x:v>Negotiation</x:v>
      </x:c>
      <x:c r="J1522" s="10" t="n">
        <x:v>46157</x:v>
      </x:c>
      <x:c r="K1522" s="10"/>
      <x:c r="L1522" s="22" t="n">
        <x:v>11100</x:v>
      </x:c>
      <x:c r="M1522" s="24" t="n">
        <x:v>0.03</x:v>
      </x:c>
      <x:c r="N1522" s="24" t="n">
        <x:v>0.85</x:v>
      </x:c>
      <x:c r="O1522" t="str"/>
      <x:c r="P1522" t="n">
        <x:v>5</x:v>
      </x:c>
      <x:c r="Q1522" t="str">
        <x:f>IFERROR(XLOOKUP(E1522,Lookups!$A$5:$A$24,Lookups!$B$5:$B$24),"Other")</x:f>
        <x:v>Webinar</x:v>
      </x:c>
      <x:c r="R1522" t="str">
        <x:f>IFERROR(XLOOKUP(F1522,Lookups!$D$5:$D$10,Lookups!$E$5:$E$10),"Unknown Product")</x:f>
        <x:v>Marketing Automation</x:v>
      </x:c>
      <x:c r="S1522" t="str">
        <x:f>IFERROR(XLOOKUP(F1522,Lookups!$D$5:$D$10,Lookups!$F$5:$F$10),"Unknown")</x:f>
        <x:v>Marketing</x:v>
      </x:c>
      <x:c r="T1522" t="str">
        <x:f>IF(L1522&gt;=50000,"Enterprise",IF(L1522&gt;=20000,"Mid-Market","SMB"))</x:f>
        <x:v>SMB</x:v>
      </x:c>
      <x:c r="U1522" t="str">
        <x:f>IF(I1522="Closed Won","Won",IF(I1522="Closed Lost","Lost","Open"))</x:f>
        <x:v>Open</x:v>
      </x:c>
      <x:c r="V1522" s="22" t="n">
        <x:f>IF(U1522="Won",L1522*(1-M1522),0)</x:f>
        <x:v>0</x:v>
      </x:c>
      <x:c r="W1522" s="22" t="n">
        <x:f>IF(U1522="Open",L1522*N1522,0)</x:f>
        <x:v>9435</x:v>
      </x:c>
      <x:c r="X1522" s="26" t="str">
        <x:f>IF(U1522="Open","",IFERROR(K1522-B1522,""))</x:f>
      </x:c>
      <x:c r="Y1522" s="26" t="n">
        <x:f>IF(U1522="Open",Lookups!$B$2-B1522,X1522)</x:f>
        <x:v>208</x:v>
      </x:c>
      <x:c r="Z1522" t="str">
        <x:f>IF(AND(U1522="Open",Y1522&gt;30),"STALE","OK")</x:f>
        <x:v>STALE</x:v>
      </x:c>
      <x:c r="AA1522" t="str">
        <x:f>TEXT(B1522,"yyyy-mm")</x:f>
        <x:v>2026-02</x:v>
      </x:c>
      <x:c r="AB1522" t="str">
        <x:f>IF(K1522="","",TEXT(K1522,"yyyy-mm"))</x:f>
      </x:c>
      <x:c r="AC1522" t="str">
        <x:f>"Q"&amp;ROUNDUP(MONTH(B1522)/3,0)&amp;"-"&amp;YEAR(B1522)</x:f>
        <x:v>Q1-2026</x:v>
      </x:c>
      <x:c r="AD1522" s="26" t="n">
        <x:f>MIN(100,IF(H1522="Enterprise",30,IF(H1522="Mid-Market",22,14))+IF(T1522="Enterprise",25,IF(T1522="Mid-Market",18,10))+IF(Q1522="Referral",25,IF(Q1522="Organic Search",20,IF(Q1522="Email",18,14)))+IF(G1522="Technology",10,5))</x:f>
        <x:v>43</x:v>
      </x:c>
      <x:c r="AE1522" t="str">
        <x:f>IF(U1522&lt;&gt;"Open",U1522,IF(N1522&gt;=0.8,"Commit",IF(N1522&gt;=0.5,"Best Case","Pipeline")))</x:f>
        <x:v>Commit</x:v>
      </x:c>
    </x:row>
    <x:row r="1523">
      <x:c r="A1523" t="str">
        <x:v>L01522</x:v>
      </x:c>
      <x:c r="B1523" s="10" t="n">
        <x:v>45795</x:v>
      </x:c>
      <x:c r="C1523" t="str">
        <x:v>An Nguyen</x:v>
      </x:c>
      <x:c r="D1523" t="str">
        <x:v>South</x:v>
      </x:c>
      <x:c r="E1523" t="str">
        <x:v>SEO</x:v>
      </x:c>
      <x:c r="F1523" t="str">
        <x:v>CS-CLOUD</x:v>
      </x:c>
      <x:c r="G1523" t="str">
        <x:v>Education</x:v>
      </x:c>
      <x:c r="H1523" t="str">
        <x:v>Mid-Market</x:v>
      </x:c>
      <x:c r="I1523" t="str">
        <x:v>Closed Lost</x:v>
      </x:c>
      <x:c r="J1523" s="10" t="n">
        <x:v>45861</x:v>
      </x:c>
      <x:c r="K1523" s="10" t="n">
        <x:v>45861</x:v>
      </x:c>
      <x:c r="L1523" s="22" t="n">
        <x:v>22400</x:v>
      </x:c>
      <x:c r="M1523" s="24" t="n">
        <x:v>0</x:v>
      </x:c>
      <x:c r="N1523" s="24" t="n">
        <x:v>0</x:v>
      </x:c>
      <x:c r="O1523" t="str">
        <x:v>No Decision</x:v>
      </x:c>
      <x:c r="P1523" t="n">
        <x:v>3</x:v>
      </x:c>
      <x:c r="Q1523" t="str">
        <x:f>IFERROR(XLOOKUP(E1523,Lookups!$A$5:$A$24,Lookups!$B$5:$B$24),"Other")</x:f>
        <x:v>Organic Search</x:v>
      </x:c>
      <x:c r="R1523" t="str">
        <x:f>IFERROR(XLOOKUP(F1523,Lookups!$D$5:$D$10,Lookups!$E$5:$E$10),"Unknown Product")</x:f>
        <x:v>Service Cloud</x:v>
      </x:c>
      <x:c r="S1523" t="str">
        <x:f>IFERROR(XLOOKUP(F1523,Lookups!$D$5:$D$10,Lookups!$F$5:$F$10),"Unknown")</x:f>
        <x:v>Customer Service</x:v>
      </x:c>
      <x:c r="T1523" t="str">
        <x:f>IF(L1523&gt;=50000,"Enterprise",IF(L1523&gt;=20000,"Mid-Market","SMB"))</x:f>
        <x:v>Mid-Market</x:v>
      </x:c>
      <x:c r="U1523" t="str">
        <x:f>IF(I1523="Closed Won","Won",IF(I1523="Closed Lost","Lost","Open"))</x:f>
        <x:v>Lost</x:v>
      </x:c>
      <x:c r="V1523" s="22" t="n">
        <x:f>IF(U1523="Won",L1523*(1-M1523),0)</x:f>
        <x:v>0</x:v>
      </x:c>
      <x:c r="W1523" s="22" t="n">
        <x:f>IF(U1523="Open",L1523*N1523,0)</x:f>
        <x:v>0</x:v>
      </x:c>
      <x:c r="X1523" s="26" t="n">
        <x:f>IF(U1523="Open","",IFERROR(K1523-B1523,""))</x:f>
        <x:v>66</x:v>
      </x:c>
      <x:c r="Y1523" s="26" t="n">
        <x:f>IF(U1523="Open",Lookups!$B$2-B1523,X1523)</x:f>
        <x:v>66</x:v>
      </x:c>
      <x:c r="Z1523" t="str">
        <x:f>IF(AND(U1523="Open",Y1523&gt;30),"STALE","OK")</x:f>
        <x:v>OK</x:v>
      </x:c>
      <x:c r="AA1523" t="str">
        <x:f>TEXT(B1523,"yyyy-mm")</x:f>
        <x:v>2025-05</x:v>
      </x:c>
      <x:c r="AB1523" t="str">
        <x:f>IF(K1523="","",TEXT(K1523,"yyyy-mm"))</x:f>
        <x:v>2025-07</x:v>
      </x:c>
      <x:c r="AC1523" t="str">
        <x:f>"Q"&amp;ROUNDUP(MONTH(B1523)/3,0)&amp;"-"&amp;YEAR(B1523)</x:f>
        <x:v>Q2-2025</x:v>
      </x:c>
      <x:c r="AD1523" s="26" t="n">
        <x:f>MIN(100,IF(H1523="Enterprise",30,IF(H1523="Mid-Market",22,14))+IF(T1523="Enterprise",25,IF(T1523="Mid-Market",18,10))+IF(Q1523="Referral",25,IF(Q1523="Organic Search",20,IF(Q1523="Email",18,14)))+IF(G1523="Technology",10,5))</x:f>
        <x:v>65</x:v>
      </x:c>
      <x:c r="AE1523" t="str">
        <x:f>IF(U1523&lt;&gt;"Open",U1523,IF(N1523&gt;=0.8,"Commit",IF(N1523&gt;=0.5,"Best Case","Pipeline")))</x:f>
        <x:v>Lost</x:v>
      </x:c>
    </x:row>
    <x:row r="1524">
      <x:c r="A1524" t="str">
        <x:v>L01523</x:v>
      </x:c>
      <x:c r="B1524" s="10" t="n">
        <x:v>45892</x:v>
      </x:c>
      <x:c r="C1524" t="str">
        <x:v>Minh Do</x:v>
      </x:c>
      <x:c r="D1524" t="str">
        <x:v>North</x:v>
      </x:c>
      <x:c r="E1524" t="str">
        <x:v>google cpc</x:v>
      </x:c>
      <x:c r="F1524" t="str">
        <x:v>CRM-CORE</x:v>
      </x:c>
      <x:c r="G1524" t="str">
        <x:v>Healthcare</x:v>
      </x:c>
      <x:c r="H1524" t="str">
        <x:v>Enterprise</x:v>
      </x:c>
      <x:c r="I1524" t="str">
        <x:v>Negotiation</x:v>
      </x:c>
      <x:c r="J1524" s="10" t="n">
        <x:v>46118</x:v>
      </x:c>
      <x:c r="K1524" s="10"/>
      <x:c r="L1524" s="22" t="n">
        <x:v>22200</x:v>
      </x:c>
      <x:c r="M1524" s="24" t="n">
        <x:v>0</x:v>
      </x:c>
      <x:c r="N1524" s="24" t="n">
        <x:v>0.85</x:v>
      </x:c>
      <x:c r="O1524" t="str"/>
      <x:c r="P1524" t="n">
        <x:v>5</x:v>
      </x:c>
      <x:c r="Q1524" t="str">
        <x:f>IFERROR(XLOOKUP(E1524,Lookups!$A$5:$A$24,Lookups!$B$5:$B$24),"Other")</x:f>
        <x:v>Paid Search</x:v>
      </x:c>
      <x:c r="R1524" t="str">
        <x:f>IFERROR(XLOOKUP(F1524,Lookups!$D$5:$D$10,Lookups!$E$5:$E$10),"Unknown Product")</x:f>
        <x:v>NexaCRM Core</x:v>
      </x:c>
      <x:c r="S1524" t="str">
        <x:f>IFERROR(XLOOKUP(F1524,Lookups!$D$5:$D$10,Lookups!$F$5:$F$10),"Unknown")</x:f>
        <x:v>CRM</x:v>
      </x:c>
      <x:c r="T1524" t="str">
        <x:f>IF(L1524&gt;=50000,"Enterprise",IF(L1524&gt;=20000,"Mid-Market","SMB"))</x:f>
        <x:v>Mid-Market</x:v>
      </x:c>
      <x:c r="U1524" t="str">
        <x:f>IF(I1524="Closed Won","Won",IF(I1524="Closed Lost","Lost","Open"))</x:f>
        <x:v>Open</x:v>
      </x:c>
      <x:c r="V1524" s="22" t="n">
        <x:f>IF(U1524="Won",L1524*(1-M1524),0)</x:f>
        <x:v>0</x:v>
      </x:c>
      <x:c r="W1524" s="22" t="n">
        <x:f>IF(U1524="Open",L1524*N1524,0)</x:f>
        <x:v>18870</x:v>
      </x:c>
      <x:c r="X1524" s="26" t="str">
        <x:f>IF(U1524="Open","",IFERROR(K1524-B1524,""))</x:f>
      </x:c>
      <x:c r="Y1524" s="26" t="n">
        <x:f>IF(U1524="Open",Lookups!$B$2-B1524,X1524)</x:f>
        <x:v>374</x:v>
      </x:c>
      <x:c r="Z1524" t="str">
        <x:f>IF(AND(U1524="Open",Y1524&gt;30),"STALE","OK")</x:f>
        <x:v>STALE</x:v>
      </x:c>
      <x:c r="AA1524" t="str">
        <x:f>TEXT(B1524,"yyyy-mm")</x:f>
        <x:v>2025-08</x:v>
      </x:c>
      <x:c r="AB1524" t="str">
        <x:f>IF(K1524="","",TEXT(K1524,"yyyy-mm"))</x:f>
      </x:c>
      <x:c r="AC1524" t="str">
        <x:f>"Q"&amp;ROUNDUP(MONTH(B1524)/3,0)&amp;"-"&amp;YEAR(B1524)</x:f>
        <x:v>Q3-2025</x:v>
      </x:c>
      <x:c r="AD1524" s="26" t="n">
        <x:f>MIN(100,IF(H1524="Enterprise",30,IF(H1524="Mid-Market",22,14))+IF(T1524="Enterprise",25,IF(T1524="Mid-Market",18,10))+IF(Q1524="Referral",25,IF(Q1524="Organic Search",20,IF(Q1524="Email",18,14)))+IF(G1524="Technology",10,5))</x:f>
        <x:v>67</x:v>
      </x:c>
      <x:c r="AE1524" t="str">
        <x:f>IF(U1524&lt;&gt;"Open",U1524,IF(N1524&gt;=0.8,"Commit",IF(N1524&gt;=0.5,"Best Case","Pipeline")))</x:f>
        <x:v>Commit</x:v>
      </x:c>
    </x:row>
    <x:row r="1525">
      <x:c r="A1525" t="str">
        <x:v>L01524</x:v>
      </x:c>
      <x:c r="B1525" s="10" t="n">
        <x:v>46104</x:v>
      </x:c>
      <x:c r="C1525" t="str">
        <x:v>Tuan Bui</x:v>
      </x:c>
      <x:c r="D1525" t="str">
        <x:v>Central</x:v>
      </x:c>
      <x:c r="E1525" t="str">
        <x:v>Google Organic</x:v>
      </x:c>
      <x:c r="F1525" t="str">
        <x:v>MKT-AUTO</x:v>
      </x:c>
      <x:c r="G1525" t="str">
        <x:v>Education</x:v>
      </x:c>
      <x:c r="H1525" t="str">
        <x:v>Mid-Market</x:v>
      </x:c>
      <x:c r="I1525" t="str">
        <x:v>Closed Lost</x:v>
      </x:c>
      <x:c r="J1525" s="10" t="n">
        <x:v>46159</x:v>
      </x:c>
      <x:c r="K1525" s="10" t="n">
        <x:v>46159</x:v>
      </x:c>
      <x:c r="L1525" s="22" t="n">
        <x:v>18100</x:v>
      </x:c>
      <x:c r="M1525" s="24" t="n">
        <x:v>0</x:v>
      </x:c>
      <x:c r="N1525" s="24" t="n">
        <x:v>0</x:v>
      </x:c>
      <x:c r="O1525" t="str">
        <x:v>Price</x:v>
      </x:c>
      <x:c r="P1525" t="n">
        <x:v>5</x:v>
      </x:c>
      <x:c r="Q1525" t="str">
        <x:f>IFERROR(XLOOKUP(E1525,Lookups!$A$5:$A$24,Lookups!$B$5:$B$24),"Other")</x:f>
        <x:v>Organic Search</x:v>
      </x:c>
      <x:c r="R1525" t="str">
        <x:f>IFERROR(XLOOKUP(F1525,Lookups!$D$5:$D$10,Lookups!$E$5:$E$10),"Unknown Product")</x:f>
        <x:v>Marketing Automation</x:v>
      </x:c>
      <x:c r="S1525" t="str">
        <x:f>IFERROR(XLOOKUP(F1525,Lookups!$D$5:$D$10,Lookups!$F$5:$F$10),"Unknown")</x:f>
        <x:v>Marketing</x:v>
      </x:c>
      <x:c r="T1525" t="str">
        <x:f>IF(L1525&gt;=50000,"Enterprise",IF(L1525&gt;=20000,"Mid-Market","SMB"))</x:f>
        <x:v>SMB</x:v>
      </x:c>
      <x:c r="U1525" t="str">
        <x:f>IF(I1525="Closed Won","Won",IF(I1525="Closed Lost","Lost","Open"))</x:f>
        <x:v>Lost</x:v>
      </x:c>
      <x:c r="V1525" s="22" t="n">
        <x:f>IF(U1525="Won",L1525*(1-M1525),0)</x:f>
        <x:v>0</x:v>
      </x:c>
      <x:c r="W1525" s="22" t="n">
        <x:f>IF(U1525="Open",L1525*N1525,0)</x:f>
        <x:v>0</x:v>
      </x:c>
      <x:c r="X1525" s="26" t="n">
        <x:f>IF(U1525="Open","",IFERROR(K1525-B1525,""))</x:f>
        <x:v>55</x:v>
      </x:c>
      <x:c r="Y1525" s="26" t="n">
        <x:f>IF(U1525="Open",Lookups!$B$2-B1525,X1525)</x:f>
        <x:v>55</x:v>
      </x:c>
      <x:c r="Z1525" t="str">
        <x:f>IF(AND(U1525="Open",Y1525&gt;30),"STALE","OK")</x:f>
        <x:v>OK</x:v>
      </x:c>
      <x:c r="AA1525" t="str">
        <x:f>TEXT(B1525,"yyyy-mm")</x:f>
        <x:v>2026-03</x:v>
      </x:c>
      <x:c r="AB1525" t="str">
        <x:f>IF(K1525="","",TEXT(K1525,"yyyy-mm"))</x:f>
        <x:v>2026-05</x:v>
      </x:c>
      <x:c r="AC1525" t="str">
        <x:f>"Q"&amp;ROUNDUP(MONTH(B1525)/3,0)&amp;"-"&amp;YEAR(B1525)</x:f>
        <x:v>Q1-2026</x:v>
      </x:c>
      <x:c r="AD1525" s="26" t="n">
        <x:f>MIN(100,IF(H1525="Enterprise",30,IF(H1525="Mid-Market",22,14))+IF(T1525="Enterprise",25,IF(T1525="Mid-Market",18,10))+IF(Q1525="Referral",25,IF(Q1525="Organic Search",20,IF(Q1525="Email",18,14)))+IF(G1525="Technology",10,5))</x:f>
        <x:v>57</x:v>
      </x:c>
      <x:c r="AE1525" t="str">
        <x:f>IF(U1525&lt;&gt;"Open",U1525,IF(N1525&gt;=0.8,"Commit",IF(N1525&gt;=0.5,"Best Case","Pipeline")))</x:f>
        <x:v>Lost</x:v>
      </x:c>
    </x:row>
    <x:row r="1526">
      <x:c r="A1526" t="str">
        <x:v>L01525</x:v>
      </x:c>
      <x:c r="B1526" s="10" t="n">
        <x:v>45671</x:v>
      </x:c>
      <x:c r="C1526" t="str">
        <x:v>Duy Pham</x:v>
      </x:c>
      <x:c r="D1526" t="str">
        <x:v>South</x:v>
      </x:c>
      <x:c r="E1526" t="str">
        <x:v>organic search</x:v>
      </x:c>
      <x:c r="F1526" t="str">
        <x:v>CRM-CORE</x:v>
      </x:c>
      <x:c r="G1526" t="str">
        <x:v>Financial Services</x:v>
      </x:c>
      <x:c r="H1526" t="str">
        <x:v>Mid-Market</x:v>
      </x:c>
      <x:c r="I1526" t="str">
        <x:v>Closed Lost</x:v>
      </x:c>
      <x:c r="J1526" s="10" t="n">
        <x:v>45738</x:v>
      </x:c>
      <x:c r="K1526" s="10" t="n">
        <x:v>45738</x:v>
      </x:c>
      <x:c r="L1526" s="22" t="n">
        <x:v>11000</x:v>
      </x:c>
      <x:c r="M1526" s="24" t="n">
        <x:v>0</x:v>
      </x:c>
      <x:c r="N1526" s="24" t="n">
        <x:v>0</x:v>
      </x:c>
      <x:c r="O1526" t="str">
        <x:v>Budget</x:v>
      </x:c>
      <x:c r="P1526" t="n">
        <x:v>4</x:v>
      </x:c>
      <x:c r="Q1526" t="str">
        <x:f>IFERROR(XLOOKUP(E1526,Lookups!$A$5:$A$24,Lookups!$B$5:$B$24),"Other")</x:f>
        <x:v>Organic Search</x:v>
      </x:c>
      <x:c r="R1526" t="str">
        <x:f>IFERROR(XLOOKUP(F1526,Lookups!$D$5:$D$10,Lookups!$E$5:$E$10),"Unknown Product")</x:f>
        <x:v>NexaCRM Core</x:v>
      </x:c>
      <x:c r="S1526" t="str">
        <x:f>IFERROR(XLOOKUP(F1526,Lookups!$D$5:$D$10,Lookups!$F$5:$F$10),"Unknown")</x:f>
        <x:v>CRM</x:v>
      </x:c>
      <x:c r="T1526" t="str">
        <x:f>IF(L1526&gt;=50000,"Enterprise",IF(L1526&gt;=20000,"Mid-Market","SMB"))</x:f>
        <x:v>SMB</x:v>
      </x:c>
      <x:c r="U1526" t="str">
        <x:f>IF(I1526="Closed Won","Won",IF(I1526="Closed Lost","Lost","Open"))</x:f>
        <x:v>Lost</x:v>
      </x:c>
      <x:c r="V1526" s="22" t="n">
        <x:f>IF(U1526="Won",L1526*(1-M1526),0)</x:f>
        <x:v>0</x:v>
      </x:c>
      <x:c r="W1526" s="22" t="n">
        <x:f>IF(U1526="Open",L1526*N1526,0)</x:f>
        <x:v>0</x:v>
      </x:c>
      <x:c r="X1526" s="26" t="n">
        <x:f>IF(U1526="Open","",IFERROR(K1526-B1526,""))</x:f>
        <x:v>67</x:v>
      </x:c>
      <x:c r="Y1526" s="26" t="n">
        <x:f>IF(U1526="Open",Lookups!$B$2-B1526,X1526)</x:f>
        <x:v>67</x:v>
      </x:c>
      <x:c r="Z1526" t="str">
        <x:f>IF(AND(U1526="Open",Y1526&gt;30),"STALE","OK")</x:f>
        <x:v>OK</x:v>
      </x:c>
      <x:c r="AA1526" t="str">
        <x:f>TEXT(B1526,"yyyy-mm")</x:f>
        <x:v>2025-01</x:v>
      </x:c>
      <x:c r="AB1526" t="str">
        <x:f>IF(K1526="","",TEXT(K1526,"yyyy-mm"))</x:f>
        <x:v>2025-03</x:v>
      </x:c>
      <x:c r="AC1526" t="str">
        <x:f>"Q"&amp;ROUNDUP(MONTH(B1526)/3,0)&amp;"-"&amp;YEAR(B1526)</x:f>
        <x:v>Q1-2025</x:v>
      </x:c>
      <x:c r="AD1526" s="26" t="n">
        <x:f>MIN(100,IF(H1526="Enterprise",30,IF(H1526="Mid-Market",22,14))+IF(T1526="Enterprise",25,IF(T1526="Mid-Market",18,10))+IF(Q1526="Referral",25,IF(Q1526="Organic Search",20,IF(Q1526="Email",18,14)))+IF(G1526="Technology",10,5))</x:f>
        <x:v>57</x:v>
      </x:c>
      <x:c r="AE1526" t="str">
        <x:f>IF(U1526&lt;&gt;"Open",U1526,IF(N1526&gt;=0.8,"Commit",IF(N1526&gt;=0.5,"Best Case","Pipeline")))</x:f>
        <x:v>Lost</x:v>
      </x:c>
    </x:row>
    <x:row r="1527">
      <x:c r="A1527" t="str">
        <x:v>L01526</x:v>
      </x:c>
      <x:c r="B1527" s="10" t="n">
        <x:v>45698</x:v>
      </x:c>
      <x:c r="C1527" t="str">
        <x:v>Chi Le</x:v>
      </x:c>
      <x:c r="D1527" t="str">
        <x:v>South</x:v>
      </x:c>
      <x:c r="E1527" t="str">
        <x:v>SEM - Google</x:v>
      </x:c>
      <x:c r="F1527" t="str">
        <x:v>CS-CLOUD</x:v>
      </x:c>
      <x:c r="G1527" t="str">
        <x:v>Financial Services</x:v>
      </x:c>
      <x:c r="H1527" t="str">
        <x:v>SMB</x:v>
      </x:c>
      <x:c r="I1527" t="str">
        <x:v>Closed Lost</x:v>
      </x:c>
      <x:c r="J1527" s="10" t="n">
        <x:v>45729</x:v>
      </x:c>
      <x:c r="K1527" s="10" t="n">
        <x:v>45729</x:v>
      </x:c>
      <x:c r="L1527" s="22" t="n">
        <x:v>27100</x:v>
      </x:c>
      <x:c r="M1527" s="24" t="n">
        <x:v>0</x:v>
      </x:c>
      <x:c r="N1527" s="24" t="n">
        <x:v>0</x:v>
      </x:c>
      <x:c r="O1527" t="str">
        <x:v>No Decision</x:v>
      </x:c>
      <x:c r="P1527" t="n">
        <x:v>5</x:v>
      </x:c>
      <x:c r="Q1527" t="str">
        <x:f>IFERROR(XLOOKUP(E1527,Lookups!$A$5:$A$24,Lookups!$B$5:$B$24),"Other")</x:f>
        <x:v>Paid Search</x:v>
      </x:c>
      <x:c r="R1527" t="str">
        <x:f>IFERROR(XLOOKUP(F1527,Lookups!$D$5:$D$10,Lookups!$E$5:$E$10),"Unknown Product")</x:f>
        <x:v>Service Cloud</x:v>
      </x:c>
      <x:c r="S1527" t="str">
        <x:f>IFERROR(XLOOKUP(F1527,Lookups!$D$5:$D$10,Lookups!$F$5:$F$10),"Unknown")</x:f>
        <x:v>Customer Service</x:v>
      </x:c>
      <x:c r="T1527" t="str">
        <x:f>IF(L1527&gt;=50000,"Enterprise",IF(L1527&gt;=20000,"Mid-Market","SMB"))</x:f>
        <x:v>Mid-Market</x:v>
      </x:c>
      <x:c r="U1527" t="str">
        <x:f>IF(I1527="Closed Won","Won",IF(I1527="Closed Lost","Lost","Open"))</x:f>
        <x:v>Lost</x:v>
      </x:c>
      <x:c r="V1527" s="22" t="n">
        <x:f>IF(U1527="Won",L1527*(1-M1527),0)</x:f>
        <x:v>0</x:v>
      </x:c>
      <x:c r="W1527" s="22" t="n">
        <x:f>IF(U1527="Open",L1527*N1527,0)</x:f>
        <x:v>0</x:v>
      </x:c>
      <x:c r="X1527" s="26" t="n">
        <x:f>IF(U1527="Open","",IFERROR(K1527-B1527,""))</x:f>
        <x:v>31</x:v>
      </x:c>
      <x:c r="Y1527" s="26" t="n">
        <x:f>IF(U1527="Open",Lookups!$B$2-B1527,X1527)</x:f>
        <x:v>31</x:v>
      </x:c>
      <x:c r="Z1527" t="str">
        <x:f>IF(AND(U1527="Open",Y1527&gt;30),"STALE","OK")</x:f>
        <x:v>OK</x:v>
      </x:c>
      <x:c r="AA1527" t="str">
        <x:f>TEXT(B1527,"yyyy-mm")</x:f>
        <x:v>2025-02</x:v>
      </x:c>
      <x:c r="AB1527" t="str">
        <x:f>IF(K1527="","",TEXT(K1527,"yyyy-mm"))</x:f>
        <x:v>2025-03</x:v>
      </x:c>
      <x:c r="AC1527" t="str">
        <x:f>"Q"&amp;ROUNDUP(MONTH(B1527)/3,0)&amp;"-"&amp;YEAR(B1527)</x:f>
        <x:v>Q1-2025</x:v>
      </x:c>
      <x:c r="AD1527" s="26" t="n">
        <x:f>MIN(100,IF(H1527="Enterprise",30,IF(H1527="Mid-Market",22,14))+IF(T1527="Enterprise",25,IF(T1527="Mid-Market",18,10))+IF(Q1527="Referral",25,IF(Q1527="Organic Search",20,IF(Q1527="Email",18,14)))+IF(G1527="Technology",10,5))</x:f>
        <x:v>51</x:v>
      </x:c>
      <x:c r="AE1527" t="str">
        <x:f>IF(U1527&lt;&gt;"Open",U1527,IF(N1527&gt;=0.8,"Commit",IF(N1527&gt;=0.5,"Best Case","Pipeline")))</x:f>
        <x:v>Lost</x:v>
      </x:c>
    </x:row>
    <x:row r="1528">
      <x:c r="A1528" t="str">
        <x:v>L01527</x:v>
      </x:c>
      <x:c r="B1528" s="10" t="n">
        <x:v>45692</x:v>
      </x:c>
      <x:c r="C1528" t="str">
        <x:v>Bao Tran</x:v>
      </x:c>
      <x:c r="D1528" t="str">
        <x:v>South</x:v>
      </x:c>
      <x:c r="E1528" t="str">
        <x:v>Email Campaign</x:v>
      </x:c>
      <x:c r="F1528" t="str">
        <x:v>MKT-AUTO</x:v>
      </x:c>
      <x:c r="G1528" t="str">
        <x:v>Technology</x:v>
      </x:c>
      <x:c r="H1528" t="str">
        <x:v>SMB</x:v>
      </x:c>
      <x:c r="I1528" t="str">
        <x:v>Negotiation</x:v>
      </x:c>
      <x:c r="J1528" s="10" t="n">
        <x:v>46037</x:v>
      </x:c>
      <x:c r="K1528" s="10"/>
      <x:c r="L1528" s="22" t="n">
        <x:v>17900</x:v>
      </x:c>
      <x:c r="M1528" s="24" t="n">
        <x:v>0.05</x:v>
      </x:c>
      <x:c r="N1528" s="24" t="n">
        <x:v>0.85</x:v>
      </x:c>
      <x:c r="O1528" t="str"/>
      <x:c r="P1528" t="n">
        <x:v>5</x:v>
      </x:c>
      <x:c r="Q1528" t="str">
        <x:f>IFERROR(XLOOKUP(E1528,Lookups!$A$5:$A$24,Lookups!$B$5:$B$24),"Other")</x:f>
        <x:v>Email</x:v>
      </x:c>
      <x:c r="R1528" t="str">
        <x:f>IFERROR(XLOOKUP(F1528,Lookups!$D$5:$D$10,Lookups!$E$5:$E$10),"Unknown Product")</x:f>
        <x:v>Marketing Automation</x:v>
      </x:c>
      <x:c r="S1528" t="str">
        <x:f>IFERROR(XLOOKUP(F1528,Lookups!$D$5:$D$10,Lookups!$F$5:$F$10),"Unknown")</x:f>
        <x:v>Marketing</x:v>
      </x:c>
      <x:c r="T1528" t="str">
        <x:f>IF(L1528&gt;=50000,"Enterprise",IF(L1528&gt;=20000,"Mid-Market","SMB"))</x:f>
        <x:v>SMB</x:v>
      </x:c>
      <x:c r="U1528" t="str">
        <x:f>IF(I1528="Closed Won","Won",IF(I1528="Closed Lost","Lost","Open"))</x:f>
        <x:v>Open</x:v>
      </x:c>
      <x:c r="V1528" s="22" t="n">
        <x:f>IF(U1528="Won",L1528*(1-M1528),0)</x:f>
        <x:v>0</x:v>
      </x:c>
      <x:c r="W1528" s="22" t="n">
        <x:f>IF(U1528="Open",L1528*N1528,0)</x:f>
        <x:v>15215</x:v>
      </x:c>
      <x:c r="X1528" s="26" t="str">
        <x:f>IF(U1528="Open","",IFERROR(K1528-B1528,""))</x:f>
      </x:c>
      <x:c r="Y1528" s="26" t="n">
        <x:f>IF(U1528="Open",Lookups!$B$2-B1528,X1528)</x:f>
        <x:v>574</x:v>
      </x:c>
      <x:c r="Z1528" t="str">
        <x:f>IF(AND(U1528="Open",Y1528&gt;30),"STALE","OK")</x:f>
        <x:v>STALE</x:v>
      </x:c>
      <x:c r="AA1528" t="str">
        <x:f>TEXT(B1528,"yyyy-mm")</x:f>
        <x:v>2025-02</x:v>
      </x:c>
      <x:c r="AB1528" t="str">
        <x:f>IF(K1528="","",TEXT(K1528,"yyyy-mm"))</x:f>
      </x:c>
      <x:c r="AC1528" t="str">
        <x:f>"Q"&amp;ROUNDUP(MONTH(B1528)/3,0)&amp;"-"&amp;YEAR(B1528)</x:f>
        <x:v>Q1-2025</x:v>
      </x:c>
      <x:c r="AD1528" s="26" t="n">
        <x:f>MIN(100,IF(H1528="Enterprise",30,IF(H1528="Mid-Market",22,14))+IF(T1528="Enterprise",25,IF(T1528="Mid-Market",18,10))+IF(Q1528="Referral",25,IF(Q1528="Organic Search",20,IF(Q1528="Email",18,14)))+IF(G1528="Technology",10,5))</x:f>
        <x:v>52</x:v>
      </x:c>
      <x:c r="AE1528" t="str">
        <x:f>IF(U1528&lt;&gt;"Open",U1528,IF(N1528&gt;=0.8,"Commit",IF(N1528&gt;=0.5,"Best Case","Pipeline")))</x:f>
        <x:v>Commit</x:v>
      </x:c>
    </x:row>
    <x:row r="1529">
      <x:c r="A1529" t="str">
        <x:v>L01528</x:v>
      </x:c>
      <x:c r="B1529" s="10" t="n">
        <x:v>45848</x:v>
      </x:c>
      <x:c r="C1529" t="str">
        <x:v>An Nguyen</x:v>
      </x:c>
      <x:c r="D1529" t="str">
        <x:v>South</x:v>
      </x:c>
      <x:c r="E1529" t="str">
        <x:v>Webinar</x:v>
      </x:c>
      <x:c r="F1529" t="str">
        <x:v>CS-CLOUD</x:v>
      </x:c>
      <x:c r="G1529" t="str">
        <x:v>Technology</x:v>
      </x:c>
      <x:c r="H1529" t="str">
        <x:v>SMB</x:v>
      </x:c>
      <x:c r="I1529" t="str">
        <x:v>Closed Lost</x:v>
      </x:c>
      <x:c r="J1529" s="10" t="n">
        <x:v>45895</x:v>
      </x:c>
      <x:c r="K1529" s="10" t="n">
        <x:v>45895</x:v>
      </x:c>
      <x:c r="L1529" s="22" t="n">
        <x:v>13500</x:v>
      </x:c>
      <x:c r="M1529" s="24" t="n">
        <x:v>0</x:v>
      </x:c>
      <x:c r="N1529" s="24" t="n">
        <x:v>0</x:v>
      </x:c>
      <x:c r="O1529" t="str">
        <x:v>Timing</x:v>
      </x:c>
      <x:c r="P1529" t="n">
        <x:v>2</x:v>
      </x:c>
      <x:c r="Q1529" t="str">
        <x:f>IFERROR(XLOOKUP(E1529,Lookups!$A$5:$A$24,Lookups!$B$5:$B$24),"Other")</x:f>
        <x:v>Webinar</x:v>
      </x:c>
      <x:c r="R1529" t="str">
        <x:f>IFERROR(XLOOKUP(F1529,Lookups!$D$5:$D$10,Lookups!$E$5:$E$10),"Unknown Product")</x:f>
        <x:v>Service Cloud</x:v>
      </x:c>
      <x:c r="S1529" t="str">
        <x:f>IFERROR(XLOOKUP(F1529,Lookups!$D$5:$D$10,Lookups!$F$5:$F$10),"Unknown")</x:f>
        <x:v>Customer Service</x:v>
      </x:c>
      <x:c r="T1529" t="str">
        <x:f>IF(L1529&gt;=50000,"Enterprise",IF(L1529&gt;=20000,"Mid-Market","SMB"))</x:f>
        <x:v>SMB</x:v>
      </x:c>
      <x:c r="U1529" t="str">
        <x:f>IF(I1529="Closed Won","Won",IF(I1529="Closed Lost","Lost","Open"))</x:f>
        <x:v>Lost</x:v>
      </x:c>
      <x:c r="V1529" s="22" t="n">
        <x:f>IF(U1529="Won",L1529*(1-M1529),0)</x:f>
        <x:v>0</x:v>
      </x:c>
      <x:c r="W1529" s="22" t="n">
        <x:f>IF(U1529="Open",L1529*N1529,0)</x:f>
        <x:v>0</x:v>
      </x:c>
      <x:c r="X1529" s="26" t="n">
        <x:f>IF(U1529="Open","",IFERROR(K1529-B1529,""))</x:f>
        <x:v>47</x:v>
      </x:c>
      <x:c r="Y1529" s="26" t="n">
        <x:f>IF(U1529="Open",Lookups!$B$2-B1529,X1529)</x:f>
        <x:v>47</x:v>
      </x:c>
      <x:c r="Z1529" t="str">
        <x:f>IF(AND(U1529="Open",Y1529&gt;30),"STALE","OK")</x:f>
        <x:v>OK</x:v>
      </x:c>
      <x:c r="AA1529" t="str">
        <x:f>TEXT(B1529,"yyyy-mm")</x:f>
        <x:v>2025-07</x:v>
      </x:c>
      <x:c r="AB1529" t="str">
        <x:f>IF(K1529="","",TEXT(K1529,"yyyy-mm"))</x:f>
        <x:v>2025-08</x:v>
      </x:c>
      <x:c r="AC1529" t="str">
        <x:f>"Q"&amp;ROUNDUP(MONTH(B1529)/3,0)&amp;"-"&amp;YEAR(B1529)</x:f>
        <x:v>Q3-2025</x:v>
      </x:c>
      <x:c r="AD1529" s="26" t="n">
        <x:f>MIN(100,IF(H1529="Enterprise",30,IF(H1529="Mid-Market",22,14))+IF(T1529="Enterprise",25,IF(T1529="Mid-Market",18,10))+IF(Q1529="Referral",25,IF(Q1529="Organic Search",20,IF(Q1529="Email",18,14)))+IF(G1529="Technology",10,5))</x:f>
        <x:v>48</x:v>
      </x:c>
      <x:c r="AE1529" t="str">
        <x:f>IF(U1529&lt;&gt;"Open",U1529,IF(N1529&gt;=0.8,"Commit",IF(N1529&gt;=0.5,"Best Case","Pipeline")))</x:f>
        <x:v>Lost</x:v>
      </x:c>
    </x:row>
    <x:row r="1530">
      <x:c r="A1530" t="str">
        <x:v>L01529</x:v>
      </x:c>
      <x:c r="B1530" s="10" t="n">
        <x:v>46081</x:v>
      </x:c>
      <x:c r="C1530" t="str">
        <x:v>Ha Vo</x:v>
      </x:c>
      <x:c r="D1530" t="str">
        <x:v>North</x:v>
      </x:c>
      <x:c r="E1530" t="str">
        <x:v>SEO</x:v>
      </x:c>
      <x:c r="F1530" t="str">
        <x:v>REV-OPS</x:v>
      </x:c>
      <x:c r="G1530" t="str">
        <x:v>Education</x:v>
      </x:c>
      <x:c r="H1530" t="str">
        <x:v>SMB</x:v>
      </x:c>
      <x:c r="I1530" t="str">
        <x:v>Closed Lost</x:v>
      </x:c>
      <x:c r="J1530" s="10" t="n">
        <x:v>46108</x:v>
      </x:c>
      <x:c r="K1530" s="10" t="n">
        <x:v>46108</x:v>
      </x:c>
      <x:c r="L1530" s="22" t="n">
        <x:v>37400</x:v>
      </x:c>
      <x:c r="M1530" s="24" t="n">
        <x:v>0</x:v>
      </x:c>
      <x:c r="N1530" s="24" t="n">
        <x:v>0</x:v>
      </x:c>
      <x:c r="O1530" t="str">
        <x:v>Timing</x:v>
      </x:c>
      <x:c r="P1530" t="n">
        <x:v>5</x:v>
      </x:c>
      <x:c r="Q1530" t="str">
        <x:f>IFERROR(XLOOKUP(E1530,Lookups!$A$5:$A$24,Lookups!$B$5:$B$24),"Other")</x:f>
        <x:v>Organic Search</x:v>
      </x:c>
      <x:c r="R1530" t="str">
        <x:f>IFERROR(XLOOKUP(F1530,Lookups!$D$5:$D$10,Lookups!$E$5:$E$10),"Unknown Product")</x:f>
        <x:v>Revenue Operations Suite</x:v>
      </x:c>
      <x:c r="S1530" t="str">
        <x:f>IFERROR(XLOOKUP(F1530,Lookups!$D$5:$D$10,Lookups!$F$5:$F$10),"Unknown")</x:f>
        <x:v>Revenue Ops</x:v>
      </x:c>
      <x:c r="T1530" t="str">
        <x:f>IF(L1530&gt;=50000,"Enterprise",IF(L1530&gt;=20000,"Mid-Market","SMB"))</x:f>
        <x:v>Mid-Market</x:v>
      </x:c>
      <x:c r="U1530" t="str">
        <x:f>IF(I1530="Closed Won","Won",IF(I1530="Closed Lost","Lost","Open"))</x:f>
        <x:v>Lost</x:v>
      </x:c>
      <x:c r="V1530" s="22" t="n">
        <x:f>IF(U1530="Won",L1530*(1-M1530),0)</x:f>
        <x:v>0</x:v>
      </x:c>
      <x:c r="W1530" s="22" t="n">
        <x:f>IF(U1530="Open",L1530*N1530,0)</x:f>
        <x:v>0</x:v>
      </x:c>
      <x:c r="X1530" s="26" t="n">
        <x:f>IF(U1530="Open","",IFERROR(K1530-B1530,""))</x:f>
        <x:v>27</x:v>
      </x:c>
      <x:c r="Y1530" s="26" t="n">
        <x:f>IF(U1530="Open",Lookups!$B$2-B1530,X1530)</x:f>
        <x:v>27</x:v>
      </x:c>
      <x:c r="Z1530" t="str">
        <x:f>IF(AND(U1530="Open",Y1530&gt;30),"STALE","OK")</x:f>
        <x:v>OK</x:v>
      </x:c>
      <x:c r="AA1530" t="str">
        <x:f>TEXT(B1530,"yyyy-mm")</x:f>
        <x:v>2026-02</x:v>
      </x:c>
      <x:c r="AB1530" t="str">
        <x:f>IF(K1530="","",TEXT(K1530,"yyyy-mm"))</x:f>
        <x:v>2026-03</x:v>
      </x:c>
      <x:c r="AC1530" t="str">
        <x:f>"Q"&amp;ROUNDUP(MONTH(B1530)/3,0)&amp;"-"&amp;YEAR(B1530)</x:f>
        <x:v>Q1-2026</x:v>
      </x:c>
      <x:c r="AD1530" s="26" t="n">
        <x:f>MIN(100,IF(H1530="Enterprise",30,IF(H1530="Mid-Market",22,14))+IF(T1530="Enterprise",25,IF(T1530="Mid-Market",18,10))+IF(Q1530="Referral",25,IF(Q1530="Organic Search",20,IF(Q1530="Email",18,14)))+IF(G1530="Technology",10,5))</x:f>
        <x:v>57</x:v>
      </x:c>
      <x:c r="AE1530" t="str">
        <x:f>IF(U1530&lt;&gt;"Open",U1530,IF(N1530&gt;=0.8,"Commit",IF(N1530&gt;=0.5,"Best Case","Pipeline")))</x:f>
        <x:v>Lost</x:v>
      </x:c>
    </x:row>
    <x:row r="1531">
      <x:c r="A1531" t="str">
        <x:v>L01530</x:v>
      </x:c>
      <x:c r="B1531" s="10" t="n">
        <x:v>46051</x:v>
      </x:c>
      <x:c r="C1531" t="str">
        <x:v>Quynh Vu</x:v>
      </x:c>
      <x:c r="D1531" t="str">
        <x:v>North</x:v>
      </x:c>
      <x:c r="E1531" t="str">
        <x:v>customer referral</x:v>
      </x:c>
      <x:c r="F1531" t="str">
        <x:v>CS-CLOUD</x:v>
      </x:c>
      <x:c r="G1531" t="str">
        <x:v>Professional Services</x:v>
      </x:c>
      <x:c r="H1531" t="str">
        <x:v>Mid-Market</x:v>
      </x:c>
      <x:c r="I1531" t="str">
        <x:v>Closed Won</x:v>
      </x:c>
      <x:c r="J1531" s="10" t="n">
        <x:v>46152</x:v>
      </x:c>
      <x:c r="K1531" s="10" t="n">
        <x:v>46152</x:v>
      </x:c>
      <x:c r="L1531" s="22" t="n">
        <x:v>29600</x:v>
      </x:c>
      <x:c r="M1531" s="24" t="n">
        <x:v>0.03</x:v>
      </x:c>
      <x:c r="N1531" s="24" t="n">
        <x:v>1</x:v>
      </x:c>
      <x:c r="O1531" t="str"/>
      <x:c r="P1531" t="n">
        <x:v>6</x:v>
      </x:c>
      <x:c r="Q1531" t="str">
        <x:f>IFERROR(XLOOKUP(E1531,Lookups!$A$5:$A$24,Lookups!$B$5:$B$24),"Other")</x:f>
        <x:v>Referral</x:v>
      </x:c>
      <x:c r="R1531" t="str">
        <x:f>IFERROR(XLOOKUP(F1531,Lookups!$D$5:$D$10,Lookups!$E$5:$E$10),"Unknown Product")</x:f>
        <x:v>Service Cloud</x:v>
      </x:c>
      <x:c r="S1531" t="str">
        <x:f>IFERROR(XLOOKUP(F1531,Lookups!$D$5:$D$10,Lookups!$F$5:$F$10),"Unknown")</x:f>
        <x:v>Customer Service</x:v>
      </x:c>
      <x:c r="T1531" t="str">
        <x:f>IF(L1531&gt;=50000,"Enterprise",IF(L1531&gt;=20000,"Mid-Market","SMB"))</x:f>
        <x:v>Mid-Market</x:v>
      </x:c>
      <x:c r="U1531" t="str">
        <x:f>IF(I1531="Closed Won","Won",IF(I1531="Closed Lost","Lost","Open"))</x:f>
        <x:v>Won</x:v>
      </x:c>
      <x:c r="V1531" s="22" t="n">
        <x:f>IF(U1531="Won",L1531*(1-M1531),0)</x:f>
        <x:v>28712</x:v>
      </x:c>
      <x:c r="W1531" s="22" t="n">
        <x:f>IF(U1531="Open",L1531*N1531,0)</x:f>
        <x:v>0</x:v>
      </x:c>
      <x:c r="X1531" s="26" t="n">
        <x:f>IF(U1531="Open","",IFERROR(K1531-B1531,""))</x:f>
        <x:v>101</x:v>
      </x:c>
      <x:c r="Y1531" s="26" t="n">
        <x:f>IF(U1531="Open",Lookups!$B$2-B1531,X1531)</x:f>
        <x:v>101</x:v>
      </x:c>
      <x:c r="Z1531" t="str">
        <x:f>IF(AND(U1531="Open",Y1531&gt;30),"STALE","OK")</x:f>
        <x:v>OK</x:v>
      </x:c>
      <x:c r="AA1531" t="str">
        <x:f>TEXT(B1531,"yyyy-mm")</x:f>
        <x:v>2026-01</x:v>
      </x:c>
      <x:c r="AB1531" t="str">
        <x:f>IF(K1531="","",TEXT(K1531,"yyyy-mm"))</x:f>
        <x:v>2026-05</x:v>
      </x:c>
      <x:c r="AC1531" t="str">
        <x:f>"Q"&amp;ROUNDUP(MONTH(B1531)/3,0)&amp;"-"&amp;YEAR(B1531)</x:f>
        <x:v>Q1-2026</x:v>
      </x:c>
      <x:c r="AD1531" s="26" t="n">
        <x:f>MIN(100,IF(H1531="Enterprise",30,IF(H1531="Mid-Market",22,14))+IF(T1531="Enterprise",25,IF(T1531="Mid-Market",18,10))+IF(Q1531="Referral",25,IF(Q1531="Organic Search",20,IF(Q1531="Email",18,14)))+IF(G1531="Technology",10,5))</x:f>
        <x:v>70</x:v>
      </x:c>
      <x:c r="AE1531" t="str">
        <x:f>IF(U1531&lt;&gt;"Open",U1531,IF(N1531&gt;=0.8,"Commit",IF(N1531&gt;=0.5,"Best Case","Pipeline")))</x:f>
        <x:v>Won</x:v>
      </x:c>
    </x:row>
    <x:row r="1532">
      <x:c r="A1532" t="str">
        <x:v>L01531</x:v>
      </x:c>
      <x:c r="B1532" s="10" t="n">
        <x:v>46199</x:v>
      </x:c>
      <x:c r="C1532" t="str">
        <x:v>Chi Le</x:v>
      </x:c>
      <x:c r="D1532" t="str">
        <x:v>South</x:v>
      </x:c>
      <x:c r="E1532" t="str">
        <x:v>Google Organic</x:v>
      </x:c>
      <x:c r="F1532" t="str">
        <x:v>BI-PLUS</x:v>
      </x:c>
      <x:c r="G1532" t="str">
        <x:v>Professional Services</x:v>
      </x:c>
      <x:c r="H1532" t="str">
        <x:v>SMB</x:v>
      </x:c>
      <x:c r="I1532" t="str">
        <x:v>Qualified</x:v>
      </x:c>
      <x:c r="J1532" s="10" t="n">
        <x:v>46228</x:v>
      </x:c>
      <x:c r="K1532" s="10"/>
      <x:c r="L1532" s="22" t="n">
        <x:v>20600</x:v>
      </x:c>
      <x:c r="M1532" s="24" t="n">
        <x:v>0.03</x:v>
      </x:c>
      <x:c r="N1532" s="24" t="n">
        <x:v>0.2</x:v>
      </x:c>
      <x:c r="O1532" t="str"/>
      <x:c r="P1532" t="n">
        <x:v>2</x:v>
      </x:c>
      <x:c r="Q1532" t="str">
        <x:f>IFERROR(XLOOKUP(E1532,Lookups!$A$5:$A$24,Lookups!$B$5:$B$24),"Other")</x:f>
        <x:v>Organic Search</x:v>
      </x:c>
      <x:c r="R1532" t="str">
        <x:f>IFERROR(XLOOKUP(F1532,Lookups!$D$5:$D$10,Lookups!$E$5:$E$10),"Unknown Product")</x:f>
        <x:v>Analytics Plus</x:v>
      </x:c>
      <x:c r="S1532" t="str">
        <x:f>IFERROR(XLOOKUP(F1532,Lookups!$D$5:$D$10,Lookups!$F$5:$F$10),"Unknown")</x:f>
        <x:v>Analytics</x:v>
      </x:c>
      <x:c r="T1532" t="str">
        <x:f>IF(L1532&gt;=50000,"Enterprise",IF(L1532&gt;=20000,"Mid-Market","SMB"))</x:f>
        <x:v>Mid-Market</x:v>
      </x:c>
      <x:c r="U1532" t="str">
        <x:f>IF(I1532="Closed Won","Won",IF(I1532="Closed Lost","Lost","Open"))</x:f>
        <x:v>Open</x:v>
      </x:c>
      <x:c r="V1532" s="22" t="n">
        <x:f>IF(U1532="Won",L1532*(1-M1532),0)</x:f>
        <x:v>0</x:v>
      </x:c>
      <x:c r="W1532" s="22" t="n">
        <x:f>IF(U1532="Open",L1532*N1532,0)</x:f>
        <x:v>4120</x:v>
      </x:c>
      <x:c r="X1532" s="26" t="str">
        <x:f>IF(U1532="Open","",IFERROR(K1532-B1532,""))</x:f>
      </x:c>
      <x:c r="Y1532" s="26" t="n">
        <x:f>IF(U1532="Open",Lookups!$B$2-B1532,X1532)</x:f>
        <x:v>67</x:v>
      </x:c>
      <x:c r="Z1532" t="str">
        <x:f>IF(AND(U1532="Open",Y1532&gt;30),"STALE","OK")</x:f>
        <x:v>STALE</x:v>
      </x:c>
      <x:c r="AA1532" t="str">
        <x:f>TEXT(B1532,"yyyy-mm")</x:f>
        <x:v>2026-06</x:v>
      </x:c>
      <x:c r="AB1532" t="str">
        <x:f>IF(K1532="","",TEXT(K1532,"yyyy-mm"))</x:f>
      </x:c>
      <x:c r="AC1532" t="str">
        <x:f>"Q"&amp;ROUNDUP(MONTH(B1532)/3,0)&amp;"-"&amp;YEAR(B1532)</x:f>
        <x:v>Q2-2026</x:v>
      </x:c>
      <x:c r="AD1532" s="26" t="n">
        <x:f>MIN(100,IF(H1532="Enterprise",30,IF(H1532="Mid-Market",22,14))+IF(T1532="Enterprise",25,IF(T1532="Mid-Market",18,10))+IF(Q1532="Referral",25,IF(Q1532="Organic Search",20,IF(Q1532="Email",18,14)))+IF(G1532="Technology",10,5))</x:f>
        <x:v>57</x:v>
      </x:c>
      <x:c r="AE1532" t="str">
        <x:f>IF(U1532&lt;&gt;"Open",U1532,IF(N1532&gt;=0.8,"Commit",IF(N1532&gt;=0.5,"Best Case","Pipeline")))</x:f>
        <x:v>Pipeline</x:v>
      </x:c>
    </x:row>
    <x:row r="1533">
      <x:c r="A1533" t="str">
        <x:v>L01532</x:v>
      </x:c>
      <x:c r="B1533" s="10" t="n">
        <x:v>46136</x:v>
      </x:c>
      <x:c r="C1533" t="str">
        <x:v>Minh Do</x:v>
      </x:c>
      <x:c r="D1533" t="str">
        <x:v>North</x:v>
      </x:c>
      <x:c r="E1533" t="str">
        <x:v>virtual event</x:v>
      </x:c>
      <x:c r="F1533" t="str">
        <x:v>CRM-CORE</x:v>
      </x:c>
      <x:c r="G1533" t="str">
        <x:v>Healthcare</x:v>
      </x:c>
      <x:c r="H1533" t="str">
        <x:v>Mid-Market</x:v>
      </x:c>
      <x:c r="I1533" t="str">
        <x:v>Closed Lost</x:v>
      </x:c>
      <x:c r="J1533" s="10" t="n">
        <x:v>46170</x:v>
      </x:c>
      <x:c r="K1533" s="10" t="n">
        <x:v>46170</x:v>
      </x:c>
      <x:c r="L1533" s="22" t="n">
        <x:v>12700</x:v>
      </x:c>
      <x:c r="M1533" s="24" t="n">
        <x:v>0</x:v>
      </x:c>
      <x:c r="N1533" s="24" t="n">
        <x:v>0</x:v>
      </x:c>
      <x:c r="O1533" t="str">
        <x:v>Budget</x:v>
      </x:c>
      <x:c r="P1533" t="n">
        <x:v>5</x:v>
      </x:c>
      <x:c r="Q1533" t="str">
        <x:f>IFERROR(XLOOKUP(E1533,Lookups!$A$5:$A$24,Lookups!$B$5:$B$24),"Other")</x:f>
        <x:v>Webinar</x:v>
      </x:c>
      <x:c r="R1533" t="str">
        <x:f>IFERROR(XLOOKUP(F1533,Lookups!$D$5:$D$10,Lookups!$E$5:$E$10),"Unknown Product")</x:f>
        <x:v>NexaCRM Core</x:v>
      </x:c>
      <x:c r="S1533" t="str">
        <x:f>IFERROR(XLOOKUP(F1533,Lookups!$D$5:$D$10,Lookups!$F$5:$F$10),"Unknown")</x:f>
        <x:v>CRM</x:v>
      </x:c>
      <x:c r="T1533" t="str">
        <x:f>IF(L1533&gt;=50000,"Enterprise",IF(L1533&gt;=20000,"Mid-Market","SMB"))</x:f>
        <x:v>SMB</x:v>
      </x:c>
      <x:c r="U1533" t="str">
        <x:f>IF(I1533="Closed Won","Won",IF(I1533="Closed Lost","Lost","Open"))</x:f>
        <x:v>Lost</x:v>
      </x:c>
      <x:c r="V1533" s="22" t="n">
        <x:f>IF(U1533="Won",L1533*(1-M1533),0)</x:f>
        <x:v>0</x:v>
      </x:c>
      <x:c r="W1533" s="22" t="n">
        <x:f>IF(U1533="Open",L1533*N1533,0)</x:f>
        <x:v>0</x:v>
      </x:c>
      <x:c r="X1533" s="26" t="n">
        <x:f>IF(U1533="Open","",IFERROR(K1533-B1533,""))</x:f>
        <x:v>34</x:v>
      </x:c>
      <x:c r="Y1533" s="26" t="n">
        <x:f>IF(U1533="Open",Lookups!$B$2-B1533,X1533)</x:f>
        <x:v>34</x:v>
      </x:c>
      <x:c r="Z1533" t="str">
        <x:f>IF(AND(U1533="Open",Y1533&gt;30),"STALE","OK")</x:f>
        <x:v>OK</x:v>
      </x:c>
      <x:c r="AA1533" t="str">
        <x:f>TEXT(B1533,"yyyy-mm")</x:f>
        <x:v>2026-04</x:v>
      </x:c>
      <x:c r="AB1533" t="str">
        <x:f>IF(K1533="","",TEXT(K1533,"yyyy-mm"))</x:f>
        <x:v>2026-05</x:v>
      </x:c>
      <x:c r="AC1533" t="str">
        <x:f>"Q"&amp;ROUNDUP(MONTH(B1533)/3,0)&amp;"-"&amp;YEAR(B1533)</x:f>
        <x:v>Q2-2026</x:v>
      </x:c>
      <x:c r="AD1533" s="26" t="n">
        <x:f>MIN(100,IF(H1533="Enterprise",30,IF(H1533="Mid-Market",22,14))+IF(T1533="Enterprise",25,IF(T1533="Mid-Market",18,10))+IF(Q1533="Referral",25,IF(Q1533="Organic Search",20,IF(Q1533="Email",18,14)))+IF(G1533="Technology",10,5))</x:f>
        <x:v>51</x:v>
      </x:c>
      <x:c r="AE1533" t="str">
        <x:f>IF(U1533&lt;&gt;"Open",U1533,IF(N1533&gt;=0.8,"Commit",IF(N1533&gt;=0.5,"Best Case","Pipeline")))</x:f>
        <x:v>Lost</x:v>
      </x:c>
    </x:row>
    <x:row r="1534">
      <x:c r="A1534" t="str">
        <x:v>L01533</x:v>
      </x:c>
      <x:c r="B1534" s="10" t="n">
        <x:v>46063</x:v>
      </x:c>
      <x:c r="C1534" t="str">
        <x:v>Tuan Bui</x:v>
      </x:c>
      <x:c r="D1534" t="str">
        <x:v>Central</x:v>
      </x:c>
      <x:c r="E1534" t="str">
        <x:v>Webinar</x:v>
      </x:c>
      <x:c r="F1534" t="str">
        <x:v>CS-CLOUD</x:v>
      </x:c>
      <x:c r="G1534" t="str">
        <x:v>Healthcare</x:v>
      </x:c>
      <x:c r="H1534" t="str">
        <x:v>Mid-Market</x:v>
      </x:c>
      <x:c r="I1534" t="str">
        <x:v>Closed Lost</x:v>
      </x:c>
      <x:c r="J1534" s="10" t="n">
        <x:v>46098</x:v>
      </x:c>
      <x:c r="K1534" s="10" t="n">
        <x:v>46098</x:v>
      </x:c>
      <x:c r="L1534" s="22" t="n">
        <x:v>47800</x:v>
      </x:c>
      <x:c r="M1534" s="24" t="n">
        <x:v>0</x:v>
      </x:c>
      <x:c r="N1534" s="24" t="n">
        <x:v>0</x:v>
      </x:c>
      <x:c r="O1534" t="str">
        <x:v>Feature Gap</x:v>
      </x:c>
      <x:c r="P1534" t="n">
        <x:v>4</x:v>
      </x:c>
      <x:c r="Q1534" t="str">
        <x:f>IFERROR(XLOOKUP(E1534,Lookups!$A$5:$A$24,Lookups!$B$5:$B$24),"Other")</x:f>
        <x:v>Webinar</x:v>
      </x:c>
      <x:c r="R1534" t="str">
        <x:f>IFERROR(XLOOKUP(F1534,Lookups!$D$5:$D$10,Lookups!$E$5:$E$10),"Unknown Product")</x:f>
        <x:v>Service Cloud</x:v>
      </x:c>
      <x:c r="S1534" t="str">
        <x:f>IFERROR(XLOOKUP(F1534,Lookups!$D$5:$D$10,Lookups!$F$5:$F$10),"Unknown")</x:f>
        <x:v>Customer Service</x:v>
      </x:c>
      <x:c r="T1534" t="str">
        <x:f>IF(L1534&gt;=50000,"Enterprise",IF(L1534&gt;=20000,"Mid-Market","SMB"))</x:f>
        <x:v>Mid-Market</x:v>
      </x:c>
      <x:c r="U1534" t="str">
        <x:f>IF(I1534="Closed Won","Won",IF(I1534="Closed Lost","Lost","Open"))</x:f>
        <x:v>Lost</x:v>
      </x:c>
      <x:c r="V1534" s="22" t="n">
        <x:f>IF(U1534="Won",L1534*(1-M1534),0)</x:f>
        <x:v>0</x:v>
      </x:c>
      <x:c r="W1534" s="22" t="n">
        <x:f>IF(U1534="Open",L1534*N1534,0)</x:f>
        <x:v>0</x:v>
      </x:c>
      <x:c r="X1534" s="26" t="n">
        <x:f>IF(U1534="Open","",IFERROR(K1534-B1534,""))</x:f>
        <x:v>35</x:v>
      </x:c>
      <x:c r="Y1534" s="26" t="n">
        <x:f>IF(U1534="Open",Lookups!$B$2-B1534,X1534)</x:f>
        <x:v>35</x:v>
      </x:c>
      <x:c r="Z1534" t="str">
        <x:f>IF(AND(U1534="Open",Y1534&gt;30),"STALE","OK")</x:f>
        <x:v>OK</x:v>
      </x:c>
      <x:c r="AA1534" t="str">
        <x:f>TEXT(B1534,"yyyy-mm")</x:f>
        <x:v>2026-02</x:v>
      </x:c>
      <x:c r="AB1534" t="str">
        <x:f>IF(K1534="","",TEXT(K1534,"yyyy-mm"))</x:f>
        <x:v>2026-03</x:v>
      </x:c>
      <x:c r="AC1534" t="str">
        <x:f>"Q"&amp;ROUNDUP(MONTH(B1534)/3,0)&amp;"-"&amp;YEAR(B1534)</x:f>
        <x:v>Q1-2026</x:v>
      </x:c>
      <x:c r="AD1534" s="26" t="n">
        <x:f>MIN(100,IF(H1534="Enterprise",30,IF(H1534="Mid-Market",22,14))+IF(T1534="Enterprise",25,IF(T1534="Mid-Market",18,10))+IF(Q1534="Referral",25,IF(Q1534="Organic Search",20,IF(Q1534="Email",18,14)))+IF(G1534="Technology",10,5))</x:f>
        <x:v>59</x:v>
      </x:c>
      <x:c r="AE1534" t="str">
        <x:f>IF(U1534&lt;&gt;"Open",U1534,IF(N1534&gt;=0.8,"Commit",IF(N1534&gt;=0.5,"Best Case","Pipeline")))</x:f>
        <x:v>Lost</x:v>
      </x:c>
    </x:row>
    <x:row r="1535">
      <x:c r="A1535" t="str">
        <x:v>L01534</x:v>
      </x:c>
      <x:c r="B1535" s="10" t="n">
        <x:v>46242</x:v>
      </x:c>
      <x:c r="C1535" t="str">
        <x:v>Duy Pham</x:v>
      </x:c>
      <x:c r="D1535" t="str">
        <x:v>South</x:v>
      </x:c>
      <x:c r="E1535" t="str">
        <x:v>email nurture</x:v>
      </x:c>
      <x:c r="F1535" t="str">
        <x:v>CRM-CORE</x:v>
      </x:c>
      <x:c r="G1535" t="str">
        <x:v>Professional Services</x:v>
      </x:c>
      <x:c r="H1535" t="str">
        <x:v>Mid-Market</x:v>
      </x:c>
      <x:c r="I1535" t="str">
        <x:v>Qualified</x:v>
      </x:c>
      <x:c r="J1535" s="10" t="n">
        <x:v>46261</x:v>
      </x:c>
      <x:c r="K1535" s="10"/>
      <x:c r="L1535" s="22" t="n">
        <x:v>9300</x:v>
      </x:c>
      <x:c r="M1535" s="24" t="n">
        <x:v>0</x:v>
      </x:c>
      <x:c r="N1535" s="24" t="n">
        <x:v>0.2</x:v>
      </x:c>
      <x:c r="O1535" t="str"/>
      <x:c r="P1535" t="n">
        <x:v>2</x:v>
      </x:c>
      <x:c r="Q1535" t="str">
        <x:f>IFERROR(XLOOKUP(E1535,Lookups!$A$5:$A$24,Lookups!$B$5:$B$24),"Other")</x:f>
        <x:v>Email</x:v>
      </x:c>
      <x:c r="R1535" t="str">
        <x:f>IFERROR(XLOOKUP(F1535,Lookups!$D$5:$D$10,Lookups!$E$5:$E$10),"Unknown Product")</x:f>
        <x:v>NexaCRM Core</x:v>
      </x:c>
      <x:c r="S1535" t="str">
        <x:f>IFERROR(XLOOKUP(F1535,Lookups!$D$5:$D$10,Lookups!$F$5:$F$10),"Unknown")</x:f>
        <x:v>CRM</x:v>
      </x:c>
      <x:c r="T1535" t="str">
        <x:f>IF(L1535&gt;=50000,"Enterprise",IF(L1535&gt;=20000,"Mid-Market","SMB"))</x:f>
        <x:v>SMB</x:v>
      </x:c>
      <x:c r="U1535" t="str">
        <x:f>IF(I1535="Closed Won","Won",IF(I1535="Closed Lost","Lost","Open"))</x:f>
        <x:v>Open</x:v>
      </x:c>
      <x:c r="V1535" s="22" t="n">
        <x:f>IF(U1535="Won",L1535*(1-M1535),0)</x:f>
        <x:v>0</x:v>
      </x:c>
      <x:c r="W1535" s="22" t="n">
        <x:f>IF(U1535="Open",L1535*N1535,0)</x:f>
        <x:v>1860</x:v>
      </x:c>
      <x:c r="X1535" s="26" t="str">
        <x:f>IF(U1535="Open","",IFERROR(K1535-B1535,""))</x:f>
      </x:c>
      <x:c r="Y1535" s="26" t="n">
        <x:f>IF(U1535="Open",Lookups!$B$2-B1535,X1535)</x:f>
        <x:v>24</x:v>
      </x:c>
      <x:c r="Z1535" t="str">
        <x:f>IF(AND(U1535="Open",Y1535&gt;30),"STALE","OK")</x:f>
        <x:v>OK</x:v>
      </x:c>
      <x:c r="AA1535" t="str">
        <x:f>TEXT(B1535,"yyyy-mm")</x:f>
        <x:v>2026-08</x:v>
      </x:c>
      <x:c r="AB1535" t="str">
        <x:f>IF(K1535="","",TEXT(K1535,"yyyy-mm"))</x:f>
      </x:c>
      <x:c r="AC1535" t="str">
        <x:f>"Q"&amp;ROUNDUP(MONTH(B1535)/3,0)&amp;"-"&amp;YEAR(B1535)</x:f>
        <x:v>Q3-2026</x:v>
      </x:c>
      <x:c r="AD1535" s="26" t="n">
        <x:f>MIN(100,IF(H1535="Enterprise",30,IF(H1535="Mid-Market",22,14))+IF(T1535="Enterprise",25,IF(T1535="Mid-Market",18,10))+IF(Q1535="Referral",25,IF(Q1535="Organic Search",20,IF(Q1535="Email",18,14)))+IF(G1535="Technology",10,5))</x:f>
        <x:v>55</x:v>
      </x:c>
      <x:c r="AE1535" t="str">
        <x:f>IF(U1535&lt;&gt;"Open",U1535,IF(N1535&gt;=0.8,"Commit",IF(N1535&gt;=0.5,"Best Case","Pipeline")))</x:f>
        <x:v>Pipeline</x:v>
      </x:c>
    </x:row>
    <x:row r="1536">
      <x:c r="A1536" t="str">
        <x:v>L01535</x:v>
      </x:c>
      <x:c r="B1536" s="10" t="n">
        <x:v>46231</x:v>
      </x:c>
      <x:c r="C1536" t="str">
        <x:v>An Nguyen</x:v>
      </x:c>
      <x:c r="D1536" t="str">
        <x:v>South</x:v>
      </x:c>
      <x:c r="E1536" t="str">
        <x:v>Outbound</x:v>
      </x:c>
      <x:c r="F1536" t="str">
        <x:v>CRM-PRO</x:v>
      </x:c>
      <x:c r="G1536" t="str">
        <x:v>Professional Services</x:v>
      </x:c>
      <x:c r="H1536" t="str">
        <x:v>SMB</x:v>
      </x:c>
      <x:c r="I1536" t="str">
        <x:v>Qualified</x:v>
      </x:c>
      <x:c r="J1536" s="10" t="n">
        <x:v>46246</x:v>
      </x:c>
      <x:c r="K1536" s="10"/>
      <x:c r="L1536" s="22" t="n">
        <x:v>13200</x:v>
      </x:c>
      <x:c r="M1536" s="24" t="n">
        <x:v>0.03</x:v>
      </x:c>
      <x:c r="N1536" s="24" t="n">
        <x:v>0.2</x:v>
      </x:c>
      <x:c r="O1536" t="str"/>
      <x:c r="P1536" t="n">
        <x:v>2</x:v>
      </x:c>
      <x:c r="Q1536" t="str">
        <x:f>IFERROR(XLOOKUP(E1536,Lookups!$A$5:$A$24,Lookups!$B$5:$B$24),"Other")</x:f>
        <x:v>Outbound</x:v>
      </x:c>
      <x:c r="R1536" t="str">
        <x:f>IFERROR(XLOOKUP(F1536,Lookups!$D$5:$D$10,Lookups!$E$5:$E$10),"Unknown Product")</x:f>
        <x:v>NexaCRM Pro</x:v>
      </x:c>
      <x:c r="S1536" t="str">
        <x:f>IFERROR(XLOOKUP(F1536,Lookups!$D$5:$D$10,Lookups!$F$5:$F$10),"Unknown")</x:f>
        <x:v>CRM</x:v>
      </x:c>
      <x:c r="T1536" t="str">
        <x:f>IF(L1536&gt;=50000,"Enterprise",IF(L1536&gt;=20000,"Mid-Market","SMB"))</x:f>
        <x:v>SMB</x:v>
      </x:c>
      <x:c r="U1536" t="str">
        <x:f>IF(I1536="Closed Won","Won",IF(I1536="Closed Lost","Lost","Open"))</x:f>
        <x:v>Open</x:v>
      </x:c>
      <x:c r="V1536" s="22" t="n">
        <x:f>IF(U1536="Won",L1536*(1-M1536),0)</x:f>
        <x:v>0</x:v>
      </x:c>
      <x:c r="W1536" s="22" t="n">
        <x:f>IF(U1536="Open",L1536*N1536,0)</x:f>
        <x:v>2640</x:v>
      </x:c>
      <x:c r="X1536" s="26" t="str">
        <x:f>IF(U1536="Open","",IFERROR(K1536-B1536,""))</x:f>
      </x:c>
      <x:c r="Y1536" s="26" t="n">
        <x:f>IF(U1536="Open",Lookups!$B$2-B1536,X1536)</x:f>
        <x:v>35</x:v>
      </x:c>
      <x:c r="Z1536" t="str">
        <x:f>IF(AND(U1536="Open",Y1536&gt;30),"STALE","OK")</x:f>
        <x:v>STALE</x:v>
      </x:c>
      <x:c r="AA1536" t="str">
        <x:f>TEXT(B1536,"yyyy-mm")</x:f>
        <x:v>2026-07</x:v>
      </x:c>
      <x:c r="AB1536" t="str">
        <x:f>IF(K1536="","",TEXT(K1536,"yyyy-mm"))</x:f>
      </x:c>
      <x:c r="AC1536" t="str">
        <x:f>"Q"&amp;ROUNDUP(MONTH(B1536)/3,0)&amp;"-"&amp;YEAR(B1536)</x:f>
        <x:v>Q3-2026</x:v>
      </x:c>
      <x:c r="AD1536" s="26" t="n">
        <x:f>MIN(100,IF(H1536="Enterprise",30,IF(H1536="Mid-Market",22,14))+IF(T1536="Enterprise",25,IF(T1536="Mid-Market",18,10))+IF(Q1536="Referral",25,IF(Q1536="Organic Search",20,IF(Q1536="Email",18,14)))+IF(G1536="Technology",10,5))</x:f>
        <x:v>43</x:v>
      </x:c>
      <x:c r="AE1536" t="str">
        <x:f>IF(U1536&lt;&gt;"Open",U1536,IF(N1536&gt;=0.8,"Commit",IF(N1536&gt;=0.5,"Best Case","Pipeline")))</x:f>
        <x:v>Pipeline</x:v>
      </x:c>
    </x:row>
    <x:row r="1537">
      <x:c r="A1537" t="str">
        <x:v>L01536</x:v>
      </x:c>
      <x:c r="B1537" s="10" t="n">
        <x:v>46232</x:v>
      </x:c>
      <x:c r="C1537" t="str">
        <x:v>Bao Tran</x:v>
      </x:c>
      <x:c r="D1537" t="str">
        <x:v>South</x:v>
      </x:c>
      <x:c r="E1537" t="str">
        <x:v>SEO</x:v>
      </x:c>
      <x:c r="F1537" t="str">
        <x:v>CRM-CORE</x:v>
      </x:c>
      <x:c r="G1537" t="str">
        <x:v>Manufacturing</x:v>
      </x:c>
      <x:c r="H1537" t="str">
        <x:v>SMB</x:v>
      </x:c>
      <x:c r="I1537" t="str">
        <x:v>New</x:v>
      </x:c>
      <x:c r="J1537" s="10" t="n">
        <x:v>46254</x:v>
      </x:c>
      <x:c r="K1537" s="10"/>
      <x:c r="L1537" s="22" t="n">
        <x:v>9600</x:v>
      </x:c>
      <x:c r="M1537" s="24" t="n">
        <x:v>0.03</x:v>
      </x:c>
      <x:c r="N1537" s="24" t="n">
        <x:v>0.05</x:v>
      </x:c>
      <x:c r="O1537" t="str"/>
      <x:c r="P1537" t="n">
        <x:v>1</x:v>
      </x:c>
      <x:c r="Q1537" t="str">
        <x:f>IFERROR(XLOOKUP(E1537,Lookups!$A$5:$A$24,Lookups!$B$5:$B$24),"Other")</x:f>
        <x:v>Organic Search</x:v>
      </x:c>
      <x:c r="R1537" t="str">
        <x:f>IFERROR(XLOOKUP(F1537,Lookups!$D$5:$D$10,Lookups!$E$5:$E$10),"Unknown Product")</x:f>
        <x:v>NexaCRM Core</x:v>
      </x:c>
      <x:c r="S1537" t="str">
        <x:f>IFERROR(XLOOKUP(F1537,Lookups!$D$5:$D$10,Lookups!$F$5:$F$10),"Unknown")</x:f>
        <x:v>CRM</x:v>
      </x:c>
      <x:c r="T1537" t="str">
        <x:f>IF(L1537&gt;=50000,"Enterprise",IF(L1537&gt;=20000,"Mid-Market","SMB"))</x:f>
        <x:v>SMB</x:v>
      </x:c>
      <x:c r="U1537" t="str">
        <x:f>IF(I1537="Closed Won","Won",IF(I1537="Closed Lost","Lost","Open"))</x:f>
        <x:v>Open</x:v>
      </x:c>
      <x:c r="V1537" s="22" t="n">
        <x:f>IF(U1537="Won",L1537*(1-M1537),0)</x:f>
        <x:v>0</x:v>
      </x:c>
      <x:c r="W1537" s="22" t="n">
        <x:f>IF(U1537="Open",L1537*N1537,0)</x:f>
        <x:v>480</x:v>
      </x:c>
      <x:c r="X1537" s="26" t="str">
        <x:f>IF(U1537="Open","",IFERROR(K1537-B1537,""))</x:f>
      </x:c>
      <x:c r="Y1537" s="26" t="n">
        <x:f>IF(U1537="Open",Lookups!$B$2-B1537,X1537)</x:f>
        <x:v>34</x:v>
      </x:c>
      <x:c r="Z1537" t="str">
        <x:f>IF(AND(U1537="Open",Y1537&gt;30),"STALE","OK")</x:f>
        <x:v>STALE</x:v>
      </x:c>
      <x:c r="AA1537" t="str">
        <x:f>TEXT(B1537,"yyyy-mm")</x:f>
        <x:v>2026-07</x:v>
      </x:c>
      <x:c r="AB1537" t="str">
        <x:f>IF(K1537="","",TEXT(K1537,"yyyy-mm"))</x:f>
      </x:c>
      <x:c r="AC1537" t="str">
        <x:f>"Q"&amp;ROUNDUP(MONTH(B1537)/3,0)&amp;"-"&amp;YEAR(B1537)</x:f>
        <x:v>Q3-2026</x:v>
      </x:c>
      <x:c r="AD1537" s="26" t="n">
        <x:f>MIN(100,IF(H1537="Enterprise",30,IF(H1537="Mid-Market",22,14))+IF(T1537="Enterprise",25,IF(T1537="Mid-Market",18,10))+IF(Q1537="Referral",25,IF(Q1537="Organic Search",20,IF(Q1537="Email",18,14)))+IF(G1537="Technology",10,5))</x:f>
        <x:v>49</x:v>
      </x:c>
      <x:c r="AE1537" t="str">
        <x:f>IF(U1537&lt;&gt;"Open",U1537,IF(N1537&gt;=0.8,"Commit",IF(N1537&gt;=0.5,"Best Case","Pipeline")))</x:f>
        <x:v>Pipeline</x:v>
      </x:c>
    </x:row>
    <x:row r="1538">
      <x:c r="A1538" t="str">
        <x:v>L01537</x:v>
      </x:c>
      <x:c r="B1538" s="10" t="n">
        <x:v>46255</x:v>
      </x:c>
      <x:c r="C1538" t="str">
        <x:v>Chi Le</x:v>
      </x:c>
      <x:c r="D1538" t="str">
        <x:v>South</x:v>
      </x:c>
      <x:c r="E1538" t="str">
        <x:v>Cold Email</x:v>
      </x:c>
      <x:c r="F1538" t="str">
        <x:v>MKT-AUTO</x:v>
      </x:c>
      <x:c r="G1538" t="str">
        <x:v>Education</x:v>
      </x:c>
      <x:c r="H1538" t="str">
        <x:v>Mid-Market</x:v>
      </x:c>
      <x:c r="I1538" t="str">
        <x:v>Closed Lost</x:v>
      </x:c>
      <x:c r="J1538" s="10" t="n">
        <x:v>46266</x:v>
      </x:c>
      <x:c r="K1538" s="10" t="n">
        <x:v>46266</x:v>
      </x:c>
      <x:c r="L1538" s="22" t="n">
        <x:v>25400</x:v>
      </x:c>
      <x:c r="M1538" s="24" t="n">
        <x:v>0</x:v>
      </x:c>
      <x:c r="N1538" s="24" t="n">
        <x:v>0</x:v>
      </x:c>
      <x:c r="O1538" t="str">
        <x:v>Budget</x:v>
      </x:c>
      <x:c r="P1538" t="n">
        <x:v>4</x:v>
      </x:c>
      <x:c r="Q1538" t="str">
        <x:f>IFERROR(XLOOKUP(E1538,Lookups!$A$5:$A$24,Lookups!$B$5:$B$24),"Other")</x:f>
        <x:v>Outbound</x:v>
      </x:c>
      <x:c r="R1538" t="str">
        <x:f>IFERROR(XLOOKUP(F1538,Lookups!$D$5:$D$10,Lookups!$E$5:$E$10),"Unknown Product")</x:f>
        <x:v>Marketing Automation</x:v>
      </x:c>
      <x:c r="S1538" t="str">
        <x:f>IFERROR(XLOOKUP(F1538,Lookups!$D$5:$D$10,Lookups!$F$5:$F$10),"Unknown")</x:f>
        <x:v>Marketing</x:v>
      </x:c>
      <x:c r="T1538" t="str">
        <x:f>IF(L1538&gt;=50000,"Enterprise",IF(L1538&gt;=20000,"Mid-Market","SMB"))</x:f>
        <x:v>Mid-Market</x:v>
      </x:c>
      <x:c r="U1538" t="str">
        <x:f>IF(I1538="Closed Won","Won",IF(I1538="Closed Lost","Lost","Open"))</x:f>
        <x:v>Lost</x:v>
      </x:c>
      <x:c r="V1538" s="22" t="n">
        <x:f>IF(U1538="Won",L1538*(1-M1538),0)</x:f>
        <x:v>0</x:v>
      </x:c>
      <x:c r="W1538" s="22" t="n">
        <x:f>IF(U1538="Open",L1538*N1538,0)</x:f>
        <x:v>0</x:v>
      </x:c>
      <x:c r="X1538" s="26" t="n">
        <x:f>IF(U1538="Open","",IFERROR(K1538-B1538,""))</x:f>
        <x:v>11</x:v>
      </x:c>
      <x:c r="Y1538" s="26" t="n">
        <x:f>IF(U1538="Open",Lookups!$B$2-B1538,X1538)</x:f>
        <x:v>11</x:v>
      </x:c>
      <x:c r="Z1538" t="str">
        <x:f>IF(AND(U1538="Open",Y1538&gt;30),"STALE","OK")</x:f>
        <x:v>OK</x:v>
      </x:c>
      <x:c r="AA1538" t="str">
        <x:f>TEXT(B1538,"yyyy-mm")</x:f>
        <x:v>2026-08</x:v>
      </x:c>
      <x:c r="AB1538" t="str">
        <x:f>IF(K1538="","",TEXT(K1538,"yyyy-mm"))</x:f>
        <x:v>2026-09</x:v>
      </x:c>
      <x:c r="AC1538" t="str">
        <x:f>"Q"&amp;ROUNDUP(MONTH(B1538)/3,0)&amp;"-"&amp;YEAR(B1538)</x:f>
        <x:v>Q3-2026</x:v>
      </x:c>
      <x:c r="AD1538" s="26" t="n">
        <x:f>MIN(100,IF(H1538="Enterprise",30,IF(H1538="Mid-Market",22,14))+IF(T1538="Enterprise",25,IF(T1538="Mid-Market",18,10))+IF(Q1538="Referral",25,IF(Q1538="Organic Search",20,IF(Q1538="Email",18,14)))+IF(G1538="Technology",10,5))</x:f>
        <x:v>59</x:v>
      </x:c>
      <x:c r="AE1538" t="str">
        <x:f>IF(U1538&lt;&gt;"Open",U1538,IF(N1538&gt;=0.8,"Commit",IF(N1538&gt;=0.5,"Best Case","Pipeline")))</x:f>
        <x:v>Lost</x:v>
      </x:c>
    </x:row>
    <x:row r="1539">
      <x:c r="A1539" t="str">
        <x:v>L01538</x:v>
      </x:c>
      <x:c r="B1539" s="10" t="n">
        <x:v>45810</x:v>
      </x:c>
      <x:c r="C1539" t="str">
        <x:v>Bao Tran</x:v>
      </x:c>
      <x:c r="D1539" t="str">
        <x:v>South</x:v>
      </x:c>
      <x:c r="E1539" t="str">
        <x:v>google cpc</x:v>
      </x:c>
      <x:c r="F1539" t="str">
        <x:v>CS-CLOUD</x:v>
      </x:c>
      <x:c r="G1539" t="str">
        <x:v>Retail</x:v>
      </x:c>
      <x:c r="H1539" t="str">
        <x:v>SMB</x:v>
      </x:c>
      <x:c r="I1539" t="str">
        <x:v>Closed Won</x:v>
      </x:c>
      <x:c r="J1539" s="10" t="n">
        <x:v>45837</x:v>
      </x:c>
      <x:c r="K1539" s="10" t="n">
        <x:v>45837</x:v>
      </x:c>
      <x:c r="L1539" s="22" t="n">
        <x:v>20600</x:v>
      </x:c>
      <x:c r="M1539" s="24" t="n">
        <x:v>0.1</x:v>
      </x:c>
      <x:c r="N1539" s="24" t="n">
        <x:v>1</x:v>
      </x:c>
      <x:c r="O1539" t="str"/>
      <x:c r="P1539" t="n">
        <x:v>6</x:v>
      </x:c>
      <x:c r="Q1539" t="str">
        <x:f>IFERROR(XLOOKUP(E1539,Lookups!$A$5:$A$24,Lookups!$B$5:$B$24),"Other")</x:f>
        <x:v>Paid Search</x:v>
      </x:c>
      <x:c r="R1539" t="str">
        <x:f>IFERROR(XLOOKUP(F1539,Lookups!$D$5:$D$10,Lookups!$E$5:$E$10),"Unknown Product")</x:f>
        <x:v>Service Cloud</x:v>
      </x:c>
      <x:c r="S1539" t="str">
        <x:f>IFERROR(XLOOKUP(F1539,Lookups!$D$5:$D$10,Lookups!$F$5:$F$10),"Unknown")</x:f>
        <x:v>Customer Service</x:v>
      </x:c>
      <x:c r="T1539" t="str">
        <x:f>IF(L1539&gt;=50000,"Enterprise",IF(L1539&gt;=20000,"Mid-Market","SMB"))</x:f>
        <x:v>Mid-Market</x:v>
      </x:c>
      <x:c r="U1539" t="str">
        <x:f>IF(I1539="Closed Won","Won",IF(I1539="Closed Lost","Lost","Open"))</x:f>
        <x:v>Won</x:v>
      </x:c>
      <x:c r="V1539" s="22" t="n">
        <x:f>IF(U1539="Won",L1539*(1-M1539),0)</x:f>
        <x:v>18540</x:v>
      </x:c>
      <x:c r="W1539" s="22" t="n">
        <x:f>IF(U1539="Open",L1539*N1539,0)</x:f>
        <x:v>0</x:v>
      </x:c>
      <x:c r="X1539" s="26" t="n">
        <x:f>IF(U1539="Open","",IFERROR(K1539-B1539,""))</x:f>
        <x:v>27</x:v>
      </x:c>
      <x:c r="Y1539" s="26" t="n">
        <x:f>IF(U1539="Open",Lookups!$B$2-B1539,X1539)</x:f>
        <x:v>27</x:v>
      </x:c>
      <x:c r="Z1539" t="str">
        <x:f>IF(AND(U1539="Open",Y1539&gt;30),"STALE","OK")</x:f>
        <x:v>OK</x:v>
      </x:c>
      <x:c r="AA1539" t="str">
        <x:f>TEXT(B1539,"yyyy-mm")</x:f>
        <x:v>2025-06</x:v>
      </x:c>
      <x:c r="AB1539" t="str">
        <x:f>IF(K1539="","",TEXT(K1539,"yyyy-mm"))</x:f>
        <x:v>2025-06</x:v>
      </x:c>
      <x:c r="AC1539" t="str">
        <x:f>"Q"&amp;ROUNDUP(MONTH(B1539)/3,0)&amp;"-"&amp;YEAR(B1539)</x:f>
        <x:v>Q2-2025</x:v>
      </x:c>
      <x:c r="AD1539" s="26" t="n">
        <x:f>MIN(100,IF(H1539="Enterprise",30,IF(H1539="Mid-Market",22,14))+IF(T1539="Enterprise",25,IF(T1539="Mid-Market",18,10))+IF(Q1539="Referral",25,IF(Q1539="Organic Search",20,IF(Q1539="Email",18,14)))+IF(G1539="Technology",10,5))</x:f>
        <x:v>51</x:v>
      </x:c>
      <x:c r="AE1539" t="str">
        <x:f>IF(U1539&lt;&gt;"Open",U1539,IF(N1539&gt;=0.8,"Commit",IF(N1539&gt;=0.5,"Best Case","Pipeline")))</x:f>
        <x:v>Won</x:v>
      </x:c>
    </x:row>
    <x:row r="1540">
      <x:c r="A1540" t="str">
        <x:v>L01539</x:v>
      </x:c>
      <x:c r="B1540" s="10" t="n">
        <x:v>45828</x:v>
      </x:c>
      <x:c r="C1540" t="str">
        <x:v>An Nguyen</x:v>
      </x:c>
      <x:c r="D1540" t="str">
        <x:v>South</x:v>
      </x:c>
      <x:c r="E1540" t="str">
        <x:v>Google Ads</x:v>
      </x:c>
      <x:c r="F1540" t="str">
        <x:v>MKT-AUTO</x:v>
      </x:c>
      <x:c r="G1540" t="str">
        <x:v>Healthcare</x:v>
      </x:c>
      <x:c r="H1540" t="str">
        <x:v>Mid-Market</x:v>
      </x:c>
      <x:c r="I1540" t="str">
        <x:v>Negotiation</x:v>
      </x:c>
      <x:c r="J1540" s="10" t="n">
        <x:v>46064</x:v>
      </x:c>
      <x:c r="K1540" s="10"/>
      <x:c r="L1540" s="22" t="n">
        <x:v>35500</x:v>
      </x:c>
      <x:c r="M1540" s="24" t="n">
        <x:v>0</x:v>
      </x:c>
      <x:c r="N1540" s="24" t="n">
        <x:v>0.85</x:v>
      </x:c>
      <x:c r="O1540" t="str"/>
      <x:c r="P1540" t="n">
        <x:v>5</x:v>
      </x:c>
      <x:c r="Q1540" t="str">
        <x:f>IFERROR(XLOOKUP(E1540,Lookups!$A$5:$A$24,Lookups!$B$5:$B$24),"Other")</x:f>
        <x:v>Paid Search</x:v>
      </x:c>
      <x:c r="R1540" t="str">
        <x:f>IFERROR(XLOOKUP(F1540,Lookups!$D$5:$D$10,Lookups!$E$5:$E$10),"Unknown Product")</x:f>
        <x:v>Marketing Automation</x:v>
      </x:c>
      <x:c r="S1540" t="str">
        <x:f>IFERROR(XLOOKUP(F1540,Lookups!$D$5:$D$10,Lookups!$F$5:$F$10),"Unknown")</x:f>
        <x:v>Marketing</x:v>
      </x:c>
      <x:c r="T1540" t="str">
        <x:f>IF(L1540&gt;=50000,"Enterprise",IF(L1540&gt;=20000,"Mid-Market","SMB"))</x:f>
        <x:v>Mid-Market</x:v>
      </x:c>
      <x:c r="U1540" t="str">
        <x:f>IF(I1540="Closed Won","Won",IF(I1540="Closed Lost","Lost","Open"))</x:f>
        <x:v>Open</x:v>
      </x:c>
      <x:c r="V1540" s="22" t="n">
        <x:f>IF(U1540="Won",L1540*(1-M1540),0)</x:f>
        <x:v>0</x:v>
      </x:c>
      <x:c r="W1540" s="22" t="n">
        <x:f>IF(U1540="Open",L1540*N1540,0)</x:f>
        <x:v>30175</x:v>
      </x:c>
      <x:c r="X1540" s="26" t="str">
        <x:f>IF(U1540="Open","",IFERROR(K1540-B1540,""))</x:f>
      </x:c>
      <x:c r="Y1540" s="26" t="n">
        <x:f>IF(U1540="Open",Lookups!$B$2-B1540,X1540)</x:f>
        <x:v>438</x:v>
      </x:c>
      <x:c r="Z1540" t="str">
        <x:f>IF(AND(U1540="Open",Y1540&gt;30),"STALE","OK")</x:f>
        <x:v>STALE</x:v>
      </x:c>
      <x:c r="AA1540" t="str">
        <x:f>TEXT(B1540,"yyyy-mm")</x:f>
        <x:v>2025-06</x:v>
      </x:c>
      <x:c r="AB1540" t="str">
        <x:f>IF(K1540="","",TEXT(K1540,"yyyy-mm"))</x:f>
      </x:c>
      <x:c r="AC1540" t="str">
        <x:f>"Q"&amp;ROUNDUP(MONTH(B1540)/3,0)&amp;"-"&amp;YEAR(B1540)</x:f>
        <x:v>Q2-2025</x:v>
      </x:c>
      <x:c r="AD1540" s="26" t="n">
        <x:f>MIN(100,IF(H1540="Enterprise",30,IF(H1540="Mid-Market",22,14))+IF(T1540="Enterprise",25,IF(T1540="Mid-Market",18,10))+IF(Q1540="Referral",25,IF(Q1540="Organic Search",20,IF(Q1540="Email",18,14)))+IF(G1540="Technology",10,5))</x:f>
        <x:v>59</x:v>
      </x:c>
      <x:c r="AE1540" t="str">
        <x:f>IF(U1540&lt;&gt;"Open",U1540,IF(N1540&gt;=0.8,"Commit",IF(N1540&gt;=0.5,"Best Case","Pipeline")))</x:f>
        <x:v>Commit</x:v>
      </x:c>
    </x:row>
    <x:row r="1541">
      <x:c r="A1541" t="str">
        <x:v>L01540</x:v>
      </x:c>
      <x:c r="B1541" s="10" t="n">
        <x:v>46188</x:v>
      </x:c>
      <x:c r="C1541" t="str">
        <x:v>Chi Le</x:v>
      </x:c>
      <x:c r="D1541" t="str">
        <x:v>South</x:v>
      </x:c>
      <x:c r="E1541" t="str">
        <x:v>virtual event</x:v>
      </x:c>
      <x:c r="F1541" t="str">
        <x:v>BI-PLUS</x:v>
      </x:c>
      <x:c r="G1541" t="str">
        <x:v>Retail</x:v>
      </x:c>
      <x:c r="H1541" t="str">
        <x:v>SMB</x:v>
      </x:c>
      <x:c r="I1541" t="str">
        <x:v>Demo / Meeting</x:v>
      </x:c>
      <x:c r="J1541" s="10" t="n">
        <x:v>46221</x:v>
      </x:c>
      <x:c r="K1541" s="10"/>
      <x:c r="L1541" s="22" t="n">
        <x:v>18200</x:v>
      </x:c>
      <x:c r="M1541" s="24" t="n">
        <x:v>0.05</x:v>
      </x:c>
      <x:c r="N1541" s="24" t="n">
        <x:v>0.4</x:v>
      </x:c>
      <x:c r="O1541" t="str"/>
      <x:c r="P1541" t="n">
        <x:v>3</x:v>
      </x:c>
      <x:c r="Q1541" t="str">
        <x:f>IFERROR(XLOOKUP(E1541,Lookups!$A$5:$A$24,Lookups!$B$5:$B$24),"Other")</x:f>
        <x:v>Webinar</x:v>
      </x:c>
      <x:c r="R1541" t="str">
        <x:f>IFERROR(XLOOKUP(F1541,Lookups!$D$5:$D$10,Lookups!$E$5:$E$10),"Unknown Product")</x:f>
        <x:v>Analytics Plus</x:v>
      </x:c>
      <x:c r="S1541" t="str">
        <x:f>IFERROR(XLOOKUP(F1541,Lookups!$D$5:$D$10,Lookups!$F$5:$F$10),"Unknown")</x:f>
        <x:v>Analytics</x:v>
      </x:c>
      <x:c r="T1541" t="str">
        <x:f>IF(L1541&gt;=50000,"Enterprise",IF(L1541&gt;=20000,"Mid-Market","SMB"))</x:f>
        <x:v>SMB</x:v>
      </x:c>
      <x:c r="U1541" t="str">
        <x:f>IF(I1541="Closed Won","Won",IF(I1541="Closed Lost","Lost","Open"))</x:f>
        <x:v>Open</x:v>
      </x:c>
      <x:c r="V1541" s="22" t="n">
        <x:f>IF(U1541="Won",L1541*(1-M1541),0)</x:f>
        <x:v>0</x:v>
      </x:c>
      <x:c r="W1541" s="22" t="n">
        <x:f>IF(U1541="Open",L1541*N1541,0)</x:f>
        <x:v>7280</x:v>
      </x:c>
      <x:c r="X1541" s="26" t="str">
        <x:f>IF(U1541="Open","",IFERROR(K1541-B1541,""))</x:f>
      </x:c>
      <x:c r="Y1541" s="26" t="n">
        <x:f>IF(U1541="Open",Lookups!$B$2-B1541,X1541)</x:f>
        <x:v>78</x:v>
      </x:c>
      <x:c r="Z1541" t="str">
        <x:f>IF(AND(U1541="Open",Y1541&gt;30),"STALE","OK")</x:f>
        <x:v>STALE</x:v>
      </x:c>
      <x:c r="AA1541" t="str">
        <x:f>TEXT(B1541,"yyyy-mm")</x:f>
        <x:v>2026-06</x:v>
      </x:c>
      <x:c r="AB1541" t="str">
        <x:f>IF(K1541="","",TEXT(K1541,"yyyy-mm"))</x:f>
      </x:c>
      <x:c r="AC1541" t="str">
        <x:f>"Q"&amp;ROUNDUP(MONTH(B1541)/3,0)&amp;"-"&amp;YEAR(B1541)</x:f>
        <x:v>Q2-2026</x:v>
      </x:c>
      <x:c r="AD1541" s="26" t="n">
        <x:f>MIN(100,IF(H1541="Enterprise",30,IF(H1541="Mid-Market",22,14))+IF(T1541="Enterprise",25,IF(T1541="Mid-Market",18,10))+IF(Q1541="Referral",25,IF(Q1541="Organic Search",20,IF(Q1541="Email",18,14)))+IF(G1541="Technology",10,5))</x:f>
        <x:v>43</x:v>
      </x:c>
      <x:c r="AE1541" t="str">
        <x:f>IF(U1541&lt;&gt;"Open",U1541,IF(N1541&gt;=0.8,"Commit",IF(N1541&gt;=0.5,"Best Case","Pipeline")))</x:f>
        <x:v>Pipeline</x:v>
      </x:c>
    </x:row>
    <x:row r="1542">
      <x:c r="A1542" t="str">
        <x:v>L01541</x:v>
      </x:c>
      <x:c r="B1542" s="10" t="n">
        <x:v>46205</x:v>
      </x:c>
      <x:c r="C1542" t="str">
        <x:v>Minh Do</x:v>
      </x:c>
      <x:c r="D1542" t="str">
        <x:v>North</x:v>
      </x:c>
      <x:c r="E1542" t="str">
        <x:v>SEO</x:v>
      </x:c>
      <x:c r="F1542" t="str">
        <x:v>CS-CLOUD</x:v>
      </x:c>
      <x:c r="G1542" t="str">
        <x:v>Manufacturing</x:v>
      </x:c>
      <x:c r="H1542" t="str">
        <x:v>SMB</x:v>
      </x:c>
      <x:c r="I1542" t="str">
        <x:v>Closed Lost</x:v>
      </x:c>
      <x:c r="J1542" s="10" t="n">
        <x:v>46213</x:v>
      </x:c>
      <x:c r="K1542" s="10" t="n">
        <x:v>46213</x:v>
      </x:c>
      <x:c r="L1542" s="22" t="n">
        <x:v>18500</x:v>
      </x:c>
      <x:c r="M1542" s="24" t="n">
        <x:v>0</x:v>
      </x:c>
      <x:c r="N1542" s="24" t="n">
        <x:v>0</x:v>
      </x:c>
      <x:c r="O1542" t="str">
        <x:v>No Decision</x:v>
      </x:c>
      <x:c r="P1542" t="n">
        <x:v>2</x:v>
      </x:c>
      <x:c r="Q1542" t="str">
        <x:f>IFERROR(XLOOKUP(E1542,Lookups!$A$5:$A$24,Lookups!$B$5:$B$24),"Other")</x:f>
        <x:v>Organic Search</x:v>
      </x:c>
      <x:c r="R1542" t="str">
        <x:f>IFERROR(XLOOKUP(F1542,Lookups!$D$5:$D$10,Lookups!$E$5:$E$10),"Unknown Product")</x:f>
        <x:v>Service Cloud</x:v>
      </x:c>
      <x:c r="S1542" t="str">
        <x:f>IFERROR(XLOOKUP(F1542,Lookups!$D$5:$D$10,Lookups!$F$5:$F$10),"Unknown")</x:f>
        <x:v>Customer Service</x:v>
      </x:c>
      <x:c r="T1542" t="str">
        <x:f>IF(L1542&gt;=50000,"Enterprise",IF(L1542&gt;=20000,"Mid-Market","SMB"))</x:f>
        <x:v>SMB</x:v>
      </x:c>
      <x:c r="U1542" t="str">
        <x:f>IF(I1542="Closed Won","Won",IF(I1542="Closed Lost","Lost","Open"))</x:f>
        <x:v>Lost</x:v>
      </x:c>
      <x:c r="V1542" s="22" t="n">
        <x:f>IF(U1542="Won",L1542*(1-M1542),0)</x:f>
        <x:v>0</x:v>
      </x:c>
      <x:c r="W1542" s="22" t="n">
        <x:f>IF(U1542="Open",L1542*N1542,0)</x:f>
        <x:v>0</x:v>
      </x:c>
      <x:c r="X1542" s="26" t="n">
        <x:f>IF(U1542="Open","",IFERROR(K1542-B1542,""))</x:f>
        <x:v>8</x:v>
      </x:c>
      <x:c r="Y1542" s="26" t="n">
        <x:f>IF(U1542="Open",Lookups!$B$2-B1542,X1542)</x:f>
        <x:v>8</x:v>
      </x:c>
      <x:c r="Z1542" t="str">
        <x:f>IF(AND(U1542="Open",Y1542&gt;30),"STALE","OK")</x:f>
        <x:v>OK</x:v>
      </x:c>
      <x:c r="AA1542" t="str">
        <x:f>TEXT(B1542,"yyyy-mm")</x:f>
        <x:v>2026-07</x:v>
      </x:c>
      <x:c r="AB1542" t="str">
        <x:f>IF(K1542="","",TEXT(K1542,"yyyy-mm"))</x:f>
        <x:v>2026-07</x:v>
      </x:c>
      <x:c r="AC1542" t="str">
        <x:f>"Q"&amp;ROUNDUP(MONTH(B1542)/3,0)&amp;"-"&amp;YEAR(B1542)</x:f>
        <x:v>Q3-2026</x:v>
      </x:c>
      <x:c r="AD1542" s="26" t="n">
        <x:f>MIN(100,IF(H1542="Enterprise",30,IF(H1542="Mid-Market",22,14))+IF(T1542="Enterprise",25,IF(T1542="Mid-Market",18,10))+IF(Q1542="Referral",25,IF(Q1542="Organic Search",20,IF(Q1542="Email",18,14)))+IF(G1542="Technology",10,5))</x:f>
        <x:v>49</x:v>
      </x:c>
      <x:c r="AE1542" t="str">
        <x:f>IF(U1542&lt;&gt;"Open",U1542,IF(N1542&gt;=0.8,"Commit",IF(N1542&gt;=0.5,"Best Case","Pipeline")))</x:f>
        <x:v>Lost</x:v>
      </x:c>
    </x:row>
    <x:row r="1543">
      <x:c r="A1543" t="str">
        <x:v>L01542</x:v>
      </x:c>
      <x:c r="B1543" s="10" t="n">
        <x:v>45813</x:v>
      </x:c>
      <x:c r="C1543" t="str">
        <x:v>Bao Tran</x:v>
      </x:c>
      <x:c r="D1543" t="str">
        <x:v>South</x:v>
      </x:c>
      <x:c r="E1543" t="str">
        <x:v>Google Ads</x:v>
      </x:c>
      <x:c r="F1543" t="str">
        <x:v>CS-CLOUD</x:v>
      </x:c>
      <x:c r="G1543" t="str">
        <x:v>Professional Services</x:v>
      </x:c>
      <x:c r="H1543" t="str">
        <x:v>SMB</x:v>
      </x:c>
      <x:c r="I1543" t="str">
        <x:v>Closed Lost</x:v>
      </x:c>
      <x:c r="J1543" s="10" t="n">
        <x:v>45853</x:v>
      </x:c>
      <x:c r="K1543" s="10" t="n">
        <x:v>45853</x:v>
      </x:c>
      <x:c r="L1543" s="22" t="n">
        <x:v>18200</x:v>
      </x:c>
      <x:c r="M1543" s="24" t="n">
        <x:v>0</x:v>
      </x:c>
      <x:c r="N1543" s="24" t="n">
        <x:v>0</x:v>
      </x:c>
      <x:c r="O1543" t="str">
        <x:v>Budget</x:v>
      </x:c>
      <x:c r="P1543" t="n">
        <x:v>5</x:v>
      </x:c>
      <x:c r="Q1543" t="str">
        <x:f>IFERROR(XLOOKUP(E1543,Lookups!$A$5:$A$24,Lookups!$B$5:$B$24),"Other")</x:f>
        <x:v>Paid Search</x:v>
      </x:c>
      <x:c r="R1543" t="str">
        <x:f>IFERROR(XLOOKUP(F1543,Lookups!$D$5:$D$10,Lookups!$E$5:$E$10),"Unknown Product")</x:f>
        <x:v>Service Cloud</x:v>
      </x:c>
      <x:c r="S1543" t="str">
        <x:f>IFERROR(XLOOKUP(F1543,Lookups!$D$5:$D$10,Lookups!$F$5:$F$10),"Unknown")</x:f>
        <x:v>Customer Service</x:v>
      </x:c>
      <x:c r="T1543" t="str">
        <x:f>IF(L1543&gt;=50000,"Enterprise",IF(L1543&gt;=20000,"Mid-Market","SMB"))</x:f>
        <x:v>SMB</x:v>
      </x:c>
      <x:c r="U1543" t="str">
        <x:f>IF(I1543="Closed Won","Won",IF(I1543="Closed Lost","Lost","Open"))</x:f>
        <x:v>Lost</x:v>
      </x:c>
      <x:c r="V1543" s="22" t="n">
        <x:f>IF(U1543="Won",L1543*(1-M1543),0)</x:f>
        <x:v>0</x:v>
      </x:c>
      <x:c r="W1543" s="22" t="n">
        <x:f>IF(U1543="Open",L1543*N1543,0)</x:f>
        <x:v>0</x:v>
      </x:c>
      <x:c r="X1543" s="26" t="n">
        <x:f>IF(U1543="Open","",IFERROR(K1543-B1543,""))</x:f>
        <x:v>40</x:v>
      </x:c>
      <x:c r="Y1543" s="26" t="n">
        <x:f>IF(U1543="Open",Lookups!$B$2-B1543,X1543)</x:f>
        <x:v>40</x:v>
      </x:c>
      <x:c r="Z1543" t="str">
        <x:f>IF(AND(U1543="Open",Y1543&gt;30),"STALE","OK")</x:f>
        <x:v>OK</x:v>
      </x:c>
      <x:c r="AA1543" t="str">
        <x:f>TEXT(B1543,"yyyy-mm")</x:f>
        <x:v>2025-06</x:v>
      </x:c>
      <x:c r="AB1543" t="str">
        <x:f>IF(K1543="","",TEXT(K1543,"yyyy-mm"))</x:f>
        <x:v>2025-07</x:v>
      </x:c>
      <x:c r="AC1543" t="str">
        <x:f>"Q"&amp;ROUNDUP(MONTH(B1543)/3,0)&amp;"-"&amp;YEAR(B1543)</x:f>
        <x:v>Q2-2025</x:v>
      </x:c>
      <x:c r="AD1543" s="26" t="n">
        <x:f>MIN(100,IF(H1543="Enterprise",30,IF(H1543="Mid-Market",22,14))+IF(T1543="Enterprise",25,IF(T1543="Mid-Market",18,10))+IF(Q1543="Referral",25,IF(Q1543="Organic Search",20,IF(Q1543="Email",18,14)))+IF(G1543="Technology",10,5))</x:f>
        <x:v>43</x:v>
      </x:c>
      <x:c r="AE1543" t="str">
        <x:f>IF(U1543&lt;&gt;"Open",U1543,IF(N1543&gt;=0.8,"Commit",IF(N1543&gt;=0.5,"Best Case","Pipeline")))</x:f>
        <x:v>Lost</x:v>
      </x:c>
    </x:row>
    <x:row r="1544">
      <x:c r="A1544" t="str">
        <x:v>L01543</x:v>
      </x:c>
      <x:c r="B1544" s="10" t="n">
        <x:v>46077</x:v>
      </x:c>
      <x:c r="C1544" t="str">
        <x:v>Duy Pham</x:v>
      </x:c>
      <x:c r="D1544" t="str">
        <x:v>South</x:v>
      </x:c>
      <x:c r="E1544" t="str">
        <x:v>SEO</x:v>
      </x:c>
      <x:c r="F1544" t="str">
        <x:v>CRM-CORE</x:v>
      </x:c>
      <x:c r="G1544" t="str">
        <x:v>Manufacturing</x:v>
      </x:c>
      <x:c r="H1544" t="str">
        <x:v>Enterprise</x:v>
      </x:c>
      <x:c r="I1544" t="str">
        <x:v>Negotiation</x:v>
      </x:c>
      <x:c r="J1544" s="10" t="n">
        <x:v>46174</x:v>
      </x:c>
      <x:c r="K1544" s="10"/>
      <x:c r="L1544" s="22" t="n">
        <x:v>21400</x:v>
      </x:c>
      <x:c r="M1544" s="24" t="n">
        <x:v>0.03</x:v>
      </x:c>
      <x:c r="N1544" s="24" t="n">
        <x:v>0.85</x:v>
      </x:c>
      <x:c r="O1544" t="str"/>
      <x:c r="P1544" t="n">
        <x:v>5</x:v>
      </x:c>
      <x:c r="Q1544" t="str">
        <x:f>IFERROR(XLOOKUP(E1544,Lookups!$A$5:$A$24,Lookups!$B$5:$B$24),"Other")</x:f>
        <x:v>Organic Search</x:v>
      </x:c>
      <x:c r="R1544" t="str">
        <x:f>IFERROR(XLOOKUP(F1544,Lookups!$D$5:$D$10,Lookups!$E$5:$E$10),"Unknown Product")</x:f>
        <x:v>NexaCRM Core</x:v>
      </x:c>
      <x:c r="S1544" t="str">
        <x:f>IFERROR(XLOOKUP(F1544,Lookups!$D$5:$D$10,Lookups!$F$5:$F$10),"Unknown")</x:f>
        <x:v>CRM</x:v>
      </x:c>
      <x:c r="T1544" t="str">
        <x:f>IF(L1544&gt;=50000,"Enterprise",IF(L1544&gt;=20000,"Mid-Market","SMB"))</x:f>
        <x:v>Mid-Market</x:v>
      </x:c>
      <x:c r="U1544" t="str">
        <x:f>IF(I1544="Closed Won","Won",IF(I1544="Closed Lost","Lost","Open"))</x:f>
        <x:v>Open</x:v>
      </x:c>
      <x:c r="V1544" s="22" t="n">
        <x:f>IF(U1544="Won",L1544*(1-M1544),0)</x:f>
        <x:v>0</x:v>
      </x:c>
      <x:c r="W1544" s="22" t="n">
        <x:f>IF(U1544="Open",L1544*N1544,0)</x:f>
        <x:v>18190</x:v>
      </x:c>
      <x:c r="X1544" s="26" t="str">
        <x:f>IF(U1544="Open","",IFERROR(K1544-B1544,""))</x:f>
      </x:c>
      <x:c r="Y1544" s="26" t="n">
        <x:f>IF(U1544="Open",Lookups!$B$2-B1544,X1544)</x:f>
        <x:v>189</x:v>
      </x:c>
      <x:c r="Z1544" t="str">
        <x:f>IF(AND(U1544="Open",Y1544&gt;30),"STALE","OK")</x:f>
        <x:v>STALE</x:v>
      </x:c>
      <x:c r="AA1544" t="str">
        <x:f>TEXT(B1544,"yyyy-mm")</x:f>
        <x:v>2026-02</x:v>
      </x:c>
      <x:c r="AB1544" t="str">
        <x:f>IF(K1544="","",TEXT(K1544,"yyyy-mm"))</x:f>
      </x:c>
      <x:c r="AC1544" t="str">
        <x:f>"Q"&amp;ROUNDUP(MONTH(B1544)/3,0)&amp;"-"&amp;YEAR(B1544)</x:f>
        <x:v>Q1-2026</x:v>
      </x:c>
      <x:c r="AD1544" s="26" t="n">
        <x:f>MIN(100,IF(H1544="Enterprise",30,IF(H1544="Mid-Market",22,14))+IF(T1544="Enterprise",25,IF(T1544="Mid-Market",18,10))+IF(Q1544="Referral",25,IF(Q1544="Organic Search",20,IF(Q1544="Email",18,14)))+IF(G1544="Technology",10,5))</x:f>
        <x:v>73</x:v>
      </x:c>
      <x:c r="AE1544" t="str">
        <x:f>IF(U1544&lt;&gt;"Open",U1544,IF(N1544&gt;=0.8,"Commit",IF(N1544&gt;=0.5,"Best Case","Pipeline")))</x:f>
        <x:v>Commit</x:v>
      </x:c>
    </x:row>
    <x:row r="1545">
      <x:c r="A1545" t="str">
        <x:v>L01544</x:v>
      </x:c>
      <x:c r="B1545" s="10" t="n">
        <x:v>45899</x:v>
      </x:c>
      <x:c r="C1545" t="str">
        <x:v>An Nguyen</x:v>
      </x:c>
      <x:c r="D1545" t="str">
        <x:v>South</x:v>
      </x:c>
      <x:c r="E1545" t="str">
        <x:v>SDR Outreach</x:v>
      </x:c>
      <x:c r="F1545" t="str">
        <x:v>CRM-CORE</x:v>
      </x:c>
      <x:c r="G1545" t="str">
        <x:v>Healthcare</x:v>
      </x:c>
      <x:c r="H1545" t="str">
        <x:v>Enterprise</x:v>
      </x:c>
      <x:c r="I1545" t="str">
        <x:v>Closed Lost</x:v>
      </x:c>
      <x:c r="J1545" s="10" t="n">
        <x:v>45963</x:v>
      </x:c>
      <x:c r="K1545" s="10" t="n">
        <x:v>45963</x:v>
      </x:c>
      <x:c r="L1545" s="22" t="n">
        <x:v>24600</x:v>
      </x:c>
      <x:c r="M1545" s="24" t="n">
        <x:v>0</x:v>
      </x:c>
      <x:c r="N1545" s="24" t="n">
        <x:v>0</x:v>
      </x:c>
      <x:c r="O1545" t="str">
        <x:v>No Decision</x:v>
      </x:c>
      <x:c r="P1545" t="n">
        <x:v>2</x:v>
      </x:c>
      <x:c r="Q1545" t="str">
        <x:f>IFERROR(XLOOKUP(E1545,Lookups!$A$5:$A$24,Lookups!$B$5:$B$24),"Other")</x:f>
        <x:v>Outbound</x:v>
      </x:c>
      <x:c r="R1545" t="str">
        <x:f>IFERROR(XLOOKUP(F1545,Lookups!$D$5:$D$10,Lookups!$E$5:$E$10),"Unknown Product")</x:f>
        <x:v>NexaCRM Core</x:v>
      </x:c>
      <x:c r="S1545" t="str">
        <x:f>IFERROR(XLOOKUP(F1545,Lookups!$D$5:$D$10,Lookups!$F$5:$F$10),"Unknown")</x:f>
        <x:v>CRM</x:v>
      </x:c>
      <x:c r="T1545" t="str">
        <x:f>IF(L1545&gt;=50000,"Enterprise",IF(L1545&gt;=20000,"Mid-Market","SMB"))</x:f>
        <x:v>Mid-Market</x:v>
      </x:c>
      <x:c r="U1545" t="str">
        <x:f>IF(I1545="Closed Won","Won",IF(I1545="Closed Lost","Lost","Open"))</x:f>
        <x:v>Lost</x:v>
      </x:c>
      <x:c r="V1545" s="22" t="n">
        <x:f>IF(U1545="Won",L1545*(1-M1545),0)</x:f>
        <x:v>0</x:v>
      </x:c>
      <x:c r="W1545" s="22" t="n">
        <x:f>IF(U1545="Open",L1545*N1545,0)</x:f>
        <x:v>0</x:v>
      </x:c>
      <x:c r="X1545" s="26" t="n">
        <x:f>IF(U1545="Open","",IFERROR(K1545-B1545,""))</x:f>
        <x:v>64</x:v>
      </x:c>
      <x:c r="Y1545" s="26" t="n">
        <x:f>IF(U1545="Open",Lookups!$B$2-B1545,X1545)</x:f>
        <x:v>64</x:v>
      </x:c>
      <x:c r="Z1545" t="str">
        <x:f>IF(AND(U1545="Open",Y1545&gt;30),"STALE","OK")</x:f>
        <x:v>OK</x:v>
      </x:c>
      <x:c r="AA1545" t="str">
        <x:f>TEXT(B1545,"yyyy-mm")</x:f>
        <x:v>2025-08</x:v>
      </x:c>
      <x:c r="AB1545" t="str">
        <x:f>IF(K1545="","",TEXT(K1545,"yyyy-mm"))</x:f>
        <x:v>2025-11</x:v>
      </x:c>
      <x:c r="AC1545" t="str">
        <x:f>"Q"&amp;ROUNDUP(MONTH(B1545)/3,0)&amp;"-"&amp;YEAR(B1545)</x:f>
        <x:v>Q3-2025</x:v>
      </x:c>
      <x:c r="AD1545" s="26" t="n">
        <x:f>MIN(100,IF(H1545="Enterprise",30,IF(H1545="Mid-Market",22,14))+IF(T1545="Enterprise",25,IF(T1545="Mid-Market",18,10))+IF(Q1545="Referral",25,IF(Q1545="Organic Search",20,IF(Q1545="Email",18,14)))+IF(G1545="Technology",10,5))</x:f>
        <x:v>67</x:v>
      </x:c>
      <x:c r="AE1545" t="str">
        <x:f>IF(U1545&lt;&gt;"Open",U1545,IF(N1545&gt;=0.8,"Commit",IF(N1545&gt;=0.5,"Best Case","Pipeline")))</x:f>
        <x:v>Lost</x:v>
      </x:c>
    </x:row>
    <x:row r="1546">
      <x:c r="A1546" t="str">
        <x:v>L01545</x:v>
      </x:c>
      <x:c r="B1546" s="10" t="n">
        <x:v>46009</x:v>
      </x:c>
      <x:c r="C1546" t="str">
        <x:v>Ha Vo</x:v>
      </x:c>
      <x:c r="D1546" t="str">
        <x:v>North</x:v>
      </x:c>
      <x:c r="E1546" t="str">
        <x:v>linkedin</x:v>
      </x:c>
      <x:c r="F1546" t="str">
        <x:v>REV-OPS</x:v>
      </x:c>
      <x:c r="G1546" t="str">
        <x:v>Professional Services</x:v>
      </x:c>
      <x:c r="H1546" t="str">
        <x:v>SMB</x:v>
      </x:c>
      <x:c r="I1546" t="str">
        <x:v>Closed Lost</x:v>
      </x:c>
      <x:c r="J1546" s="10" t="n">
        <x:v>46017</x:v>
      </x:c>
      <x:c r="K1546" s="10" t="n">
        <x:v>46017</x:v>
      </x:c>
      <x:c r="L1546" s="22" t="n">
        <x:v>38100</x:v>
      </x:c>
      <x:c r="M1546" s="24" t="n">
        <x:v>0</x:v>
      </x:c>
      <x:c r="N1546" s="24" t="n">
        <x:v>0</x:v>
      </x:c>
      <x:c r="O1546" t="str">
        <x:v>Competitor</x:v>
      </x:c>
      <x:c r="P1546" t="n">
        <x:v>2</x:v>
      </x:c>
      <x:c r="Q1546" t="str">
        <x:f>IFERROR(XLOOKUP(E1546,Lookups!$A$5:$A$24,Lookups!$B$5:$B$24),"Other")</x:f>
        <x:v>LinkedIn</x:v>
      </x:c>
      <x:c r="R1546" t="str">
        <x:f>IFERROR(XLOOKUP(F1546,Lookups!$D$5:$D$10,Lookups!$E$5:$E$10),"Unknown Product")</x:f>
        <x:v>Revenue Operations Suite</x:v>
      </x:c>
      <x:c r="S1546" t="str">
        <x:f>IFERROR(XLOOKUP(F1546,Lookups!$D$5:$D$10,Lookups!$F$5:$F$10),"Unknown")</x:f>
        <x:v>Revenue Ops</x:v>
      </x:c>
      <x:c r="T1546" t="str">
        <x:f>IF(L1546&gt;=50000,"Enterprise",IF(L1546&gt;=20000,"Mid-Market","SMB"))</x:f>
        <x:v>Mid-Market</x:v>
      </x:c>
      <x:c r="U1546" t="str">
        <x:f>IF(I1546="Closed Won","Won",IF(I1546="Closed Lost","Lost","Open"))</x:f>
        <x:v>Lost</x:v>
      </x:c>
      <x:c r="V1546" s="22" t="n">
        <x:f>IF(U1546="Won",L1546*(1-M1546),0)</x:f>
        <x:v>0</x:v>
      </x:c>
      <x:c r="W1546" s="22" t="n">
        <x:f>IF(U1546="Open",L1546*N1546,0)</x:f>
        <x:v>0</x:v>
      </x:c>
      <x:c r="X1546" s="26" t="n">
        <x:f>IF(U1546="Open","",IFERROR(K1546-B1546,""))</x:f>
        <x:v>8</x:v>
      </x:c>
      <x:c r="Y1546" s="26" t="n">
        <x:f>IF(U1546="Open",Lookups!$B$2-B1546,X1546)</x:f>
        <x:v>8</x:v>
      </x:c>
      <x:c r="Z1546" t="str">
        <x:f>IF(AND(U1546="Open",Y1546&gt;30),"STALE","OK")</x:f>
        <x:v>OK</x:v>
      </x:c>
      <x:c r="AA1546" t="str">
        <x:f>TEXT(B1546,"yyyy-mm")</x:f>
        <x:v>2025-12</x:v>
      </x:c>
      <x:c r="AB1546" t="str">
        <x:f>IF(K1546="","",TEXT(K1546,"yyyy-mm"))</x:f>
        <x:v>2025-12</x:v>
      </x:c>
      <x:c r="AC1546" t="str">
        <x:f>"Q"&amp;ROUNDUP(MONTH(B1546)/3,0)&amp;"-"&amp;YEAR(B1546)</x:f>
        <x:v>Q4-2025</x:v>
      </x:c>
      <x:c r="AD1546" s="26" t="n">
        <x:f>MIN(100,IF(H1546="Enterprise",30,IF(H1546="Mid-Market",22,14))+IF(T1546="Enterprise",25,IF(T1546="Mid-Market",18,10))+IF(Q1546="Referral",25,IF(Q1546="Organic Search",20,IF(Q1546="Email",18,14)))+IF(G1546="Technology",10,5))</x:f>
        <x:v>51</x:v>
      </x:c>
      <x:c r="AE1546" t="str">
        <x:f>IF(U1546&lt;&gt;"Open",U1546,IF(N1546&gt;=0.8,"Commit",IF(N1546&gt;=0.5,"Best Case","Pipeline")))</x:f>
        <x:v>Lost</x:v>
      </x:c>
    </x:row>
    <x:row r="1547">
      <x:c r="A1547" t="str">
        <x:v>L01546</x:v>
      </x:c>
      <x:c r="B1547" s="10" t="n">
        <x:v>45709</x:v>
      </x:c>
      <x:c r="C1547" t="str">
        <x:v>Minh Do</x:v>
      </x:c>
      <x:c r="D1547" t="str">
        <x:v>North</x:v>
      </x:c>
      <x:c r="E1547" t="str">
        <x:v>Email Campaign</x:v>
      </x:c>
      <x:c r="F1547" t="str">
        <x:v>CS-CLOUD</x:v>
      </x:c>
      <x:c r="G1547" t="str">
        <x:v>Financial Services</x:v>
      </x:c>
      <x:c r="H1547" t="str">
        <x:v>Enterprise</x:v>
      </x:c>
      <x:c r="I1547" t="str">
        <x:v>Closed Lost</x:v>
      </x:c>
      <x:c r="J1547" s="10" t="n">
        <x:v>45742</x:v>
      </x:c>
      <x:c r="K1547" s="10" t="n">
        <x:v>45742</x:v>
      </x:c>
      <x:c r="L1547" s="22" t="n">
        <x:v>78900</x:v>
      </x:c>
      <x:c r="M1547" s="24" t="n">
        <x:v>0</x:v>
      </x:c>
      <x:c r="N1547" s="24" t="n">
        <x:v>0</x:v>
      </x:c>
      <x:c r="O1547" t="str">
        <x:v>Budget</x:v>
      </x:c>
      <x:c r="P1547" t="n">
        <x:v>3</x:v>
      </x:c>
      <x:c r="Q1547" t="str">
        <x:f>IFERROR(XLOOKUP(E1547,Lookups!$A$5:$A$24,Lookups!$B$5:$B$24),"Other")</x:f>
        <x:v>Email</x:v>
      </x:c>
      <x:c r="R1547" t="str">
        <x:f>IFERROR(XLOOKUP(F1547,Lookups!$D$5:$D$10,Lookups!$E$5:$E$10),"Unknown Product")</x:f>
        <x:v>Service Cloud</x:v>
      </x:c>
      <x:c r="S1547" t="str">
        <x:f>IFERROR(XLOOKUP(F1547,Lookups!$D$5:$D$10,Lookups!$F$5:$F$10),"Unknown")</x:f>
        <x:v>Customer Service</x:v>
      </x:c>
      <x:c r="T1547" t="str">
        <x:f>IF(L1547&gt;=50000,"Enterprise",IF(L1547&gt;=20000,"Mid-Market","SMB"))</x:f>
        <x:v>Enterprise</x:v>
      </x:c>
      <x:c r="U1547" t="str">
        <x:f>IF(I1547="Closed Won","Won",IF(I1547="Closed Lost","Lost","Open"))</x:f>
        <x:v>Lost</x:v>
      </x:c>
      <x:c r="V1547" s="22" t="n">
        <x:f>IF(U1547="Won",L1547*(1-M1547),0)</x:f>
        <x:v>0</x:v>
      </x:c>
      <x:c r="W1547" s="22" t="n">
        <x:f>IF(U1547="Open",L1547*N1547,0)</x:f>
        <x:v>0</x:v>
      </x:c>
      <x:c r="X1547" s="26" t="n">
        <x:f>IF(U1547="Open","",IFERROR(K1547-B1547,""))</x:f>
        <x:v>33</x:v>
      </x:c>
      <x:c r="Y1547" s="26" t="n">
        <x:f>IF(U1547="Open",Lookups!$B$2-B1547,X1547)</x:f>
        <x:v>33</x:v>
      </x:c>
      <x:c r="Z1547" t="str">
        <x:f>IF(AND(U1547="Open",Y1547&gt;30),"STALE","OK")</x:f>
        <x:v>OK</x:v>
      </x:c>
      <x:c r="AA1547" t="str">
        <x:f>TEXT(B1547,"yyyy-mm")</x:f>
        <x:v>2025-02</x:v>
      </x:c>
      <x:c r="AB1547" t="str">
        <x:f>IF(K1547="","",TEXT(K1547,"yyyy-mm"))</x:f>
        <x:v>2025-03</x:v>
      </x:c>
      <x:c r="AC1547" t="str">
        <x:f>"Q"&amp;ROUNDUP(MONTH(B1547)/3,0)&amp;"-"&amp;YEAR(B1547)</x:f>
        <x:v>Q1-2025</x:v>
      </x:c>
      <x:c r="AD1547" s="26" t="n">
        <x:f>MIN(100,IF(H1547="Enterprise",30,IF(H1547="Mid-Market",22,14))+IF(T1547="Enterprise",25,IF(T1547="Mid-Market",18,10))+IF(Q1547="Referral",25,IF(Q1547="Organic Search",20,IF(Q1547="Email",18,14)))+IF(G1547="Technology",10,5))</x:f>
        <x:v>78</x:v>
      </x:c>
      <x:c r="AE1547" t="str">
        <x:f>IF(U1547&lt;&gt;"Open",U1547,IF(N1547&gt;=0.8,"Commit",IF(N1547&gt;=0.5,"Best Case","Pipeline")))</x:f>
        <x:v>Lost</x:v>
      </x:c>
    </x:row>
    <x:row r="1548">
      <x:c r="A1548" t="str">
        <x:v>L01547</x:v>
      </x:c>
      <x:c r="B1548" s="10" t="n">
        <x:v>45836</x:v>
      </x:c>
      <x:c r="C1548" t="str">
        <x:v>Quynh Vu</x:v>
      </x:c>
      <x:c r="D1548" t="str">
        <x:v>North</x:v>
      </x:c>
      <x:c r="E1548" t="str">
        <x:v>Partner Referral</x:v>
      </x:c>
      <x:c r="F1548" t="str">
        <x:v>REV-OPS</x:v>
      </x:c>
      <x:c r="G1548" t="str">
        <x:v>Retail</x:v>
      </x:c>
      <x:c r="H1548" t="str">
        <x:v>SMB</x:v>
      </x:c>
      <x:c r="I1548" t="str">
        <x:v>Closed Lost</x:v>
      </x:c>
      <x:c r="J1548" s="10" t="n">
        <x:v>45889</x:v>
      </x:c>
      <x:c r="K1548" s="10" t="n">
        <x:v>45889</x:v>
      </x:c>
      <x:c r="L1548" s="22" t="n">
        <x:v>42000</x:v>
      </x:c>
      <x:c r="M1548" s="24" t="n">
        <x:v>0</x:v>
      </x:c>
      <x:c r="N1548" s="24" t="n">
        <x:v>0</x:v>
      </x:c>
      <x:c r="O1548" t="str">
        <x:v>Price</x:v>
      </x:c>
      <x:c r="P1548" t="n">
        <x:v>3</x:v>
      </x:c>
      <x:c r="Q1548" t="str">
        <x:f>IFERROR(XLOOKUP(E1548,Lookups!$A$5:$A$24,Lookups!$B$5:$B$24),"Other")</x:f>
        <x:v>Referral</x:v>
      </x:c>
      <x:c r="R1548" t="str">
        <x:f>IFERROR(XLOOKUP(F1548,Lookups!$D$5:$D$10,Lookups!$E$5:$E$10),"Unknown Product")</x:f>
        <x:v>Revenue Operations Suite</x:v>
      </x:c>
      <x:c r="S1548" t="str">
        <x:f>IFERROR(XLOOKUP(F1548,Lookups!$D$5:$D$10,Lookups!$F$5:$F$10),"Unknown")</x:f>
        <x:v>Revenue Ops</x:v>
      </x:c>
      <x:c r="T1548" t="str">
        <x:f>IF(L1548&gt;=50000,"Enterprise",IF(L1548&gt;=20000,"Mid-Market","SMB"))</x:f>
        <x:v>Mid-Market</x:v>
      </x:c>
      <x:c r="U1548" t="str">
        <x:f>IF(I1548="Closed Won","Won",IF(I1548="Closed Lost","Lost","Open"))</x:f>
        <x:v>Lost</x:v>
      </x:c>
      <x:c r="V1548" s="22" t="n">
        <x:f>IF(U1548="Won",L1548*(1-M1548),0)</x:f>
        <x:v>0</x:v>
      </x:c>
      <x:c r="W1548" s="22" t="n">
        <x:f>IF(U1548="Open",L1548*N1548,0)</x:f>
        <x:v>0</x:v>
      </x:c>
      <x:c r="X1548" s="26" t="n">
        <x:f>IF(U1548="Open","",IFERROR(K1548-B1548,""))</x:f>
        <x:v>53</x:v>
      </x:c>
      <x:c r="Y1548" s="26" t="n">
        <x:f>IF(U1548="Open",Lookups!$B$2-B1548,X1548)</x:f>
        <x:v>53</x:v>
      </x:c>
      <x:c r="Z1548" t="str">
        <x:f>IF(AND(U1548="Open",Y1548&gt;30),"STALE","OK")</x:f>
        <x:v>OK</x:v>
      </x:c>
      <x:c r="AA1548" t="str">
        <x:f>TEXT(B1548,"yyyy-mm")</x:f>
        <x:v>2025-06</x:v>
      </x:c>
      <x:c r="AB1548" t="str">
        <x:f>IF(K1548="","",TEXT(K1548,"yyyy-mm"))</x:f>
        <x:v>2025-08</x:v>
      </x:c>
      <x:c r="AC1548" t="str">
        <x:f>"Q"&amp;ROUNDUP(MONTH(B1548)/3,0)&amp;"-"&amp;YEAR(B1548)</x:f>
        <x:v>Q2-2025</x:v>
      </x:c>
      <x:c r="AD1548" s="26" t="n">
        <x:f>MIN(100,IF(H1548="Enterprise",30,IF(H1548="Mid-Market",22,14))+IF(T1548="Enterprise",25,IF(T1548="Mid-Market",18,10))+IF(Q1548="Referral",25,IF(Q1548="Organic Search",20,IF(Q1548="Email",18,14)))+IF(G1548="Technology",10,5))</x:f>
        <x:v>62</x:v>
      </x:c>
      <x:c r="AE1548" t="str">
        <x:f>IF(U1548&lt;&gt;"Open",U1548,IF(N1548&gt;=0.8,"Commit",IF(N1548&gt;=0.5,"Best Case","Pipeline")))</x:f>
        <x:v>Lost</x:v>
      </x:c>
    </x:row>
    <x:row r="1549">
      <x:c r="A1549" t="str">
        <x:v>L01548</x:v>
      </x:c>
      <x:c r="B1549" s="10" t="n">
        <x:v>45781</x:v>
      </x:c>
      <x:c r="C1549" t="str">
        <x:v>Minh Do</x:v>
      </x:c>
      <x:c r="D1549" t="str">
        <x:v>North</x:v>
      </x:c>
      <x:c r="E1549" t="str">
        <x:v>Cold Email</x:v>
      </x:c>
      <x:c r="F1549" t="str">
        <x:v>BI-PLUS</x:v>
      </x:c>
      <x:c r="G1549" t="str">
        <x:v>Healthcare</x:v>
      </x:c>
      <x:c r="H1549" t="str">
        <x:v>SMB</x:v>
      </x:c>
      <x:c r="I1549" t="str">
        <x:v>Negotiation</x:v>
      </x:c>
      <x:c r="J1549" s="10" t="n">
        <x:v>46097</x:v>
      </x:c>
      <x:c r="K1549" s="10"/>
      <x:c r="L1549" s="22" t="n">
        <x:v>30100</x:v>
      </x:c>
      <x:c r="M1549" s="24" t="n">
        <x:v>0</x:v>
      </x:c>
      <x:c r="N1549" s="24" t="n">
        <x:v>0.85</x:v>
      </x:c>
      <x:c r="O1549" t="str"/>
      <x:c r="P1549" t="n">
        <x:v>5</x:v>
      </x:c>
      <x:c r="Q1549" t="str">
        <x:f>IFERROR(XLOOKUP(E1549,Lookups!$A$5:$A$24,Lookups!$B$5:$B$24),"Other")</x:f>
        <x:v>Outbound</x:v>
      </x:c>
      <x:c r="R1549" t="str">
        <x:f>IFERROR(XLOOKUP(F1549,Lookups!$D$5:$D$10,Lookups!$E$5:$E$10),"Unknown Product")</x:f>
        <x:v>Analytics Plus</x:v>
      </x:c>
      <x:c r="S1549" t="str">
        <x:f>IFERROR(XLOOKUP(F1549,Lookups!$D$5:$D$10,Lookups!$F$5:$F$10),"Unknown")</x:f>
        <x:v>Analytics</x:v>
      </x:c>
      <x:c r="T1549" t="str">
        <x:f>IF(L1549&gt;=50000,"Enterprise",IF(L1549&gt;=20000,"Mid-Market","SMB"))</x:f>
        <x:v>Mid-Market</x:v>
      </x:c>
      <x:c r="U1549" t="str">
        <x:f>IF(I1549="Closed Won","Won",IF(I1549="Closed Lost","Lost","Open"))</x:f>
        <x:v>Open</x:v>
      </x:c>
      <x:c r="V1549" s="22" t="n">
        <x:f>IF(U1549="Won",L1549*(1-M1549),0)</x:f>
        <x:v>0</x:v>
      </x:c>
      <x:c r="W1549" s="22" t="n">
        <x:f>IF(U1549="Open",L1549*N1549,0)</x:f>
        <x:v>25585</x:v>
      </x:c>
      <x:c r="X1549" s="26" t="str">
        <x:f>IF(U1549="Open","",IFERROR(K1549-B1549,""))</x:f>
      </x:c>
      <x:c r="Y1549" s="26" t="n">
        <x:f>IF(U1549="Open",Lookups!$B$2-B1549,X1549)</x:f>
        <x:v>485</x:v>
      </x:c>
      <x:c r="Z1549" t="str">
        <x:f>IF(AND(U1549="Open",Y1549&gt;30),"STALE","OK")</x:f>
        <x:v>STALE</x:v>
      </x:c>
      <x:c r="AA1549" t="str">
        <x:f>TEXT(B1549,"yyyy-mm")</x:f>
        <x:v>2025-05</x:v>
      </x:c>
      <x:c r="AB1549" t="str">
        <x:f>IF(K1549="","",TEXT(K1549,"yyyy-mm"))</x:f>
      </x:c>
      <x:c r="AC1549" t="str">
        <x:f>"Q"&amp;ROUNDUP(MONTH(B1549)/3,0)&amp;"-"&amp;YEAR(B1549)</x:f>
        <x:v>Q2-2025</x:v>
      </x:c>
      <x:c r="AD1549" s="26" t="n">
        <x:f>MIN(100,IF(H1549="Enterprise",30,IF(H1549="Mid-Market",22,14))+IF(T1549="Enterprise",25,IF(T1549="Mid-Market",18,10))+IF(Q1549="Referral",25,IF(Q1549="Organic Search",20,IF(Q1549="Email",18,14)))+IF(G1549="Technology",10,5))</x:f>
        <x:v>51</x:v>
      </x:c>
      <x:c r="AE1549" t="str">
        <x:f>IF(U1549&lt;&gt;"Open",U1549,IF(N1549&gt;=0.8,"Commit",IF(N1549&gt;=0.5,"Best Case","Pipeline")))</x:f>
        <x:v>Commit</x:v>
      </x:c>
    </x:row>
    <x:row r="1550">
      <x:c r="A1550" t="str">
        <x:v>L01549</x:v>
      </x:c>
      <x:c r="B1550" s="10" t="n">
        <x:v>45733</x:v>
      </x:c>
      <x:c r="C1550" t="str">
        <x:v>Minh Do</x:v>
      </x:c>
      <x:c r="D1550" t="str">
        <x:v>North</x:v>
      </x:c>
      <x:c r="E1550" t="str">
        <x:v>LI Ads</x:v>
      </x:c>
      <x:c r="F1550" t="str">
        <x:v>CRM-CORE</x:v>
      </x:c>
      <x:c r="G1550" t="str">
        <x:v>Retail</x:v>
      </x:c>
      <x:c r="H1550" t="str">
        <x:v>Mid-Market</x:v>
      </x:c>
      <x:c r="I1550" t="str">
        <x:v>Closed Lost</x:v>
      </x:c>
      <x:c r="J1550" s="10" t="n">
        <x:v>45770</x:v>
      </x:c>
      <x:c r="K1550" s="10" t="n">
        <x:v>45770</x:v>
      </x:c>
      <x:c r="L1550" s="22" t="n">
        <x:v>14200</x:v>
      </x:c>
      <x:c r="M1550" s="24" t="n">
        <x:v>0</x:v>
      </x:c>
      <x:c r="N1550" s="24" t="n">
        <x:v>0</x:v>
      </x:c>
      <x:c r="O1550" t="str">
        <x:v>No Decision</x:v>
      </x:c>
      <x:c r="P1550" t="n">
        <x:v>4</x:v>
      </x:c>
      <x:c r="Q1550" t="str">
        <x:f>IFERROR(XLOOKUP(E1550,Lookups!$A$5:$A$24,Lookups!$B$5:$B$24),"Other")</x:f>
        <x:v>LinkedIn</x:v>
      </x:c>
      <x:c r="R1550" t="str">
        <x:f>IFERROR(XLOOKUP(F1550,Lookups!$D$5:$D$10,Lookups!$E$5:$E$10),"Unknown Product")</x:f>
        <x:v>NexaCRM Core</x:v>
      </x:c>
      <x:c r="S1550" t="str">
        <x:f>IFERROR(XLOOKUP(F1550,Lookups!$D$5:$D$10,Lookups!$F$5:$F$10),"Unknown")</x:f>
        <x:v>CRM</x:v>
      </x:c>
      <x:c r="T1550" t="str">
        <x:f>IF(L1550&gt;=50000,"Enterprise",IF(L1550&gt;=20000,"Mid-Market","SMB"))</x:f>
        <x:v>SMB</x:v>
      </x:c>
      <x:c r="U1550" t="str">
        <x:f>IF(I1550="Closed Won","Won",IF(I1550="Closed Lost","Lost","Open"))</x:f>
        <x:v>Lost</x:v>
      </x:c>
      <x:c r="V1550" s="22" t="n">
        <x:f>IF(U1550="Won",L1550*(1-M1550),0)</x:f>
        <x:v>0</x:v>
      </x:c>
      <x:c r="W1550" s="22" t="n">
        <x:f>IF(U1550="Open",L1550*N1550,0)</x:f>
        <x:v>0</x:v>
      </x:c>
      <x:c r="X1550" s="26" t="n">
        <x:f>IF(U1550="Open","",IFERROR(K1550-B1550,""))</x:f>
        <x:v>37</x:v>
      </x:c>
      <x:c r="Y1550" s="26" t="n">
        <x:f>IF(U1550="Open",Lookups!$B$2-B1550,X1550)</x:f>
        <x:v>37</x:v>
      </x:c>
      <x:c r="Z1550" t="str">
        <x:f>IF(AND(U1550="Open",Y1550&gt;30),"STALE","OK")</x:f>
        <x:v>OK</x:v>
      </x:c>
      <x:c r="AA1550" t="str">
        <x:f>TEXT(B1550,"yyyy-mm")</x:f>
        <x:v>2025-03</x:v>
      </x:c>
      <x:c r="AB1550" t="str">
        <x:f>IF(K1550="","",TEXT(K1550,"yyyy-mm"))</x:f>
        <x:v>2025-04</x:v>
      </x:c>
      <x:c r="AC1550" t="str">
        <x:f>"Q"&amp;ROUNDUP(MONTH(B1550)/3,0)&amp;"-"&amp;YEAR(B1550)</x:f>
        <x:v>Q1-2025</x:v>
      </x:c>
      <x:c r="AD1550" s="26" t="n">
        <x:f>MIN(100,IF(H1550="Enterprise",30,IF(H1550="Mid-Market",22,14))+IF(T1550="Enterprise",25,IF(T1550="Mid-Market",18,10))+IF(Q1550="Referral",25,IF(Q1550="Organic Search",20,IF(Q1550="Email",18,14)))+IF(G1550="Technology",10,5))</x:f>
        <x:v>51</x:v>
      </x:c>
      <x:c r="AE1550" t="str">
        <x:f>IF(U1550&lt;&gt;"Open",U1550,IF(N1550&gt;=0.8,"Commit",IF(N1550&gt;=0.5,"Best Case","Pipeline")))</x:f>
        <x:v>Lost</x:v>
      </x:c>
    </x:row>
    <x:row r="1551">
      <x:c r="A1551" t="str">
        <x:v>L01550</x:v>
      </x:c>
      <x:c r="B1551" s="10" t="n">
        <x:v>45751</x:v>
      </x:c>
      <x:c r="C1551" t="str">
        <x:v>Minh Do</x:v>
      </x:c>
      <x:c r="D1551" t="str">
        <x:v>North</x:v>
      </x:c>
      <x:c r="E1551" t="str">
        <x:v>Conference Scan</x:v>
      </x:c>
      <x:c r="F1551" t="str">
        <x:v>MKT-AUTO</x:v>
      </x:c>
      <x:c r="G1551" t="str">
        <x:v>Manufacturing</x:v>
      </x:c>
      <x:c r="H1551" t="str">
        <x:v>Mid-Market</x:v>
      </x:c>
      <x:c r="I1551" t="str">
        <x:v>Closed Lost</x:v>
      </x:c>
      <x:c r="J1551" s="10" t="n">
        <x:v>45809</x:v>
      </x:c>
      <x:c r="K1551" s="10" t="n">
        <x:v>45809</x:v>
      </x:c>
      <x:c r="L1551" s="22" t="n">
        <x:v>22200</x:v>
      </x:c>
      <x:c r="M1551" s="24" t="n">
        <x:v>0</x:v>
      </x:c>
      <x:c r="N1551" s="24" t="n">
        <x:v>0</x:v>
      </x:c>
      <x:c r="O1551" t="str">
        <x:v>No Decision</x:v>
      </x:c>
      <x:c r="P1551" t="n">
        <x:v>5</x:v>
      </x:c>
      <x:c r="Q1551" t="str">
        <x:f>IFERROR(XLOOKUP(E1551,Lookups!$A$5:$A$24,Lookups!$B$5:$B$24),"Other")</x:f>
        <x:v>Other</x:v>
      </x:c>
      <x:c r="R1551" t="str">
        <x:f>IFERROR(XLOOKUP(F1551,Lookups!$D$5:$D$10,Lookups!$E$5:$E$10),"Unknown Product")</x:f>
        <x:v>Marketing Automation</x:v>
      </x:c>
      <x:c r="S1551" t="str">
        <x:f>IFERROR(XLOOKUP(F1551,Lookups!$D$5:$D$10,Lookups!$F$5:$F$10),"Unknown")</x:f>
        <x:v>Marketing</x:v>
      </x:c>
      <x:c r="T1551" t="str">
        <x:f>IF(L1551&gt;=50000,"Enterprise",IF(L1551&gt;=20000,"Mid-Market","SMB"))</x:f>
        <x:v>Mid-Market</x:v>
      </x:c>
      <x:c r="U1551" t="str">
        <x:f>IF(I1551="Closed Won","Won",IF(I1551="Closed Lost","Lost","Open"))</x:f>
        <x:v>Lost</x:v>
      </x:c>
      <x:c r="V1551" s="22" t="n">
        <x:f>IF(U1551="Won",L1551*(1-M1551),0)</x:f>
        <x:v>0</x:v>
      </x:c>
      <x:c r="W1551" s="22" t="n">
        <x:f>IF(U1551="Open",L1551*N1551,0)</x:f>
        <x:v>0</x:v>
      </x:c>
      <x:c r="X1551" s="26" t="n">
        <x:f>IF(U1551="Open","",IFERROR(K1551-B1551,""))</x:f>
        <x:v>58</x:v>
      </x:c>
      <x:c r="Y1551" s="26" t="n">
        <x:f>IF(U1551="Open",Lookups!$B$2-B1551,X1551)</x:f>
        <x:v>58</x:v>
      </x:c>
      <x:c r="Z1551" t="str">
        <x:f>IF(AND(U1551="Open",Y1551&gt;30),"STALE","OK")</x:f>
        <x:v>OK</x:v>
      </x:c>
      <x:c r="AA1551" t="str">
        <x:f>TEXT(B1551,"yyyy-mm")</x:f>
        <x:v>2025-04</x:v>
      </x:c>
      <x:c r="AB1551" t="str">
        <x:f>IF(K1551="","",TEXT(K1551,"yyyy-mm"))</x:f>
        <x:v>2025-06</x:v>
      </x:c>
      <x:c r="AC1551" t="str">
        <x:f>"Q"&amp;ROUNDUP(MONTH(B1551)/3,0)&amp;"-"&amp;YEAR(B1551)</x:f>
        <x:v>Q2-2025</x:v>
      </x:c>
      <x:c r="AD1551" s="26" t="n">
        <x:f>MIN(100,IF(H1551="Enterprise",30,IF(H1551="Mid-Market",22,14))+IF(T1551="Enterprise",25,IF(T1551="Mid-Market",18,10))+IF(Q1551="Referral",25,IF(Q1551="Organic Search",20,IF(Q1551="Email",18,14)))+IF(G1551="Technology",10,5))</x:f>
        <x:v>59</x:v>
      </x:c>
      <x:c r="AE1551" t="str">
        <x:f>IF(U1551&lt;&gt;"Open",U1551,IF(N1551&gt;=0.8,"Commit",IF(N1551&gt;=0.5,"Best Case","Pipeline")))</x:f>
        <x:v>Lost</x:v>
      </x:c>
    </x:row>
    <x:row r="1552">
      <x:c r="A1552" t="str">
        <x:v>L01551</x:v>
      </x:c>
      <x:c r="B1552" s="10" t="n">
        <x:v>46265</x:v>
      </x:c>
      <x:c r="C1552" t="str">
        <x:v>Minh Do</x:v>
      </x:c>
      <x:c r="D1552" t="str">
        <x:v>North</x:v>
      </x:c>
      <x:c r="E1552" t="str">
        <x:v>SEO</x:v>
      </x:c>
      <x:c r="F1552" t="str">
        <x:v>CS-CLOUD</x:v>
      </x:c>
      <x:c r="G1552" t="str">
        <x:v>Retail</x:v>
      </x:c>
      <x:c r="H1552" t="str">
        <x:v>Mid-Market</x:v>
      </x:c>
      <x:c r="I1552" t="str">
        <x:v>Closed Lost</x:v>
      </x:c>
      <x:c r="J1552" s="10" t="n">
        <x:v>46266</x:v>
      </x:c>
      <x:c r="K1552" s="10" t="n">
        <x:v>46266</x:v>
      </x:c>
      <x:c r="L1552" s="22" t="n">
        <x:v>30200</x:v>
      </x:c>
      <x:c r="M1552" s="24" t="n">
        <x:v>0</x:v>
      </x:c>
      <x:c r="N1552" s="24" t="n">
        <x:v>0</x:v>
      </x:c>
      <x:c r="O1552" t="str">
        <x:v>No Decision</x:v>
      </x:c>
      <x:c r="P1552" t="n">
        <x:v>4</x:v>
      </x:c>
      <x:c r="Q1552" t="str">
        <x:f>IFERROR(XLOOKUP(E1552,Lookups!$A$5:$A$24,Lookups!$B$5:$B$24),"Other")</x:f>
        <x:v>Organic Search</x:v>
      </x:c>
      <x:c r="R1552" t="str">
        <x:f>IFERROR(XLOOKUP(F1552,Lookups!$D$5:$D$10,Lookups!$E$5:$E$10),"Unknown Product")</x:f>
        <x:v>Service Cloud</x:v>
      </x:c>
      <x:c r="S1552" t="str">
        <x:f>IFERROR(XLOOKUP(F1552,Lookups!$D$5:$D$10,Lookups!$F$5:$F$10),"Unknown")</x:f>
        <x:v>Customer Service</x:v>
      </x:c>
      <x:c r="T1552" t="str">
        <x:f>IF(L1552&gt;=50000,"Enterprise",IF(L1552&gt;=20000,"Mid-Market","SMB"))</x:f>
        <x:v>Mid-Market</x:v>
      </x:c>
      <x:c r="U1552" t="str">
        <x:f>IF(I1552="Closed Won","Won",IF(I1552="Closed Lost","Lost","Open"))</x:f>
        <x:v>Lost</x:v>
      </x:c>
      <x:c r="V1552" s="22" t="n">
        <x:f>IF(U1552="Won",L1552*(1-M1552),0)</x:f>
        <x:v>0</x:v>
      </x:c>
      <x:c r="W1552" s="22" t="n">
        <x:f>IF(U1552="Open",L1552*N1552,0)</x:f>
        <x:v>0</x:v>
      </x:c>
      <x:c r="X1552" s="26" t="n">
        <x:f>IF(U1552="Open","",IFERROR(K1552-B1552,""))</x:f>
        <x:v>1</x:v>
      </x:c>
      <x:c r="Y1552" s="26" t="n">
        <x:f>IF(U1552="Open",Lookups!$B$2-B1552,X1552)</x:f>
        <x:v>1</x:v>
      </x:c>
      <x:c r="Z1552" t="str">
        <x:f>IF(AND(U1552="Open",Y1552&gt;30),"STALE","OK")</x:f>
        <x:v>OK</x:v>
      </x:c>
      <x:c r="AA1552" t="str">
        <x:f>TEXT(B1552,"yyyy-mm")</x:f>
        <x:v>2026-08</x:v>
      </x:c>
      <x:c r="AB1552" t="str">
        <x:f>IF(K1552="","",TEXT(K1552,"yyyy-mm"))</x:f>
        <x:v>2026-09</x:v>
      </x:c>
      <x:c r="AC1552" t="str">
        <x:f>"Q"&amp;ROUNDUP(MONTH(B1552)/3,0)&amp;"-"&amp;YEAR(B1552)</x:f>
        <x:v>Q3-2026</x:v>
      </x:c>
      <x:c r="AD1552" s="26" t="n">
        <x:f>MIN(100,IF(H1552="Enterprise",30,IF(H1552="Mid-Market",22,14))+IF(T1552="Enterprise",25,IF(T1552="Mid-Market",18,10))+IF(Q1552="Referral",25,IF(Q1552="Organic Search",20,IF(Q1552="Email",18,14)))+IF(G1552="Technology",10,5))</x:f>
        <x:v>65</x:v>
      </x:c>
      <x:c r="AE1552" t="str">
        <x:f>IF(U1552&lt;&gt;"Open",U1552,IF(N1552&gt;=0.8,"Commit",IF(N1552&gt;=0.5,"Best Case","Pipeline")))</x:f>
        <x:v>Lost</x:v>
      </x:c>
    </x:row>
    <x:row r="1553">
      <x:c r="A1553" t="str">
        <x:v>L01552</x:v>
      </x:c>
      <x:c r="B1553" s="10" t="n">
        <x:v>45860</x:v>
      </x:c>
      <x:c r="C1553" t="str">
        <x:v>Tuan Bui</x:v>
      </x:c>
      <x:c r="D1553" t="str">
        <x:v>Central</x:v>
      </x:c>
      <x:c r="E1553" t="str">
        <x:v>LinkedIn Ads</x:v>
      </x:c>
      <x:c r="F1553" t="str">
        <x:v>CS-CLOUD</x:v>
      </x:c>
      <x:c r="G1553" t="str">
        <x:v>Financial Services</x:v>
      </x:c>
      <x:c r="H1553" t="str">
        <x:v>Enterprise</x:v>
      </x:c>
      <x:c r="I1553" t="str">
        <x:v>Closed Lost</x:v>
      </x:c>
      <x:c r="J1553" s="10" t="n">
        <x:v>45917</x:v>
      </x:c>
      <x:c r="K1553" s="10" t="n">
        <x:v>45917</x:v>
      </x:c>
      <x:c r="L1553" s="22" t="n">
        <x:v>66600</x:v>
      </x:c>
      <x:c r="M1553" s="24" t="n">
        <x:v>0</x:v>
      </x:c>
      <x:c r="N1553" s="24" t="n">
        <x:v>0</x:v>
      </x:c>
      <x:c r="O1553" t="str">
        <x:v>Feature Gap</x:v>
      </x:c>
      <x:c r="P1553" t="n">
        <x:v>3</x:v>
      </x:c>
      <x:c r="Q1553" t="str">
        <x:f>IFERROR(XLOOKUP(E1553,Lookups!$A$5:$A$24,Lookups!$B$5:$B$24),"Other")</x:f>
        <x:v>LinkedIn</x:v>
      </x:c>
      <x:c r="R1553" t="str">
        <x:f>IFERROR(XLOOKUP(F1553,Lookups!$D$5:$D$10,Lookups!$E$5:$E$10),"Unknown Product")</x:f>
        <x:v>Service Cloud</x:v>
      </x:c>
      <x:c r="S1553" t="str">
        <x:f>IFERROR(XLOOKUP(F1553,Lookups!$D$5:$D$10,Lookups!$F$5:$F$10),"Unknown")</x:f>
        <x:v>Customer Service</x:v>
      </x:c>
      <x:c r="T1553" t="str">
        <x:f>IF(L1553&gt;=50000,"Enterprise",IF(L1553&gt;=20000,"Mid-Market","SMB"))</x:f>
        <x:v>Enterprise</x:v>
      </x:c>
      <x:c r="U1553" t="str">
        <x:f>IF(I1553="Closed Won","Won",IF(I1553="Closed Lost","Lost","Open"))</x:f>
        <x:v>Lost</x:v>
      </x:c>
      <x:c r="V1553" s="22" t="n">
        <x:f>IF(U1553="Won",L1553*(1-M1553),0)</x:f>
        <x:v>0</x:v>
      </x:c>
      <x:c r="W1553" s="22" t="n">
        <x:f>IF(U1553="Open",L1553*N1553,0)</x:f>
        <x:v>0</x:v>
      </x:c>
      <x:c r="X1553" s="26" t="n">
        <x:f>IF(U1553="Open","",IFERROR(K1553-B1553,""))</x:f>
        <x:v>57</x:v>
      </x:c>
      <x:c r="Y1553" s="26" t="n">
        <x:f>IF(U1553="Open",Lookups!$B$2-B1553,X1553)</x:f>
        <x:v>57</x:v>
      </x:c>
      <x:c r="Z1553" t="str">
        <x:f>IF(AND(U1553="Open",Y1553&gt;30),"STALE","OK")</x:f>
        <x:v>OK</x:v>
      </x:c>
      <x:c r="AA1553" t="str">
        <x:f>TEXT(B1553,"yyyy-mm")</x:f>
        <x:v>2025-07</x:v>
      </x:c>
      <x:c r="AB1553" t="str">
        <x:f>IF(K1553="","",TEXT(K1553,"yyyy-mm"))</x:f>
        <x:v>2025-09</x:v>
      </x:c>
      <x:c r="AC1553" t="str">
        <x:f>"Q"&amp;ROUNDUP(MONTH(B1553)/3,0)&amp;"-"&amp;YEAR(B1553)</x:f>
        <x:v>Q3-2025</x:v>
      </x:c>
      <x:c r="AD1553" s="26" t="n">
        <x:f>MIN(100,IF(H1553="Enterprise",30,IF(H1553="Mid-Market",22,14))+IF(T1553="Enterprise",25,IF(T1553="Mid-Market",18,10))+IF(Q1553="Referral",25,IF(Q1553="Organic Search",20,IF(Q1553="Email",18,14)))+IF(G1553="Technology",10,5))</x:f>
        <x:v>74</x:v>
      </x:c>
      <x:c r="AE1553" t="str">
        <x:f>IF(U1553&lt;&gt;"Open",U1553,IF(N1553&gt;=0.8,"Commit",IF(N1553&gt;=0.5,"Best Case","Pipeline")))</x:f>
        <x:v>Lost</x:v>
      </x:c>
    </x:row>
    <x:row r="1554">
      <x:c r="A1554" t="str">
        <x:v>L01553</x:v>
      </x:c>
      <x:c r="B1554" s="10" t="n">
        <x:v>46121</x:v>
      </x:c>
      <x:c r="C1554" t="str">
        <x:v>An Nguyen</x:v>
      </x:c>
      <x:c r="D1554" t="str">
        <x:v>South</x:v>
      </x:c>
      <x:c r="E1554" t="str">
        <x:v>newsletter</x:v>
      </x:c>
      <x:c r="F1554" t="str">
        <x:v>REV-OPS</x:v>
      </x:c>
      <x:c r="G1554" t="str">
        <x:v>Healthcare</x:v>
      </x:c>
      <x:c r="H1554" t="str">
        <x:v>Mid-Market</x:v>
      </x:c>
      <x:c r="I1554" t="str">
        <x:v>Proposal</x:v>
      </x:c>
      <x:c r="J1554" s="10" t="n">
        <x:v>46175</x:v>
      </x:c>
      <x:c r="K1554" s="10"/>
      <x:c r="L1554" s="22" t="n">
        <x:v>38700</x:v>
      </x:c>
      <x:c r="M1554" s="24" t="n">
        <x:v>0.03</x:v>
      </x:c>
      <x:c r="N1554" s="24" t="n">
        <x:v>0.65</x:v>
      </x:c>
      <x:c r="O1554" t="str"/>
      <x:c r="P1554" t="n">
        <x:v>4</x:v>
      </x:c>
      <x:c r="Q1554" t="str">
        <x:f>IFERROR(XLOOKUP(E1554,Lookups!$A$5:$A$24,Lookups!$B$5:$B$24),"Other")</x:f>
        <x:v>Email</x:v>
      </x:c>
      <x:c r="R1554" t="str">
        <x:f>IFERROR(XLOOKUP(F1554,Lookups!$D$5:$D$10,Lookups!$E$5:$E$10),"Unknown Product")</x:f>
        <x:v>Revenue Operations Suite</x:v>
      </x:c>
      <x:c r="S1554" t="str">
        <x:f>IFERROR(XLOOKUP(F1554,Lookups!$D$5:$D$10,Lookups!$F$5:$F$10),"Unknown")</x:f>
        <x:v>Revenue Ops</x:v>
      </x:c>
      <x:c r="T1554" t="str">
        <x:f>IF(L1554&gt;=50000,"Enterprise",IF(L1554&gt;=20000,"Mid-Market","SMB"))</x:f>
        <x:v>Mid-Market</x:v>
      </x:c>
      <x:c r="U1554" t="str">
        <x:f>IF(I1554="Closed Won","Won",IF(I1554="Closed Lost","Lost","Open"))</x:f>
        <x:v>Open</x:v>
      </x:c>
      <x:c r="V1554" s="22" t="n">
        <x:f>IF(U1554="Won",L1554*(1-M1554),0)</x:f>
        <x:v>0</x:v>
      </x:c>
      <x:c r="W1554" s="22" t="n">
        <x:f>IF(U1554="Open",L1554*N1554,0)</x:f>
        <x:v>25155</x:v>
      </x:c>
      <x:c r="X1554" s="26" t="str">
        <x:f>IF(U1554="Open","",IFERROR(K1554-B1554,""))</x:f>
      </x:c>
      <x:c r="Y1554" s="26" t="n">
        <x:f>IF(U1554="Open",Lookups!$B$2-B1554,X1554)</x:f>
        <x:v>145</x:v>
      </x:c>
      <x:c r="Z1554" t="str">
        <x:f>IF(AND(U1554="Open",Y1554&gt;30),"STALE","OK")</x:f>
        <x:v>STALE</x:v>
      </x:c>
      <x:c r="AA1554" t="str">
        <x:f>TEXT(B1554,"yyyy-mm")</x:f>
        <x:v>2026-04</x:v>
      </x:c>
      <x:c r="AB1554" t="str">
        <x:f>IF(K1554="","",TEXT(K1554,"yyyy-mm"))</x:f>
      </x:c>
      <x:c r="AC1554" t="str">
        <x:f>"Q"&amp;ROUNDUP(MONTH(B1554)/3,0)&amp;"-"&amp;YEAR(B1554)</x:f>
        <x:v>Q2-2026</x:v>
      </x:c>
      <x:c r="AD1554" s="26" t="n">
        <x:f>MIN(100,IF(H1554="Enterprise",30,IF(H1554="Mid-Market",22,14))+IF(T1554="Enterprise",25,IF(T1554="Mid-Market",18,10))+IF(Q1554="Referral",25,IF(Q1554="Organic Search",20,IF(Q1554="Email",18,14)))+IF(G1554="Technology",10,5))</x:f>
        <x:v>63</x:v>
      </x:c>
      <x:c r="AE1554" t="str">
        <x:f>IF(U1554&lt;&gt;"Open",U1554,IF(N1554&gt;=0.8,"Commit",IF(N1554&gt;=0.5,"Best Case","Pipeline")))</x:f>
        <x:v>Best Case</x:v>
      </x:c>
    </x:row>
    <x:row r="1555">
      <x:c r="A1555" t="str">
        <x:v>L01554</x:v>
      </x:c>
      <x:c r="B1555" s="10" t="n">
        <x:v>46257</x:v>
      </x:c>
      <x:c r="C1555" t="str">
        <x:v>Tuan Bui</x:v>
      </x:c>
      <x:c r="D1555" t="str">
        <x:v>Central</x:v>
      </x:c>
      <x:c r="E1555" t="str">
        <x:v>LinkedIn Ads</x:v>
      </x:c>
      <x:c r="F1555" t="str">
        <x:v>CRM-PRO</x:v>
      </x:c>
      <x:c r="G1555" t="str">
        <x:v>Manufacturing</x:v>
      </x:c>
      <x:c r="H1555" t="str">
        <x:v>SMB</x:v>
      </x:c>
      <x:c r="I1555" t="str">
        <x:v>New</x:v>
      </x:c>
      <x:c r="J1555" s="10" t="n">
        <x:v>46262</x:v>
      </x:c>
      <x:c r="K1555" s="10"/>
      <x:c r="L1555" s="22" t="n">
        <x:v>10900</x:v>
      </x:c>
      <x:c r="M1555" s="24" t="n">
        <x:v>0.05</x:v>
      </x:c>
      <x:c r="N1555" s="24" t="n">
        <x:v>0.05</x:v>
      </x:c>
      <x:c r="O1555" t="str"/>
      <x:c r="P1555" t="n">
        <x:v>1</x:v>
      </x:c>
      <x:c r="Q1555" t="str">
        <x:f>IFERROR(XLOOKUP(E1555,Lookups!$A$5:$A$24,Lookups!$B$5:$B$24),"Other")</x:f>
        <x:v>LinkedIn</x:v>
      </x:c>
      <x:c r="R1555" t="str">
        <x:f>IFERROR(XLOOKUP(F1555,Lookups!$D$5:$D$10,Lookups!$E$5:$E$10),"Unknown Product")</x:f>
        <x:v>NexaCRM Pro</x:v>
      </x:c>
      <x:c r="S1555" t="str">
        <x:f>IFERROR(XLOOKUP(F1555,Lookups!$D$5:$D$10,Lookups!$F$5:$F$10),"Unknown")</x:f>
        <x:v>CRM</x:v>
      </x:c>
      <x:c r="T1555" t="str">
        <x:f>IF(L1555&gt;=50000,"Enterprise",IF(L1555&gt;=20000,"Mid-Market","SMB"))</x:f>
        <x:v>SMB</x:v>
      </x:c>
      <x:c r="U1555" t="str">
        <x:f>IF(I1555="Closed Won","Won",IF(I1555="Closed Lost","Lost","Open"))</x:f>
        <x:v>Open</x:v>
      </x:c>
      <x:c r="V1555" s="22" t="n">
        <x:f>IF(U1555="Won",L1555*(1-M1555),0)</x:f>
        <x:v>0</x:v>
      </x:c>
      <x:c r="W1555" s="22" t="n">
        <x:f>IF(U1555="Open",L1555*N1555,0)</x:f>
        <x:v>545</x:v>
      </x:c>
      <x:c r="X1555" s="26" t="str">
        <x:f>IF(U1555="Open","",IFERROR(K1555-B1555,""))</x:f>
      </x:c>
      <x:c r="Y1555" s="26" t="n">
        <x:f>IF(U1555="Open",Lookups!$B$2-B1555,X1555)</x:f>
        <x:v>9</x:v>
      </x:c>
      <x:c r="Z1555" t="str">
        <x:f>IF(AND(U1555="Open",Y1555&gt;30),"STALE","OK")</x:f>
        <x:v>OK</x:v>
      </x:c>
      <x:c r="AA1555" t="str">
        <x:f>TEXT(B1555,"yyyy-mm")</x:f>
        <x:v>2026-08</x:v>
      </x:c>
      <x:c r="AB1555" t="str">
        <x:f>IF(K1555="","",TEXT(K1555,"yyyy-mm"))</x:f>
      </x:c>
      <x:c r="AC1555" t="str">
        <x:f>"Q"&amp;ROUNDUP(MONTH(B1555)/3,0)&amp;"-"&amp;YEAR(B1555)</x:f>
        <x:v>Q3-2026</x:v>
      </x:c>
      <x:c r="AD1555" s="26" t="n">
        <x:f>MIN(100,IF(H1555="Enterprise",30,IF(H1555="Mid-Market",22,14))+IF(T1555="Enterprise",25,IF(T1555="Mid-Market",18,10))+IF(Q1555="Referral",25,IF(Q1555="Organic Search",20,IF(Q1555="Email",18,14)))+IF(G1555="Technology",10,5))</x:f>
        <x:v>43</x:v>
      </x:c>
      <x:c r="AE1555" t="str">
        <x:f>IF(U1555&lt;&gt;"Open",U1555,IF(N1555&gt;=0.8,"Commit",IF(N1555&gt;=0.5,"Best Case","Pipeline")))</x:f>
        <x:v>Pipeline</x:v>
      </x:c>
    </x:row>
    <x:row r="1556">
      <x:c r="A1556" t="str">
        <x:v>L01555</x:v>
      </x:c>
      <x:c r="B1556" s="10" t="n">
        <x:v>45688</x:v>
      </x:c>
      <x:c r="C1556" t="str">
        <x:v>Minh Do</x:v>
      </x:c>
      <x:c r="D1556" t="str">
        <x:v>North</x:v>
      </x:c>
      <x:c r="E1556" t="str">
        <x:v>Referral</x:v>
      </x:c>
      <x:c r="F1556" t="str">
        <x:v>MKT-AUTO</x:v>
      </x:c>
      <x:c r="G1556" t="str">
        <x:v>Manufacturing</x:v>
      </x:c>
      <x:c r="H1556" t="str">
        <x:v>SMB</x:v>
      </x:c>
      <x:c r="I1556" t="str">
        <x:v>Closed Lost</x:v>
      </x:c>
      <x:c r="J1556" s="10" t="n">
        <x:v>45742</x:v>
      </x:c>
      <x:c r="K1556" s="10" t="n">
        <x:v>45742</x:v>
      </x:c>
      <x:c r="L1556" s="22" t="n">
        <x:v>19500</x:v>
      </x:c>
      <x:c r="M1556" s="24" t="n">
        <x:v>0</x:v>
      </x:c>
      <x:c r="N1556" s="24" t="n">
        <x:v>0</x:v>
      </x:c>
      <x:c r="O1556" t="str">
        <x:v>Timing</x:v>
      </x:c>
      <x:c r="P1556" t="n">
        <x:v>3</x:v>
      </x:c>
      <x:c r="Q1556" t="str">
        <x:f>IFERROR(XLOOKUP(E1556,Lookups!$A$5:$A$24,Lookups!$B$5:$B$24),"Other")</x:f>
        <x:v>Referral</x:v>
      </x:c>
      <x:c r="R1556" t="str">
        <x:f>IFERROR(XLOOKUP(F1556,Lookups!$D$5:$D$10,Lookups!$E$5:$E$10),"Unknown Product")</x:f>
        <x:v>Marketing Automation</x:v>
      </x:c>
      <x:c r="S1556" t="str">
        <x:f>IFERROR(XLOOKUP(F1556,Lookups!$D$5:$D$10,Lookups!$F$5:$F$10),"Unknown")</x:f>
        <x:v>Marketing</x:v>
      </x:c>
      <x:c r="T1556" t="str">
        <x:f>IF(L1556&gt;=50000,"Enterprise",IF(L1556&gt;=20000,"Mid-Market","SMB"))</x:f>
        <x:v>SMB</x:v>
      </x:c>
      <x:c r="U1556" t="str">
        <x:f>IF(I1556="Closed Won","Won",IF(I1556="Closed Lost","Lost","Open"))</x:f>
        <x:v>Lost</x:v>
      </x:c>
      <x:c r="V1556" s="22" t="n">
        <x:f>IF(U1556="Won",L1556*(1-M1556),0)</x:f>
        <x:v>0</x:v>
      </x:c>
      <x:c r="W1556" s="22" t="n">
        <x:f>IF(U1556="Open",L1556*N1556,0)</x:f>
        <x:v>0</x:v>
      </x:c>
      <x:c r="X1556" s="26" t="n">
        <x:f>IF(U1556="Open","",IFERROR(K1556-B1556,""))</x:f>
        <x:v>54</x:v>
      </x:c>
      <x:c r="Y1556" s="26" t="n">
        <x:f>IF(U1556="Open",Lookups!$B$2-B1556,X1556)</x:f>
        <x:v>54</x:v>
      </x:c>
      <x:c r="Z1556" t="str">
        <x:f>IF(AND(U1556="Open",Y1556&gt;30),"STALE","OK")</x:f>
        <x:v>OK</x:v>
      </x:c>
      <x:c r="AA1556" t="str">
        <x:f>TEXT(B1556,"yyyy-mm")</x:f>
        <x:v>2025-01</x:v>
      </x:c>
      <x:c r="AB1556" t="str">
        <x:f>IF(K1556="","",TEXT(K1556,"yyyy-mm"))</x:f>
        <x:v>2025-03</x:v>
      </x:c>
      <x:c r="AC1556" t="str">
        <x:f>"Q"&amp;ROUNDUP(MONTH(B1556)/3,0)&amp;"-"&amp;YEAR(B1556)</x:f>
        <x:v>Q1-2025</x:v>
      </x:c>
      <x:c r="AD1556" s="26" t="n">
        <x:f>MIN(100,IF(H1556="Enterprise",30,IF(H1556="Mid-Market",22,14))+IF(T1556="Enterprise",25,IF(T1556="Mid-Market",18,10))+IF(Q1556="Referral",25,IF(Q1556="Organic Search",20,IF(Q1556="Email",18,14)))+IF(G1556="Technology",10,5))</x:f>
        <x:v>54</x:v>
      </x:c>
      <x:c r="AE1556" t="str">
        <x:f>IF(U1556&lt;&gt;"Open",U1556,IF(N1556&gt;=0.8,"Commit",IF(N1556&gt;=0.5,"Best Case","Pipeline")))</x:f>
        <x:v>Lost</x:v>
      </x:c>
    </x:row>
    <x:row r="1557">
      <x:c r="A1557" t="str">
        <x:v>L01556</x:v>
      </x:c>
      <x:c r="B1557" s="10" t="n">
        <x:v>45983</x:v>
      </x:c>
      <x:c r="C1557" t="str">
        <x:v>Ha Vo</x:v>
      </x:c>
      <x:c r="D1557" t="str">
        <x:v>North</x:v>
      </x:c>
      <x:c r="E1557" t="str">
        <x:v>Partner Referral</x:v>
      </x:c>
      <x:c r="F1557" t="str">
        <x:v>REV-OPS</x:v>
      </x:c>
      <x:c r="G1557" t="str">
        <x:v>Education</x:v>
      </x:c>
      <x:c r="H1557" t="str">
        <x:v>Mid-Market</x:v>
      </x:c>
      <x:c r="I1557" t="str">
        <x:v>Negotiation</x:v>
      </x:c>
      <x:c r="J1557" s="10" t="n">
        <x:v>46119</x:v>
      </x:c>
      <x:c r="K1557" s="10"/>
      <x:c r="L1557" s="22" t="n">
        <x:v>62100</x:v>
      </x:c>
      <x:c r="M1557" s="24" t="n">
        <x:v>0.05</x:v>
      </x:c>
      <x:c r="N1557" s="24" t="n">
        <x:v>0.85</x:v>
      </x:c>
      <x:c r="O1557" t="str"/>
      <x:c r="P1557" t="n">
        <x:v>5</x:v>
      </x:c>
      <x:c r="Q1557" t="str">
        <x:f>IFERROR(XLOOKUP(E1557,Lookups!$A$5:$A$24,Lookups!$B$5:$B$24),"Other")</x:f>
        <x:v>Referral</x:v>
      </x:c>
      <x:c r="R1557" t="str">
        <x:f>IFERROR(XLOOKUP(F1557,Lookups!$D$5:$D$10,Lookups!$E$5:$E$10),"Unknown Product")</x:f>
        <x:v>Revenue Operations Suite</x:v>
      </x:c>
      <x:c r="S1557" t="str">
        <x:f>IFERROR(XLOOKUP(F1557,Lookups!$D$5:$D$10,Lookups!$F$5:$F$10),"Unknown")</x:f>
        <x:v>Revenue Ops</x:v>
      </x:c>
      <x:c r="T1557" t="str">
        <x:f>IF(L1557&gt;=50000,"Enterprise",IF(L1557&gt;=20000,"Mid-Market","SMB"))</x:f>
        <x:v>Enterprise</x:v>
      </x:c>
      <x:c r="U1557" t="str">
        <x:f>IF(I1557="Closed Won","Won",IF(I1557="Closed Lost","Lost","Open"))</x:f>
        <x:v>Open</x:v>
      </x:c>
      <x:c r="V1557" s="22" t="n">
        <x:f>IF(U1557="Won",L1557*(1-M1557),0)</x:f>
        <x:v>0</x:v>
      </x:c>
      <x:c r="W1557" s="22" t="n">
        <x:f>IF(U1557="Open",L1557*N1557,0)</x:f>
        <x:v>52785</x:v>
      </x:c>
      <x:c r="X1557" s="26" t="str">
        <x:f>IF(U1557="Open","",IFERROR(K1557-B1557,""))</x:f>
      </x:c>
      <x:c r="Y1557" s="26" t="n">
        <x:f>IF(U1557="Open",Lookups!$B$2-B1557,X1557)</x:f>
        <x:v>283</x:v>
      </x:c>
      <x:c r="Z1557" t="str">
        <x:f>IF(AND(U1557="Open",Y1557&gt;30),"STALE","OK")</x:f>
        <x:v>STALE</x:v>
      </x:c>
      <x:c r="AA1557" t="str">
        <x:f>TEXT(B1557,"yyyy-mm")</x:f>
        <x:v>2025-11</x:v>
      </x:c>
      <x:c r="AB1557" t="str">
        <x:f>IF(K1557="","",TEXT(K1557,"yyyy-mm"))</x:f>
      </x:c>
      <x:c r="AC1557" t="str">
        <x:f>"Q"&amp;ROUNDUP(MONTH(B1557)/3,0)&amp;"-"&amp;YEAR(B1557)</x:f>
        <x:v>Q4-2025</x:v>
      </x:c>
      <x:c r="AD1557" s="26" t="n">
        <x:f>MIN(100,IF(H1557="Enterprise",30,IF(H1557="Mid-Market",22,14))+IF(T1557="Enterprise",25,IF(T1557="Mid-Market",18,10))+IF(Q1557="Referral",25,IF(Q1557="Organic Search",20,IF(Q1557="Email",18,14)))+IF(G1557="Technology",10,5))</x:f>
        <x:v>77</x:v>
      </x:c>
      <x:c r="AE1557" t="str">
        <x:f>IF(U1557&lt;&gt;"Open",U1557,IF(N1557&gt;=0.8,"Commit",IF(N1557&gt;=0.5,"Best Case","Pipeline")))</x:f>
        <x:v>Commit</x:v>
      </x:c>
    </x:row>
    <x:row r="1558">
      <x:c r="A1558" t="str">
        <x:v>L01557</x:v>
      </x:c>
      <x:c r="B1558" s="10" t="n">
        <x:v>46217</x:v>
      </x:c>
      <x:c r="C1558" t="str">
        <x:v>Chi Le</x:v>
      </x:c>
      <x:c r="D1558" t="str">
        <x:v>South</x:v>
      </x:c>
      <x:c r="E1558" t="str">
        <x:v>google cpc</x:v>
      </x:c>
      <x:c r="F1558" t="str">
        <x:v>CS-CLOUD</x:v>
      </x:c>
      <x:c r="G1558" t="str">
        <x:v>Manufacturing</x:v>
      </x:c>
      <x:c r="H1558" t="str">
        <x:v>Mid-Market</x:v>
      </x:c>
      <x:c r="I1558" t="str">
        <x:v>Demo / Meeting</x:v>
      </x:c>
      <x:c r="J1558" s="10" t="n">
        <x:v>46257</x:v>
      </x:c>
      <x:c r="K1558" s="10"/>
      <x:c r="L1558" s="22" t="n">
        <x:v>44600</x:v>
      </x:c>
      <x:c r="M1558" s="24" t="n">
        <x:v>0.03</x:v>
      </x:c>
      <x:c r="N1558" s="24" t="n">
        <x:v>0.4</x:v>
      </x:c>
      <x:c r="O1558" t="str"/>
      <x:c r="P1558" t="n">
        <x:v>3</x:v>
      </x:c>
      <x:c r="Q1558" t="str">
        <x:f>IFERROR(XLOOKUP(E1558,Lookups!$A$5:$A$24,Lookups!$B$5:$B$24),"Other")</x:f>
        <x:v>Paid Search</x:v>
      </x:c>
      <x:c r="R1558" t="str">
        <x:f>IFERROR(XLOOKUP(F1558,Lookups!$D$5:$D$10,Lookups!$E$5:$E$10),"Unknown Product")</x:f>
        <x:v>Service Cloud</x:v>
      </x:c>
      <x:c r="S1558" t="str">
        <x:f>IFERROR(XLOOKUP(F1558,Lookups!$D$5:$D$10,Lookups!$F$5:$F$10),"Unknown")</x:f>
        <x:v>Customer Service</x:v>
      </x:c>
      <x:c r="T1558" t="str">
        <x:f>IF(L1558&gt;=50000,"Enterprise",IF(L1558&gt;=20000,"Mid-Market","SMB"))</x:f>
        <x:v>Mid-Market</x:v>
      </x:c>
      <x:c r="U1558" t="str">
        <x:f>IF(I1558="Closed Won","Won",IF(I1558="Closed Lost","Lost","Open"))</x:f>
        <x:v>Open</x:v>
      </x:c>
      <x:c r="V1558" s="22" t="n">
        <x:f>IF(U1558="Won",L1558*(1-M1558),0)</x:f>
        <x:v>0</x:v>
      </x:c>
      <x:c r="W1558" s="22" t="n">
        <x:f>IF(U1558="Open",L1558*N1558,0)</x:f>
        <x:v>17840</x:v>
      </x:c>
      <x:c r="X1558" s="26" t="str">
        <x:f>IF(U1558="Open","",IFERROR(K1558-B1558,""))</x:f>
      </x:c>
      <x:c r="Y1558" s="26" t="n">
        <x:f>IF(U1558="Open",Lookups!$B$2-B1558,X1558)</x:f>
        <x:v>49</x:v>
      </x:c>
      <x:c r="Z1558" t="str">
        <x:f>IF(AND(U1558="Open",Y1558&gt;30),"STALE","OK")</x:f>
        <x:v>STALE</x:v>
      </x:c>
      <x:c r="AA1558" t="str">
        <x:f>TEXT(B1558,"yyyy-mm")</x:f>
        <x:v>2026-07</x:v>
      </x:c>
      <x:c r="AB1558" t="str">
        <x:f>IF(K1558="","",TEXT(K1558,"yyyy-mm"))</x:f>
      </x:c>
      <x:c r="AC1558" t="str">
        <x:f>"Q"&amp;ROUNDUP(MONTH(B1558)/3,0)&amp;"-"&amp;YEAR(B1558)</x:f>
        <x:v>Q3-2026</x:v>
      </x:c>
      <x:c r="AD1558" s="26" t="n">
        <x:f>MIN(100,IF(H1558="Enterprise",30,IF(H1558="Mid-Market",22,14))+IF(T1558="Enterprise",25,IF(T1558="Mid-Market",18,10))+IF(Q1558="Referral",25,IF(Q1558="Organic Search",20,IF(Q1558="Email",18,14)))+IF(G1558="Technology",10,5))</x:f>
        <x:v>59</x:v>
      </x:c>
      <x:c r="AE1558" t="str">
        <x:f>IF(U1558&lt;&gt;"Open",U1558,IF(N1558&gt;=0.8,"Commit",IF(N1558&gt;=0.5,"Best Case","Pipeline")))</x:f>
        <x:v>Pipeline</x:v>
      </x:c>
    </x:row>
    <x:row r="1559">
      <x:c r="A1559" t="str">
        <x:v>L01558</x:v>
      </x:c>
      <x:c r="B1559" s="10" t="n">
        <x:v>45982</x:v>
      </x:c>
      <x:c r="C1559" t="str">
        <x:v>Ha Vo</x:v>
      </x:c>
      <x:c r="D1559" t="str">
        <x:v>North</x:v>
      </x:c>
      <x:c r="E1559" t="str">
        <x:v>virtual event</x:v>
      </x:c>
      <x:c r="F1559" t="str">
        <x:v>BI-PLUS</x:v>
      </x:c>
      <x:c r="G1559" t="str">
        <x:v>Manufacturing</x:v>
      </x:c>
      <x:c r="H1559" t="str">
        <x:v>Mid-Market</x:v>
      </x:c>
      <x:c r="I1559" t="str">
        <x:v>Closed Won</x:v>
      </x:c>
      <x:c r="J1559" s="10" t="n">
        <x:v>46030</x:v>
      </x:c>
      <x:c r="K1559" s="10" t="n">
        <x:v>46030</x:v>
      </x:c>
      <x:c r="L1559" s="22" t="n">
        <x:v>28100</x:v>
      </x:c>
      <x:c r="M1559" s="24" t="n">
        <x:v>0.12</x:v>
      </x:c>
      <x:c r="N1559" s="24" t="n">
        <x:v>1</x:v>
      </x:c>
      <x:c r="O1559" t="str"/>
      <x:c r="P1559" t="n">
        <x:v>6</x:v>
      </x:c>
      <x:c r="Q1559" t="str">
        <x:f>IFERROR(XLOOKUP(E1559,Lookups!$A$5:$A$24,Lookups!$B$5:$B$24),"Other")</x:f>
        <x:v>Webinar</x:v>
      </x:c>
      <x:c r="R1559" t="str">
        <x:f>IFERROR(XLOOKUP(F1559,Lookups!$D$5:$D$10,Lookups!$E$5:$E$10),"Unknown Product")</x:f>
        <x:v>Analytics Plus</x:v>
      </x:c>
      <x:c r="S1559" t="str">
        <x:f>IFERROR(XLOOKUP(F1559,Lookups!$D$5:$D$10,Lookups!$F$5:$F$10),"Unknown")</x:f>
        <x:v>Analytics</x:v>
      </x:c>
      <x:c r="T1559" t="str">
        <x:f>IF(L1559&gt;=50000,"Enterprise",IF(L1559&gt;=20000,"Mid-Market","SMB"))</x:f>
        <x:v>Mid-Market</x:v>
      </x:c>
      <x:c r="U1559" t="str">
        <x:f>IF(I1559="Closed Won","Won",IF(I1559="Closed Lost","Lost","Open"))</x:f>
        <x:v>Won</x:v>
      </x:c>
      <x:c r="V1559" s="22" t="n">
        <x:f>IF(U1559="Won",L1559*(1-M1559),0)</x:f>
        <x:v>24728</x:v>
      </x:c>
      <x:c r="W1559" s="22" t="n">
        <x:f>IF(U1559="Open",L1559*N1559,0)</x:f>
        <x:v>0</x:v>
      </x:c>
      <x:c r="X1559" s="26" t="n">
        <x:f>IF(U1559="Open","",IFERROR(K1559-B1559,""))</x:f>
        <x:v>48</x:v>
      </x:c>
      <x:c r="Y1559" s="26" t="n">
        <x:f>IF(U1559="Open",Lookups!$B$2-B1559,X1559)</x:f>
        <x:v>48</x:v>
      </x:c>
      <x:c r="Z1559" t="str">
        <x:f>IF(AND(U1559="Open",Y1559&gt;30),"STALE","OK")</x:f>
        <x:v>OK</x:v>
      </x:c>
      <x:c r="AA1559" t="str">
        <x:f>TEXT(B1559,"yyyy-mm")</x:f>
        <x:v>2025-11</x:v>
      </x:c>
      <x:c r="AB1559" t="str">
        <x:f>IF(K1559="","",TEXT(K1559,"yyyy-mm"))</x:f>
        <x:v>2026-01</x:v>
      </x:c>
      <x:c r="AC1559" t="str">
        <x:f>"Q"&amp;ROUNDUP(MONTH(B1559)/3,0)&amp;"-"&amp;YEAR(B1559)</x:f>
        <x:v>Q4-2025</x:v>
      </x:c>
      <x:c r="AD1559" s="26" t="n">
        <x:f>MIN(100,IF(H1559="Enterprise",30,IF(H1559="Mid-Market",22,14))+IF(T1559="Enterprise",25,IF(T1559="Mid-Market",18,10))+IF(Q1559="Referral",25,IF(Q1559="Organic Search",20,IF(Q1559="Email",18,14)))+IF(G1559="Technology",10,5))</x:f>
        <x:v>59</x:v>
      </x:c>
      <x:c r="AE1559" t="str">
        <x:f>IF(U1559&lt;&gt;"Open",U1559,IF(N1559&gt;=0.8,"Commit",IF(N1559&gt;=0.5,"Best Case","Pipeline")))</x:f>
        <x:v>Won</x:v>
      </x:c>
    </x:row>
    <x:row r="1560">
      <x:c r="A1560" t="str">
        <x:v>L01559</x:v>
      </x:c>
      <x:c r="B1560" s="10" t="n">
        <x:v>46236</x:v>
      </x:c>
      <x:c r="C1560" t="str">
        <x:v>Bao Tran</x:v>
      </x:c>
      <x:c r="D1560" t="str">
        <x:v>South</x:v>
      </x:c>
      <x:c r="E1560" t="str">
        <x:v>LI Ads</x:v>
      </x:c>
      <x:c r="F1560" t="str">
        <x:v>REV-OPS</x:v>
      </x:c>
      <x:c r="G1560" t="str">
        <x:v>Education</x:v>
      </x:c>
      <x:c r="H1560" t="str">
        <x:v>SMB</x:v>
      </x:c>
      <x:c r="I1560" t="str">
        <x:v>Qualified</x:v>
      </x:c>
      <x:c r="J1560" s="10" t="n">
        <x:v>46246</x:v>
      </x:c>
      <x:c r="K1560" s="10"/>
      <x:c r="L1560" s="22" t="n">
        <x:v>40100</x:v>
      </x:c>
      <x:c r="M1560" s="24" t="n">
        <x:v>0.05</x:v>
      </x:c>
      <x:c r="N1560" s="24" t="n">
        <x:v>0.2</x:v>
      </x:c>
      <x:c r="O1560" t="str"/>
      <x:c r="P1560" t="n">
        <x:v>2</x:v>
      </x:c>
      <x:c r="Q1560" t="str">
        <x:f>IFERROR(XLOOKUP(E1560,Lookups!$A$5:$A$24,Lookups!$B$5:$B$24),"Other")</x:f>
        <x:v>LinkedIn</x:v>
      </x:c>
      <x:c r="R1560" t="str">
        <x:f>IFERROR(XLOOKUP(F1560,Lookups!$D$5:$D$10,Lookups!$E$5:$E$10),"Unknown Product")</x:f>
        <x:v>Revenue Operations Suite</x:v>
      </x:c>
      <x:c r="S1560" t="str">
        <x:f>IFERROR(XLOOKUP(F1560,Lookups!$D$5:$D$10,Lookups!$F$5:$F$10),"Unknown")</x:f>
        <x:v>Revenue Ops</x:v>
      </x:c>
      <x:c r="T1560" t="str">
        <x:f>IF(L1560&gt;=50000,"Enterprise",IF(L1560&gt;=20000,"Mid-Market","SMB"))</x:f>
        <x:v>Mid-Market</x:v>
      </x:c>
      <x:c r="U1560" t="str">
        <x:f>IF(I1560="Closed Won","Won",IF(I1560="Closed Lost","Lost","Open"))</x:f>
        <x:v>Open</x:v>
      </x:c>
      <x:c r="V1560" s="22" t="n">
        <x:f>IF(U1560="Won",L1560*(1-M1560),0)</x:f>
        <x:v>0</x:v>
      </x:c>
      <x:c r="W1560" s="22" t="n">
        <x:f>IF(U1560="Open",L1560*N1560,0)</x:f>
        <x:v>8020</x:v>
      </x:c>
      <x:c r="X1560" s="26" t="str">
        <x:f>IF(U1560="Open","",IFERROR(K1560-B1560,""))</x:f>
      </x:c>
      <x:c r="Y1560" s="26" t="n">
        <x:f>IF(U1560="Open",Lookups!$B$2-B1560,X1560)</x:f>
        <x:v>30</x:v>
      </x:c>
      <x:c r="Z1560" t="str">
        <x:f>IF(AND(U1560="Open",Y1560&gt;30),"STALE","OK")</x:f>
        <x:v>OK</x:v>
      </x:c>
      <x:c r="AA1560" t="str">
        <x:f>TEXT(B1560,"yyyy-mm")</x:f>
        <x:v>2026-08</x:v>
      </x:c>
      <x:c r="AB1560" t="str">
        <x:f>IF(K1560="","",TEXT(K1560,"yyyy-mm"))</x:f>
      </x:c>
      <x:c r="AC1560" t="str">
        <x:f>"Q"&amp;ROUNDUP(MONTH(B1560)/3,0)&amp;"-"&amp;YEAR(B1560)</x:f>
        <x:v>Q3-2026</x:v>
      </x:c>
      <x:c r="AD1560" s="26" t="n">
        <x:f>MIN(100,IF(H1560="Enterprise",30,IF(H1560="Mid-Market",22,14))+IF(T1560="Enterprise",25,IF(T1560="Mid-Market",18,10))+IF(Q1560="Referral",25,IF(Q1560="Organic Search",20,IF(Q1560="Email",18,14)))+IF(G1560="Technology",10,5))</x:f>
        <x:v>51</x:v>
      </x:c>
      <x:c r="AE1560" t="str">
        <x:f>IF(U1560&lt;&gt;"Open",U1560,IF(N1560&gt;=0.8,"Commit",IF(N1560&gt;=0.5,"Best Case","Pipeline")))</x:f>
        <x:v>Pipeline</x:v>
      </x:c>
    </x:row>
    <x:row r="1561">
      <x:c r="A1561" t="str">
        <x:v>L01560</x:v>
      </x:c>
      <x:c r="B1561" s="10" t="n">
        <x:v>45853</x:v>
      </x:c>
      <x:c r="C1561" t="str">
        <x:v>Minh Do</x:v>
      </x:c>
      <x:c r="D1561" t="str">
        <x:v>North</x:v>
      </x:c>
      <x:c r="E1561" t="str">
        <x:v>linkedin</x:v>
      </x:c>
      <x:c r="F1561" t="str">
        <x:v>REV-OPS</x:v>
      </x:c>
      <x:c r="G1561" t="str">
        <x:v>Retail</x:v>
      </x:c>
      <x:c r="H1561" t="str">
        <x:v>Enterprise</x:v>
      </x:c>
      <x:c r="I1561" t="str">
        <x:v>Negotiation</x:v>
      </x:c>
      <x:c r="J1561" s="10" t="n">
        <x:v>46130</x:v>
      </x:c>
      <x:c r="K1561" s="10"/>
      <x:c r="L1561" s="22" t="n">
        <x:v>144700</x:v>
      </x:c>
      <x:c r="M1561" s="24" t="n">
        <x:v>0.05</x:v>
      </x:c>
      <x:c r="N1561" s="24" t="n">
        <x:v>0.85</x:v>
      </x:c>
      <x:c r="O1561" t="str"/>
      <x:c r="P1561" t="n">
        <x:v>5</x:v>
      </x:c>
      <x:c r="Q1561" t="str">
        <x:f>IFERROR(XLOOKUP(E1561,Lookups!$A$5:$A$24,Lookups!$B$5:$B$24),"Other")</x:f>
        <x:v>LinkedIn</x:v>
      </x:c>
      <x:c r="R1561" t="str">
        <x:f>IFERROR(XLOOKUP(F1561,Lookups!$D$5:$D$10,Lookups!$E$5:$E$10),"Unknown Product")</x:f>
        <x:v>Revenue Operations Suite</x:v>
      </x:c>
      <x:c r="S1561" t="str">
        <x:f>IFERROR(XLOOKUP(F1561,Lookups!$D$5:$D$10,Lookups!$F$5:$F$10),"Unknown")</x:f>
        <x:v>Revenue Ops</x:v>
      </x:c>
      <x:c r="T1561" t="str">
        <x:f>IF(L1561&gt;=50000,"Enterprise",IF(L1561&gt;=20000,"Mid-Market","SMB"))</x:f>
        <x:v>Enterprise</x:v>
      </x:c>
      <x:c r="U1561" t="str">
        <x:f>IF(I1561="Closed Won","Won",IF(I1561="Closed Lost","Lost","Open"))</x:f>
        <x:v>Open</x:v>
      </x:c>
      <x:c r="V1561" s="22" t="n">
        <x:f>IF(U1561="Won",L1561*(1-M1561),0)</x:f>
        <x:v>0</x:v>
      </x:c>
      <x:c r="W1561" s="22" t="n">
        <x:f>IF(U1561="Open",L1561*N1561,0)</x:f>
        <x:v>122995</x:v>
      </x:c>
      <x:c r="X1561" s="26" t="str">
        <x:f>IF(U1561="Open","",IFERROR(K1561-B1561,""))</x:f>
      </x:c>
      <x:c r="Y1561" s="26" t="n">
        <x:f>IF(U1561="Open",Lookups!$B$2-B1561,X1561)</x:f>
        <x:v>413</x:v>
      </x:c>
      <x:c r="Z1561" t="str">
        <x:f>IF(AND(U1561="Open",Y1561&gt;30),"STALE","OK")</x:f>
        <x:v>STALE</x:v>
      </x:c>
      <x:c r="AA1561" t="str">
        <x:f>TEXT(B1561,"yyyy-mm")</x:f>
        <x:v>2025-07</x:v>
      </x:c>
      <x:c r="AB1561" t="str">
        <x:f>IF(K1561="","",TEXT(K1561,"yyyy-mm"))</x:f>
      </x:c>
      <x:c r="AC1561" t="str">
        <x:f>"Q"&amp;ROUNDUP(MONTH(B1561)/3,0)&amp;"-"&amp;YEAR(B1561)</x:f>
        <x:v>Q3-2025</x:v>
      </x:c>
      <x:c r="AD1561" s="26" t="n">
        <x:f>MIN(100,IF(H1561="Enterprise",30,IF(H1561="Mid-Market",22,14))+IF(T1561="Enterprise",25,IF(T1561="Mid-Market",18,10))+IF(Q1561="Referral",25,IF(Q1561="Organic Search",20,IF(Q1561="Email",18,14)))+IF(G1561="Technology",10,5))</x:f>
        <x:v>74</x:v>
      </x:c>
      <x:c r="AE1561" t="str">
        <x:f>IF(U1561&lt;&gt;"Open",U1561,IF(N1561&gt;=0.8,"Commit",IF(N1561&gt;=0.5,"Best Case","Pipeline")))</x:f>
        <x:v>Commit</x:v>
      </x:c>
    </x:row>
    <x:row r="1562">
      <x:c r="A1562" t="str">
        <x:v>L01561</x:v>
      </x:c>
      <x:c r="B1562" s="10" t="n">
        <x:v>46113</x:v>
      </x:c>
      <x:c r="C1562" t="str">
        <x:v>Tuan Bui</x:v>
      </x:c>
      <x:c r="D1562" t="str">
        <x:v>Central</x:v>
      </x:c>
      <x:c r="E1562" t="str">
        <x:v>Outbound</x:v>
      </x:c>
      <x:c r="F1562" t="str">
        <x:v>CRM-CORE</x:v>
      </x:c>
      <x:c r="G1562" t="str">
        <x:v>Technology</x:v>
      </x:c>
      <x:c r="H1562" t="str">
        <x:v>Enterprise</x:v>
      </x:c>
      <x:c r="I1562" t="str">
        <x:v>Closed Won</x:v>
      </x:c>
      <x:c r="J1562" s="10" t="n">
        <x:v>46193</x:v>
      </x:c>
      <x:c r="K1562" s="10" t="n">
        <x:v>46193</x:v>
      </x:c>
      <x:c r="L1562" s="22" t="n">
        <x:v>23200</x:v>
      </x:c>
      <x:c r="M1562" s="24" t="n">
        <x:v>0</x:v>
      </x:c>
      <x:c r="N1562" s="24" t="n">
        <x:v>1</x:v>
      </x:c>
      <x:c r="O1562" t="str"/>
      <x:c r="P1562" t="n">
        <x:v>6</x:v>
      </x:c>
      <x:c r="Q1562" t="str">
        <x:f>IFERROR(XLOOKUP(E1562,Lookups!$A$5:$A$24,Lookups!$B$5:$B$24),"Other")</x:f>
        <x:v>Outbound</x:v>
      </x:c>
      <x:c r="R1562" t="str">
        <x:f>IFERROR(XLOOKUP(F1562,Lookups!$D$5:$D$10,Lookups!$E$5:$E$10),"Unknown Product")</x:f>
        <x:v>NexaCRM Core</x:v>
      </x:c>
      <x:c r="S1562" t="str">
        <x:f>IFERROR(XLOOKUP(F1562,Lookups!$D$5:$D$10,Lookups!$F$5:$F$10),"Unknown")</x:f>
        <x:v>CRM</x:v>
      </x:c>
      <x:c r="T1562" t="str">
        <x:f>IF(L1562&gt;=50000,"Enterprise",IF(L1562&gt;=20000,"Mid-Market","SMB"))</x:f>
        <x:v>Mid-Market</x:v>
      </x:c>
      <x:c r="U1562" t="str">
        <x:f>IF(I1562="Closed Won","Won",IF(I1562="Closed Lost","Lost","Open"))</x:f>
        <x:v>Won</x:v>
      </x:c>
      <x:c r="V1562" s="22" t="n">
        <x:f>IF(U1562="Won",L1562*(1-M1562),0)</x:f>
        <x:v>23200</x:v>
      </x:c>
      <x:c r="W1562" s="22" t="n">
        <x:f>IF(U1562="Open",L1562*N1562,0)</x:f>
        <x:v>0</x:v>
      </x:c>
      <x:c r="X1562" s="26" t="n">
        <x:f>IF(U1562="Open","",IFERROR(K1562-B1562,""))</x:f>
        <x:v>80</x:v>
      </x:c>
      <x:c r="Y1562" s="26" t="n">
        <x:f>IF(U1562="Open",Lookups!$B$2-B1562,X1562)</x:f>
        <x:v>80</x:v>
      </x:c>
      <x:c r="Z1562" t="str">
        <x:f>IF(AND(U1562="Open",Y1562&gt;30),"STALE","OK")</x:f>
        <x:v>OK</x:v>
      </x:c>
      <x:c r="AA1562" t="str">
        <x:f>TEXT(B1562,"yyyy-mm")</x:f>
        <x:v>2026-04</x:v>
      </x:c>
      <x:c r="AB1562" t="str">
        <x:f>IF(K1562="","",TEXT(K1562,"yyyy-mm"))</x:f>
        <x:v>2026-06</x:v>
      </x:c>
      <x:c r="AC1562" t="str">
        <x:f>"Q"&amp;ROUNDUP(MONTH(B1562)/3,0)&amp;"-"&amp;YEAR(B1562)</x:f>
        <x:v>Q2-2026</x:v>
      </x:c>
      <x:c r="AD1562" s="26" t="n">
        <x:f>MIN(100,IF(H1562="Enterprise",30,IF(H1562="Mid-Market",22,14))+IF(T1562="Enterprise",25,IF(T1562="Mid-Market",18,10))+IF(Q1562="Referral",25,IF(Q1562="Organic Search",20,IF(Q1562="Email",18,14)))+IF(G1562="Technology",10,5))</x:f>
        <x:v>72</x:v>
      </x:c>
      <x:c r="AE1562" t="str">
        <x:f>IF(U1562&lt;&gt;"Open",U1562,IF(N1562&gt;=0.8,"Commit",IF(N1562&gt;=0.5,"Best Case","Pipeline")))</x:f>
        <x:v>Won</x:v>
      </x:c>
    </x:row>
    <x:row r="1563">
      <x:c r="A1563" t="str">
        <x:v>L01562</x:v>
      </x:c>
      <x:c r="B1563" s="10" t="n">
        <x:v>46105</x:v>
      </x:c>
      <x:c r="C1563" t="str">
        <x:v>Duy Pham</x:v>
      </x:c>
      <x:c r="D1563" t="str">
        <x:v>South</x:v>
      </x:c>
      <x:c r="E1563" t="str">
        <x:v>Email Campaign</x:v>
      </x:c>
      <x:c r="F1563" t="str">
        <x:v>CRM-CORE</x:v>
      </x:c>
      <x:c r="G1563" t="str">
        <x:v>Technology</x:v>
      </x:c>
      <x:c r="H1563" t="str">
        <x:v>Mid-Market</x:v>
      </x:c>
      <x:c r="I1563" t="str">
        <x:v>Closed Lost</x:v>
      </x:c>
      <x:c r="J1563" s="10" t="n">
        <x:v>46157</x:v>
      </x:c>
      <x:c r="K1563" s="10" t="n">
        <x:v>46157</x:v>
      </x:c>
      <x:c r="L1563" s="22" t="n">
        <x:v>13400</x:v>
      </x:c>
      <x:c r="M1563" s="24" t="n">
        <x:v>0</x:v>
      </x:c>
      <x:c r="N1563" s="24" t="n">
        <x:v>0</x:v>
      </x:c>
      <x:c r="O1563" t="str">
        <x:v>No Decision</x:v>
      </x:c>
      <x:c r="P1563" t="n">
        <x:v>3</x:v>
      </x:c>
      <x:c r="Q1563" t="str">
        <x:f>IFERROR(XLOOKUP(E1563,Lookups!$A$5:$A$24,Lookups!$B$5:$B$24),"Other")</x:f>
        <x:v>Email</x:v>
      </x:c>
      <x:c r="R1563" t="str">
        <x:f>IFERROR(XLOOKUP(F1563,Lookups!$D$5:$D$10,Lookups!$E$5:$E$10),"Unknown Product")</x:f>
        <x:v>NexaCRM Core</x:v>
      </x:c>
      <x:c r="S1563" t="str">
        <x:f>IFERROR(XLOOKUP(F1563,Lookups!$D$5:$D$10,Lookups!$F$5:$F$10),"Unknown")</x:f>
        <x:v>CRM</x:v>
      </x:c>
      <x:c r="T1563" t="str">
        <x:f>IF(L1563&gt;=50000,"Enterprise",IF(L1563&gt;=20000,"Mid-Market","SMB"))</x:f>
        <x:v>SMB</x:v>
      </x:c>
      <x:c r="U1563" t="str">
        <x:f>IF(I1563="Closed Won","Won",IF(I1563="Closed Lost","Lost","Open"))</x:f>
        <x:v>Lost</x:v>
      </x:c>
      <x:c r="V1563" s="22" t="n">
        <x:f>IF(U1563="Won",L1563*(1-M1563),0)</x:f>
        <x:v>0</x:v>
      </x:c>
      <x:c r="W1563" s="22" t="n">
        <x:f>IF(U1563="Open",L1563*N1563,0)</x:f>
        <x:v>0</x:v>
      </x:c>
      <x:c r="X1563" s="26" t="n">
        <x:f>IF(U1563="Open","",IFERROR(K1563-B1563,""))</x:f>
        <x:v>52</x:v>
      </x:c>
      <x:c r="Y1563" s="26" t="n">
        <x:f>IF(U1563="Open",Lookups!$B$2-B1563,X1563)</x:f>
        <x:v>52</x:v>
      </x:c>
      <x:c r="Z1563" t="str">
        <x:f>IF(AND(U1563="Open",Y1563&gt;30),"STALE","OK")</x:f>
        <x:v>OK</x:v>
      </x:c>
      <x:c r="AA1563" t="str">
        <x:f>TEXT(B1563,"yyyy-mm")</x:f>
        <x:v>2026-03</x:v>
      </x:c>
      <x:c r="AB1563" t="str">
        <x:f>IF(K1563="","",TEXT(K1563,"yyyy-mm"))</x:f>
        <x:v>2026-05</x:v>
      </x:c>
      <x:c r="AC1563" t="str">
        <x:f>"Q"&amp;ROUNDUP(MONTH(B1563)/3,0)&amp;"-"&amp;YEAR(B1563)</x:f>
        <x:v>Q1-2026</x:v>
      </x:c>
      <x:c r="AD1563" s="26" t="n">
        <x:f>MIN(100,IF(H1563="Enterprise",30,IF(H1563="Mid-Market",22,14))+IF(T1563="Enterprise",25,IF(T1563="Mid-Market",18,10))+IF(Q1563="Referral",25,IF(Q1563="Organic Search",20,IF(Q1563="Email",18,14)))+IF(G1563="Technology",10,5))</x:f>
        <x:v>60</x:v>
      </x:c>
      <x:c r="AE1563" t="str">
        <x:f>IF(U1563&lt;&gt;"Open",U1563,IF(N1563&gt;=0.8,"Commit",IF(N1563&gt;=0.5,"Best Case","Pipeline")))</x:f>
        <x:v>Lost</x:v>
      </x:c>
    </x:row>
    <x:row r="1564">
      <x:c r="A1564" t="str">
        <x:v>L01563</x:v>
      </x:c>
      <x:c r="B1564" s="10" t="n">
        <x:v>45758</x:v>
      </x:c>
      <x:c r="C1564" t="str">
        <x:v>Bao Tran</x:v>
      </x:c>
      <x:c r="D1564" t="str">
        <x:v>South</x:v>
      </x:c>
      <x:c r="E1564" t="str">
        <x:v>google cpc</x:v>
      </x:c>
      <x:c r="F1564" t="str">
        <x:v>CS-CLOUD</x:v>
      </x:c>
      <x:c r="G1564" t="str">
        <x:v>Professional Services</x:v>
      </x:c>
      <x:c r="H1564" t="str">
        <x:v>SMB</x:v>
      </x:c>
      <x:c r="I1564" t="str">
        <x:v>Closed Won</x:v>
      </x:c>
      <x:c r="J1564" s="10" t="n">
        <x:v>45831</x:v>
      </x:c>
      <x:c r="K1564" s="10" t="n">
        <x:v>45831</x:v>
      </x:c>
      <x:c r="L1564" s="22" t="n">
        <x:v>22700</x:v>
      </x:c>
      <x:c r="M1564" s="24" t="n">
        <x:v>0.12</x:v>
      </x:c>
      <x:c r="N1564" s="24" t="n">
        <x:v>1</x:v>
      </x:c>
      <x:c r="O1564" t="str"/>
      <x:c r="P1564" t="n">
        <x:v>6</x:v>
      </x:c>
      <x:c r="Q1564" t="str">
        <x:f>IFERROR(XLOOKUP(E1564,Lookups!$A$5:$A$24,Lookups!$B$5:$B$24),"Other")</x:f>
        <x:v>Paid Search</x:v>
      </x:c>
      <x:c r="R1564" t="str">
        <x:f>IFERROR(XLOOKUP(F1564,Lookups!$D$5:$D$10,Lookups!$E$5:$E$10),"Unknown Product")</x:f>
        <x:v>Service Cloud</x:v>
      </x:c>
      <x:c r="S1564" t="str">
        <x:f>IFERROR(XLOOKUP(F1564,Lookups!$D$5:$D$10,Lookups!$F$5:$F$10),"Unknown")</x:f>
        <x:v>Customer Service</x:v>
      </x:c>
      <x:c r="T1564" t="str">
        <x:f>IF(L1564&gt;=50000,"Enterprise",IF(L1564&gt;=20000,"Mid-Market","SMB"))</x:f>
        <x:v>Mid-Market</x:v>
      </x:c>
      <x:c r="U1564" t="str">
        <x:f>IF(I1564="Closed Won","Won",IF(I1564="Closed Lost","Lost","Open"))</x:f>
        <x:v>Won</x:v>
      </x:c>
      <x:c r="V1564" s="22" t="n">
        <x:f>IF(U1564="Won",L1564*(1-M1564),0)</x:f>
        <x:v>19976</x:v>
      </x:c>
      <x:c r="W1564" s="22" t="n">
        <x:f>IF(U1564="Open",L1564*N1564,0)</x:f>
        <x:v>0</x:v>
      </x:c>
      <x:c r="X1564" s="26" t="n">
        <x:f>IF(U1564="Open","",IFERROR(K1564-B1564,""))</x:f>
        <x:v>73</x:v>
      </x:c>
      <x:c r="Y1564" s="26" t="n">
        <x:f>IF(U1564="Open",Lookups!$B$2-B1564,X1564)</x:f>
        <x:v>73</x:v>
      </x:c>
      <x:c r="Z1564" t="str">
        <x:f>IF(AND(U1564="Open",Y1564&gt;30),"STALE","OK")</x:f>
        <x:v>OK</x:v>
      </x:c>
      <x:c r="AA1564" t="str">
        <x:f>TEXT(B1564,"yyyy-mm")</x:f>
        <x:v>2025-04</x:v>
      </x:c>
      <x:c r="AB1564" t="str">
        <x:f>IF(K1564="","",TEXT(K1564,"yyyy-mm"))</x:f>
        <x:v>2025-06</x:v>
      </x:c>
      <x:c r="AC1564" t="str">
        <x:f>"Q"&amp;ROUNDUP(MONTH(B1564)/3,0)&amp;"-"&amp;YEAR(B1564)</x:f>
        <x:v>Q2-2025</x:v>
      </x:c>
      <x:c r="AD1564" s="26" t="n">
        <x:f>MIN(100,IF(H1564="Enterprise",30,IF(H1564="Mid-Market",22,14))+IF(T1564="Enterprise",25,IF(T1564="Mid-Market",18,10))+IF(Q1564="Referral",25,IF(Q1564="Organic Search",20,IF(Q1564="Email",18,14)))+IF(G1564="Technology",10,5))</x:f>
        <x:v>51</x:v>
      </x:c>
      <x:c r="AE1564" t="str">
        <x:f>IF(U1564&lt;&gt;"Open",U1564,IF(N1564&gt;=0.8,"Commit",IF(N1564&gt;=0.5,"Best Case","Pipeline")))</x:f>
        <x:v>Won</x:v>
      </x:c>
    </x:row>
    <x:row r="1565">
      <x:c r="A1565" t="str">
        <x:v>L01564</x:v>
      </x:c>
      <x:c r="B1565" s="10" t="n">
        <x:v>46260</x:v>
      </x:c>
      <x:c r="C1565" t="str">
        <x:v>Minh Do</x:v>
      </x:c>
      <x:c r="D1565" t="str">
        <x:v>North</x:v>
      </x:c>
      <x:c r="E1565" t="str">
        <x:v>Referral</x:v>
      </x:c>
      <x:c r="F1565" t="str">
        <x:v>REV-OPS</x:v>
      </x:c>
      <x:c r="G1565" t="str">
        <x:v>Professional Services</x:v>
      </x:c>
      <x:c r="H1565" t="str">
        <x:v>Mid-Market</x:v>
      </x:c>
      <x:c r="I1565" t="str">
        <x:v>New</x:v>
      </x:c>
      <x:c r="J1565" s="10" t="n">
        <x:v>46263</x:v>
      </x:c>
      <x:c r="K1565" s="10"/>
      <x:c r="L1565" s="22" t="n">
        <x:v>54300</x:v>
      </x:c>
      <x:c r="M1565" s="24" t="n">
        <x:v>0.05</x:v>
      </x:c>
      <x:c r="N1565" s="24" t="n">
        <x:v>0.05</x:v>
      </x:c>
      <x:c r="O1565" t="str"/>
      <x:c r="P1565" t="n">
        <x:v>1</x:v>
      </x:c>
      <x:c r="Q1565" t="str">
        <x:f>IFERROR(XLOOKUP(E1565,Lookups!$A$5:$A$24,Lookups!$B$5:$B$24),"Other")</x:f>
        <x:v>Referral</x:v>
      </x:c>
      <x:c r="R1565" t="str">
        <x:f>IFERROR(XLOOKUP(F1565,Lookups!$D$5:$D$10,Lookups!$E$5:$E$10),"Unknown Product")</x:f>
        <x:v>Revenue Operations Suite</x:v>
      </x:c>
      <x:c r="S1565" t="str">
        <x:f>IFERROR(XLOOKUP(F1565,Lookups!$D$5:$D$10,Lookups!$F$5:$F$10),"Unknown")</x:f>
        <x:v>Revenue Ops</x:v>
      </x:c>
      <x:c r="T1565" t="str">
        <x:f>IF(L1565&gt;=50000,"Enterprise",IF(L1565&gt;=20000,"Mid-Market","SMB"))</x:f>
        <x:v>Enterprise</x:v>
      </x:c>
      <x:c r="U1565" t="str">
        <x:f>IF(I1565="Closed Won","Won",IF(I1565="Closed Lost","Lost","Open"))</x:f>
        <x:v>Open</x:v>
      </x:c>
      <x:c r="V1565" s="22" t="n">
        <x:f>IF(U1565="Won",L1565*(1-M1565),0)</x:f>
        <x:v>0</x:v>
      </x:c>
      <x:c r="W1565" s="22" t="n">
        <x:f>IF(U1565="Open",L1565*N1565,0)</x:f>
        <x:v>2715</x:v>
      </x:c>
      <x:c r="X1565" s="26" t="str">
        <x:f>IF(U1565="Open","",IFERROR(K1565-B1565,""))</x:f>
      </x:c>
      <x:c r="Y1565" s="26" t="n">
        <x:f>IF(U1565="Open",Lookups!$B$2-B1565,X1565)</x:f>
        <x:v>6</x:v>
      </x:c>
      <x:c r="Z1565" t="str">
        <x:f>IF(AND(U1565="Open",Y1565&gt;30),"STALE","OK")</x:f>
        <x:v>OK</x:v>
      </x:c>
      <x:c r="AA1565" t="str">
        <x:f>TEXT(B1565,"yyyy-mm")</x:f>
        <x:v>2026-08</x:v>
      </x:c>
      <x:c r="AB1565" t="str">
        <x:f>IF(K1565="","",TEXT(K1565,"yyyy-mm"))</x:f>
      </x:c>
      <x:c r="AC1565" t="str">
        <x:f>"Q"&amp;ROUNDUP(MONTH(B1565)/3,0)&amp;"-"&amp;YEAR(B1565)</x:f>
        <x:v>Q3-2026</x:v>
      </x:c>
      <x:c r="AD1565" s="26" t="n">
        <x:f>MIN(100,IF(H1565="Enterprise",30,IF(H1565="Mid-Market",22,14))+IF(T1565="Enterprise",25,IF(T1565="Mid-Market",18,10))+IF(Q1565="Referral",25,IF(Q1565="Organic Search",20,IF(Q1565="Email",18,14)))+IF(G1565="Technology",10,5))</x:f>
        <x:v>77</x:v>
      </x:c>
      <x:c r="AE1565" t="str">
        <x:f>IF(U1565&lt;&gt;"Open",U1565,IF(N1565&gt;=0.8,"Commit",IF(N1565&gt;=0.5,"Best Case","Pipeline")))</x:f>
        <x:v>Pipeline</x:v>
      </x:c>
    </x:row>
    <x:row r="1566">
      <x:c r="A1566" t="str">
        <x:v>L01565</x:v>
      </x:c>
      <x:c r="B1566" s="10" t="n">
        <x:v>45745</x:v>
      </x:c>
      <x:c r="C1566" t="str">
        <x:v>Ha Vo</x:v>
      </x:c>
      <x:c r="D1566" t="str">
        <x:v>North</x:v>
      </x:c>
      <x:c r="E1566" t="str">
        <x:v>Offline List</x:v>
      </x:c>
      <x:c r="F1566" t="str">
        <x:v>CRM-CORE</x:v>
      </x:c>
      <x:c r="G1566" t="str">
        <x:v>Professional Services</x:v>
      </x:c>
      <x:c r="H1566" t="str">
        <x:v>Enterprise</x:v>
      </x:c>
      <x:c r="I1566" t="str">
        <x:v>Negotiation</x:v>
      </x:c>
      <x:c r="J1566" s="10" t="n">
        <x:v>45944</x:v>
      </x:c>
      <x:c r="K1566" s="10"/>
      <x:c r="L1566" s="22" t="n">
        <x:v>28600</x:v>
      </x:c>
      <x:c r="M1566" s="24" t="n">
        <x:v>0.03</x:v>
      </x:c>
      <x:c r="N1566" s="24" t="n">
        <x:v>0.85</x:v>
      </x:c>
      <x:c r="O1566" t="str"/>
      <x:c r="P1566" t="n">
        <x:v>5</x:v>
      </x:c>
      <x:c r="Q1566" t="str">
        <x:f>IFERROR(XLOOKUP(E1566,Lookups!$A$5:$A$24,Lookups!$B$5:$B$24),"Other")</x:f>
        <x:v>Other</x:v>
      </x:c>
      <x:c r="R1566" t="str">
        <x:f>IFERROR(XLOOKUP(F1566,Lookups!$D$5:$D$10,Lookups!$E$5:$E$10),"Unknown Product")</x:f>
        <x:v>NexaCRM Core</x:v>
      </x:c>
      <x:c r="S1566" t="str">
        <x:f>IFERROR(XLOOKUP(F1566,Lookups!$D$5:$D$10,Lookups!$F$5:$F$10),"Unknown")</x:f>
        <x:v>CRM</x:v>
      </x:c>
      <x:c r="T1566" t="str">
        <x:f>IF(L1566&gt;=50000,"Enterprise",IF(L1566&gt;=20000,"Mid-Market","SMB"))</x:f>
        <x:v>Mid-Market</x:v>
      </x:c>
      <x:c r="U1566" t="str">
        <x:f>IF(I1566="Closed Won","Won",IF(I1566="Closed Lost","Lost","Open"))</x:f>
        <x:v>Open</x:v>
      </x:c>
      <x:c r="V1566" s="22" t="n">
        <x:f>IF(U1566="Won",L1566*(1-M1566),0)</x:f>
        <x:v>0</x:v>
      </x:c>
      <x:c r="W1566" s="22" t="n">
        <x:f>IF(U1566="Open",L1566*N1566,0)</x:f>
        <x:v>24310</x:v>
      </x:c>
      <x:c r="X1566" s="26" t="str">
        <x:f>IF(U1566="Open","",IFERROR(K1566-B1566,""))</x:f>
      </x:c>
      <x:c r="Y1566" s="26" t="n">
        <x:f>IF(U1566="Open",Lookups!$B$2-B1566,X1566)</x:f>
        <x:v>521</x:v>
      </x:c>
      <x:c r="Z1566" t="str">
        <x:f>IF(AND(U1566="Open",Y1566&gt;30),"STALE","OK")</x:f>
        <x:v>STALE</x:v>
      </x:c>
      <x:c r="AA1566" t="str">
        <x:f>TEXT(B1566,"yyyy-mm")</x:f>
        <x:v>2025-03</x:v>
      </x:c>
      <x:c r="AB1566" t="str">
        <x:f>IF(K1566="","",TEXT(K1566,"yyyy-mm"))</x:f>
      </x:c>
      <x:c r="AC1566" t="str">
        <x:f>"Q"&amp;ROUNDUP(MONTH(B1566)/3,0)&amp;"-"&amp;YEAR(B1566)</x:f>
        <x:v>Q1-2025</x:v>
      </x:c>
      <x:c r="AD1566" s="26" t="n">
        <x:f>MIN(100,IF(H1566="Enterprise",30,IF(H1566="Mid-Market",22,14))+IF(T1566="Enterprise",25,IF(T1566="Mid-Market",18,10))+IF(Q1566="Referral",25,IF(Q1566="Organic Search",20,IF(Q1566="Email",18,14)))+IF(G1566="Technology",10,5))</x:f>
        <x:v>67</x:v>
      </x:c>
      <x:c r="AE1566" t="str">
        <x:f>IF(U1566&lt;&gt;"Open",U1566,IF(N1566&gt;=0.8,"Commit",IF(N1566&gt;=0.5,"Best Case","Pipeline")))</x:f>
        <x:v>Commit</x:v>
      </x:c>
    </x:row>
    <x:row r="1567">
      <x:c r="A1567" t="str">
        <x:v>L01566</x:v>
      </x:c>
      <x:c r="B1567" s="10" t="n">
        <x:v>45750</x:v>
      </x:c>
      <x:c r="C1567" t="str">
        <x:v>Duy Pham</x:v>
      </x:c>
      <x:c r="D1567" t="str">
        <x:v>South</x:v>
      </x:c>
      <x:c r="E1567" t="str">
        <x:v>organic search</x:v>
      </x:c>
      <x:c r="F1567" t="str">
        <x:v>MKT-AUTO</x:v>
      </x:c>
      <x:c r="G1567" t="str">
        <x:v>Professional Services</x:v>
      </x:c>
      <x:c r="H1567" t="str">
        <x:v>SMB</x:v>
      </x:c>
      <x:c r="I1567" t="str">
        <x:v>Closed Lost</x:v>
      </x:c>
      <x:c r="J1567" s="10" t="n">
        <x:v>45822</x:v>
      </x:c>
      <x:c r="K1567" s="10" t="n">
        <x:v>45822</x:v>
      </x:c>
      <x:c r="L1567" s="22" t="n">
        <x:v>11500</x:v>
      </x:c>
      <x:c r="M1567" s="24" t="n">
        <x:v>0</x:v>
      </x:c>
      <x:c r="N1567" s="24" t="n">
        <x:v>0</x:v>
      </x:c>
      <x:c r="O1567" t="str">
        <x:v>Feature Gap</x:v>
      </x:c>
      <x:c r="P1567" t="n">
        <x:v>2</x:v>
      </x:c>
      <x:c r="Q1567" t="str">
        <x:f>IFERROR(XLOOKUP(E1567,Lookups!$A$5:$A$24,Lookups!$B$5:$B$24),"Other")</x:f>
        <x:v>Organic Search</x:v>
      </x:c>
      <x:c r="R1567" t="str">
        <x:f>IFERROR(XLOOKUP(F1567,Lookups!$D$5:$D$10,Lookups!$E$5:$E$10),"Unknown Product")</x:f>
        <x:v>Marketing Automation</x:v>
      </x:c>
      <x:c r="S1567" t="str">
        <x:f>IFERROR(XLOOKUP(F1567,Lookups!$D$5:$D$10,Lookups!$F$5:$F$10),"Unknown")</x:f>
        <x:v>Marketing</x:v>
      </x:c>
      <x:c r="T1567" t="str">
        <x:f>IF(L1567&gt;=50000,"Enterprise",IF(L1567&gt;=20000,"Mid-Market","SMB"))</x:f>
        <x:v>SMB</x:v>
      </x:c>
      <x:c r="U1567" t="str">
        <x:f>IF(I1567="Closed Won","Won",IF(I1567="Closed Lost","Lost","Open"))</x:f>
        <x:v>Lost</x:v>
      </x:c>
      <x:c r="V1567" s="22" t="n">
        <x:f>IF(U1567="Won",L1567*(1-M1567),0)</x:f>
        <x:v>0</x:v>
      </x:c>
      <x:c r="W1567" s="22" t="n">
        <x:f>IF(U1567="Open",L1567*N1567,0)</x:f>
        <x:v>0</x:v>
      </x:c>
      <x:c r="X1567" s="26" t="n">
        <x:f>IF(U1567="Open","",IFERROR(K1567-B1567,""))</x:f>
        <x:v>72</x:v>
      </x:c>
      <x:c r="Y1567" s="26" t="n">
        <x:f>IF(U1567="Open",Lookups!$B$2-B1567,X1567)</x:f>
        <x:v>72</x:v>
      </x:c>
      <x:c r="Z1567" t="str">
        <x:f>IF(AND(U1567="Open",Y1567&gt;30),"STALE","OK")</x:f>
        <x:v>OK</x:v>
      </x:c>
      <x:c r="AA1567" t="str">
        <x:f>TEXT(B1567,"yyyy-mm")</x:f>
        <x:v>2025-04</x:v>
      </x:c>
      <x:c r="AB1567" t="str">
        <x:f>IF(K1567="","",TEXT(K1567,"yyyy-mm"))</x:f>
        <x:v>2025-06</x:v>
      </x:c>
      <x:c r="AC1567" t="str">
        <x:f>"Q"&amp;ROUNDUP(MONTH(B1567)/3,0)&amp;"-"&amp;YEAR(B1567)</x:f>
        <x:v>Q2-2025</x:v>
      </x:c>
      <x:c r="AD1567" s="26" t="n">
        <x:f>MIN(100,IF(H1567="Enterprise",30,IF(H1567="Mid-Market",22,14))+IF(T1567="Enterprise",25,IF(T1567="Mid-Market",18,10))+IF(Q1567="Referral",25,IF(Q1567="Organic Search",20,IF(Q1567="Email",18,14)))+IF(G1567="Technology",10,5))</x:f>
        <x:v>49</x:v>
      </x:c>
      <x:c r="AE1567" t="str">
        <x:f>IF(U1567&lt;&gt;"Open",U1567,IF(N1567&gt;=0.8,"Commit",IF(N1567&gt;=0.5,"Best Case","Pipeline")))</x:f>
        <x:v>Lost</x:v>
      </x:c>
    </x:row>
    <x:row r="1568">
      <x:c r="A1568" t="str">
        <x:v>L01567</x:v>
      </x:c>
      <x:c r="B1568" s="10" t="n">
        <x:v>46222</x:v>
      </x:c>
      <x:c r="C1568" t="str">
        <x:v>Bao Tran</x:v>
      </x:c>
      <x:c r="D1568" t="str">
        <x:v>South</x:v>
      </x:c>
      <x:c r="E1568" t="str">
        <x:v>google cpc</x:v>
      </x:c>
      <x:c r="F1568" t="str">
        <x:v>CRM-CORE</x:v>
      </x:c>
      <x:c r="G1568" t="str">
        <x:v>Technology</x:v>
      </x:c>
      <x:c r="H1568" t="str">
        <x:v>SMB</x:v>
      </x:c>
      <x:c r="I1568" t="str">
        <x:v>Qualified</x:v>
      </x:c>
      <x:c r="J1568" s="10" t="n">
        <x:v>46249</x:v>
      </x:c>
      <x:c r="K1568" s="10"/>
      <x:c r="L1568" s="22" t="n">
        <x:v>4400</x:v>
      </x:c>
      <x:c r="M1568" s="24" t="n">
        <x:v>0.05</x:v>
      </x:c>
      <x:c r="N1568" s="24" t="n">
        <x:v>0.2</x:v>
      </x:c>
      <x:c r="O1568" t="str"/>
      <x:c r="P1568" t="n">
        <x:v>2</x:v>
      </x:c>
      <x:c r="Q1568" t="str">
        <x:f>IFERROR(XLOOKUP(E1568,Lookups!$A$5:$A$24,Lookups!$B$5:$B$24),"Other")</x:f>
        <x:v>Paid Search</x:v>
      </x:c>
      <x:c r="R1568" t="str">
        <x:f>IFERROR(XLOOKUP(F1568,Lookups!$D$5:$D$10,Lookups!$E$5:$E$10),"Unknown Product")</x:f>
        <x:v>NexaCRM Core</x:v>
      </x:c>
      <x:c r="S1568" t="str">
        <x:f>IFERROR(XLOOKUP(F1568,Lookups!$D$5:$D$10,Lookups!$F$5:$F$10),"Unknown")</x:f>
        <x:v>CRM</x:v>
      </x:c>
      <x:c r="T1568" t="str">
        <x:f>IF(L1568&gt;=50000,"Enterprise",IF(L1568&gt;=20000,"Mid-Market","SMB"))</x:f>
        <x:v>SMB</x:v>
      </x:c>
      <x:c r="U1568" t="str">
        <x:f>IF(I1568="Closed Won","Won",IF(I1568="Closed Lost","Lost","Open"))</x:f>
        <x:v>Open</x:v>
      </x:c>
      <x:c r="V1568" s="22" t="n">
        <x:f>IF(U1568="Won",L1568*(1-M1568),0)</x:f>
        <x:v>0</x:v>
      </x:c>
      <x:c r="W1568" s="22" t="n">
        <x:f>IF(U1568="Open",L1568*N1568,0)</x:f>
        <x:v>880</x:v>
      </x:c>
      <x:c r="X1568" s="26" t="str">
        <x:f>IF(U1568="Open","",IFERROR(K1568-B1568,""))</x:f>
      </x:c>
      <x:c r="Y1568" s="26" t="n">
        <x:f>IF(U1568="Open",Lookups!$B$2-B1568,X1568)</x:f>
        <x:v>44</x:v>
      </x:c>
      <x:c r="Z1568" t="str">
        <x:f>IF(AND(U1568="Open",Y1568&gt;30),"STALE","OK")</x:f>
        <x:v>STALE</x:v>
      </x:c>
      <x:c r="AA1568" t="str">
        <x:f>TEXT(B1568,"yyyy-mm")</x:f>
        <x:v>2026-07</x:v>
      </x:c>
      <x:c r="AB1568" t="str">
        <x:f>IF(K1568="","",TEXT(K1568,"yyyy-mm"))</x:f>
      </x:c>
      <x:c r="AC1568" t="str">
        <x:f>"Q"&amp;ROUNDUP(MONTH(B1568)/3,0)&amp;"-"&amp;YEAR(B1568)</x:f>
        <x:v>Q3-2026</x:v>
      </x:c>
      <x:c r="AD1568" s="26" t="n">
        <x:f>MIN(100,IF(H1568="Enterprise",30,IF(H1568="Mid-Market",22,14))+IF(T1568="Enterprise",25,IF(T1568="Mid-Market",18,10))+IF(Q1568="Referral",25,IF(Q1568="Organic Search",20,IF(Q1568="Email",18,14)))+IF(G1568="Technology",10,5))</x:f>
        <x:v>48</x:v>
      </x:c>
      <x:c r="AE1568" t="str">
        <x:f>IF(U1568&lt;&gt;"Open",U1568,IF(N1568&gt;=0.8,"Commit",IF(N1568&gt;=0.5,"Best Case","Pipeline")))</x:f>
        <x:v>Pipeline</x:v>
      </x:c>
    </x:row>
    <x:row r="1569">
      <x:c r="A1569" t="str">
        <x:v>L01568</x:v>
      </x:c>
      <x:c r="B1569" s="10" t="n">
        <x:v>46056</x:v>
      </x:c>
      <x:c r="C1569" t="str">
        <x:v>Chi Le</x:v>
      </x:c>
      <x:c r="D1569" t="str">
        <x:v>South</x:v>
      </x:c>
      <x:c r="E1569" t="str">
        <x:v>Webinar</x:v>
      </x:c>
      <x:c r="F1569" t="str">
        <x:v>MKT-AUTO</x:v>
      </x:c>
      <x:c r="G1569" t="str">
        <x:v>Education</x:v>
      </x:c>
      <x:c r="H1569" t="str">
        <x:v>Mid-Market</x:v>
      </x:c>
      <x:c r="I1569" t="str">
        <x:v>Closed Lost</x:v>
      </x:c>
      <x:c r="J1569" s="10" t="n">
        <x:v>46077</x:v>
      </x:c>
      <x:c r="K1569" s="10" t="n">
        <x:v>46077</x:v>
      </x:c>
      <x:c r="L1569" s="22" t="n">
        <x:v>16900</x:v>
      </x:c>
      <x:c r="M1569" s="24" t="n">
        <x:v>0</x:v>
      </x:c>
      <x:c r="N1569" s="24" t="n">
        <x:v>0</x:v>
      </x:c>
      <x:c r="O1569" t="str">
        <x:v>No Decision</x:v>
      </x:c>
      <x:c r="P1569" t="n">
        <x:v>4</x:v>
      </x:c>
      <x:c r="Q1569" t="str">
        <x:f>IFERROR(XLOOKUP(E1569,Lookups!$A$5:$A$24,Lookups!$B$5:$B$24),"Other")</x:f>
        <x:v>Webinar</x:v>
      </x:c>
      <x:c r="R1569" t="str">
        <x:f>IFERROR(XLOOKUP(F1569,Lookups!$D$5:$D$10,Lookups!$E$5:$E$10),"Unknown Product")</x:f>
        <x:v>Marketing Automation</x:v>
      </x:c>
      <x:c r="S1569" t="str">
        <x:f>IFERROR(XLOOKUP(F1569,Lookups!$D$5:$D$10,Lookups!$F$5:$F$10),"Unknown")</x:f>
        <x:v>Marketing</x:v>
      </x:c>
      <x:c r="T1569" t="str">
        <x:f>IF(L1569&gt;=50000,"Enterprise",IF(L1569&gt;=20000,"Mid-Market","SMB"))</x:f>
        <x:v>SMB</x:v>
      </x:c>
      <x:c r="U1569" t="str">
        <x:f>IF(I1569="Closed Won","Won",IF(I1569="Closed Lost","Lost","Open"))</x:f>
        <x:v>Lost</x:v>
      </x:c>
      <x:c r="V1569" s="22" t="n">
        <x:f>IF(U1569="Won",L1569*(1-M1569),0)</x:f>
        <x:v>0</x:v>
      </x:c>
      <x:c r="W1569" s="22" t="n">
        <x:f>IF(U1569="Open",L1569*N1569,0)</x:f>
        <x:v>0</x:v>
      </x:c>
      <x:c r="X1569" s="26" t="n">
        <x:f>IF(U1569="Open","",IFERROR(K1569-B1569,""))</x:f>
        <x:v>21</x:v>
      </x:c>
      <x:c r="Y1569" s="26" t="n">
        <x:f>IF(U1569="Open",Lookups!$B$2-B1569,X1569)</x:f>
        <x:v>21</x:v>
      </x:c>
      <x:c r="Z1569" t="str">
        <x:f>IF(AND(U1569="Open",Y1569&gt;30),"STALE","OK")</x:f>
        <x:v>OK</x:v>
      </x:c>
      <x:c r="AA1569" t="str">
        <x:f>TEXT(B1569,"yyyy-mm")</x:f>
        <x:v>2026-02</x:v>
      </x:c>
      <x:c r="AB1569" t="str">
        <x:f>IF(K1569="","",TEXT(K1569,"yyyy-mm"))</x:f>
        <x:v>2026-02</x:v>
      </x:c>
      <x:c r="AC1569" t="str">
        <x:f>"Q"&amp;ROUNDUP(MONTH(B1569)/3,0)&amp;"-"&amp;YEAR(B1569)</x:f>
        <x:v>Q1-2026</x:v>
      </x:c>
      <x:c r="AD1569" s="26" t="n">
        <x:f>MIN(100,IF(H1569="Enterprise",30,IF(H1569="Mid-Market",22,14))+IF(T1569="Enterprise",25,IF(T1569="Mid-Market",18,10))+IF(Q1569="Referral",25,IF(Q1569="Organic Search",20,IF(Q1569="Email",18,14)))+IF(G1569="Technology",10,5))</x:f>
        <x:v>51</x:v>
      </x:c>
      <x:c r="AE1569" t="str">
        <x:f>IF(U1569&lt;&gt;"Open",U1569,IF(N1569&gt;=0.8,"Commit",IF(N1569&gt;=0.5,"Best Case","Pipeline")))</x:f>
        <x:v>Lost</x:v>
      </x:c>
    </x:row>
    <x:row r="1570">
      <x:c r="A1570" t="str">
        <x:v>L01569</x:v>
      </x:c>
      <x:c r="B1570" s="10" t="n">
        <x:v>45950</x:v>
      </x:c>
      <x:c r="C1570" t="str">
        <x:v>Tuan Bui</x:v>
      </x:c>
      <x:c r="D1570" t="str">
        <x:v>Central</x:v>
      </x:c>
      <x:c r="E1570" t="str">
        <x:v>linkedin</x:v>
      </x:c>
      <x:c r="F1570" t="str">
        <x:v>CRM-PRO</x:v>
      </x:c>
      <x:c r="G1570" t="str">
        <x:v>Technology</x:v>
      </x:c>
      <x:c r="H1570" t="str">
        <x:v>SMB</x:v>
      </x:c>
      <x:c r="I1570" t="str">
        <x:v>Closed Lost</x:v>
      </x:c>
      <x:c r="J1570" s="10" t="n">
        <x:v>45979</x:v>
      </x:c>
      <x:c r="K1570" s="10" t="n">
        <x:v>45979</x:v>
      </x:c>
      <x:c r="L1570" s="22" t="n">
        <x:v>21100</x:v>
      </x:c>
      <x:c r="M1570" s="24" t="n">
        <x:v>0</x:v>
      </x:c>
      <x:c r="N1570" s="24" t="n">
        <x:v>0</x:v>
      </x:c>
      <x:c r="O1570" t="str">
        <x:v>No Decision</x:v>
      </x:c>
      <x:c r="P1570" t="n">
        <x:v>4</x:v>
      </x:c>
      <x:c r="Q1570" t="str">
        <x:f>IFERROR(XLOOKUP(E1570,Lookups!$A$5:$A$24,Lookups!$B$5:$B$24),"Other")</x:f>
        <x:v>LinkedIn</x:v>
      </x:c>
      <x:c r="R1570" t="str">
        <x:f>IFERROR(XLOOKUP(F1570,Lookups!$D$5:$D$10,Lookups!$E$5:$E$10),"Unknown Product")</x:f>
        <x:v>NexaCRM Pro</x:v>
      </x:c>
      <x:c r="S1570" t="str">
        <x:f>IFERROR(XLOOKUP(F1570,Lookups!$D$5:$D$10,Lookups!$F$5:$F$10),"Unknown")</x:f>
        <x:v>CRM</x:v>
      </x:c>
      <x:c r="T1570" t="str">
        <x:f>IF(L1570&gt;=50000,"Enterprise",IF(L1570&gt;=20000,"Mid-Market","SMB"))</x:f>
        <x:v>Mid-Market</x:v>
      </x:c>
      <x:c r="U1570" t="str">
        <x:f>IF(I1570="Closed Won","Won",IF(I1570="Closed Lost","Lost","Open"))</x:f>
        <x:v>Lost</x:v>
      </x:c>
      <x:c r="V1570" s="22" t="n">
        <x:f>IF(U1570="Won",L1570*(1-M1570),0)</x:f>
        <x:v>0</x:v>
      </x:c>
      <x:c r="W1570" s="22" t="n">
        <x:f>IF(U1570="Open",L1570*N1570,0)</x:f>
        <x:v>0</x:v>
      </x:c>
      <x:c r="X1570" s="26" t="n">
        <x:f>IF(U1570="Open","",IFERROR(K1570-B1570,""))</x:f>
        <x:v>29</x:v>
      </x:c>
      <x:c r="Y1570" s="26" t="n">
        <x:f>IF(U1570="Open",Lookups!$B$2-B1570,X1570)</x:f>
        <x:v>29</x:v>
      </x:c>
      <x:c r="Z1570" t="str">
        <x:f>IF(AND(U1570="Open",Y1570&gt;30),"STALE","OK")</x:f>
        <x:v>OK</x:v>
      </x:c>
      <x:c r="AA1570" t="str">
        <x:f>TEXT(B1570,"yyyy-mm")</x:f>
        <x:v>2025-10</x:v>
      </x:c>
      <x:c r="AB1570" t="str">
        <x:f>IF(K1570="","",TEXT(K1570,"yyyy-mm"))</x:f>
        <x:v>2025-11</x:v>
      </x:c>
      <x:c r="AC1570" t="str">
        <x:f>"Q"&amp;ROUNDUP(MONTH(B1570)/3,0)&amp;"-"&amp;YEAR(B1570)</x:f>
        <x:v>Q4-2025</x:v>
      </x:c>
      <x:c r="AD1570" s="26" t="n">
        <x:f>MIN(100,IF(H1570="Enterprise",30,IF(H1570="Mid-Market",22,14))+IF(T1570="Enterprise",25,IF(T1570="Mid-Market",18,10))+IF(Q1570="Referral",25,IF(Q1570="Organic Search",20,IF(Q1570="Email",18,14)))+IF(G1570="Technology",10,5))</x:f>
        <x:v>56</x:v>
      </x:c>
      <x:c r="AE1570" t="str">
        <x:f>IF(U1570&lt;&gt;"Open",U1570,IF(N1570&gt;=0.8,"Commit",IF(N1570&gt;=0.5,"Best Case","Pipeline")))</x:f>
        <x:v>Lost</x:v>
      </x:c>
    </x:row>
    <x:row r="1571">
      <x:c r="A1571" t="str">
        <x:v>L01570</x:v>
      </x:c>
      <x:c r="B1571" s="10" t="n">
        <x:v>46198</x:v>
      </x:c>
      <x:c r="C1571" t="str">
        <x:v>Duy Pham</x:v>
      </x:c>
      <x:c r="D1571" t="str">
        <x:v>South</x:v>
      </x:c>
      <x:c r="E1571" t="str">
        <x:v>SDR Outreach</x:v>
      </x:c>
      <x:c r="F1571" t="str">
        <x:v>CS-CLOUD</x:v>
      </x:c>
      <x:c r="G1571" t="str">
        <x:v>Education</x:v>
      </x:c>
      <x:c r="H1571" t="str">
        <x:v>SMB</x:v>
      </x:c>
      <x:c r="I1571" t="str">
        <x:v>Closed Lost</x:v>
      </x:c>
      <x:c r="J1571" s="10" t="n">
        <x:v>46237</x:v>
      </x:c>
      <x:c r="K1571" s="10" t="n">
        <x:v>46237</x:v>
      </x:c>
      <x:c r="L1571" s="22" t="n">
        <x:v>22900</x:v>
      </x:c>
      <x:c r="M1571" s="24" t="n">
        <x:v>0</x:v>
      </x:c>
      <x:c r="N1571" s="24" t="n">
        <x:v>0</x:v>
      </x:c>
      <x:c r="O1571" t="str">
        <x:v>Feature Gap</x:v>
      </x:c>
      <x:c r="P1571" t="n">
        <x:v>4</x:v>
      </x:c>
      <x:c r="Q1571" t="str">
        <x:f>IFERROR(XLOOKUP(E1571,Lookups!$A$5:$A$24,Lookups!$B$5:$B$24),"Other")</x:f>
        <x:v>Outbound</x:v>
      </x:c>
      <x:c r="R1571" t="str">
        <x:f>IFERROR(XLOOKUP(F1571,Lookups!$D$5:$D$10,Lookups!$E$5:$E$10),"Unknown Product")</x:f>
        <x:v>Service Cloud</x:v>
      </x:c>
      <x:c r="S1571" t="str">
        <x:f>IFERROR(XLOOKUP(F1571,Lookups!$D$5:$D$10,Lookups!$F$5:$F$10),"Unknown")</x:f>
        <x:v>Customer Service</x:v>
      </x:c>
      <x:c r="T1571" t="str">
        <x:f>IF(L1571&gt;=50000,"Enterprise",IF(L1571&gt;=20000,"Mid-Market","SMB"))</x:f>
        <x:v>Mid-Market</x:v>
      </x:c>
      <x:c r="U1571" t="str">
        <x:f>IF(I1571="Closed Won","Won",IF(I1571="Closed Lost","Lost","Open"))</x:f>
        <x:v>Lost</x:v>
      </x:c>
      <x:c r="V1571" s="22" t="n">
        <x:f>IF(U1571="Won",L1571*(1-M1571),0)</x:f>
        <x:v>0</x:v>
      </x:c>
      <x:c r="W1571" s="22" t="n">
        <x:f>IF(U1571="Open",L1571*N1571,0)</x:f>
        <x:v>0</x:v>
      </x:c>
      <x:c r="X1571" s="26" t="n">
        <x:f>IF(U1571="Open","",IFERROR(K1571-B1571,""))</x:f>
        <x:v>39</x:v>
      </x:c>
      <x:c r="Y1571" s="26" t="n">
        <x:f>IF(U1571="Open",Lookups!$B$2-B1571,X1571)</x:f>
        <x:v>39</x:v>
      </x:c>
      <x:c r="Z1571" t="str">
        <x:f>IF(AND(U1571="Open",Y1571&gt;30),"STALE","OK")</x:f>
        <x:v>OK</x:v>
      </x:c>
      <x:c r="AA1571" t="str">
        <x:f>TEXT(B1571,"yyyy-mm")</x:f>
        <x:v>2026-06</x:v>
      </x:c>
      <x:c r="AB1571" t="str">
        <x:f>IF(K1571="","",TEXT(K1571,"yyyy-mm"))</x:f>
        <x:v>2026-08</x:v>
      </x:c>
      <x:c r="AC1571" t="str">
        <x:f>"Q"&amp;ROUNDUP(MONTH(B1571)/3,0)&amp;"-"&amp;YEAR(B1571)</x:f>
        <x:v>Q2-2026</x:v>
      </x:c>
      <x:c r="AD1571" s="26" t="n">
        <x:f>MIN(100,IF(H1571="Enterprise",30,IF(H1571="Mid-Market",22,14))+IF(T1571="Enterprise",25,IF(T1571="Mid-Market",18,10))+IF(Q1571="Referral",25,IF(Q1571="Organic Search",20,IF(Q1571="Email",18,14)))+IF(G1571="Technology",10,5))</x:f>
        <x:v>51</x:v>
      </x:c>
      <x:c r="AE1571" t="str">
        <x:f>IF(U1571&lt;&gt;"Open",U1571,IF(N1571&gt;=0.8,"Commit",IF(N1571&gt;=0.5,"Best Case","Pipeline")))</x:f>
        <x:v>Lost</x:v>
      </x:c>
    </x:row>
    <x:row r="1572">
      <x:c r="A1572" t="str">
        <x:v>L01571</x:v>
      </x:c>
      <x:c r="B1572" s="10" t="n">
        <x:v>45727</x:v>
      </x:c>
      <x:c r="C1572" t="str">
        <x:v>Ha Vo</x:v>
      </x:c>
      <x:c r="D1572" t="str">
        <x:v>North</x:v>
      </x:c>
      <x:c r="E1572" t="str">
        <x:v>Google Ads</x:v>
      </x:c>
      <x:c r="F1572" t="str">
        <x:v>CS-CLOUD</x:v>
      </x:c>
      <x:c r="G1572" t="str">
        <x:v>Financial Services</x:v>
      </x:c>
      <x:c r="H1572" t="str">
        <x:v>SMB</x:v>
      </x:c>
      <x:c r="I1572" t="str">
        <x:v>Closed Lost</x:v>
      </x:c>
      <x:c r="J1572" s="10" t="n">
        <x:v>45735</x:v>
      </x:c>
      <x:c r="K1572" s="10" t="n">
        <x:v>45735</x:v>
      </x:c>
      <x:c r="L1572" s="22" t="n">
        <x:v>15500</x:v>
      </x:c>
      <x:c r="M1572" s="24" t="n">
        <x:v>0</x:v>
      </x:c>
      <x:c r="N1572" s="24" t="n">
        <x:v>0</x:v>
      </x:c>
      <x:c r="O1572" t="str">
        <x:v>No Decision</x:v>
      </x:c>
      <x:c r="P1572" t="n">
        <x:v>3</x:v>
      </x:c>
      <x:c r="Q1572" t="str">
        <x:f>IFERROR(XLOOKUP(E1572,Lookups!$A$5:$A$24,Lookups!$B$5:$B$24),"Other")</x:f>
        <x:v>Paid Search</x:v>
      </x:c>
      <x:c r="R1572" t="str">
        <x:f>IFERROR(XLOOKUP(F1572,Lookups!$D$5:$D$10,Lookups!$E$5:$E$10),"Unknown Product")</x:f>
        <x:v>Service Cloud</x:v>
      </x:c>
      <x:c r="S1572" t="str">
        <x:f>IFERROR(XLOOKUP(F1572,Lookups!$D$5:$D$10,Lookups!$F$5:$F$10),"Unknown")</x:f>
        <x:v>Customer Service</x:v>
      </x:c>
      <x:c r="T1572" t="str">
        <x:f>IF(L1572&gt;=50000,"Enterprise",IF(L1572&gt;=20000,"Mid-Market","SMB"))</x:f>
        <x:v>SMB</x:v>
      </x:c>
      <x:c r="U1572" t="str">
        <x:f>IF(I1572="Closed Won","Won",IF(I1572="Closed Lost","Lost","Open"))</x:f>
        <x:v>Lost</x:v>
      </x:c>
      <x:c r="V1572" s="22" t="n">
        <x:f>IF(U1572="Won",L1572*(1-M1572),0)</x:f>
        <x:v>0</x:v>
      </x:c>
      <x:c r="W1572" s="22" t="n">
        <x:f>IF(U1572="Open",L1572*N1572,0)</x:f>
        <x:v>0</x:v>
      </x:c>
      <x:c r="X1572" s="26" t="n">
        <x:f>IF(U1572="Open","",IFERROR(K1572-B1572,""))</x:f>
        <x:v>8</x:v>
      </x:c>
      <x:c r="Y1572" s="26" t="n">
        <x:f>IF(U1572="Open",Lookups!$B$2-B1572,X1572)</x:f>
        <x:v>8</x:v>
      </x:c>
      <x:c r="Z1572" t="str">
        <x:f>IF(AND(U1572="Open",Y1572&gt;30),"STALE","OK")</x:f>
        <x:v>OK</x:v>
      </x:c>
      <x:c r="AA1572" t="str">
        <x:f>TEXT(B1572,"yyyy-mm")</x:f>
        <x:v>2025-03</x:v>
      </x:c>
      <x:c r="AB1572" t="str">
        <x:f>IF(K1572="","",TEXT(K1572,"yyyy-mm"))</x:f>
        <x:v>2025-03</x:v>
      </x:c>
      <x:c r="AC1572" t="str">
        <x:f>"Q"&amp;ROUNDUP(MONTH(B1572)/3,0)&amp;"-"&amp;YEAR(B1572)</x:f>
        <x:v>Q1-2025</x:v>
      </x:c>
      <x:c r="AD1572" s="26" t="n">
        <x:f>MIN(100,IF(H1572="Enterprise",30,IF(H1572="Mid-Market",22,14))+IF(T1572="Enterprise",25,IF(T1572="Mid-Market",18,10))+IF(Q1572="Referral",25,IF(Q1572="Organic Search",20,IF(Q1572="Email",18,14)))+IF(G1572="Technology",10,5))</x:f>
        <x:v>43</x:v>
      </x:c>
      <x:c r="AE1572" t="str">
        <x:f>IF(U1572&lt;&gt;"Open",U1572,IF(N1572&gt;=0.8,"Commit",IF(N1572&gt;=0.5,"Best Case","Pipeline")))</x:f>
        <x:v>Lost</x:v>
      </x:c>
    </x:row>
    <x:row r="1573">
      <x:c r="A1573" t="str">
        <x:v>L01572</x:v>
      </x:c>
      <x:c r="B1573" s="10" t="n">
        <x:v>46067</x:v>
      </x:c>
      <x:c r="C1573" t="str">
        <x:v>Ha Vo</x:v>
      </x:c>
      <x:c r="D1573" t="str">
        <x:v>North</x:v>
      </x:c>
      <x:c r="E1573" t="str">
        <x:v>Email Campaign</x:v>
      </x:c>
      <x:c r="F1573" t="str">
        <x:v>REV-OPS</x:v>
      </x:c>
      <x:c r="G1573" t="str">
        <x:v>Manufacturing</x:v>
      </x:c>
      <x:c r="H1573" t="str">
        <x:v>SMB</x:v>
      </x:c>
      <x:c r="I1573" t="str">
        <x:v>Closed Won</x:v>
      </x:c>
      <x:c r="J1573" s="10" t="n">
        <x:v>46119</x:v>
      </x:c>
      <x:c r="K1573" s="10" t="n">
        <x:v>46119</x:v>
      </x:c>
      <x:c r="L1573" s="22" t="n">
        <x:v>25100</x:v>
      </x:c>
      <x:c r="M1573" s="24" t="n">
        <x:v>0.05</x:v>
      </x:c>
      <x:c r="N1573" s="24" t="n">
        <x:v>1</x:v>
      </x:c>
      <x:c r="O1573" t="str"/>
      <x:c r="P1573" t="n">
        <x:v>6</x:v>
      </x:c>
      <x:c r="Q1573" t="str">
        <x:f>IFERROR(XLOOKUP(E1573,Lookups!$A$5:$A$24,Lookups!$B$5:$B$24),"Other")</x:f>
        <x:v>Email</x:v>
      </x:c>
      <x:c r="R1573" t="str">
        <x:f>IFERROR(XLOOKUP(F1573,Lookups!$D$5:$D$10,Lookups!$E$5:$E$10),"Unknown Product")</x:f>
        <x:v>Revenue Operations Suite</x:v>
      </x:c>
      <x:c r="S1573" t="str">
        <x:f>IFERROR(XLOOKUP(F1573,Lookups!$D$5:$D$10,Lookups!$F$5:$F$10),"Unknown")</x:f>
        <x:v>Revenue Ops</x:v>
      </x:c>
      <x:c r="T1573" t="str">
        <x:f>IF(L1573&gt;=50000,"Enterprise",IF(L1573&gt;=20000,"Mid-Market","SMB"))</x:f>
        <x:v>Mid-Market</x:v>
      </x:c>
      <x:c r="U1573" t="str">
        <x:f>IF(I1573="Closed Won","Won",IF(I1573="Closed Lost","Lost","Open"))</x:f>
        <x:v>Won</x:v>
      </x:c>
      <x:c r="V1573" s="22" t="n">
        <x:f>IF(U1573="Won",L1573*(1-M1573),0)</x:f>
        <x:v>23845</x:v>
      </x:c>
      <x:c r="W1573" s="22" t="n">
        <x:f>IF(U1573="Open",L1573*N1573,0)</x:f>
        <x:v>0</x:v>
      </x:c>
      <x:c r="X1573" s="26" t="n">
        <x:f>IF(U1573="Open","",IFERROR(K1573-B1573,""))</x:f>
        <x:v>52</x:v>
      </x:c>
      <x:c r="Y1573" s="26" t="n">
        <x:f>IF(U1573="Open",Lookups!$B$2-B1573,X1573)</x:f>
        <x:v>52</x:v>
      </x:c>
      <x:c r="Z1573" t="str">
        <x:f>IF(AND(U1573="Open",Y1573&gt;30),"STALE","OK")</x:f>
        <x:v>OK</x:v>
      </x:c>
      <x:c r="AA1573" t="str">
        <x:f>TEXT(B1573,"yyyy-mm")</x:f>
        <x:v>2026-02</x:v>
      </x:c>
      <x:c r="AB1573" t="str">
        <x:f>IF(K1573="","",TEXT(K1573,"yyyy-mm"))</x:f>
        <x:v>2026-04</x:v>
      </x:c>
      <x:c r="AC1573" t="str">
        <x:f>"Q"&amp;ROUNDUP(MONTH(B1573)/3,0)&amp;"-"&amp;YEAR(B1573)</x:f>
        <x:v>Q1-2026</x:v>
      </x:c>
      <x:c r="AD1573" s="26" t="n">
        <x:f>MIN(100,IF(H1573="Enterprise",30,IF(H1573="Mid-Market",22,14))+IF(T1573="Enterprise",25,IF(T1573="Mid-Market",18,10))+IF(Q1573="Referral",25,IF(Q1573="Organic Search",20,IF(Q1573="Email",18,14)))+IF(G1573="Technology",10,5))</x:f>
        <x:v>55</x:v>
      </x:c>
      <x:c r="AE1573" t="str">
        <x:f>IF(U1573&lt;&gt;"Open",U1573,IF(N1573&gt;=0.8,"Commit",IF(N1573&gt;=0.5,"Best Case","Pipeline")))</x:f>
        <x:v>Won</x:v>
      </x:c>
    </x:row>
    <x:row r="1574">
      <x:c r="A1574" t="str">
        <x:v>L01573</x:v>
      </x:c>
      <x:c r="B1574" s="10" t="n">
        <x:v>45686</x:v>
      </x:c>
      <x:c r="C1574" t="str">
        <x:v>Quynh Vu</x:v>
      </x:c>
      <x:c r="D1574" t="str">
        <x:v>North</x:v>
      </x:c>
      <x:c r="E1574" t="str">
        <x:v>linkedin</x:v>
      </x:c>
      <x:c r="F1574" t="str">
        <x:v>CS-CLOUD</x:v>
      </x:c>
      <x:c r="G1574" t="str">
        <x:v>Manufacturing</x:v>
      </x:c>
      <x:c r="H1574" t="str">
        <x:v>Enterprise</x:v>
      </x:c>
      <x:c r="I1574" t="str">
        <x:v>Closed Lost</x:v>
      </x:c>
      <x:c r="J1574" s="10" t="n">
        <x:v>45738</x:v>
      </x:c>
      <x:c r="K1574" s="10" t="n">
        <x:v>45738</x:v>
      </x:c>
      <x:c r="L1574" s="22" t="n">
        <x:v>81700</x:v>
      </x:c>
      <x:c r="M1574" s="24" t="n">
        <x:v>0</x:v>
      </x:c>
      <x:c r="N1574" s="24" t="n">
        <x:v>0</x:v>
      </x:c>
      <x:c r="O1574" t="str">
        <x:v>Competitor</x:v>
      </x:c>
      <x:c r="P1574" t="n">
        <x:v>2</x:v>
      </x:c>
      <x:c r="Q1574" t="str">
        <x:f>IFERROR(XLOOKUP(E1574,Lookups!$A$5:$A$24,Lookups!$B$5:$B$24),"Other")</x:f>
        <x:v>LinkedIn</x:v>
      </x:c>
      <x:c r="R1574" t="str">
        <x:f>IFERROR(XLOOKUP(F1574,Lookups!$D$5:$D$10,Lookups!$E$5:$E$10),"Unknown Product")</x:f>
        <x:v>Service Cloud</x:v>
      </x:c>
      <x:c r="S1574" t="str">
        <x:f>IFERROR(XLOOKUP(F1574,Lookups!$D$5:$D$10,Lookups!$F$5:$F$10),"Unknown")</x:f>
        <x:v>Customer Service</x:v>
      </x:c>
      <x:c r="T1574" t="str">
        <x:f>IF(L1574&gt;=50000,"Enterprise",IF(L1574&gt;=20000,"Mid-Market","SMB"))</x:f>
        <x:v>Enterprise</x:v>
      </x:c>
      <x:c r="U1574" t="str">
        <x:f>IF(I1574="Closed Won","Won",IF(I1574="Closed Lost","Lost","Open"))</x:f>
        <x:v>Lost</x:v>
      </x:c>
      <x:c r="V1574" s="22" t="n">
        <x:f>IF(U1574="Won",L1574*(1-M1574),0)</x:f>
        <x:v>0</x:v>
      </x:c>
      <x:c r="W1574" s="22" t="n">
        <x:f>IF(U1574="Open",L1574*N1574,0)</x:f>
        <x:v>0</x:v>
      </x:c>
      <x:c r="X1574" s="26" t="n">
        <x:f>IF(U1574="Open","",IFERROR(K1574-B1574,""))</x:f>
        <x:v>52</x:v>
      </x:c>
      <x:c r="Y1574" s="26" t="n">
        <x:f>IF(U1574="Open",Lookups!$B$2-B1574,X1574)</x:f>
        <x:v>52</x:v>
      </x:c>
      <x:c r="Z1574" t="str">
        <x:f>IF(AND(U1574="Open",Y1574&gt;30),"STALE","OK")</x:f>
        <x:v>OK</x:v>
      </x:c>
      <x:c r="AA1574" t="str">
        <x:f>TEXT(B1574,"yyyy-mm")</x:f>
        <x:v>2025-01</x:v>
      </x:c>
      <x:c r="AB1574" t="str">
        <x:f>IF(K1574="","",TEXT(K1574,"yyyy-mm"))</x:f>
        <x:v>2025-03</x:v>
      </x:c>
      <x:c r="AC1574" t="str">
        <x:f>"Q"&amp;ROUNDUP(MONTH(B1574)/3,0)&amp;"-"&amp;YEAR(B1574)</x:f>
        <x:v>Q1-2025</x:v>
      </x:c>
      <x:c r="AD1574" s="26" t="n">
        <x:f>MIN(100,IF(H1574="Enterprise",30,IF(H1574="Mid-Market",22,14))+IF(T1574="Enterprise",25,IF(T1574="Mid-Market",18,10))+IF(Q1574="Referral",25,IF(Q1574="Organic Search",20,IF(Q1574="Email",18,14)))+IF(G1574="Technology",10,5))</x:f>
        <x:v>74</x:v>
      </x:c>
      <x:c r="AE1574" t="str">
        <x:f>IF(U1574&lt;&gt;"Open",U1574,IF(N1574&gt;=0.8,"Commit",IF(N1574&gt;=0.5,"Best Case","Pipeline")))</x:f>
        <x:v>Lost</x:v>
      </x:c>
    </x:row>
    <x:row r="1575">
      <x:c r="A1575" t="str">
        <x:v>L01574</x:v>
      </x:c>
      <x:c r="B1575" s="10" t="n">
        <x:v>46175</x:v>
      </x:c>
      <x:c r="C1575" t="str">
        <x:v>Minh Do</x:v>
      </x:c>
      <x:c r="D1575" t="str">
        <x:v>North</x:v>
      </x:c>
      <x:c r="E1575" t="str">
        <x:v>email nurture</x:v>
      </x:c>
      <x:c r="F1575" t="str">
        <x:v>MKT-AUTO</x:v>
      </x:c>
      <x:c r="G1575" t="str">
        <x:v>Technology</x:v>
      </x:c>
      <x:c r="H1575" t="str">
        <x:v>Mid-Market</x:v>
      </x:c>
      <x:c r="I1575" t="str">
        <x:v>Closed Lost</x:v>
      </x:c>
      <x:c r="J1575" s="10" t="n">
        <x:v>46213</x:v>
      </x:c>
      <x:c r="K1575" s="10" t="n">
        <x:v>46213</x:v>
      </x:c>
      <x:c r="L1575" s="22" t="n">
        <x:v>18700</x:v>
      </x:c>
      <x:c r="M1575" s="24" t="n">
        <x:v>0</x:v>
      </x:c>
      <x:c r="N1575" s="24" t="n">
        <x:v>0</x:v>
      </x:c>
      <x:c r="O1575" t="str">
        <x:v>Timing</x:v>
      </x:c>
      <x:c r="P1575" t="n">
        <x:v>2</x:v>
      </x:c>
      <x:c r="Q1575" t="str">
        <x:f>IFERROR(XLOOKUP(E1575,Lookups!$A$5:$A$24,Lookups!$B$5:$B$24),"Other")</x:f>
        <x:v>Email</x:v>
      </x:c>
      <x:c r="R1575" t="str">
        <x:f>IFERROR(XLOOKUP(F1575,Lookups!$D$5:$D$10,Lookups!$E$5:$E$10),"Unknown Product")</x:f>
        <x:v>Marketing Automation</x:v>
      </x:c>
      <x:c r="S1575" t="str">
        <x:f>IFERROR(XLOOKUP(F1575,Lookups!$D$5:$D$10,Lookups!$F$5:$F$10),"Unknown")</x:f>
        <x:v>Marketing</x:v>
      </x:c>
      <x:c r="T1575" t="str">
        <x:f>IF(L1575&gt;=50000,"Enterprise",IF(L1575&gt;=20000,"Mid-Market","SMB"))</x:f>
        <x:v>SMB</x:v>
      </x:c>
      <x:c r="U1575" t="str">
        <x:f>IF(I1575="Closed Won","Won",IF(I1575="Closed Lost","Lost","Open"))</x:f>
        <x:v>Lost</x:v>
      </x:c>
      <x:c r="V1575" s="22" t="n">
        <x:f>IF(U1575="Won",L1575*(1-M1575),0)</x:f>
        <x:v>0</x:v>
      </x:c>
      <x:c r="W1575" s="22" t="n">
        <x:f>IF(U1575="Open",L1575*N1575,0)</x:f>
        <x:v>0</x:v>
      </x:c>
      <x:c r="X1575" s="26" t="n">
        <x:f>IF(U1575="Open","",IFERROR(K1575-B1575,""))</x:f>
        <x:v>38</x:v>
      </x:c>
      <x:c r="Y1575" s="26" t="n">
        <x:f>IF(U1575="Open",Lookups!$B$2-B1575,X1575)</x:f>
        <x:v>38</x:v>
      </x:c>
      <x:c r="Z1575" t="str">
        <x:f>IF(AND(U1575="Open",Y1575&gt;30),"STALE","OK")</x:f>
        <x:v>OK</x:v>
      </x:c>
      <x:c r="AA1575" t="str">
        <x:f>TEXT(B1575,"yyyy-mm")</x:f>
        <x:v>2026-06</x:v>
      </x:c>
      <x:c r="AB1575" t="str">
        <x:f>IF(K1575="","",TEXT(K1575,"yyyy-mm"))</x:f>
        <x:v>2026-07</x:v>
      </x:c>
      <x:c r="AC1575" t="str">
        <x:f>"Q"&amp;ROUNDUP(MONTH(B1575)/3,0)&amp;"-"&amp;YEAR(B1575)</x:f>
        <x:v>Q2-2026</x:v>
      </x:c>
      <x:c r="AD1575" s="26" t="n">
        <x:f>MIN(100,IF(H1575="Enterprise",30,IF(H1575="Mid-Market",22,14))+IF(T1575="Enterprise",25,IF(T1575="Mid-Market",18,10))+IF(Q1575="Referral",25,IF(Q1575="Organic Search",20,IF(Q1575="Email",18,14)))+IF(G1575="Technology",10,5))</x:f>
        <x:v>60</x:v>
      </x:c>
      <x:c r="AE1575" t="str">
        <x:f>IF(U1575&lt;&gt;"Open",U1575,IF(N1575&gt;=0.8,"Commit",IF(N1575&gt;=0.5,"Best Case","Pipeline")))</x:f>
        <x:v>Lost</x:v>
      </x:c>
    </x:row>
    <x:row r="1576">
      <x:c r="A1576" t="str">
        <x:v>L01575</x:v>
      </x:c>
      <x:c r="B1576" s="10" t="n">
        <x:v>45828</x:v>
      </x:c>
      <x:c r="C1576" t="str">
        <x:v>An Nguyen</x:v>
      </x:c>
      <x:c r="D1576" t="str">
        <x:v>South</x:v>
      </x:c>
      <x:c r="E1576" t="str">
        <x:v>LI Ads</x:v>
      </x:c>
      <x:c r="F1576" t="str">
        <x:v>CRM-PRO</x:v>
      </x:c>
      <x:c r="G1576" t="str">
        <x:v>Financial Services</x:v>
      </x:c>
      <x:c r="H1576" t="str">
        <x:v>Mid-Market</x:v>
      </x:c>
      <x:c r="I1576" t="str">
        <x:v>Closed Lost</x:v>
      </x:c>
      <x:c r="J1576" s="10" t="n">
        <x:v>45886</x:v>
      </x:c>
      <x:c r="K1576" s="10" t="n">
        <x:v>45886</x:v>
      </x:c>
      <x:c r="L1576" s="22" t="n">
        <x:v>32200</x:v>
      </x:c>
      <x:c r="M1576" s="24" t="n">
        <x:v>0</x:v>
      </x:c>
      <x:c r="N1576" s="24" t="n">
        <x:v>0</x:v>
      </x:c>
      <x:c r="O1576" t="str">
        <x:v>Budget</x:v>
      </x:c>
      <x:c r="P1576" t="n">
        <x:v>2</x:v>
      </x:c>
      <x:c r="Q1576" t="str">
        <x:f>IFERROR(XLOOKUP(E1576,Lookups!$A$5:$A$24,Lookups!$B$5:$B$24),"Other")</x:f>
        <x:v>LinkedIn</x:v>
      </x:c>
      <x:c r="R1576" t="str">
        <x:f>IFERROR(XLOOKUP(F1576,Lookups!$D$5:$D$10,Lookups!$E$5:$E$10),"Unknown Product")</x:f>
        <x:v>NexaCRM Pro</x:v>
      </x:c>
      <x:c r="S1576" t="str">
        <x:f>IFERROR(XLOOKUP(F1576,Lookups!$D$5:$D$10,Lookups!$F$5:$F$10),"Unknown")</x:f>
        <x:v>CRM</x:v>
      </x:c>
      <x:c r="T1576" t="str">
        <x:f>IF(L1576&gt;=50000,"Enterprise",IF(L1576&gt;=20000,"Mid-Market","SMB"))</x:f>
        <x:v>Mid-Market</x:v>
      </x:c>
      <x:c r="U1576" t="str">
        <x:f>IF(I1576="Closed Won","Won",IF(I1576="Closed Lost","Lost","Open"))</x:f>
        <x:v>Lost</x:v>
      </x:c>
      <x:c r="V1576" s="22" t="n">
        <x:f>IF(U1576="Won",L1576*(1-M1576),0)</x:f>
        <x:v>0</x:v>
      </x:c>
      <x:c r="W1576" s="22" t="n">
        <x:f>IF(U1576="Open",L1576*N1576,0)</x:f>
        <x:v>0</x:v>
      </x:c>
      <x:c r="X1576" s="26" t="n">
        <x:f>IF(U1576="Open","",IFERROR(K1576-B1576,""))</x:f>
        <x:v>58</x:v>
      </x:c>
      <x:c r="Y1576" s="26" t="n">
        <x:f>IF(U1576="Open",Lookups!$B$2-B1576,X1576)</x:f>
        <x:v>58</x:v>
      </x:c>
      <x:c r="Z1576" t="str">
        <x:f>IF(AND(U1576="Open",Y1576&gt;30),"STALE","OK")</x:f>
        <x:v>OK</x:v>
      </x:c>
      <x:c r="AA1576" t="str">
        <x:f>TEXT(B1576,"yyyy-mm")</x:f>
        <x:v>2025-06</x:v>
      </x:c>
      <x:c r="AB1576" t="str">
        <x:f>IF(K1576="","",TEXT(K1576,"yyyy-mm"))</x:f>
        <x:v>2025-08</x:v>
      </x:c>
      <x:c r="AC1576" t="str">
        <x:f>"Q"&amp;ROUNDUP(MONTH(B1576)/3,0)&amp;"-"&amp;YEAR(B1576)</x:f>
        <x:v>Q2-2025</x:v>
      </x:c>
      <x:c r="AD1576" s="26" t="n">
        <x:f>MIN(100,IF(H1576="Enterprise",30,IF(H1576="Mid-Market",22,14))+IF(T1576="Enterprise",25,IF(T1576="Mid-Market",18,10))+IF(Q1576="Referral",25,IF(Q1576="Organic Search",20,IF(Q1576="Email",18,14)))+IF(G1576="Technology",10,5))</x:f>
        <x:v>59</x:v>
      </x:c>
      <x:c r="AE1576" t="str">
        <x:f>IF(U1576&lt;&gt;"Open",U1576,IF(N1576&gt;=0.8,"Commit",IF(N1576&gt;=0.5,"Best Case","Pipeline")))</x:f>
        <x:v>Lost</x:v>
      </x:c>
    </x:row>
    <x:row r="1577">
      <x:c r="A1577" t="str">
        <x:v>L01576</x:v>
      </x:c>
      <x:c r="B1577" s="10" t="n">
        <x:v>46213</x:v>
      </x:c>
      <x:c r="C1577" t="str">
        <x:v>Quynh Vu</x:v>
      </x:c>
      <x:c r="D1577" t="str">
        <x:v>North</x:v>
      </x:c>
      <x:c r="E1577" t="str">
        <x:v>Referral</x:v>
      </x:c>
      <x:c r="F1577" t="str">
        <x:v>CRM-CORE</x:v>
      </x:c>
      <x:c r="G1577" t="str">
        <x:v>Technology</x:v>
      </x:c>
      <x:c r="H1577" t="str">
        <x:v>SMB</x:v>
      </x:c>
      <x:c r="I1577" t="str">
        <x:v>Demo / Meeting</x:v>
      </x:c>
      <x:c r="J1577" s="10" t="n">
        <x:v>46251</x:v>
      </x:c>
      <x:c r="K1577" s="10"/>
      <x:c r="L1577" s="22" t="n">
        <x:v>6300</x:v>
      </x:c>
      <x:c r="M1577" s="24" t="n">
        <x:v>0</x:v>
      </x:c>
      <x:c r="N1577" s="24" t="n">
        <x:v>0.4</x:v>
      </x:c>
      <x:c r="O1577" t="str"/>
      <x:c r="P1577" t="n">
        <x:v>3</x:v>
      </x:c>
      <x:c r="Q1577" t="str">
        <x:f>IFERROR(XLOOKUP(E1577,Lookups!$A$5:$A$24,Lookups!$B$5:$B$24),"Other")</x:f>
        <x:v>Referral</x:v>
      </x:c>
      <x:c r="R1577" t="str">
        <x:f>IFERROR(XLOOKUP(F1577,Lookups!$D$5:$D$10,Lookups!$E$5:$E$10),"Unknown Product")</x:f>
        <x:v>NexaCRM Core</x:v>
      </x:c>
      <x:c r="S1577" t="str">
        <x:f>IFERROR(XLOOKUP(F1577,Lookups!$D$5:$D$10,Lookups!$F$5:$F$10),"Unknown")</x:f>
        <x:v>CRM</x:v>
      </x:c>
      <x:c r="T1577" t="str">
        <x:f>IF(L1577&gt;=50000,"Enterprise",IF(L1577&gt;=20000,"Mid-Market","SMB"))</x:f>
        <x:v>SMB</x:v>
      </x:c>
      <x:c r="U1577" t="str">
        <x:f>IF(I1577="Closed Won","Won",IF(I1577="Closed Lost","Lost","Open"))</x:f>
        <x:v>Open</x:v>
      </x:c>
      <x:c r="V1577" s="22" t="n">
        <x:f>IF(U1577="Won",L1577*(1-M1577),0)</x:f>
        <x:v>0</x:v>
      </x:c>
      <x:c r="W1577" s="22" t="n">
        <x:f>IF(U1577="Open",L1577*N1577,0)</x:f>
        <x:v>2520</x:v>
      </x:c>
      <x:c r="X1577" s="26" t="str">
        <x:f>IF(U1577="Open","",IFERROR(K1577-B1577,""))</x:f>
      </x:c>
      <x:c r="Y1577" s="26" t="n">
        <x:f>IF(U1577="Open",Lookups!$B$2-B1577,X1577)</x:f>
        <x:v>53</x:v>
      </x:c>
      <x:c r="Z1577" t="str">
        <x:f>IF(AND(U1577="Open",Y1577&gt;30),"STALE","OK")</x:f>
        <x:v>STALE</x:v>
      </x:c>
      <x:c r="AA1577" t="str">
        <x:f>TEXT(B1577,"yyyy-mm")</x:f>
        <x:v>2026-07</x:v>
      </x:c>
      <x:c r="AB1577" t="str">
        <x:f>IF(K1577="","",TEXT(K1577,"yyyy-mm"))</x:f>
      </x:c>
      <x:c r="AC1577" t="str">
        <x:f>"Q"&amp;ROUNDUP(MONTH(B1577)/3,0)&amp;"-"&amp;YEAR(B1577)</x:f>
        <x:v>Q3-2026</x:v>
      </x:c>
      <x:c r="AD1577" s="26" t="n">
        <x:f>MIN(100,IF(H1577="Enterprise",30,IF(H1577="Mid-Market",22,14))+IF(T1577="Enterprise",25,IF(T1577="Mid-Market",18,10))+IF(Q1577="Referral",25,IF(Q1577="Organic Search",20,IF(Q1577="Email",18,14)))+IF(G1577="Technology",10,5))</x:f>
        <x:v>59</x:v>
      </x:c>
      <x:c r="AE1577" t="str">
        <x:f>IF(U1577&lt;&gt;"Open",U1577,IF(N1577&gt;=0.8,"Commit",IF(N1577&gt;=0.5,"Best Case","Pipeline")))</x:f>
        <x:v>Pipeline</x:v>
      </x:c>
    </x:row>
    <x:row r="1578">
      <x:c r="A1578" t="str">
        <x:v>L01577</x:v>
      </x:c>
      <x:c r="B1578" s="10" t="n">
        <x:v>46178</x:v>
      </x:c>
      <x:c r="C1578" t="str">
        <x:v>Quynh Vu</x:v>
      </x:c>
      <x:c r="D1578" t="str">
        <x:v>North</x:v>
      </x:c>
      <x:c r="E1578" t="str">
        <x:v>Cold Email</x:v>
      </x:c>
      <x:c r="F1578" t="str">
        <x:v>CRM-PRO</x:v>
      </x:c>
      <x:c r="G1578" t="str">
        <x:v>Education</x:v>
      </x:c>
      <x:c r="H1578" t="str">
        <x:v>SMB</x:v>
      </x:c>
      <x:c r="I1578" t="str">
        <x:v>Closed Lost</x:v>
      </x:c>
      <x:c r="J1578" s="10" t="n">
        <x:v>46222</x:v>
      </x:c>
      <x:c r="K1578" s="10" t="n">
        <x:v>46222</x:v>
      </x:c>
      <x:c r="L1578" s="22" t="n">
        <x:v>15000</x:v>
      </x:c>
      <x:c r="M1578" s="24" t="n">
        <x:v>0</x:v>
      </x:c>
      <x:c r="N1578" s="24" t="n">
        <x:v>0</x:v>
      </x:c>
      <x:c r="O1578" t="str">
        <x:v>Budget</x:v>
      </x:c>
      <x:c r="P1578" t="n">
        <x:v>2</x:v>
      </x:c>
      <x:c r="Q1578" t="str">
        <x:f>IFERROR(XLOOKUP(E1578,Lookups!$A$5:$A$24,Lookups!$B$5:$B$24),"Other")</x:f>
        <x:v>Outbound</x:v>
      </x:c>
      <x:c r="R1578" t="str">
        <x:f>IFERROR(XLOOKUP(F1578,Lookups!$D$5:$D$10,Lookups!$E$5:$E$10),"Unknown Product")</x:f>
        <x:v>NexaCRM Pro</x:v>
      </x:c>
      <x:c r="S1578" t="str">
        <x:f>IFERROR(XLOOKUP(F1578,Lookups!$D$5:$D$10,Lookups!$F$5:$F$10),"Unknown")</x:f>
        <x:v>CRM</x:v>
      </x:c>
      <x:c r="T1578" t="str">
        <x:f>IF(L1578&gt;=50000,"Enterprise",IF(L1578&gt;=20000,"Mid-Market","SMB"))</x:f>
        <x:v>SMB</x:v>
      </x:c>
      <x:c r="U1578" t="str">
        <x:f>IF(I1578="Closed Won","Won",IF(I1578="Closed Lost","Lost","Open"))</x:f>
        <x:v>Lost</x:v>
      </x:c>
      <x:c r="V1578" s="22" t="n">
        <x:f>IF(U1578="Won",L1578*(1-M1578),0)</x:f>
        <x:v>0</x:v>
      </x:c>
      <x:c r="W1578" s="22" t="n">
        <x:f>IF(U1578="Open",L1578*N1578,0)</x:f>
        <x:v>0</x:v>
      </x:c>
      <x:c r="X1578" s="26" t="n">
        <x:f>IF(U1578="Open","",IFERROR(K1578-B1578,""))</x:f>
        <x:v>44</x:v>
      </x:c>
      <x:c r="Y1578" s="26" t="n">
        <x:f>IF(U1578="Open",Lookups!$B$2-B1578,X1578)</x:f>
        <x:v>44</x:v>
      </x:c>
      <x:c r="Z1578" t="str">
        <x:f>IF(AND(U1578="Open",Y1578&gt;30),"STALE","OK")</x:f>
        <x:v>OK</x:v>
      </x:c>
      <x:c r="AA1578" t="str">
        <x:f>TEXT(B1578,"yyyy-mm")</x:f>
        <x:v>2026-06</x:v>
      </x:c>
      <x:c r="AB1578" t="str">
        <x:f>IF(K1578="","",TEXT(K1578,"yyyy-mm"))</x:f>
        <x:v>2026-07</x:v>
      </x:c>
      <x:c r="AC1578" t="str">
        <x:f>"Q"&amp;ROUNDUP(MONTH(B1578)/3,0)&amp;"-"&amp;YEAR(B1578)</x:f>
        <x:v>Q2-2026</x:v>
      </x:c>
      <x:c r="AD1578" s="26" t="n">
        <x:f>MIN(100,IF(H1578="Enterprise",30,IF(H1578="Mid-Market",22,14))+IF(T1578="Enterprise",25,IF(T1578="Mid-Market",18,10))+IF(Q1578="Referral",25,IF(Q1578="Organic Search",20,IF(Q1578="Email",18,14)))+IF(G1578="Technology",10,5))</x:f>
        <x:v>43</x:v>
      </x:c>
      <x:c r="AE1578" t="str">
        <x:f>IF(U1578&lt;&gt;"Open",U1578,IF(N1578&gt;=0.8,"Commit",IF(N1578&gt;=0.5,"Best Case","Pipeline")))</x:f>
        <x:v>Lost</x:v>
      </x:c>
    </x:row>
    <x:row r="1579">
      <x:c r="A1579" t="str">
        <x:v>L01578</x:v>
      </x:c>
      <x:c r="B1579" s="10" t="n">
        <x:v>45775</x:v>
      </x:c>
      <x:c r="C1579" t="str">
        <x:v>Minh Do</x:v>
      </x:c>
      <x:c r="D1579" t="str">
        <x:v>North</x:v>
      </x:c>
      <x:c r="E1579" t="str">
        <x:v>LinkedIn Ads</x:v>
      </x:c>
      <x:c r="F1579" t="str">
        <x:v>BI-PLUS</x:v>
      </x:c>
      <x:c r="G1579" t="str">
        <x:v>Financial Services</x:v>
      </x:c>
      <x:c r="H1579" t="str">
        <x:v>SMB</x:v>
      </x:c>
      <x:c r="I1579" t="str">
        <x:v>Closed Lost</x:v>
      </x:c>
      <x:c r="J1579" s="10" t="n">
        <x:v>45805</x:v>
      </x:c>
      <x:c r="K1579" s="10" t="n">
        <x:v>45805</x:v>
      </x:c>
      <x:c r="L1579" s="22" t="n">
        <x:v>17400</x:v>
      </x:c>
      <x:c r="M1579" s="24" t="n">
        <x:v>0</x:v>
      </x:c>
      <x:c r="N1579" s="24" t="n">
        <x:v>0</x:v>
      </x:c>
      <x:c r="O1579" t="str">
        <x:v>No Decision</x:v>
      </x:c>
      <x:c r="P1579" t="n">
        <x:v>4</x:v>
      </x:c>
      <x:c r="Q1579" t="str">
        <x:f>IFERROR(XLOOKUP(E1579,Lookups!$A$5:$A$24,Lookups!$B$5:$B$24),"Other")</x:f>
        <x:v>LinkedIn</x:v>
      </x:c>
      <x:c r="R1579" t="str">
        <x:f>IFERROR(XLOOKUP(F1579,Lookups!$D$5:$D$10,Lookups!$E$5:$E$10),"Unknown Product")</x:f>
        <x:v>Analytics Plus</x:v>
      </x:c>
      <x:c r="S1579" t="str">
        <x:f>IFERROR(XLOOKUP(F1579,Lookups!$D$5:$D$10,Lookups!$F$5:$F$10),"Unknown")</x:f>
        <x:v>Analytics</x:v>
      </x:c>
      <x:c r="T1579" t="str">
        <x:f>IF(L1579&gt;=50000,"Enterprise",IF(L1579&gt;=20000,"Mid-Market","SMB"))</x:f>
        <x:v>SMB</x:v>
      </x:c>
      <x:c r="U1579" t="str">
        <x:f>IF(I1579="Closed Won","Won",IF(I1579="Closed Lost","Lost","Open"))</x:f>
        <x:v>Lost</x:v>
      </x:c>
      <x:c r="V1579" s="22" t="n">
        <x:f>IF(U1579="Won",L1579*(1-M1579),0)</x:f>
        <x:v>0</x:v>
      </x:c>
      <x:c r="W1579" s="22" t="n">
        <x:f>IF(U1579="Open",L1579*N1579,0)</x:f>
        <x:v>0</x:v>
      </x:c>
      <x:c r="X1579" s="26" t="n">
        <x:f>IF(U1579="Open","",IFERROR(K1579-B1579,""))</x:f>
        <x:v>30</x:v>
      </x:c>
      <x:c r="Y1579" s="26" t="n">
        <x:f>IF(U1579="Open",Lookups!$B$2-B1579,X1579)</x:f>
        <x:v>30</x:v>
      </x:c>
      <x:c r="Z1579" t="str">
        <x:f>IF(AND(U1579="Open",Y1579&gt;30),"STALE","OK")</x:f>
        <x:v>OK</x:v>
      </x:c>
      <x:c r="AA1579" t="str">
        <x:f>TEXT(B1579,"yyyy-mm")</x:f>
        <x:v>2025-04</x:v>
      </x:c>
      <x:c r="AB1579" t="str">
        <x:f>IF(K1579="","",TEXT(K1579,"yyyy-mm"))</x:f>
        <x:v>2025-05</x:v>
      </x:c>
      <x:c r="AC1579" t="str">
        <x:f>"Q"&amp;ROUNDUP(MONTH(B1579)/3,0)&amp;"-"&amp;YEAR(B1579)</x:f>
        <x:v>Q2-2025</x:v>
      </x:c>
      <x:c r="AD1579" s="26" t="n">
        <x:f>MIN(100,IF(H1579="Enterprise",30,IF(H1579="Mid-Market",22,14))+IF(T1579="Enterprise",25,IF(T1579="Mid-Market",18,10))+IF(Q1579="Referral",25,IF(Q1579="Organic Search",20,IF(Q1579="Email",18,14)))+IF(G1579="Technology",10,5))</x:f>
        <x:v>43</x:v>
      </x:c>
      <x:c r="AE1579" t="str">
        <x:f>IF(U1579&lt;&gt;"Open",U1579,IF(N1579&gt;=0.8,"Commit",IF(N1579&gt;=0.5,"Best Case","Pipeline")))</x:f>
        <x:v>Lost</x:v>
      </x:c>
    </x:row>
    <x:row r="1580">
      <x:c r="A1580" t="str">
        <x:v>L01579</x:v>
      </x:c>
      <x:c r="B1580" s="10" t="n">
        <x:v>45815</x:v>
      </x:c>
      <x:c r="C1580" t="str">
        <x:v>An Nguyen</x:v>
      </x:c>
      <x:c r="D1580" t="str">
        <x:v>South</x:v>
      </x:c>
      <x:c r="E1580" t="str">
        <x:v>Unknown Event</x:v>
      </x:c>
      <x:c r="F1580" t="str">
        <x:v>BI-PLUS</x:v>
      </x:c>
      <x:c r="G1580" t="str">
        <x:v>Professional Services</x:v>
      </x:c>
      <x:c r="H1580" t="str">
        <x:v>Enterprise</x:v>
      </x:c>
      <x:c r="I1580" t="str">
        <x:v>Negotiation</x:v>
      </x:c>
      <x:c r="J1580" s="10" t="n">
        <x:v>46061</x:v>
      </x:c>
      <x:c r="K1580" s="10"/>
      <x:c r="L1580" s="22" t="n">
        <x:v>77400</x:v>
      </x:c>
      <x:c r="M1580" s="24" t="n">
        <x:v>0</x:v>
      </x:c>
      <x:c r="N1580" s="24" t="n">
        <x:v>0.85</x:v>
      </x:c>
      <x:c r="O1580" t="str"/>
      <x:c r="P1580" t="n">
        <x:v>5</x:v>
      </x:c>
      <x:c r="Q1580" t="str">
        <x:f>IFERROR(XLOOKUP(E1580,Lookups!$A$5:$A$24,Lookups!$B$5:$B$24),"Other")</x:f>
        <x:v>Other</x:v>
      </x:c>
      <x:c r="R1580" t="str">
        <x:f>IFERROR(XLOOKUP(F1580,Lookups!$D$5:$D$10,Lookups!$E$5:$E$10),"Unknown Product")</x:f>
        <x:v>Analytics Plus</x:v>
      </x:c>
      <x:c r="S1580" t="str">
        <x:f>IFERROR(XLOOKUP(F1580,Lookups!$D$5:$D$10,Lookups!$F$5:$F$10),"Unknown")</x:f>
        <x:v>Analytics</x:v>
      </x:c>
      <x:c r="T1580" t="str">
        <x:f>IF(L1580&gt;=50000,"Enterprise",IF(L1580&gt;=20000,"Mid-Market","SMB"))</x:f>
        <x:v>Enterprise</x:v>
      </x:c>
      <x:c r="U1580" t="str">
        <x:f>IF(I1580="Closed Won","Won",IF(I1580="Closed Lost","Lost","Open"))</x:f>
        <x:v>Open</x:v>
      </x:c>
      <x:c r="V1580" s="22" t="n">
        <x:f>IF(U1580="Won",L1580*(1-M1580),0)</x:f>
        <x:v>0</x:v>
      </x:c>
      <x:c r="W1580" s="22" t="n">
        <x:f>IF(U1580="Open",L1580*N1580,0)</x:f>
        <x:v>65790</x:v>
      </x:c>
      <x:c r="X1580" s="26" t="str">
        <x:f>IF(U1580="Open","",IFERROR(K1580-B1580,""))</x:f>
      </x:c>
      <x:c r="Y1580" s="26" t="n">
        <x:f>IF(U1580="Open",Lookups!$B$2-B1580,X1580)</x:f>
        <x:v>451</x:v>
      </x:c>
      <x:c r="Z1580" t="str">
        <x:f>IF(AND(U1580="Open",Y1580&gt;30),"STALE","OK")</x:f>
        <x:v>STALE</x:v>
      </x:c>
      <x:c r="AA1580" t="str">
        <x:f>TEXT(B1580,"yyyy-mm")</x:f>
        <x:v>2025-06</x:v>
      </x:c>
      <x:c r="AB1580" t="str">
        <x:f>IF(K1580="","",TEXT(K1580,"yyyy-mm"))</x:f>
      </x:c>
      <x:c r="AC1580" t="str">
        <x:f>"Q"&amp;ROUNDUP(MONTH(B1580)/3,0)&amp;"-"&amp;YEAR(B1580)</x:f>
        <x:v>Q2-2025</x:v>
      </x:c>
      <x:c r="AD1580" s="26" t="n">
        <x:f>MIN(100,IF(H1580="Enterprise",30,IF(H1580="Mid-Market",22,14))+IF(T1580="Enterprise",25,IF(T1580="Mid-Market",18,10))+IF(Q1580="Referral",25,IF(Q1580="Organic Search",20,IF(Q1580="Email",18,14)))+IF(G1580="Technology",10,5))</x:f>
        <x:v>74</x:v>
      </x:c>
      <x:c r="AE1580" t="str">
        <x:f>IF(U1580&lt;&gt;"Open",U1580,IF(N1580&gt;=0.8,"Commit",IF(N1580&gt;=0.5,"Best Case","Pipeline")))</x:f>
        <x:v>Commit</x:v>
      </x:c>
    </x:row>
    <x:row r="1581">
      <x:c r="A1581" t="str">
        <x:v>L01580</x:v>
      </x:c>
      <x:c r="B1581" s="10" t="n">
        <x:v>45906</x:v>
      </x:c>
      <x:c r="C1581" t="str">
        <x:v>Tuan Bui</x:v>
      </x:c>
      <x:c r="D1581" t="str">
        <x:v>Central</x:v>
      </x:c>
      <x:c r="E1581" t="str">
        <x:v>Conference Scan</x:v>
      </x:c>
      <x:c r="F1581" t="str">
        <x:v>CRM-CORE</x:v>
      </x:c>
      <x:c r="G1581" t="str">
        <x:v>Manufacturing</x:v>
      </x:c>
      <x:c r="H1581" t="str">
        <x:v>Enterprise</x:v>
      </x:c>
      <x:c r="I1581" t="str">
        <x:v>Closed Won</x:v>
      </x:c>
      <x:c r="J1581" s="10" t="n">
        <x:v>45936</x:v>
      </x:c>
      <x:c r="K1581" s="10" t="n">
        <x:v>45936</x:v>
      </x:c>
      <x:c r="L1581" s="22" t="n">
        <x:v>25000</x:v>
      </x:c>
      <x:c r="M1581" s="24" t="n">
        <x:v>0.03</x:v>
      </x:c>
      <x:c r="N1581" s="24" t="n">
        <x:v>1</x:v>
      </x:c>
      <x:c r="O1581" t="str"/>
      <x:c r="P1581" t="n">
        <x:v>6</x:v>
      </x:c>
      <x:c r="Q1581" t="str">
        <x:f>IFERROR(XLOOKUP(E1581,Lookups!$A$5:$A$24,Lookups!$B$5:$B$24),"Other")</x:f>
        <x:v>Other</x:v>
      </x:c>
      <x:c r="R1581" t="str">
        <x:f>IFERROR(XLOOKUP(F1581,Lookups!$D$5:$D$10,Lookups!$E$5:$E$10),"Unknown Product")</x:f>
        <x:v>NexaCRM Core</x:v>
      </x:c>
      <x:c r="S1581" t="str">
        <x:f>IFERROR(XLOOKUP(F1581,Lookups!$D$5:$D$10,Lookups!$F$5:$F$10),"Unknown")</x:f>
        <x:v>CRM</x:v>
      </x:c>
      <x:c r="T1581" t="str">
        <x:f>IF(L1581&gt;=50000,"Enterprise",IF(L1581&gt;=20000,"Mid-Market","SMB"))</x:f>
        <x:v>Mid-Market</x:v>
      </x:c>
      <x:c r="U1581" t="str">
        <x:f>IF(I1581="Closed Won","Won",IF(I1581="Closed Lost","Lost","Open"))</x:f>
        <x:v>Won</x:v>
      </x:c>
      <x:c r="V1581" s="22" t="n">
        <x:f>IF(U1581="Won",L1581*(1-M1581),0)</x:f>
        <x:v>24250</x:v>
      </x:c>
      <x:c r="W1581" s="22" t="n">
        <x:f>IF(U1581="Open",L1581*N1581,0)</x:f>
        <x:v>0</x:v>
      </x:c>
      <x:c r="X1581" s="26" t="n">
        <x:f>IF(U1581="Open","",IFERROR(K1581-B1581,""))</x:f>
        <x:v>30</x:v>
      </x:c>
      <x:c r="Y1581" s="26" t="n">
        <x:f>IF(U1581="Open",Lookups!$B$2-B1581,X1581)</x:f>
        <x:v>30</x:v>
      </x:c>
      <x:c r="Z1581" t="str">
        <x:f>IF(AND(U1581="Open",Y1581&gt;30),"STALE","OK")</x:f>
        <x:v>OK</x:v>
      </x:c>
      <x:c r="AA1581" t="str">
        <x:f>TEXT(B1581,"yyyy-mm")</x:f>
        <x:v>2025-09</x:v>
      </x:c>
      <x:c r="AB1581" t="str">
        <x:f>IF(K1581="","",TEXT(K1581,"yyyy-mm"))</x:f>
        <x:v>2025-10</x:v>
      </x:c>
      <x:c r="AC1581" t="str">
        <x:f>"Q"&amp;ROUNDUP(MONTH(B1581)/3,0)&amp;"-"&amp;YEAR(B1581)</x:f>
        <x:v>Q3-2025</x:v>
      </x:c>
      <x:c r="AD1581" s="26" t="n">
        <x:f>MIN(100,IF(H1581="Enterprise",30,IF(H1581="Mid-Market",22,14))+IF(T1581="Enterprise",25,IF(T1581="Mid-Market",18,10))+IF(Q1581="Referral",25,IF(Q1581="Organic Search",20,IF(Q1581="Email",18,14)))+IF(G1581="Technology",10,5))</x:f>
        <x:v>67</x:v>
      </x:c>
      <x:c r="AE1581" t="str">
        <x:f>IF(U1581&lt;&gt;"Open",U1581,IF(N1581&gt;=0.8,"Commit",IF(N1581&gt;=0.5,"Best Case","Pipeline")))</x:f>
        <x:v>Won</x:v>
      </x:c>
    </x:row>
    <x:row r="1582">
      <x:c r="A1582" t="str">
        <x:v>L01581</x:v>
      </x:c>
      <x:c r="B1582" s="10" t="n">
        <x:v>45690</x:v>
      </x:c>
      <x:c r="C1582" t="str">
        <x:v>An Nguyen</x:v>
      </x:c>
      <x:c r="D1582" t="str">
        <x:v>South</x:v>
      </x:c>
      <x:c r="E1582" t="str">
        <x:v>Outbound</x:v>
      </x:c>
      <x:c r="F1582" t="str">
        <x:v>CRM-PRO</x:v>
      </x:c>
      <x:c r="G1582" t="str">
        <x:v>Retail</x:v>
      </x:c>
      <x:c r="H1582" t="str">
        <x:v>SMB</x:v>
      </x:c>
      <x:c r="I1582" t="str">
        <x:v>Closed Lost</x:v>
      </x:c>
      <x:c r="J1582" s="10" t="n">
        <x:v>45730</x:v>
      </x:c>
      <x:c r="K1582" s="10" t="n">
        <x:v>45730</x:v>
      </x:c>
      <x:c r="L1582" s="22" t="n">
        <x:v>20600</x:v>
      </x:c>
      <x:c r="M1582" s="24" t="n">
        <x:v>0</x:v>
      </x:c>
      <x:c r="N1582" s="24" t="n">
        <x:v>0</x:v>
      </x:c>
      <x:c r="O1582" t="str">
        <x:v>Budget</x:v>
      </x:c>
      <x:c r="P1582" t="n">
        <x:v>4</x:v>
      </x:c>
      <x:c r="Q1582" t="str">
        <x:f>IFERROR(XLOOKUP(E1582,Lookups!$A$5:$A$24,Lookups!$B$5:$B$24),"Other")</x:f>
        <x:v>Outbound</x:v>
      </x:c>
      <x:c r="R1582" t="str">
        <x:f>IFERROR(XLOOKUP(F1582,Lookups!$D$5:$D$10,Lookups!$E$5:$E$10),"Unknown Product")</x:f>
        <x:v>NexaCRM Pro</x:v>
      </x:c>
      <x:c r="S1582" t="str">
        <x:f>IFERROR(XLOOKUP(F1582,Lookups!$D$5:$D$10,Lookups!$F$5:$F$10),"Unknown")</x:f>
        <x:v>CRM</x:v>
      </x:c>
      <x:c r="T1582" t="str">
        <x:f>IF(L1582&gt;=50000,"Enterprise",IF(L1582&gt;=20000,"Mid-Market","SMB"))</x:f>
        <x:v>Mid-Market</x:v>
      </x:c>
      <x:c r="U1582" t="str">
        <x:f>IF(I1582="Closed Won","Won",IF(I1582="Closed Lost","Lost","Open"))</x:f>
        <x:v>Lost</x:v>
      </x:c>
      <x:c r="V1582" s="22" t="n">
        <x:f>IF(U1582="Won",L1582*(1-M1582),0)</x:f>
        <x:v>0</x:v>
      </x:c>
      <x:c r="W1582" s="22" t="n">
        <x:f>IF(U1582="Open",L1582*N1582,0)</x:f>
        <x:v>0</x:v>
      </x:c>
      <x:c r="X1582" s="26" t="n">
        <x:f>IF(U1582="Open","",IFERROR(K1582-B1582,""))</x:f>
        <x:v>40</x:v>
      </x:c>
      <x:c r="Y1582" s="26" t="n">
        <x:f>IF(U1582="Open",Lookups!$B$2-B1582,X1582)</x:f>
        <x:v>40</x:v>
      </x:c>
      <x:c r="Z1582" t="str">
        <x:f>IF(AND(U1582="Open",Y1582&gt;30),"STALE","OK")</x:f>
        <x:v>OK</x:v>
      </x:c>
      <x:c r="AA1582" t="str">
        <x:f>TEXT(B1582,"yyyy-mm")</x:f>
        <x:v>2025-02</x:v>
      </x:c>
      <x:c r="AB1582" t="str">
        <x:f>IF(K1582="","",TEXT(K1582,"yyyy-mm"))</x:f>
        <x:v>2025-03</x:v>
      </x:c>
      <x:c r="AC1582" t="str">
        <x:f>"Q"&amp;ROUNDUP(MONTH(B1582)/3,0)&amp;"-"&amp;YEAR(B1582)</x:f>
        <x:v>Q1-2025</x:v>
      </x:c>
      <x:c r="AD1582" s="26" t="n">
        <x:f>MIN(100,IF(H1582="Enterprise",30,IF(H1582="Mid-Market",22,14))+IF(T1582="Enterprise",25,IF(T1582="Mid-Market",18,10))+IF(Q1582="Referral",25,IF(Q1582="Organic Search",20,IF(Q1582="Email",18,14)))+IF(G1582="Technology",10,5))</x:f>
        <x:v>51</x:v>
      </x:c>
      <x:c r="AE1582" t="str">
        <x:f>IF(U1582&lt;&gt;"Open",U1582,IF(N1582&gt;=0.8,"Commit",IF(N1582&gt;=0.5,"Best Case","Pipeline")))</x:f>
        <x:v>Lost</x:v>
      </x:c>
    </x:row>
    <x:row r="1583">
      <x:c r="A1583" t="str">
        <x:v>L01582</x:v>
      </x:c>
      <x:c r="B1583" s="10" t="n">
        <x:v>45719</x:v>
      </x:c>
      <x:c r="C1583" t="str">
        <x:v>An Nguyen</x:v>
      </x:c>
      <x:c r="D1583" t="str">
        <x:v>South</x:v>
      </x:c>
      <x:c r="E1583" t="str">
        <x:v>linkedin</x:v>
      </x:c>
      <x:c r="F1583" t="str">
        <x:v>CRM-PRO</x:v>
      </x:c>
      <x:c r="G1583" t="str">
        <x:v>Retail</x:v>
      </x:c>
      <x:c r="H1583" t="str">
        <x:v>SMB</x:v>
      </x:c>
      <x:c r="I1583" t="str">
        <x:v>Closed Lost</x:v>
      </x:c>
      <x:c r="J1583" s="10" t="n">
        <x:v>45783</x:v>
      </x:c>
      <x:c r="K1583" s="10" t="n">
        <x:v>45783</x:v>
      </x:c>
      <x:c r="L1583" s="22" t="n">
        <x:v>21800</x:v>
      </x:c>
      <x:c r="M1583" s="24" t="n">
        <x:v>0</x:v>
      </x:c>
      <x:c r="N1583" s="24" t="n">
        <x:v>0</x:v>
      </x:c>
      <x:c r="O1583" t="str">
        <x:v>Competitor</x:v>
      </x:c>
      <x:c r="P1583" t="n">
        <x:v>5</x:v>
      </x:c>
      <x:c r="Q1583" t="str">
        <x:f>IFERROR(XLOOKUP(E1583,Lookups!$A$5:$A$24,Lookups!$B$5:$B$24),"Other")</x:f>
        <x:v>LinkedIn</x:v>
      </x:c>
      <x:c r="R1583" t="str">
        <x:f>IFERROR(XLOOKUP(F1583,Lookups!$D$5:$D$10,Lookups!$E$5:$E$10),"Unknown Product")</x:f>
        <x:v>NexaCRM Pro</x:v>
      </x:c>
      <x:c r="S1583" t="str">
        <x:f>IFERROR(XLOOKUP(F1583,Lookups!$D$5:$D$10,Lookups!$F$5:$F$10),"Unknown")</x:f>
        <x:v>CRM</x:v>
      </x:c>
      <x:c r="T1583" t="str">
        <x:f>IF(L1583&gt;=50000,"Enterprise",IF(L1583&gt;=20000,"Mid-Market","SMB"))</x:f>
        <x:v>Mid-Market</x:v>
      </x:c>
      <x:c r="U1583" t="str">
        <x:f>IF(I1583="Closed Won","Won",IF(I1583="Closed Lost","Lost","Open"))</x:f>
        <x:v>Lost</x:v>
      </x:c>
      <x:c r="V1583" s="22" t="n">
        <x:f>IF(U1583="Won",L1583*(1-M1583),0)</x:f>
        <x:v>0</x:v>
      </x:c>
      <x:c r="W1583" s="22" t="n">
        <x:f>IF(U1583="Open",L1583*N1583,0)</x:f>
        <x:v>0</x:v>
      </x:c>
      <x:c r="X1583" s="26" t="n">
        <x:f>IF(U1583="Open","",IFERROR(K1583-B1583,""))</x:f>
        <x:v>64</x:v>
      </x:c>
      <x:c r="Y1583" s="26" t="n">
        <x:f>IF(U1583="Open",Lookups!$B$2-B1583,X1583)</x:f>
        <x:v>64</x:v>
      </x:c>
      <x:c r="Z1583" t="str">
        <x:f>IF(AND(U1583="Open",Y1583&gt;30),"STALE","OK")</x:f>
        <x:v>OK</x:v>
      </x:c>
      <x:c r="AA1583" t="str">
        <x:f>TEXT(B1583,"yyyy-mm")</x:f>
        <x:v>2025-03</x:v>
      </x:c>
      <x:c r="AB1583" t="str">
        <x:f>IF(K1583="","",TEXT(K1583,"yyyy-mm"))</x:f>
        <x:v>2025-05</x:v>
      </x:c>
      <x:c r="AC1583" t="str">
        <x:f>"Q"&amp;ROUNDUP(MONTH(B1583)/3,0)&amp;"-"&amp;YEAR(B1583)</x:f>
        <x:v>Q1-2025</x:v>
      </x:c>
      <x:c r="AD1583" s="26" t="n">
        <x:f>MIN(100,IF(H1583="Enterprise",30,IF(H1583="Mid-Market",22,14))+IF(T1583="Enterprise",25,IF(T1583="Mid-Market",18,10))+IF(Q1583="Referral",25,IF(Q1583="Organic Search",20,IF(Q1583="Email",18,14)))+IF(G1583="Technology",10,5))</x:f>
        <x:v>51</x:v>
      </x:c>
      <x:c r="AE1583" t="str">
        <x:f>IF(U1583&lt;&gt;"Open",U1583,IF(N1583&gt;=0.8,"Commit",IF(N1583&gt;=0.5,"Best Case","Pipeline")))</x:f>
        <x:v>Lost</x:v>
      </x:c>
    </x:row>
    <x:row r="1584">
      <x:c r="A1584" t="str">
        <x:v>L01583</x:v>
      </x:c>
      <x:c r="B1584" s="10" t="n">
        <x:v>45956</x:v>
      </x:c>
      <x:c r="C1584" t="str">
        <x:v>Minh Do</x:v>
      </x:c>
      <x:c r="D1584" t="str">
        <x:v>North</x:v>
      </x:c>
      <x:c r="E1584" t="str">
        <x:v>google cpc</x:v>
      </x:c>
      <x:c r="F1584" t="str">
        <x:v>CRM-PRO</x:v>
      </x:c>
      <x:c r="G1584" t="str">
        <x:v>Retail</x:v>
      </x:c>
      <x:c r="H1584" t="str">
        <x:v>Mid-Market</x:v>
      </x:c>
      <x:c r="I1584" t="str">
        <x:v>Negotiation</x:v>
      </x:c>
      <x:c r="J1584" s="10" t="n">
        <x:v>46190</x:v>
      </x:c>
      <x:c r="K1584" s="10"/>
      <x:c r="L1584" s="22" t="n">
        <x:v>29000</x:v>
      </x:c>
      <x:c r="M1584" s="24" t="n">
        <x:v>0</x:v>
      </x:c>
      <x:c r="N1584" s="24" t="n">
        <x:v>0.85</x:v>
      </x:c>
      <x:c r="O1584" t="str"/>
      <x:c r="P1584" t="n">
        <x:v>5</x:v>
      </x:c>
      <x:c r="Q1584" t="str">
        <x:f>IFERROR(XLOOKUP(E1584,Lookups!$A$5:$A$24,Lookups!$B$5:$B$24),"Other")</x:f>
        <x:v>Paid Search</x:v>
      </x:c>
      <x:c r="R1584" t="str">
        <x:f>IFERROR(XLOOKUP(F1584,Lookups!$D$5:$D$10,Lookups!$E$5:$E$10),"Unknown Product")</x:f>
        <x:v>NexaCRM Pro</x:v>
      </x:c>
      <x:c r="S1584" t="str">
        <x:f>IFERROR(XLOOKUP(F1584,Lookups!$D$5:$D$10,Lookups!$F$5:$F$10),"Unknown")</x:f>
        <x:v>CRM</x:v>
      </x:c>
      <x:c r="T1584" t="str">
        <x:f>IF(L1584&gt;=50000,"Enterprise",IF(L1584&gt;=20000,"Mid-Market","SMB"))</x:f>
        <x:v>Mid-Market</x:v>
      </x:c>
      <x:c r="U1584" t="str">
        <x:f>IF(I1584="Closed Won","Won",IF(I1584="Closed Lost","Lost","Open"))</x:f>
        <x:v>Open</x:v>
      </x:c>
      <x:c r="V1584" s="22" t="n">
        <x:f>IF(U1584="Won",L1584*(1-M1584),0)</x:f>
        <x:v>0</x:v>
      </x:c>
      <x:c r="W1584" s="22" t="n">
        <x:f>IF(U1584="Open",L1584*N1584,0)</x:f>
        <x:v>24650</x:v>
      </x:c>
      <x:c r="X1584" s="26" t="str">
        <x:f>IF(U1584="Open","",IFERROR(K1584-B1584,""))</x:f>
      </x:c>
      <x:c r="Y1584" s="26" t="n">
        <x:f>IF(U1584="Open",Lookups!$B$2-B1584,X1584)</x:f>
        <x:v>310</x:v>
      </x:c>
      <x:c r="Z1584" t="str">
        <x:f>IF(AND(U1584="Open",Y1584&gt;30),"STALE","OK")</x:f>
        <x:v>STALE</x:v>
      </x:c>
      <x:c r="AA1584" t="str">
        <x:f>TEXT(B1584,"yyyy-mm")</x:f>
        <x:v>2025-10</x:v>
      </x:c>
      <x:c r="AB1584" t="str">
        <x:f>IF(K1584="","",TEXT(K1584,"yyyy-mm"))</x:f>
      </x:c>
      <x:c r="AC1584" t="str">
        <x:f>"Q"&amp;ROUNDUP(MONTH(B1584)/3,0)&amp;"-"&amp;YEAR(B1584)</x:f>
        <x:v>Q4-2025</x:v>
      </x:c>
      <x:c r="AD1584" s="26" t="n">
        <x:f>MIN(100,IF(H1584="Enterprise",30,IF(H1584="Mid-Market",22,14))+IF(T1584="Enterprise",25,IF(T1584="Mid-Market",18,10))+IF(Q1584="Referral",25,IF(Q1584="Organic Search",20,IF(Q1584="Email",18,14)))+IF(G1584="Technology",10,5))</x:f>
        <x:v>59</x:v>
      </x:c>
      <x:c r="AE1584" t="str">
        <x:f>IF(U1584&lt;&gt;"Open",U1584,IF(N1584&gt;=0.8,"Commit",IF(N1584&gt;=0.5,"Best Case","Pipeline")))</x:f>
        <x:v>Commit</x:v>
      </x:c>
    </x:row>
    <x:row r="1585">
      <x:c r="A1585" t="str">
        <x:v>L01584</x:v>
      </x:c>
      <x:c r="B1585" s="10" t="n">
        <x:v>45938</x:v>
      </x:c>
      <x:c r="C1585" t="str">
        <x:v>Tuan Bui</x:v>
      </x:c>
      <x:c r="D1585" t="str">
        <x:v>Central</x:v>
      </x:c>
      <x:c r="E1585" t="str">
        <x:v>SEM - Google</x:v>
      </x:c>
      <x:c r="F1585" t="str">
        <x:v>CRM-CORE</x:v>
      </x:c>
      <x:c r="G1585" t="str">
        <x:v>Healthcare</x:v>
      </x:c>
      <x:c r="H1585" t="str">
        <x:v>Enterprise</x:v>
      </x:c>
      <x:c r="I1585" t="str">
        <x:v>Closed Lost</x:v>
      </x:c>
      <x:c r="J1585" s="10" t="n">
        <x:v>45963</x:v>
      </x:c>
      <x:c r="K1585" s="10" t="n">
        <x:v>45963</x:v>
      </x:c>
      <x:c r="L1585" s="22" t="n">
        <x:v>19900</x:v>
      </x:c>
      <x:c r="M1585" s="24" t="n">
        <x:v>0</x:v>
      </x:c>
      <x:c r="N1585" s="24" t="n">
        <x:v>0</x:v>
      </x:c>
      <x:c r="O1585" t="str">
        <x:v>No Decision</x:v>
      </x:c>
      <x:c r="P1585" t="n">
        <x:v>3</x:v>
      </x:c>
      <x:c r="Q1585" t="str">
        <x:f>IFERROR(XLOOKUP(E1585,Lookups!$A$5:$A$24,Lookups!$B$5:$B$24),"Other")</x:f>
        <x:v>Paid Search</x:v>
      </x:c>
      <x:c r="R1585" t="str">
        <x:f>IFERROR(XLOOKUP(F1585,Lookups!$D$5:$D$10,Lookups!$E$5:$E$10),"Unknown Product")</x:f>
        <x:v>NexaCRM Core</x:v>
      </x:c>
      <x:c r="S1585" t="str">
        <x:f>IFERROR(XLOOKUP(F1585,Lookups!$D$5:$D$10,Lookups!$F$5:$F$10),"Unknown")</x:f>
        <x:v>CRM</x:v>
      </x:c>
      <x:c r="T1585" t="str">
        <x:f>IF(L1585&gt;=50000,"Enterprise",IF(L1585&gt;=20000,"Mid-Market","SMB"))</x:f>
        <x:v>SMB</x:v>
      </x:c>
      <x:c r="U1585" t="str">
        <x:f>IF(I1585="Closed Won","Won",IF(I1585="Closed Lost","Lost","Open"))</x:f>
        <x:v>Lost</x:v>
      </x:c>
      <x:c r="V1585" s="22" t="n">
        <x:f>IF(U1585="Won",L1585*(1-M1585),0)</x:f>
        <x:v>0</x:v>
      </x:c>
      <x:c r="W1585" s="22" t="n">
        <x:f>IF(U1585="Open",L1585*N1585,0)</x:f>
        <x:v>0</x:v>
      </x:c>
      <x:c r="X1585" s="26" t="n">
        <x:f>IF(U1585="Open","",IFERROR(K1585-B1585,""))</x:f>
        <x:v>25</x:v>
      </x:c>
      <x:c r="Y1585" s="26" t="n">
        <x:f>IF(U1585="Open",Lookups!$B$2-B1585,X1585)</x:f>
        <x:v>25</x:v>
      </x:c>
      <x:c r="Z1585" t="str">
        <x:f>IF(AND(U1585="Open",Y1585&gt;30),"STALE","OK")</x:f>
        <x:v>OK</x:v>
      </x:c>
      <x:c r="AA1585" t="str">
        <x:f>TEXT(B1585,"yyyy-mm")</x:f>
        <x:v>2025-10</x:v>
      </x:c>
      <x:c r="AB1585" t="str">
        <x:f>IF(K1585="","",TEXT(K1585,"yyyy-mm"))</x:f>
        <x:v>2025-11</x:v>
      </x:c>
      <x:c r="AC1585" t="str">
        <x:f>"Q"&amp;ROUNDUP(MONTH(B1585)/3,0)&amp;"-"&amp;YEAR(B1585)</x:f>
        <x:v>Q4-2025</x:v>
      </x:c>
      <x:c r="AD1585" s="26" t="n">
        <x:f>MIN(100,IF(H1585="Enterprise",30,IF(H1585="Mid-Market",22,14))+IF(T1585="Enterprise",25,IF(T1585="Mid-Market",18,10))+IF(Q1585="Referral",25,IF(Q1585="Organic Search",20,IF(Q1585="Email",18,14)))+IF(G1585="Technology",10,5))</x:f>
        <x:v>59</x:v>
      </x:c>
      <x:c r="AE1585" t="str">
        <x:f>IF(U1585&lt;&gt;"Open",U1585,IF(N1585&gt;=0.8,"Commit",IF(N1585&gt;=0.5,"Best Case","Pipeline")))</x:f>
        <x:v>Lost</x:v>
      </x:c>
    </x:row>
    <x:row r="1586">
      <x:c r="A1586" t="str">
        <x:v>L01585</x:v>
      </x:c>
      <x:c r="B1586" s="10" t="n">
        <x:v>46007</x:v>
      </x:c>
      <x:c r="C1586" t="str">
        <x:v>An Nguyen</x:v>
      </x:c>
      <x:c r="D1586" t="str">
        <x:v>South</x:v>
      </x:c>
      <x:c r="E1586" t="str">
        <x:v>linkedin</x:v>
      </x:c>
      <x:c r="F1586" t="str">
        <x:v>CRM-CORE</x:v>
      </x:c>
      <x:c r="G1586" t="str">
        <x:v>Retail</x:v>
      </x:c>
      <x:c r="H1586" t="str">
        <x:v>Mid-Market</x:v>
      </x:c>
      <x:c r="I1586" t="str">
        <x:v>Closed Lost</x:v>
      </x:c>
      <x:c r="J1586" s="10" t="n">
        <x:v>46028</x:v>
      </x:c>
      <x:c r="K1586" s="10" t="n">
        <x:v>46028</x:v>
      </x:c>
      <x:c r="L1586" s="22" t="n">
        <x:v>8200</x:v>
      </x:c>
      <x:c r="M1586" s="24" t="n">
        <x:v>0</x:v>
      </x:c>
      <x:c r="N1586" s="24" t="n">
        <x:v>0</x:v>
      </x:c>
      <x:c r="O1586" t="str">
        <x:v>Timing</x:v>
      </x:c>
      <x:c r="P1586" t="n">
        <x:v>2</x:v>
      </x:c>
      <x:c r="Q1586" t="str">
        <x:f>IFERROR(XLOOKUP(E1586,Lookups!$A$5:$A$24,Lookups!$B$5:$B$24),"Other")</x:f>
        <x:v>LinkedIn</x:v>
      </x:c>
      <x:c r="R1586" t="str">
        <x:f>IFERROR(XLOOKUP(F1586,Lookups!$D$5:$D$10,Lookups!$E$5:$E$10),"Unknown Product")</x:f>
        <x:v>NexaCRM Core</x:v>
      </x:c>
      <x:c r="S1586" t="str">
        <x:f>IFERROR(XLOOKUP(F1586,Lookups!$D$5:$D$10,Lookups!$F$5:$F$10),"Unknown")</x:f>
        <x:v>CRM</x:v>
      </x:c>
      <x:c r="T1586" t="str">
        <x:f>IF(L1586&gt;=50000,"Enterprise",IF(L1586&gt;=20000,"Mid-Market","SMB"))</x:f>
        <x:v>SMB</x:v>
      </x:c>
      <x:c r="U1586" t="str">
        <x:f>IF(I1586="Closed Won","Won",IF(I1586="Closed Lost","Lost","Open"))</x:f>
        <x:v>Lost</x:v>
      </x:c>
      <x:c r="V1586" s="22" t="n">
        <x:f>IF(U1586="Won",L1586*(1-M1586),0)</x:f>
        <x:v>0</x:v>
      </x:c>
      <x:c r="W1586" s="22" t="n">
        <x:f>IF(U1586="Open",L1586*N1586,0)</x:f>
        <x:v>0</x:v>
      </x:c>
      <x:c r="X1586" s="26" t="n">
        <x:f>IF(U1586="Open","",IFERROR(K1586-B1586,""))</x:f>
        <x:v>21</x:v>
      </x:c>
      <x:c r="Y1586" s="26" t="n">
        <x:f>IF(U1586="Open",Lookups!$B$2-B1586,X1586)</x:f>
        <x:v>21</x:v>
      </x:c>
      <x:c r="Z1586" t="str">
        <x:f>IF(AND(U1586="Open",Y1586&gt;30),"STALE","OK")</x:f>
        <x:v>OK</x:v>
      </x:c>
      <x:c r="AA1586" t="str">
        <x:f>TEXT(B1586,"yyyy-mm")</x:f>
        <x:v>2025-12</x:v>
      </x:c>
      <x:c r="AB1586" t="str">
        <x:f>IF(K1586="","",TEXT(K1586,"yyyy-mm"))</x:f>
        <x:v>2026-01</x:v>
      </x:c>
      <x:c r="AC1586" t="str">
        <x:f>"Q"&amp;ROUNDUP(MONTH(B1586)/3,0)&amp;"-"&amp;YEAR(B1586)</x:f>
        <x:v>Q4-2025</x:v>
      </x:c>
      <x:c r="AD1586" s="26" t="n">
        <x:f>MIN(100,IF(H1586="Enterprise",30,IF(H1586="Mid-Market",22,14))+IF(T1586="Enterprise",25,IF(T1586="Mid-Market",18,10))+IF(Q1586="Referral",25,IF(Q1586="Organic Search",20,IF(Q1586="Email",18,14)))+IF(G1586="Technology",10,5))</x:f>
        <x:v>51</x:v>
      </x:c>
      <x:c r="AE1586" t="str">
        <x:f>IF(U1586&lt;&gt;"Open",U1586,IF(N1586&gt;=0.8,"Commit",IF(N1586&gt;=0.5,"Best Case","Pipeline")))</x:f>
        <x:v>Lost</x:v>
      </x:c>
    </x:row>
    <x:row r="1587">
      <x:c r="A1587" t="str">
        <x:v>L01586</x:v>
      </x:c>
      <x:c r="B1587" s="10" t="n">
        <x:v>45892</x:v>
      </x:c>
      <x:c r="C1587" t="str">
        <x:v>Duy Pham</x:v>
      </x:c>
      <x:c r="D1587" t="str">
        <x:v>South</x:v>
      </x:c>
      <x:c r="E1587" t="str">
        <x:v>Referral</x:v>
      </x:c>
      <x:c r="F1587" t="str">
        <x:v>BI-PLUS</x:v>
      </x:c>
      <x:c r="G1587" t="str">
        <x:v>Technology</x:v>
      </x:c>
      <x:c r="H1587" t="str">
        <x:v>SMB</x:v>
      </x:c>
      <x:c r="I1587" t="str">
        <x:v>Closed Won</x:v>
      </x:c>
      <x:c r="J1587" s="10" t="n">
        <x:v>45904</x:v>
      </x:c>
      <x:c r="K1587" s="10" t="n">
        <x:v>45904</x:v>
      </x:c>
      <x:c r="L1587" s="22" t="n">
        <x:v>13500</x:v>
      </x:c>
      <x:c r="M1587" s="24" t="n">
        <x:v>0</x:v>
      </x:c>
      <x:c r="N1587" s="24" t="n">
        <x:v>1</x:v>
      </x:c>
      <x:c r="O1587" t="str"/>
      <x:c r="P1587" t="n">
        <x:v>6</x:v>
      </x:c>
      <x:c r="Q1587" t="str">
        <x:f>IFERROR(XLOOKUP(E1587,Lookups!$A$5:$A$24,Lookups!$B$5:$B$24),"Other")</x:f>
        <x:v>Referral</x:v>
      </x:c>
      <x:c r="R1587" t="str">
        <x:f>IFERROR(XLOOKUP(F1587,Lookups!$D$5:$D$10,Lookups!$E$5:$E$10),"Unknown Product")</x:f>
        <x:v>Analytics Plus</x:v>
      </x:c>
      <x:c r="S1587" t="str">
        <x:f>IFERROR(XLOOKUP(F1587,Lookups!$D$5:$D$10,Lookups!$F$5:$F$10),"Unknown")</x:f>
        <x:v>Analytics</x:v>
      </x:c>
      <x:c r="T1587" t="str">
        <x:f>IF(L1587&gt;=50000,"Enterprise",IF(L1587&gt;=20000,"Mid-Market","SMB"))</x:f>
        <x:v>SMB</x:v>
      </x:c>
      <x:c r="U1587" t="str">
        <x:f>IF(I1587="Closed Won","Won",IF(I1587="Closed Lost","Lost","Open"))</x:f>
        <x:v>Won</x:v>
      </x:c>
      <x:c r="V1587" s="22" t="n">
        <x:f>IF(U1587="Won",L1587*(1-M1587),0)</x:f>
        <x:v>13500</x:v>
      </x:c>
      <x:c r="W1587" s="22" t="n">
        <x:f>IF(U1587="Open",L1587*N1587,0)</x:f>
        <x:v>0</x:v>
      </x:c>
      <x:c r="X1587" s="26" t="n">
        <x:f>IF(U1587="Open","",IFERROR(K1587-B1587,""))</x:f>
        <x:v>12</x:v>
      </x:c>
      <x:c r="Y1587" s="26" t="n">
        <x:f>IF(U1587="Open",Lookups!$B$2-B1587,X1587)</x:f>
        <x:v>12</x:v>
      </x:c>
      <x:c r="Z1587" t="str">
        <x:f>IF(AND(U1587="Open",Y1587&gt;30),"STALE","OK")</x:f>
        <x:v>OK</x:v>
      </x:c>
      <x:c r="AA1587" t="str">
        <x:f>TEXT(B1587,"yyyy-mm")</x:f>
        <x:v>2025-08</x:v>
      </x:c>
      <x:c r="AB1587" t="str">
        <x:f>IF(K1587="","",TEXT(K1587,"yyyy-mm"))</x:f>
        <x:v>2025-09</x:v>
      </x:c>
      <x:c r="AC1587" t="str">
        <x:f>"Q"&amp;ROUNDUP(MONTH(B1587)/3,0)&amp;"-"&amp;YEAR(B1587)</x:f>
        <x:v>Q3-2025</x:v>
      </x:c>
      <x:c r="AD1587" s="26" t="n">
        <x:f>MIN(100,IF(H1587="Enterprise",30,IF(H1587="Mid-Market",22,14))+IF(T1587="Enterprise",25,IF(T1587="Mid-Market",18,10))+IF(Q1587="Referral",25,IF(Q1587="Organic Search",20,IF(Q1587="Email",18,14)))+IF(G1587="Technology",10,5))</x:f>
        <x:v>59</x:v>
      </x:c>
      <x:c r="AE1587" t="str">
        <x:f>IF(U1587&lt;&gt;"Open",U1587,IF(N1587&gt;=0.8,"Commit",IF(N1587&gt;=0.5,"Best Case","Pipeline")))</x:f>
        <x:v>Won</x:v>
      </x:c>
    </x:row>
    <x:row r="1588">
      <x:c r="A1588" t="str">
        <x:v>L01587</x:v>
      </x:c>
      <x:c r="B1588" s="10" t="n">
        <x:v>45756</x:v>
      </x:c>
      <x:c r="C1588" t="str">
        <x:v>Chi Le</x:v>
      </x:c>
      <x:c r="D1588" t="str">
        <x:v>South</x:v>
      </x:c>
      <x:c r="E1588" t="str">
        <x:v>virtual event</x:v>
      </x:c>
      <x:c r="F1588" t="str">
        <x:v>CRM-PRO</x:v>
      </x:c>
      <x:c r="G1588" t="str">
        <x:v>Financial Services</x:v>
      </x:c>
      <x:c r="H1588" t="str">
        <x:v>SMB</x:v>
      </x:c>
      <x:c r="I1588" t="str">
        <x:v>Closed Lost</x:v>
      </x:c>
      <x:c r="J1588" s="10" t="n">
        <x:v>45831</x:v>
      </x:c>
      <x:c r="K1588" s="10" t="n">
        <x:v>45831</x:v>
      </x:c>
      <x:c r="L1588" s="22" t="n">
        <x:v>24400</x:v>
      </x:c>
      <x:c r="M1588" s="24" t="n">
        <x:v>0</x:v>
      </x:c>
      <x:c r="N1588" s="24" t="n">
        <x:v>0</x:v>
      </x:c>
      <x:c r="O1588" t="str">
        <x:v>Budget</x:v>
      </x:c>
      <x:c r="P1588" t="n">
        <x:v>4</x:v>
      </x:c>
      <x:c r="Q1588" t="str">
        <x:f>IFERROR(XLOOKUP(E1588,Lookups!$A$5:$A$24,Lookups!$B$5:$B$24),"Other")</x:f>
        <x:v>Webinar</x:v>
      </x:c>
      <x:c r="R1588" t="str">
        <x:f>IFERROR(XLOOKUP(F1588,Lookups!$D$5:$D$10,Lookups!$E$5:$E$10),"Unknown Product")</x:f>
        <x:v>NexaCRM Pro</x:v>
      </x:c>
      <x:c r="S1588" t="str">
        <x:f>IFERROR(XLOOKUP(F1588,Lookups!$D$5:$D$10,Lookups!$F$5:$F$10),"Unknown")</x:f>
        <x:v>CRM</x:v>
      </x:c>
      <x:c r="T1588" t="str">
        <x:f>IF(L1588&gt;=50000,"Enterprise",IF(L1588&gt;=20000,"Mid-Market","SMB"))</x:f>
        <x:v>Mid-Market</x:v>
      </x:c>
      <x:c r="U1588" t="str">
        <x:f>IF(I1588="Closed Won","Won",IF(I1588="Closed Lost","Lost","Open"))</x:f>
        <x:v>Lost</x:v>
      </x:c>
      <x:c r="V1588" s="22" t="n">
        <x:f>IF(U1588="Won",L1588*(1-M1588),0)</x:f>
        <x:v>0</x:v>
      </x:c>
      <x:c r="W1588" s="22" t="n">
        <x:f>IF(U1588="Open",L1588*N1588,0)</x:f>
        <x:v>0</x:v>
      </x:c>
      <x:c r="X1588" s="26" t="n">
        <x:f>IF(U1588="Open","",IFERROR(K1588-B1588,""))</x:f>
        <x:v>75</x:v>
      </x:c>
      <x:c r="Y1588" s="26" t="n">
        <x:f>IF(U1588="Open",Lookups!$B$2-B1588,X1588)</x:f>
        <x:v>75</x:v>
      </x:c>
      <x:c r="Z1588" t="str">
        <x:f>IF(AND(U1588="Open",Y1588&gt;30),"STALE","OK")</x:f>
        <x:v>OK</x:v>
      </x:c>
      <x:c r="AA1588" t="str">
        <x:f>TEXT(B1588,"yyyy-mm")</x:f>
        <x:v>2025-04</x:v>
      </x:c>
      <x:c r="AB1588" t="str">
        <x:f>IF(K1588="","",TEXT(K1588,"yyyy-mm"))</x:f>
        <x:v>2025-06</x:v>
      </x:c>
      <x:c r="AC1588" t="str">
        <x:f>"Q"&amp;ROUNDUP(MONTH(B1588)/3,0)&amp;"-"&amp;YEAR(B1588)</x:f>
        <x:v>Q2-2025</x:v>
      </x:c>
      <x:c r="AD1588" s="26" t="n">
        <x:f>MIN(100,IF(H1588="Enterprise",30,IF(H1588="Mid-Market",22,14))+IF(T1588="Enterprise",25,IF(T1588="Mid-Market",18,10))+IF(Q1588="Referral",25,IF(Q1588="Organic Search",20,IF(Q1588="Email",18,14)))+IF(G1588="Technology",10,5))</x:f>
        <x:v>51</x:v>
      </x:c>
      <x:c r="AE1588" t="str">
        <x:f>IF(U1588&lt;&gt;"Open",U1588,IF(N1588&gt;=0.8,"Commit",IF(N1588&gt;=0.5,"Best Case","Pipeline")))</x:f>
        <x:v>Lost</x:v>
      </x:c>
    </x:row>
    <x:row r="1589">
      <x:c r="A1589" t="str">
        <x:v>L01588</x:v>
      </x:c>
      <x:c r="B1589" s="10" t="n">
        <x:v>45669</x:v>
      </x:c>
      <x:c r="C1589" t="str">
        <x:v>Bao Tran</x:v>
      </x:c>
      <x:c r="D1589" t="str">
        <x:v>South</x:v>
      </x:c>
      <x:c r="E1589" t="str">
        <x:v>Webinar</x:v>
      </x:c>
      <x:c r="F1589" t="str">
        <x:v>CRM-PRO</x:v>
      </x:c>
      <x:c r="G1589" t="str">
        <x:v>Technology</x:v>
      </x:c>
      <x:c r="H1589" t="str">
        <x:v>Mid-Market</x:v>
      </x:c>
      <x:c r="I1589" t="str">
        <x:v>Negotiation</x:v>
      </x:c>
      <x:c r="J1589" s="10" t="n">
        <x:v>46132</x:v>
      </x:c>
      <x:c r="K1589" s="10"/>
      <x:c r="L1589" s="22" t="n">
        <x:v>22100</x:v>
      </x:c>
      <x:c r="M1589" s="24" t="n">
        <x:v>0</x:v>
      </x:c>
      <x:c r="N1589" s="24" t="n">
        <x:v>0.85</x:v>
      </x:c>
      <x:c r="O1589" t="str"/>
      <x:c r="P1589" t="n">
        <x:v>5</x:v>
      </x:c>
      <x:c r="Q1589" t="str">
        <x:f>IFERROR(XLOOKUP(E1589,Lookups!$A$5:$A$24,Lookups!$B$5:$B$24),"Other")</x:f>
        <x:v>Webinar</x:v>
      </x:c>
      <x:c r="R1589" t="str">
        <x:f>IFERROR(XLOOKUP(F1589,Lookups!$D$5:$D$10,Lookups!$E$5:$E$10),"Unknown Product")</x:f>
        <x:v>NexaCRM Pro</x:v>
      </x:c>
      <x:c r="S1589" t="str">
        <x:f>IFERROR(XLOOKUP(F1589,Lookups!$D$5:$D$10,Lookups!$F$5:$F$10),"Unknown")</x:f>
        <x:v>CRM</x:v>
      </x:c>
      <x:c r="T1589" t="str">
        <x:f>IF(L1589&gt;=50000,"Enterprise",IF(L1589&gt;=20000,"Mid-Market","SMB"))</x:f>
        <x:v>Mid-Market</x:v>
      </x:c>
      <x:c r="U1589" t="str">
        <x:f>IF(I1589="Closed Won","Won",IF(I1589="Closed Lost","Lost","Open"))</x:f>
        <x:v>Open</x:v>
      </x:c>
      <x:c r="V1589" s="22" t="n">
        <x:f>IF(U1589="Won",L1589*(1-M1589),0)</x:f>
        <x:v>0</x:v>
      </x:c>
      <x:c r="W1589" s="22" t="n">
        <x:f>IF(U1589="Open",L1589*N1589,0)</x:f>
        <x:v>18785</x:v>
      </x:c>
      <x:c r="X1589" s="26" t="str">
        <x:f>IF(U1589="Open","",IFERROR(K1589-B1589,""))</x:f>
      </x:c>
      <x:c r="Y1589" s="26" t="n">
        <x:f>IF(U1589="Open",Lookups!$B$2-B1589,X1589)</x:f>
        <x:v>597</x:v>
      </x:c>
      <x:c r="Z1589" t="str">
        <x:f>IF(AND(U1589="Open",Y1589&gt;30),"STALE","OK")</x:f>
        <x:v>STALE</x:v>
      </x:c>
      <x:c r="AA1589" t="str">
        <x:f>TEXT(B1589,"yyyy-mm")</x:f>
        <x:v>2025-01</x:v>
      </x:c>
      <x:c r="AB1589" t="str">
        <x:f>IF(K1589="","",TEXT(K1589,"yyyy-mm"))</x:f>
      </x:c>
      <x:c r="AC1589" t="str">
        <x:f>"Q"&amp;ROUNDUP(MONTH(B1589)/3,0)&amp;"-"&amp;YEAR(B1589)</x:f>
        <x:v>Q1-2025</x:v>
      </x:c>
      <x:c r="AD1589" s="26" t="n">
        <x:f>MIN(100,IF(H1589="Enterprise",30,IF(H1589="Mid-Market",22,14))+IF(T1589="Enterprise",25,IF(T1589="Mid-Market",18,10))+IF(Q1589="Referral",25,IF(Q1589="Organic Search",20,IF(Q1589="Email",18,14)))+IF(G1589="Technology",10,5))</x:f>
        <x:v>64</x:v>
      </x:c>
      <x:c r="AE1589" t="str">
        <x:f>IF(U1589&lt;&gt;"Open",U1589,IF(N1589&gt;=0.8,"Commit",IF(N1589&gt;=0.5,"Best Case","Pipeline")))</x:f>
        <x:v>Commit</x:v>
      </x:c>
    </x:row>
    <x:row r="1590">
      <x:c r="A1590" t="str">
        <x:v>L01589</x:v>
      </x:c>
      <x:c r="B1590" s="10" t="n">
        <x:v>45802</x:v>
      </x:c>
      <x:c r="C1590" t="str">
        <x:v>Duy Pham</x:v>
      </x:c>
      <x:c r="D1590" t="str">
        <x:v>South</x:v>
      </x:c>
      <x:c r="E1590" t="str">
        <x:v>Webinar</x:v>
      </x:c>
      <x:c r="F1590" t="str">
        <x:v>CRM-PRO</x:v>
      </x:c>
      <x:c r="G1590" t="str">
        <x:v>Professional Services</x:v>
      </x:c>
      <x:c r="H1590" t="str">
        <x:v>SMB</x:v>
      </x:c>
      <x:c r="I1590" t="str">
        <x:v>Closed Lost</x:v>
      </x:c>
      <x:c r="J1590" s="10" t="n">
        <x:v>45849</x:v>
      </x:c>
      <x:c r="K1590" s="10" t="n">
        <x:v>45849</x:v>
      </x:c>
      <x:c r="L1590" s="22" t="n">
        <x:v>25100</x:v>
      </x:c>
      <x:c r="M1590" s="24" t="n">
        <x:v>0</x:v>
      </x:c>
      <x:c r="N1590" s="24" t="n">
        <x:v>0</x:v>
      </x:c>
      <x:c r="O1590" t="str">
        <x:v>No Decision</x:v>
      </x:c>
      <x:c r="P1590" t="n">
        <x:v>5</x:v>
      </x:c>
      <x:c r="Q1590" t="str">
        <x:f>IFERROR(XLOOKUP(E1590,Lookups!$A$5:$A$24,Lookups!$B$5:$B$24),"Other")</x:f>
        <x:v>Webinar</x:v>
      </x:c>
      <x:c r="R1590" t="str">
        <x:f>IFERROR(XLOOKUP(F1590,Lookups!$D$5:$D$10,Lookups!$E$5:$E$10),"Unknown Product")</x:f>
        <x:v>NexaCRM Pro</x:v>
      </x:c>
      <x:c r="S1590" t="str">
        <x:f>IFERROR(XLOOKUP(F1590,Lookups!$D$5:$D$10,Lookups!$F$5:$F$10),"Unknown")</x:f>
        <x:v>CRM</x:v>
      </x:c>
      <x:c r="T1590" t="str">
        <x:f>IF(L1590&gt;=50000,"Enterprise",IF(L1590&gt;=20000,"Mid-Market","SMB"))</x:f>
        <x:v>Mid-Market</x:v>
      </x:c>
      <x:c r="U1590" t="str">
        <x:f>IF(I1590="Closed Won","Won",IF(I1590="Closed Lost","Lost","Open"))</x:f>
        <x:v>Lost</x:v>
      </x:c>
      <x:c r="V1590" s="22" t="n">
        <x:f>IF(U1590="Won",L1590*(1-M1590),0)</x:f>
        <x:v>0</x:v>
      </x:c>
      <x:c r="W1590" s="22" t="n">
        <x:f>IF(U1590="Open",L1590*N1590,0)</x:f>
        <x:v>0</x:v>
      </x:c>
      <x:c r="X1590" s="26" t="n">
        <x:f>IF(U1590="Open","",IFERROR(K1590-B1590,""))</x:f>
        <x:v>47</x:v>
      </x:c>
      <x:c r="Y1590" s="26" t="n">
        <x:f>IF(U1590="Open",Lookups!$B$2-B1590,X1590)</x:f>
        <x:v>47</x:v>
      </x:c>
      <x:c r="Z1590" t="str">
        <x:f>IF(AND(U1590="Open",Y1590&gt;30),"STALE","OK")</x:f>
        <x:v>OK</x:v>
      </x:c>
      <x:c r="AA1590" t="str">
        <x:f>TEXT(B1590,"yyyy-mm")</x:f>
        <x:v>2025-05</x:v>
      </x:c>
      <x:c r="AB1590" t="str">
        <x:f>IF(K1590="","",TEXT(K1590,"yyyy-mm"))</x:f>
        <x:v>2025-07</x:v>
      </x:c>
      <x:c r="AC1590" t="str">
        <x:f>"Q"&amp;ROUNDUP(MONTH(B1590)/3,0)&amp;"-"&amp;YEAR(B1590)</x:f>
        <x:v>Q2-2025</x:v>
      </x:c>
      <x:c r="AD1590" s="26" t="n">
        <x:f>MIN(100,IF(H1590="Enterprise",30,IF(H1590="Mid-Market",22,14))+IF(T1590="Enterprise",25,IF(T1590="Mid-Market",18,10))+IF(Q1590="Referral",25,IF(Q1590="Organic Search",20,IF(Q1590="Email",18,14)))+IF(G1590="Technology",10,5))</x:f>
        <x:v>51</x:v>
      </x:c>
      <x:c r="AE1590" t="str">
        <x:f>IF(U1590&lt;&gt;"Open",U1590,IF(N1590&gt;=0.8,"Commit",IF(N1590&gt;=0.5,"Best Case","Pipeline")))</x:f>
        <x:v>Lost</x:v>
      </x:c>
    </x:row>
    <x:row r="1591">
      <x:c r="A1591" t="str">
        <x:v>L01590</x:v>
      </x:c>
      <x:c r="B1591" s="10" t="n">
        <x:v>45682</x:v>
      </x:c>
      <x:c r="C1591" t="str">
        <x:v>Chi Le</x:v>
      </x:c>
      <x:c r="D1591" t="str">
        <x:v>South</x:v>
      </x:c>
      <x:c r="E1591" t="str">
        <x:v>SEO</x:v>
      </x:c>
      <x:c r="F1591" t="str">
        <x:v>MKT-AUTO</x:v>
      </x:c>
      <x:c r="G1591" t="str">
        <x:v>Education</x:v>
      </x:c>
      <x:c r="H1591" t="str">
        <x:v>SMB</x:v>
      </x:c>
      <x:c r="I1591" t="str">
        <x:v>Closed Won</x:v>
      </x:c>
      <x:c r="J1591" s="10" t="n">
        <x:v>45713</x:v>
      </x:c>
      <x:c r="K1591" s="10" t="n">
        <x:v>45713</x:v>
      </x:c>
      <x:c r="L1591" s="22" t="n">
        <x:v>14300</x:v>
      </x:c>
      <x:c r="M1591" s="24" t="n">
        <x:v>0.08</x:v>
      </x:c>
      <x:c r="N1591" s="24" t="n">
        <x:v>1</x:v>
      </x:c>
      <x:c r="O1591" t="str"/>
      <x:c r="P1591" t="n">
        <x:v>6</x:v>
      </x:c>
      <x:c r="Q1591" t="str">
        <x:f>IFERROR(XLOOKUP(E1591,Lookups!$A$5:$A$24,Lookups!$B$5:$B$24),"Other")</x:f>
        <x:v>Organic Search</x:v>
      </x:c>
      <x:c r="R1591" t="str">
        <x:f>IFERROR(XLOOKUP(F1591,Lookups!$D$5:$D$10,Lookups!$E$5:$E$10),"Unknown Product")</x:f>
        <x:v>Marketing Automation</x:v>
      </x:c>
      <x:c r="S1591" t="str">
        <x:f>IFERROR(XLOOKUP(F1591,Lookups!$D$5:$D$10,Lookups!$F$5:$F$10),"Unknown")</x:f>
        <x:v>Marketing</x:v>
      </x:c>
      <x:c r="T1591" t="str">
        <x:f>IF(L1591&gt;=50000,"Enterprise",IF(L1591&gt;=20000,"Mid-Market","SMB"))</x:f>
        <x:v>SMB</x:v>
      </x:c>
      <x:c r="U1591" t="str">
        <x:f>IF(I1591="Closed Won","Won",IF(I1591="Closed Lost","Lost","Open"))</x:f>
        <x:v>Won</x:v>
      </x:c>
      <x:c r="V1591" s="22" t="n">
        <x:f>IF(U1591="Won",L1591*(1-M1591),0)</x:f>
        <x:v>13156</x:v>
      </x:c>
      <x:c r="W1591" s="22" t="n">
        <x:f>IF(U1591="Open",L1591*N1591,0)</x:f>
        <x:v>0</x:v>
      </x:c>
      <x:c r="X1591" s="26" t="n">
        <x:f>IF(U1591="Open","",IFERROR(K1591-B1591,""))</x:f>
        <x:v>31</x:v>
      </x:c>
      <x:c r="Y1591" s="26" t="n">
        <x:f>IF(U1591="Open",Lookups!$B$2-B1591,X1591)</x:f>
        <x:v>31</x:v>
      </x:c>
      <x:c r="Z1591" t="str">
        <x:f>IF(AND(U1591="Open",Y1591&gt;30),"STALE","OK")</x:f>
        <x:v>OK</x:v>
      </x:c>
      <x:c r="AA1591" t="str">
        <x:f>TEXT(B1591,"yyyy-mm")</x:f>
        <x:v>2025-01</x:v>
      </x:c>
      <x:c r="AB1591" t="str">
        <x:f>IF(K1591="","",TEXT(K1591,"yyyy-mm"))</x:f>
        <x:v>2025-02</x:v>
      </x:c>
      <x:c r="AC1591" t="str">
        <x:f>"Q"&amp;ROUNDUP(MONTH(B1591)/3,0)&amp;"-"&amp;YEAR(B1591)</x:f>
        <x:v>Q1-2025</x:v>
      </x:c>
      <x:c r="AD1591" s="26" t="n">
        <x:f>MIN(100,IF(H1591="Enterprise",30,IF(H1591="Mid-Market",22,14))+IF(T1591="Enterprise",25,IF(T1591="Mid-Market",18,10))+IF(Q1591="Referral",25,IF(Q1591="Organic Search",20,IF(Q1591="Email",18,14)))+IF(G1591="Technology",10,5))</x:f>
        <x:v>49</x:v>
      </x:c>
      <x:c r="AE1591" t="str">
        <x:f>IF(U1591&lt;&gt;"Open",U1591,IF(N1591&gt;=0.8,"Commit",IF(N1591&gt;=0.5,"Best Case","Pipeline")))</x:f>
        <x:v>Won</x:v>
      </x:c>
    </x:row>
    <x:row r="1592">
      <x:c r="A1592" t="str">
        <x:v>L01591</x:v>
      </x:c>
      <x:c r="B1592" s="10" t="n">
        <x:v>46049</x:v>
      </x:c>
      <x:c r="C1592" t="str">
        <x:v>Tuan Bui</x:v>
      </x:c>
      <x:c r="D1592" t="str">
        <x:v>Central</x:v>
      </x:c>
      <x:c r="E1592" t="str">
        <x:v>LI Ads</x:v>
      </x:c>
      <x:c r="F1592" t="str">
        <x:v>CRM-CORE</x:v>
      </x:c>
      <x:c r="G1592" t="str">
        <x:v>Financial Services</x:v>
      </x:c>
      <x:c r="H1592" t="str">
        <x:v>Mid-Market</x:v>
      </x:c>
      <x:c r="I1592" t="str">
        <x:v>Closed Won</x:v>
      </x:c>
      <x:c r="J1592" s="10" t="n">
        <x:v>46105</x:v>
      </x:c>
      <x:c r="K1592" s="10" t="n">
        <x:v>46105</x:v>
      </x:c>
      <x:c r="L1592" s="22" t="n">
        <x:v>12800</x:v>
      </x:c>
      <x:c r="M1592" s="24" t="n">
        <x:v>0</x:v>
      </x:c>
      <x:c r="N1592" s="24" t="n">
        <x:v>1</x:v>
      </x:c>
      <x:c r="O1592" t="str"/>
      <x:c r="P1592" t="n">
        <x:v>6</x:v>
      </x:c>
      <x:c r="Q1592" t="str">
        <x:f>IFERROR(XLOOKUP(E1592,Lookups!$A$5:$A$24,Lookups!$B$5:$B$24),"Other")</x:f>
        <x:v>LinkedIn</x:v>
      </x:c>
      <x:c r="R1592" t="str">
        <x:f>IFERROR(XLOOKUP(F1592,Lookups!$D$5:$D$10,Lookups!$E$5:$E$10),"Unknown Product")</x:f>
        <x:v>NexaCRM Core</x:v>
      </x:c>
      <x:c r="S1592" t="str">
        <x:f>IFERROR(XLOOKUP(F1592,Lookups!$D$5:$D$10,Lookups!$F$5:$F$10),"Unknown")</x:f>
        <x:v>CRM</x:v>
      </x:c>
      <x:c r="T1592" t="str">
        <x:f>IF(L1592&gt;=50000,"Enterprise",IF(L1592&gt;=20000,"Mid-Market","SMB"))</x:f>
        <x:v>SMB</x:v>
      </x:c>
      <x:c r="U1592" t="str">
        <x:f>IF(I1592="Closed Won","Won",IF(I1592="Closed Lost","Lost","Open"))</x:f>
        <x:v>Won</x:v>
      </x:c>
      <x:c r="V1592" s="22" t="n">
        <x:f>IF(U1592="Won",L1592*(1-M1592),0)</x:f>
        <x:v>12800</x:v>
      </x:c>
      <x:c r="W1592" s="22" t="n">
        <x:f>IF(U1592="Open",L1592*N1592,0)</x:f>
        <x:v>0</x:v>
      </x:c>
      <x:c r="X1592" s="26" t="n">
        <x:f>IF(U1592="Open","",IFERROR(K1592-B1592,""))</x:f>
        <x:v>56</x:v>
      </x:c>
      <x:c r="Y1592" s="26" t="n">
        <x:f>IF(U1592="Open",Lookups!$B$2-B1592,X1592)</x:f>
        <x:v>56</x:v>
      </x:c>
      <x:c r="Z1592" t="str">
        <x:f>IF(AND(U1592="Open",Y1592&gt;30),"STALE","OK")</x:f>
        <x:v>OK</x:v>
      </x:c>
      <x:c r="AA1592" t="str">
        <x:f>TEXT(B1592,"yyyy-mm")</x:f>
        <x:v>2026-01</x:v>
      </x:c>
      <x:c r="AB1592" t="str">
        <x:f>IF(K1592="","",TEXT(K1592,"yyyy-mm"))</x:f>
        <x:v>2026-03</x:v>
      </x:c>
      <x:c r="AC1592" t="str">
        <x:f>"Q"&amp;ROUNDUP(MONTH(B1592)/3,0)&amp;"-"&amp;YEAR(B1592)</x:f>
        <x:v>Q1-2026</x:v>
      </x:c>
      <x:c r="AD1592" s="26" t="n">
        <x:f>MIN(100,IF(H1592="Enterprise",30,IF(H1592="Mid-Market",22,14))+IF(T1592="Enterprise",25,IF(T1592="Mid-Market",18,10))+IF(Q1592="Referral",25,IF(Q1592="Organic Search",20,IF(Q1592="Email",18,14)))+IF(G1592="Technology",10,5))</x:f>
        <x:v>51</x:v>
      </x:c>
      <x:c r="AE1592" t="str">
        <x:f>IF(U1592&lt;&gt;"Open",U1592,IF(N1592&gt;=0.8,"Commit",IF(N1592&gt;=0.5,"Best Case","Pipeline")))</x:f>
        <x:v>Won</x:v>
      </x:c>
    </x:row>
    <x:row r="1593">
      <x:c r="A1593" t="str">
        <x:v>L01592</x:v>
      </x:c>
      <x:c r="B1593" s="10" t="n">
        <x:v>45660</x:v>
      </x:c>
      <x:c r="C1593" t="str">
        <x:v>Bao Tran</x:v>
      </x:c>
      <x:c r="D1593" t="str">
        <x:v>South</x:v>
      </x:c>
      <x:c r="E1593" t="str">
        <x:v>google cpc</x:v>
      </x:c>
      <x:c r="F1593" t="str">
        <x:v>CRM-CORE</x:v>
      </x:c>
      <x:c r="G1593" t="str">
        <x:v>Manufacturing</x:v>
      </x:c>
      <x:c r="H1593" t="str">
        <x:v>SMB</x:v>
      </x:c>
      <x:c r="I1593" t="str">
        <x:v>Closed Lost</x:v>
      </x:c>
      <x:c r="J1593" s="10" t="n">
        <x:v>45700</x:v>
      </x:c>
      <x:c r="K1593" s="10" t="n">
        <x:v>45700</x:v>
      </x:c>
      <x:c r="L1593" s="22" t="n">
        <x:v>4500</x:v>
      </x:c>
      <x:c r="M1593" s="24" t="n">
        <x:v>0</x:v>
      </x:c>
      <x:c r="N1593" s="24" t="n">
        <x:v>0</x:v>
      </x:c>
      <x:c r="O1593" t="str">
        <x:v>No Decision</x:v>
      </x:c>
      <x:c r="P1593" t="n">
        <x:v>2</x:v>
      </x:c>
      <x:c r="Q1593" t="str">
        <x:f>IFERROR(XLOOKUP(E1593,Lookups!$A$5:$A$24,Lookups!$B$5:$B$24),"Other")</x:f>
        <x:v>Paid Search</x:v>
      </x:c>
      <x:c r="R1593" t="str">
        <x:f>IFERROR(XLOOKUP(F1593,Lookups!$D$5:$D$10,Lookups!$E$5:$E$10),"Unknown Product")</x:f>
        <x:v>NexaCRM Core</x:v>
      </x:c>
      <x:c r="S1593" t="str">
        <x:f>IFERROR(XLOOKUP(F1593,Lookups!$D$5:$D$10,Lookups!$F$5:$F$10),"Unknown")</x:f>
        <x:v>CRM</x:v>
      </x:c>
      <x:c r="T1593" t="str">
        <x:f>IF(L1593&gt;=50000,"Enterprise",IF(L1593&gt;=20000,"Mid-Market","SMB"))</x:f>
        <x:v>SMB</x:v>
      </x:c>
      <x:c r="U1593" t="str">
        <x:f>IF(I1593="Closed Won","Won",IF(I1593="Closed Lost","Lost","Open"))</x:f>
        <x:v>Lost</x:v>
      </x:c>
      <x:c r="V1593" s="22" t="n">
        <x:f>IF(U1593="Won",L1593*(1-M1593),0)</x:f>
        <x:v>0</x:v>
      </x:c>
      <x:c r="W1593" s="22" t="n">
        <x:f>IF(U1593="Open",L1593*N1593,0)</x:f>
        <x:v>0</x:v>
      </x:c>
      <x:c r="X1593" s="26" t="n">
        <x:f>IF(U1593="Open","",IFERROR(K1593-B1593,""))</x:f>
        <x:v>40</x:v>
      </x:c>
      <x:c r="Y1593" s="26" t="n">
        <x:f>IF(U1593="Open",Lookups!$B$2-B1593,X1593)</x:f>
        <x:v>40</x:v>
      </x:c>
      <x:c r="Z1593" t="str">
        <x:f>IF(AND(U1593="Open",Y1593&gt;30),"STALE","OK")</x:f>
        <x:v>OK</x:v>
      </x:c>
      <x:c r="AA1593" t="str">
        <x:f>TEXT(B1593,"yyyy-mm")</x:f>
        <x:v>2025-01</x:v>
      </x:c>
      <x:c r="AB1593" t="str">
        <x:f>IF(K1593="","",TEXT(K1593,"yyyy-mm"))</x:f>
        <x:v>2025-02</x:v>
      </x:c>
      <x:c r="AC1593" t="str">
        <x:f>"Q"&amp;ROUNDUP(MONTH(B1593)/3,0)&amp;"-"&amp;YEAR(B1593)</x:f>
        <x:v>Q1-2025</x:v>
      </x:c>
      <x:c r="AD1593" s="26" t="n">
        <x:f>MIN(100,IF(H1593="Enterprise",30,IF(H1593="Mid-Market",22,14))+IF(T1593="Enterprise",25,IF(T1593="Mid-Market",18,10))+IF(Q1593="Referral",25,IF(Q1593="Organic Search",20,IF(Q1593="Email",18,14)))+IF(G1593="Technology",10,5))</x:f>
        <x:v>43</x:v>
      </x:c>
      <x:c r="AE1593" t="str">
        <x:f>IF(U1593&lt;&gt;"Open",U1593,IF(N1593&gt;=0.8,"Commit",IF(N1593&gt;=0.5,"Best Case","Pipeline")))</x:f>
        <x:v>Lost</x:v>
      </x:c>
    </x:row>
    <x:row r="1594">
      <x:c r="A1594" t="str">
        <x:v>L01593</x:v>
      </x:c>
      <x:c r="B1594" s="10" t="n">
        <x:v>45662</x:v>
      </x:c>
      <x:c r="C1594" t="str">
        <x:v>Tuan Bui</x:v>
      </x:c>
      <x:c r="D1594" t="str">
        <x:v>Central</x:v>
      </x:c>
      <x:c r="E1594" t="str">
        <x:v>Webinar</x:v>
      </x:c>
      <x:c r="F1594" t="str">
        <x:v>MKT-AUTO</x:v>
      </x:c>
      <x:c r="G1594" t="str">
        <x:v>Education</x:v>
      </x:c>
      <x:c r="H1594" t="str">
        <x:v>Mid-Market</x:v>
      </x:c>
      <x:c r="I1594" t="str">
        <x:v>Closed Lost</x:v>
      </x:c>
      <x:c r="J1594" s="10" t="n">
        <x:v>45710</x:v>
      </x:c>
      <x:c r="K1594" s="10" t="n">
        <x:v>45710</x:v>
      </x:c>
      <x:c r="L1594" s="22" t="n">
        <x:v>23000</x:v>
      </x:c>
      <x:c r="M1594" s="24" t="n">
        <x:v>0</x:v>
      </x:c>
      <x:c r="N1594" s="24" t="n">
        <x:v>0</x:v>
      </x:c>
      <x:c r="O1594" t="str">
        <x:v>No Decision</x:v>
      </x:c>
      <x:c r="P1594" t="n">
        <x:v>5</x:v>
      </x:c>
      <x:c r="Q1594" t="str">
        <x:f>IFERROR(XLOOKUP(E1594,Lookups!$A$5:$A$24,Lookups!$B$5:$B$24),"Other")</x:f>
        <x:v>Webinar</x:v>
      </x:c>
      <x:c r="R1594" t="str">
        <x:f>IFERROR(XLOOKUP(F1594,Lookups!$D$5:$D$10,Lookups!$E$5:$E$10),"Unknown Product")</x:f>
        <x:v>Marketing Automation</x:v>
      </x:c>
      <x:c r="S1594" t="str">
        <x:f>IFERROR(XLOOKUP(F1594,Lookups!$D$5:$D$10,Lookups!$F$5:$F$10),"Unknown")</x:f>
        <x:v>Marketing</x:v>
      </x:c>
      <x:c r="T1594" t="str">
        <x:f>IF(L1594&gt;=50000,"Enterprise",IF(L1594&gt;=20000,"Mid-Market","SMB"))</x:f>
        <x:v>Mid-Market</x:v>
      </x:c>
      <x:c r="U1594" t="str">
        <x:f>IF(I1594="Closed Won","Won",IF(I1594="Closed Lost","Lost","Open"))</x:f>
        <x:v>Lost</x:v>
      </x:c>
      <x:c r="V1594" s="22" t="n">
        <x:f>IF(U1594="Won",L1594*(1-M1594),0)</x:f>
        <x:v>0</x:v>
      </x:c>
      <x:c r="W1594" s="22" t="n">
        <x:f>IF(U1594="Open",L1594*N1594,0)</x:f>
        <x:v>0</x:v>
      </x:c>
      <x:c r="X1594" s="26" t="n">
        <x:f>IF(U1594="Open","",IFERROR(K1594-B1594,""))</x:f>
        <x:v>48</x:v>
      </x:c>
      <x:c r="Y1594" s="26" t="n">
        <x:f>IF(U1594="Open",Lookups!$B$2-B1594,X1594)</x:f>
        <x:v>48</x:v>
      </x:c>
      <x:c r="Z1594" t="str">
        <x:f>IF(AND(U1594="Open",Y1594&gt;30),"STALE","OK")</x:f>
        <x:v>OK</x:v>
      </x:c>
      <x:c r="AA1594" t="str">
        <x:f>TEXT(B1594,"yyyy-mm")</x:f>
        <x:v>2025-01</x:v>
      </x:c>
      <x:c r="AB1594" t="str">
        <x:f>IF(K1594="","",TEXT(K1594,"yyyy-mm"))</x:f>
        <x:v>2025-02</x:v>
      </x:c>
      <x:c r="AC1594" t="str">
        <x:f>"Q"&amp;ROUNDUP(MONTH(B1594)/3,0)&amp;"-"&amp;YEAR(B1594)</x:f>
        <x:v>Q1-2025</x:v>
      </x:c>
      <x:c r="AD1594" s="26" t="n">
        <x:f>MIN(100,IF(H1594="Enterprise",30,IF(H1594="Mid-Market",22,14))+IF(T1594="Enterprise",25,IF(T1594="Mid-Market",18,10))+IF(Q1594="Referral",25,IF(Q1594="Organic Search",20,IF(Q1594="Email",18,14)))+IF(G1594="Technology",10,5))</x:f>
        <x:v>59</x:v>
      </x:c>
      <x:c r="AE1594" t="str">
        <x:f>IF(U1594&lt;&gt;"Open",U1594,IF(N1594&gt;=0.8,"Commit",IF(N1594&gt;=0.5,"Best Case","Pipeline")))</x:f>
        <x:v>Lost</x:v>
      </x:c>
    </x:row>
    <x:row r="1595">
      <x:c r="A1595" t="str">
        <x:v>L01594</x:v>
      </x:c>
      <x:c r="B1595" s="10" t="n">
        <x:v>45746</x:v>
      </x:c>
      <x:c r="C1595" t="str">
        <x:v>Minh Do</x:v>
      </x:c>
      <x:c r="D1595" t="str">
        <x:v>North</x:v>
      </x:c>
      <x:c r="E1595" t="str">
        <x:v>linkedin</x:v>
      </x:c>
      <x:c r="F1595" t="str">
        <x:v>REV-OPS</x:v>
      </x:c>
      <x:c r="G1595" t="str">
        <x:v>Financial Services</x:v>
      </x:c>
      <x:c r="H1595" t="str">
        <x:v>SMB</x:v>
      </x:c>
      <x:c r="I1595" t="str">
        <x:v>Closed Won</x:v>
      </x:c>
      <x:c r="J1595" s="10" t="n">
        <x:v>45762</x:v>
      </x:c>
      <x:c r="K1595" s="10" t="n">
        <x:v>45762</x:v>
      </x:c>
      <x:c r="L1595" s="22" t="n">
        <x:v>25200</x:v>
      </x:c>
      <x:c r="M1595" s="24" t="n">
        <x:v>0.03</x:v>
      </x:c>
      <x:c r="N1595" s="24" t="n">
        <x:v>1</x:v>
      </x:c>
      <x:c r="O1595" t="str"/>
      <x:c r="P1595" t="n">
        <x:v>6</x:v>
      </x:c>
      <x:c r="Q1595" t="str">
        <x:f>IFERROR(XLOOKUP(E1595,Lookups!$A$5:$A$24,Lookups!$B$5:$B$24),"Other")</x:f>
        <x:v>LinkedIn</x:v>
      </x:c>
      <x:c r="R1595" t="str">
        <x:f>IFERROR(XLOOKUP(F1595,Lookups!$D$5:$D$10,Lookups!$E$5:$E$10),"Unknown Product")</x:f>
        <x:v>Revenue Operations Suite</x:v>
      </x:c>
      <x:c r="S1595" t="str">
        <x:f>IFERROR(XLOOKUP(F1595,Lookups!$D$5:$D$10,Lookups!$F$5:$F$10),"Unknown")</x:f>
        <x:v>Revenue Ops</x:v>
      </x:c>
      <x:c r="T1595" t="str">
        <x:f>IF(L1595&gt;=50000,"Enterprise",IF(L1595&gt;=20000,"Mid-Market","SMB"))</x:f>
        <x:v>Mid-Market</x:v>
      </x:c>
      <x:c r="U1595" t="str">
        <x:f>IF(I1595="Closed Won","Won",IF(I1595="Closed Lost","Lost","Open"))</x:f>
        <x:v>Won</x:v>
      </x:c>
      <x:c r="V1595" s="22" t="n">
        <x:f>IF(U1595="Won",L1595*(1-M1595),0)</x:f>
        <x:v>24444</x:v>
      </x:c>
      <x:c r="W1595" s="22" t="n">
        <x:f>IF(U1595="Open",L1595*N1595,0)</x:f>
        <x:v>0</x:v>
      </x:c>
      <x:c r="X1595" s="26" t="n">
        <x:f>IF(U1595="Open","",IFERROR(K1595-B1595,""))</x:f>
        <x:v>16</x:v>
      </x:c>
      <x:c r="Y1595" s="26" t="n">
        <x:f>IF(U1595="Open",Lookups!$B$2-B1595,X1595)</x:f>
        <x:v>16</x:v>
      </x:c>
      <x:c r="Z1595" t="str">
        <x:f>IF(AND(U1595="Open",Y1595&gt;30),"STALE","OK")</x:f>
        <x:v>OK</x:v>
      </x:c>
      <x:c r="AA1595" t="str">
        <x:f>TEXT(B1595,"yyyy-mm")</x:f>
        <x:v>2025-03</x:v>
      </x:c>
      <x:c r="AB1595" t="str">
        <x:f>IF(K1595="","",TEXT(K1595,"yyyy-mm"))</x:f>
        <x:v>2025-04</x:v>
      </x:c>
      <x:c r="AC1595" t="str">
        <x:f>"Q"&amp;ROUNDUP(MONTH(B1595)/3,0)&amp;"-"&amp;YEAR(B1595)</x:f>
        <x:v>Q1-2025</x:v>
      </x:c>
      <x:c r="AD1595" s="26" t="n">
        <x:f>MIN(100,IF(H1595="Enterprise",30,IF(H1595="Mid-Market",22,14))+IF(T1595="Enterprise",25,IF(T1595="Mid-Market",18,10))+IF(Q1595="Referral",25,IF(Q1595="Organic Search",20,IF(Q1595="Email",18,14)))+IF(G1595="Technology",10,5))</x:f>
        <x:v>51</x:v>
      </x:c>
      <x:c r="AE1595" t="str">
        <x:f>IF(U1595&lt;&gt;"Open",U1595,IF(N1595&gt;=0.8,"Commit",IF(N1595&gt;=0.5,"Best Case","Pipeline")))</x:f>
        <x:v>Won</x:v>
      </x:c>
    </x:row>
    <x:row r="1596">
      <x:c r="A1596" t="str">
        <x:v>L01595</x:v>
      </x:c>
      <x:c r="B1596" s="10" t="n">
        <x:v>46076</x:v>
      </x:c>
      <x:c r="C1596" t="str">
        <x:v>Ha Vo</x:v>
      </x:c>
      <x:c r="D1596" t="str">
        <x:v>North</x:v>
      </x:c>
      <x:c r="E1596" t="str">
        <x:v>LinkedIn Ads</x:v>
      </x:c>
      <x:c r="F1596" t="str">
        <x:v>CRM-CORE</x:v>
      </x:c>
      <x:c r="G1596" t="str">
        <x:v>Technology</x:v>
      </x:c>
      <x:c r="H1596" t="str">
        <x:v>Mid-Market</x:v>
      </x:c>
      <x:c r="I1596" t="str">
        <x:v>Negotiation</x:v>
      </x:c>
      <x:c r="J1596" s="10" t="n">
        <x:v>46207</x:v>
      </x:c>
      <x:c r="K1596" s="10"/>
      <x:c r="L1596" s="22" t="n">
        <x:v>16400</x:v>
      </x:c>
      <x:c r="M1596" s="24" t="n">
        <x:v>0</x:v>
      </x:c>
      <x:c r="N1596" s="24" t="n">
        <x:v>0.85</x:v>
      </x:c>
      <x:c r="O1596" t="str"/>
      <x:c r="P1596" t="n">
        <x:v>5</x:v>
      </x:c>
      <x:c r="Q1596" t="str">
        <x:f>IFERROR(XLOOKUP(E1596,Lookups!$A$5:$A$24,Lookups!$B$5:$B$24),"Other")</x:f>
        <x:v>LinkedIn</x:v>
      </x:c>
      <x:c r="R1596" t="str">
        <x:f>IFERROR(XLOOKUP(F1596,Lookups!$D$5:$D$10,Lookups!$E$5:$E$10),"Unknown Product")</x:f>
        <x:v>NexaCRM Core</x:v>
      </x:c>
      <x:c r="S1596" t="str">
        <x:f>IFERROR(XLOOKUP(F1596,Lookups!$D$5:$D$10,Lookups!$F$5:$F$10),"Unknown")</x:f>
        <x:v>CRM</x:v>
      </x:c>
      <x:c r="T1596" t="str">
        <x:f>IF(L1596&gt;=50000,"Enterprise",IF(L1596&gt;=20000,"Mid-Market","SMB"))</x:f>
        <x:v>SMB</x:v>
      </x:c>
      <x:c r="U1596" t="str">
        <x:f>IF(I1596="Closed Won","Won",IF(I1596="Closed Lost","Lost","Open"))</x:f>
        <x:v>Open</x:v>
      </x:c>
      <x:c r="V1596" s="22" t="n">
        <x:f>IF(U1596="Won",L1596*(1-M1596),0)</x:f>
        <x:v>0</x:v>
      </x:c>
      <x:c r="W1596" s="22" t="n">
        <x:f>IF(U1596="Open",L1596*N1596,0)</x:f>
        <x:v>13940</x:v>
      </x:c>
      <x:c r="X1596" s="26" t="str">
        <x:f>IF(U1596="Open","",IFERROR(K1596-B1596,""))</x:f>
      </x:c>
      <x:c r="Y1596" s="26" t="n">
        <x:f>IF(U1596="Open",Lookups!$B$2-B1596,X1596)</x:f>
        <x:v>190</x:v>
      </x:c>
      <x:c r="Z1596" t="str">
        <x:f>IF(AND(U1596="Open",Y1596&gt;30),"STALE","OK")</x:f>
        <x:v>STALE</x:v>
      </x:c>
      <x:c r="AA1596" t="str">
        <x:f>TEXT(B1596,"yyyy-mm")</x:f>
        <x:v>2026-02</x:v>
      </x:c>
      <x:c r="AB1596" t="str">
        <x:f>IF(K1596="","",TEXT(K1596,"yyyy-mm"))</x:f>
      </x:c>
      <x:c r="AC1596" t="str">
        <x:f>"Q"&amp;ROUNDUP(MONTH(B1596)/3,0)&amp;"-"&amp;YEAR(B1596)</x:f>
        <x:v>Q1-2026</x:v>
      </x:c>
      <x:c r="AD1596" s="26" t="n">
        <x:f>MIN(100,IF(H1596="Enterprise",30,IF(H1596="Mid-Market",22,14))+IF(T1596="Enterprise",25,IF(T1596="Mid-Market",18,10))+IF(Q1596="Referral",25,IF(Q1596="Organic Search",20,IF(Q1596="Email",18,14)))+IF(G1596="Technology",10,5))</x:f>
        <x:v>56</x:v>
      </x:c>
      <x:c r="AE1596" t="str">
        <x:f>IF(U1596&lt;&gt;"Open",U1596,IF(N1596&gt;=0.8,"Commit",IF(N1596&gt;=0.5,"Best Case","Pipeline")))</x:f>
        <x:v>Commit</x:v>
      </x:c>
    </x:row>
    <x:row r="1597">
      <x:c r="A1597" t="str">
        <x:v>L01596</x:v>
      </x:c>
      <x:c r="B1597" s="10" t="n">
        <x:v>46112</x:v>
      </x:c>
      <x:c r="C1597" t="str">
        <x:v>Quynh Vu</x:v>
      </x:c>
      <x:c r="D1597" t="str">
        <x:v>North</x:v>
      </x:c>
      <x:c r="E1597" t="str">
        <x:v>email nurture</x:v>
      </x:c>
      <x:c r="F1597" t="str">
        <x:v>CRM-CORE</x:v>
      </x:c>
      <x:c r="G1597" t="str">
        <x:v>Retail</x:v>
      </x:c>
      <x:c r="H1597" t="str">
        <x:v>Mid-Market</x:v>
      </x:c>
      <x:c r="I1597" t="str">
        <x:v>Closed Won</x:v>
      </x:c>
      <x:c r="J1597" s="10" t="n">
        <x:v>46185</x:v>
      </x:c>
      <x:c r="K1597" s="10" t="n">
        <x:v>46185</x:v>
      </x:c>
      <x:c r="L1597" s="22" t="n">
        <x:v>9600</x:v>
      </x:c>
      <x:c r="M1597" s="24" t="n">
        <x:v>0.03</x:v>
      </x:c>
      <x:c r="N1597" s="24" t="n">
        <x:v>1</x:v>
      </x:c>
      <x:c r="O1597" t="str"/>
      <x:c r="P1597" t="n">
        <x:v>6</x:v>
      </x:c>
      <x:c r="Q1597" t="str">
        <x:f>IFERROR(XLOOKUP(E1597,Lookups!$A$5:$A$24,Lookups!$B$5:$B$24),"Other")</x:f>
        <x:v>Email</x:v>
      </x:c>
      <x:c r="R1597" t="str">
        <x:f>IFERROR(XLOOKUP(F1597,Lookups!$D$5:$D$10,Lookups!$E$5:$E$10),"Unknown Product")</x:f>
        <x:v>NexaCRM Core</x:v>
      </x:c>
      <x:c r="S1597" t="str">
        <x:f>IFERROR(XLOOKUP(F1597,Lookups!$D$5:$D$10,Lookups!$F$5:$F$10),"Unknown")</x:f>
        <x:v>CRM</x:v>
      </x:c>
      <x:c r="T1597" t="str">
        <x:f>IF(L1597&gt;=50000,"Enterprise",IF(L1597&gt;=20000,"Mid-Market","SMB"))</x:f>
        <x:v>SMB</x:v>
      </x:c>
      <x:c r="U1597" t="str">
        <x:f>IF(I1597="Closed Won","Won",IF(I1597="Closed Lost","Lost","Open"))</x:f>
        <x:v>Won</x:v>
      </x:c>
      <x:c r="V1597" s="22" t="n">
        <x:f>IF(U1597="Won",L1597*(1-M1597),0)</x:f>
        <x:v>9312</x:v>
      </x:c>
      <x:c r="W1597" s="22" t="n">
        <x:f>IF(U1597="Open",L1597*N1597,0)</x:f>
        <x:v>0</x:v>
      </x:c>
      <x:c r="X1597" s="26" t="n">
        <x:f>IF(U1597="Open","",IFERROR(K1597-B1597,""))</x:f>
        <x:v>73</x:v>
      </x:c>
      <x:c r="Y1597" s="26" t="n">
        <x:f>IF(U1597="Open",Lookups!$B$2-B1597,X1597)</x:f>
        <x:v>73</x:v>
      </x:c>
      <x:c r="Z1597" t="str">
        <x:f>IF(AND(U1597="Open",Y1597&gt;30),"STALE","OK")</x:f>
        <x:v>OK</x:v>
      </x:c>
      <x:c r="AA1597" t="str">
        <x:f>TEXT(B1597,"yyyy-mm")</x:f>
        <x:v>2026-03</x:v>
      </x:c>
      <x:c r="AB1597" t="str">
        <x:f>IF(K1597="","",TEXT(K1597,"yyyy-mm"))</x:f>
        <x:v>2026-06</x:v>
      </x:c>
      <x:c r="AC1597" t="str">
        <x:f>"Q"&amp;ROUNDUP(MONTH(B1597)/3,0)&amp;"-"&amp;YEAR(B1597)</x:f>
        <x:v>Q1-2026</x:v>
      </x:c>
      <x:c r="AD1597" s="26" t="n">
        <x:f>MIN(100,IF(H1597="Enterprise",30,IF(H1597="Mid-Market",22,14))+IF(T1597="Enterprise",25,IF(T1597="Mid-Market",18,10))+IF(Q1597="Referral",25,IF(Q1597="Organic Search",20,IF(Q1597="Email",18,14)))+IF(G1597="Technology",10,5))</x:f>
        <x:v>55</x:v>
      </x:c>
      <x:c r="AE1597" t="str">
        <x:f>IF(U1597&lt;&gt;"Open",U1597,IF(N1597&gt;=0.8,"Commit",IF(N1597&gt;=0.5,"Best Case","Pipeline")))</x:f>
        <x:v>Won</x:v>
      </x:c>
    </x:row>
    <x:row r="1598">
      <x:c r="A1598" t="str">
        <x:v>L01597</x:v>
      </x:c>
      <x:c r="B1598" s="10" t="n">
        <x:v>46042</x:v>
      </x:c>
      <x:c r="C1598" t="str">
        <x:v>Minh Do</x:v>
      </x:c>
      <x:c r="D1598" t="str">
        <x:v>North</x:v>
      </x:c>
      <x:c r="E1598" t="str">
        <x:v>LI Ads</x:v>
      </x:c>
      <x:c r="F1598" t="str">
        <x:v>CRM-CORE</x:v>
      </x:c>
      <x:c r="G1598" t="str">
        <x:v>Retail</x:v>
      </x:c>
      <x:c r="H1598" t="str">
        <x:v>SMB</x:v>
      </x:c>
      <x:c r="I1598" t="str">
        <x:v>Negotiation</x:v>
      </x:c>
      <x:c r="J1598" s="10" t="n">
        <x:v>46213</x:v>
      </x:c>
      <x:c r="K1598" s="10"/>
      <x:c r="L1598" s="22" t="n">
        <x:v>7000</x:v>
      </x:c>
      <x:c r="M1598" s="24" t="n">
        <x:v>0.03</x:v>
      </x:c>
      <x:c r="N1598" s="24" t="n">
        <x:v>0.85</x:v>
      </x:c>
      <x:c r="O1598" t="str"/>
      <x:c r="P1598" t="n">
        <x:v>5</x:v>
      </x:c>
      <x:c r="Q1598" t="str">
        <x:f>IFERROR(XLOOKUP(E1598,Lookups!$A$5:$A$24,Lookups!$B$5:$B$24),"Other")</x:f>
        <x:v>LinkedIn</x:v>
      </x:c>
      <x:c r="R1598" t="str">
        <x:f>IFERROR(XLOOKUP(F1598,Lookups!$D$5:$D$10,Lookups!$E$5:$E$10),"Unknown Product")</x:f>
        <x:v>NexaCRM Core</x:v>
      </x:c>
      <x:c r="S1598" t="str">
        <x:f>IFERROR(XLOOKUP(F1598,Lookups!$D$5:$D$10,Lookups!$F$5:$F$10),"Unknown")</x:f>
        <x:v>CRM</x:v>
      </x:c>
      <x:c r="T1598" t="str">
        <x:f>IF(L1598&gt;=50000,"Enterprise",IF(L1598&gt;=20000,"Mid-Market","SMB"))</x:f>
        <x:v>SMB</x:v>
      </x:c>
      <x:c r="U1598" t="str">
        <x:f>IF(I1598="Closed Won","Won",IF(I1598="Closed Lost","Lost","Open"))</x:f>
        <x:v>Open</x:v>
      </x:c>
      <x:c r="V1598" s="22" t="n">
        <x:f>IF(U1598="Won",L1598*(1-M1598),0)</x:f>
        <x:v>0</x:v>
      </x:c>
      <x:c r="W1598" s="22" t="n">
        <x:f>IF(U1598="Open",L1598*N1598,0)</x:f>
        <x:v>5950</x:v>
      </x:c>
      <x:c r="X1598" s="26" t="str">
        <x:f>IF(U1598="Open","",IFERROR(K1598-B1598,""))</x:f>
      </x:c>
      <x:c r="Y1598" s="26" t="n">
        <x:f>IF(U1598="Open",Lookups!$B$2-B1598,X1598)</x:f>
        <x:v>224</x:v>
      </x:c>
      <x:c r="Z1598" t="str">
        <x:f>IF(AND(U1598="Open",Y1598&gt;30),"STALE","OK")</x:f>
        <x:v>STALE</x:v>
      </x:c>
      <x:c r="AA1598" t="str">
        <x:f>TEXT(B1598,"yyyy-mm")</x:f>
        <x:v>2026-01</x:v>
      </x:c>
      <x:c r="AB1598" t="str">
        <x:f>IF(K1598="","",TEXT(K1598,"yyyy-mm"))</x:f>
      </x:c>
      <x:c r="AC1598" t="str">
        <x:f>"Q"&amp;ROUNDUP(MONTH(B1598)/3,0)&amp;"-"&amp;YEAR(B1598)</x:f>
        <x:v>Q1-2026</x:v>
      </x:c>
      <x:c r="AD1598" s="26" t="n">
        <x:f>MIN(100,IF(H1598="Enterprise",30,IF(H1598="Mid-Market",22,14))+IF(T1598="Enterprise",25,IF(T1598="Mid-Market",18,10))+IF(Q1598="Referral",25,IF(Q1598="Organic Search",20,IF(Q1598="Email",18,14)))+IF(G1598="Technology",10,5))</x:f>
        <x:v>43</x:v>
      </x:c>
      <x:c r="AE1598" t="str">
        <x:f>IF(U1598&lt;&gt;"Open",U1598,IF(N1598&gt;=0.8,"Commit",IF(N1598&gt;=0.5,"Best Case","Pipeline")))</x:f>
        <x:v>Commit</x:v>
      </x:c>
    </x:row>
    <x:row r="1599">
      <x:c r="A1599" t="str">
        <x:v>L01598</x:v>
      </x:c>
      <x:c r="B1599" s="10" t="n">
        <x:v>45717</x:v>
      </x:c>
      <x:c r="C1599" t="str">
        <x:v>Ha Vo</x:v>
      </x:c>
      <x:c r="D1599" t="str">
        <x:v>North</x:v>
      </x:c>
      <x:c r="E1599" t="str">
        <x:v>Google Organic</x:v>
      </x:c>
      <x:c r="F1599" t="str">
        <x:v>CRM-CORE</x:v>
      </x:c>
      <x:c r="G1599" t="str">
        <x:v>Technology</x:v>
      </x:c>
      <x:c r="H1599" t="str">
        <x:v>SMB</x:v>
      </x:c>
      <x:c r="I1599" t="str">
        <x:v>Closed Lost</x:v>
      </x:c>
      <x:c r="J1599" s="10" t="n">
        <x:v>45781</x:v>
      </x:c>
      <x:c r="K1599" s="10" t="n">
        <x:v>45781</x:v>
      </x:c>
      <x:c r="L1599" s="22" t="n">
        <x:v>7700</x:v>
      </x:c>
      <x:c r="M1599" s="24" t="n">
        <x:v>0</x:v>
      </x:c>
      <x:c r="N1599" s="24" t="n">
        <x:v>0</x:v>
      </x:c>
      <x:c r="O1599" t="str">
        <x:v>No Decision</x:v>
      </x:c>
      <x:c r="P1599" t="n">
        <x:v>3</x:v>
      </x:c>
      <x:c r="Q1599" t="str">
        <x:f>IFERROR(XLOOKUP(E1599,Lookups!$A$5:$A$24,Lookups!$B$5:$B$24),"Other")</x:f>
        <x:v>Organic Search</x:v>
      </x:c>
      <x:c r="R1599" t="str">
        <x:f>IFERROR(XLOOKUP(F1599,Lookups!$D$5:$D$10,Lookups!$E$5:$E$10),"Unknown Product")</x:f>
        <x:v>NexaCRM Core</x:v>
      </x:c>
      <x:c r="S1599" t="str">
        <x:f>IFERROR(XLOOKUP(F1599,Lookups!$D$5:$D$10,Lookups!$F$5:$F$10),"Unknown")</x:f>
        <x:v>CRM</x:v>
      </x:c>
      <x:c r="T1599" t="str">
        <x:f>IF(L1599&gt;=50000,"Enterprise",IF(L1599&gt;=20000,"Mid-Market","SMB"))</x:f>
        <x:v>SMB</x:v>
      </x:c>
      <x:c r="U1599" t="str">
        <x:f>IF(I1599="Closed Won","Won",IF(I1599="Closed Lost","Lost","Open"))</x:f>
        <x:v>Lost</x:v>
      </x:c>
      <x:c r="V1599" s="22" t="n">
        <x:f>IF(U1599="Won",L1599*(1-M1599),0)</x:f>
        <x:v>0</x:v>
      </x:c>
      <x:c r="W1599" s="22" t="n">
        <x:f>IF(U1599="Open",L1599*N1599,0)</x:f>
        <x:v>0</x:v>
      </x:c>
      <x:c r="X1599" s="26" t="n">
        <x:f>IF(U1599="Open","",IFERROR(K1599-B1599,""))</x:f>
        <x:v>64</x:v>
      </x:c>
      <x:c r="Y1599" s="26" t="n">
        <x:f>IF(U1599="Open",Lookups!$B$2-B1599,X1599)</x:f>
        <x:v>64</x:v>
      </x:c>
      <x:c r="Z1599" t="str">
        <x:f>IF(AND(U1599="Open",Y1599&gt;30),"STALE","OK")</x:f>
        <x:v>OK</x:v>
      </x:c>
      <x:c r="AA1599" t="str">
        <x:f>TEXT(B1599,"yyyy-mm")</x:f>
        <x:v>2025-03</x:v>
      </x:c>
      <x:c r="AB1599" t="str">
        <x:f>IF(K1599="","",TEXT(K1599,"yyyy-mm"))</x:f>
        <x:v>2025-05</x:v>
      </x:c>
      <x:c r="AC1599" t="str">
        <x:f>"Q"&amp;ROUNDUP(MONTH(B1599)/3,0)&amp;"-"&amp;YEAR(B1599)</x:f>
        <x:v>Q1-2025</x:v>
      </x:c>
      <x:c r="AD1599" s="26" t="n">
        <x:f>MIN(100,IF(H1599="Enterprise",30,IF(H1599="Mid-Market",22,14))+IF(T1599="Enterprise",25,IF(T1599="Mid-Market",18,10))+IF(Q1599="Referral",25,IF(Q1599="Organic Search",20,IF(Q1599="Email",18,14)))+IF(G1599="Technology",10,5))</x:f>
        <x:v>54</x:v>
      </x:c>
      <x:c r="AE1599" t="str">
        <x:f>IF(U1599&lt;&gt;"Open",U1599,IF(N1599&gt;=0.8,"Commit",IF(N1599&gt;=0.5,"Best Case","Pipeline")))</x:f>
        <x:v>Lost</x:v>
      </x:c>
    </x:row>
    <x:row r="1600">
      <x:c r="A1600" t="str">
        <x:v>L01599</x:v>
      </x:c>
      <x:c r="B1600" s="10" t="n">
        <x:v>46130</x:v>
      </x:c>
      <x:c r="C1600" t="str">
        <x:v>Minh Do</x:v>
      </x:c>
      <x:c r="D1600" t="str">
        <x:v>North</x:v>
      </x:c>
      <x:c r="E1600" t="str">
        <x:v>SEO</x:v>
      </x:c>
      <x:c r="F1600" t="str">
        <x:v>CRM-CORE</x:v>
      </x:c>
      <x:c r="G1600" t="str">
        <x:v>Technology</x:v>
      </x:c>
      <x:c r="H1600" t="str">
        <x:v>SMB</x:v>
      </x:c>
      <x:c r="I1600" t="str">
        <x:v>Closed Lost</x:v>
      </x:c>
      <x:c r="J1600" s="10" t="n">
        <x:v>46182</x:v>
      </x:c>
      <x:c r="K1600" s="10" t="n">
        <x:v>46182</x:v>
      </x:c>
      <x:c r="L1600" s="22" t="n">
        <x:v>6600</x:v>
      </x:c>
      <x:c r="M1600" s="24" t="n">
        <x:v>0</x:v>
      </x:c>
      <x:c r="N1600" s="24" t="n">
        <x:v>0</x:v>
      </x:c>
      <x:c r="O1600" t="str">
        <x:v>Competitor</x:v>
      </x:c>
      <x:c r="P1600" t="n">
        <x:v>4</x:v>
      </x:c>
      <x:c r="Q1600" t="str">
        <x:f>IFERROR(XLOOKUP(E1600,Lookups!$A$5:$A$24,Lookups!$B$5:$B$24),"Other")</x:f>
        <x:v>Organic Search</x:v>
      </x:c>
      <x:c r="R1600" t="str">
        <x:f>IFERROR(XLOOKUP(F1600,Lookups!$D$5:$D$10,Lookups!$E$5:$E$10),"Unknown Product")</x:f>
        <x:v>NexaCRM Core</x:v>
      </x:c>
      <x:c r="S1600" t="str">
        <x:f>IFERROR(XLOOKUP(F1600,Lookups!$D$5:$D$10,Lookups!$F$5:$F$10),"Unknown")</x:f>
        <x:v>CRM</x:v>
      </x:c>
      <x:c r="T1600" t="str">
        <x:f>IF(L1600&gt;=50000,"Enterprise",IF(L1600&gt;=20000,"Mid-Market","SMB"))</x:f>
        <x:v>SMB</x:v>
      </x:c>
      <x:c r="U1600" t="str">
        <x:f>IF(I1600="Closed Won","Won",IF(I1600="Closed Lost","Lost","Open"))</x:f>
        <x:v>Lost</x:v>
      </x:c>
      <x:c r="V1600" s="22" t="n">
        <x:f>IF(U1600="Won",L1600*(1-M1600),0)</x:f>
        <x:v>0</x:v>
      </x:c>
      <x:c r="W1600" s="22" t="n">
        <x:f>IF(U1600="Open",L1600*N1600,0)</x:f>
        <x:v>0</x:v>
      </x:c>
      <x:c r="X1600" s="26" t="n">
        <x:f>IF(U1600="Open","",IFERROR(K1600-B1600,""))</x:f>
        <x:v>52</x:v>
      </x:c>
      <x:c r="Y1600" s="26" t="n">
        <x:f>IF(U1600="Open",Lookups!$B$2-B1600,X1600)</x:f>
        <x:v>52</x:v>
      </x:c>
      <x:c r="Z1600" t="str">
        <x:f>IF(AND(U1600="Open",Y1600&gt;30),"STALE","OK")</x:f>
        <x:v>OK</x:v>
      </x:c>
      <x:c r="AA1600" t="str">
        <x:f>TEXT(B1600,"yyyy-mm")</x:f>
        <x:v>2026-04</x:v>
      </x:c>
      <x:c r="AB1600" t="str">
        <x:f>IF(K1600="","",TEXT(K1600,"yyyy-mm"))</x:f>
        <x:v>2026-06</x:v>
      </x:c>
      <x:c r="AC1600" t="str">
        <x:f>"Q"&amp;ROUNDUP(MONTH(B1600)/3,0)&amp;"-"&amp;YEAR(B1600)</x:f>
        <x:v>Q2-2026</x:v>
      </x:c>
      <x:c r="AD1600" s="26" t="n">
        <x:f>MIN(100,IF(H1600="Enterprise",30,IF(H1600="Mid-Market",22,14))+IF(T1600="Enterprise",25,IF(T1600="Mid-Market",18,10))+IF(Q1600="Referral",25,IF(Q1600="Organic Search",20,IF(Q1600="Email",18,14)))+IF(G1600="Technology",10,5))</x:f>
        <x:v>54</x:v>
      </x:c>
      <x:c r="AE1600" t="str">
        <x:f>IF(U1600&lt;&gt;"Open",U1600,IF(N1600&gt;=0.8,"Commit",IF(N1600&gt;=0.5,"Best Case","Pipeline")))</x:f>
        <x:v>Lost</x:v>
      </x:c>
    </x:row>
    <x:row r="1601">
      <x:c r="A1601" t="str">
        <x:v>L01600</x:v>
      </x:c>
      <x:c r="B1601" s="10" t="n">
        <x:v>45759</x:v>
      </x:c>
      <x:c r="C1601" t="str">
        <x:v>Bao Tran</x:v>
      </x:c>
      <x:c r="D1601" t="str">
        <x:v>South</x:v>
      </x:c>
      <x:c r="E1601" t="str">
        <x:v>newsletter</x:v>
      </x:c>
      <x:c r="F1601" t="str">
        <x:v>CS-CLOUD</x:v>
      </x:c>
      <x:c r="G1601" t="str">
        <x:v>Healthcare</x:v>
      </x:c>
      <x:c r="H1601" t="str">
        <x:v>Mid-Market</x:v>
      </x:c>
      <x:c r="I1601" t="str">
        <x:v>Closed Lost</x:v>
      </x:c>
      <x:c r="J1601" s="10" t="n">
        <x:v>45792</x:v>
      </x:c>
      <x:c r="K1601" s="10" t="n">
        <x:v>45792</x:v>
      </x:c>
      <x:c r="L1601" s="22" t="n">
        <x:v>31000</x:v>
      </x:c>
      <x:c r="M1601" s="24" t="n">
        <x:v>0</x:v>
      </x:c>
      <x:c r="N1601" s="24" t="n">
        <x:v>0</x:v>
      </x:c>
      <x:c r="O1601" t="str">
        <x:v>Budget</x:v>
      </x:c>
      <x:c r="P1601" t="n">
        <x:v>4</x:v>
      </x:c>
      <x:c r="Q1601" t="str">
        <x:f>IFERROR(XLOOKUP(E1601,Lookups!$A$5:$A$24,Lookups!$B$5:$B$24),"Other")</x:f>
        <x:v>Email</x:v>
      </x:c>
      <x:c r="R1601" t="str">
        <x:f>IFERROR(XLOOKUP(F1601,Lookups!$D$5:$D$10,Lookups!$E$5:$E$10),"Unknown Product")</x:f>
        <x:v>Service Cloud</x:v>
      </x:c>
      <x:c r="S1601" t="str">
        <x:f>IFERROR(XLOOKUP(F1601,Lookups!$D$5:$D$10,Lookups!$F$5:$F$10),"Unknown")</x:f>
        <x:v>Customer Service</x:v>
      </x:c>
      <x:c r="T1601" t="str">
        <x:f>IF(L1601&gt;=50000,"Enterprise",IF(L1601&gt;=20000,"Mid-Market","SMB"))</x:f>
        <x:v>Mid-Market</x:v>
      </x:c>
      <x:c r="U1601" t="str">
        <x:f>IF(I1601="Closed Won","Won",IF(I1601="Closed Lost","Lost","Open"))</x:f>
        <x:v>Lost</x:v>
      </x:c>
      <x:c r="V1601" s="22" t="n">
        <x:f>IF(U1601="Won",L1601*(1-M1601),0)</x:f>
        <x:v>0</x:v>
      </x:c>
      <x:c r="W1601" s="22" t="n">
        <x:f>IF(U1601="Open",L1601*N1601,0)</x:f>
        <x:v>0</x:v>
      </x:c>
      <x:c r="X1601" s="26" t="n">
        <x:f>IF(U1601="Open","",IFERROR(K1601-B1601,""))</x:f>
        <x:v>33</x:v>
      </x:c>
      <x:c r="Y1601" s="26" t="n">
        <x:f>IF(U1601="Open",Lookups!$B$2-B1601,X1601)</x:f>
        <x:v>33</x:v>
      </x:c>
      <x:c r="Z1601" t="str">
        <x:f>IF(AND(U1601="Open",Y1601&gt;30),"STALE","OK")</x:f>
        <x:v>OK</x:v>
      </x:c>
      <x:c r="AA1601" t="str">
        <x:f>TEXT(B1601,"yyyy-mm")</x:f>
        <x:v>2025-04</x:v>
      </x:c>
      <x:c r="AB1601" t="str">
        <x:f>IF(K1601="","",TEXT(K1601,"yyyy-mm"))</x:f>
        <x:v>2025-05</x:v>
      </x:c>
      <x:c r="AC1601" t="str">
        <x:f>"Q"&amp;ROUNDUP(MONTH(B1601)/3,0)&amp;"-"&amp;YEAR(B1601)</x:f>
        <x:v>Q2-2025</x:v>
      </x:c>
      <x:c r="AD1601" s="26" t="n">
        <x:f>MIN(100,IF(H1601="Enterprise",30,IF(H1601="Mid-Market",22,14))+IF(T1601="Enterprise",25,IF(T1601="Mid-Market",18,10))+IF(Q1601="Referral",25,IF(Q1601="Organic Search",20,IF(Q1601="Email",18,14)))+IF(G1601="Technology",10,5))</x:f>
        <x:v>63</x:v>
      </x:c>
      <x:c r="AE1601" t="str">
        <x:f>IF(U1601&lt;&gt;"Open",U1601,IF(N1601&gt;=0.8,"Commit",IF(N1601&gt;=0.5,"Best Case","Pipeline")))</x:f>
        <x:v>Lost</x:v>
      </x:c>
    </x:row>
    <x:row r="1602">
      <x:c r="A1602" t="str">
        <x:v>L01601</x:v>
      </x:c>
      <x:c r="B1602" s="10" t="n">
        <x:v>45995</x:v>
      </x:c>
      <x:c r="C1602" t="str">
        <x:v>Ha Vo</x:v>
      </x:c>
      <x:c r="D1602" t="str">
        <x:v>North</x:v>
      </x:c>
      <x:c r="E1602" t="str">
        <x:v>SEO</x:v>
      </x:c>
      <x:c r="F1602" t="str">
        <x:v>REV-OPS</x:v>
      </x:c>
      <x:c r="G1602" t="str">
        <x:v>Retail</x:v>
      </x:c>
      <x:c r="H1602" t="str">
        <x:v>Mid-Market</x:v>
      </x:c>
      <x:c r="I1602" t="str">
        <x:v>Closed Lost</x:v>
      </x:c>
      <x:c r="J1602" s="10" t="n">
        <x:v>46079</x:v>
      </x:c>
      <x:c r="K1602" s="10" t="n">
        <x:v>46079</x:v>
      </x:c>
      <x:c r="L1602" s="22" t="n">
        <x:v>43000</x:v>
      </x:c>
      <x:c r="M1602" s="24" t="n">
        <x:v>0</x:v>
      </x:c>
      <x:c r="N1602" s="24" t="n">
        <x:v>0</x:v>
      </x:c>
      <x:c r="O1602" t="str">
        <x:v>Timing</x:v>
      </x:c>
      <x:c r="P1602" t="n">
        <x:v>3</x:v>
      </x:c>
      <x:c r="Q1602" t="str">
        <x:f>IFERROR(XLOOKUP(E1602,Lookups!$A$5:$A$24,Lookups!$B$5:$B$24),"Other")</x:f>
        <x:v>Organic Search</x:v>
      </x:c>
      <x:c r="R1602" t="str">
        <x:f>IFERROR(XLOOKUP(F1602,Lookups!$D$5:$D$10,Lookups!$E$5:$E$10),"Unknown Product")</x:f>
        <x:v>Revenue Operations Suite</x:v>
      </x:c>
      <x:c r="S1602" t="str">
        <x:f>IFERROR(XLOOKUP(F1602,Lookups!$D$5:$D$10,Lookups!$F$5:$F$10),"Unknown")</x:f>
        <x:v>Revenue Ops</x:v>
      </x:c>
      <x:c r="T1602" t="str">
        <x:f>IF(L1602&gt;=50000,"Enterprise",IF(L1602&gt;=20000,"Mid-Market","SMB"))</x:f>
        <x:v>Mid-Market</x:v>
      </x:c>
      <x:c r="U1602" t="str">
        <x:f>IF(I1602="Closed Won","Won",IF(I1602="Closed Lost","Lost","Open"))</x:f>
        <x:v>Lost</x:v>
      </x:c>
      <x:c r="V1602" s="22" t="n">
        <x:f>IF(U1602="Won",L1602*(1-M1602),0)</x:f>
        <x:v>0</x:v>
      </x:c>
      <x:c r="W1602" s="22" t="n">
        <x:f>IF(U1602="Open",L1602*N1602,0)</x:f>
        <x:v>0</x:v>
      </x:c>
      <x:c r="X1602" s="26" t="n">
        <x:f>IF(U1602="Open","",IFERROR(K1602-B1602,""))</x:f>
        <x:v>84</x:v>
      </x:c>
      <x:c r="Y1602" s="26" t="n">
        <x:f>IF(U1602="Open",Lookups!$B$2-B1602,X1602)</x:f>
        <x:v>84</x:v>
      </x:c>
      <x:c r="Z1602" t="str">
        <x:f>IF(AND(U1602="Open",Y1602&gt;30),"STALE","OK")</x:f>
        <x:v>OK</x:v>
      </x:c>
      <x:c r="AA1602" t="str">
        <x:f>TEXT(B1602,"yyyy-mm")</x:f>
        <x:v>2025-12</x:v>
      </x:c>
      <x:c r="AB1602" t="str">
        <x:f>IF(K1602="","",TEXT(K1602,"yyyy-mm"))</x:f>
        <x:v>2026-02</x:v>
      </x:c>
      <x:c r="AC1602" t="str">
        <x:f>"Q"&amp;ROUNDUP(MONTH(B1602)/3,0)&amp;"-"&amp;YEAR(B1602)</x:f>
        <x:v>Q4-2025</x:v>
      </x:c>
      <x:c r="AD1602" s="26" t="n">
        <x:f>MIN(100,IF(H1602="Enterprise",30,IF(H1602="Mid-Market",22,14))+IF(T1602="Enterprise",25,IF(T1602="Mid-Market",18,10))+IF(Q1602="Referral",25,IF(Q1602="Organic Search",20,IF(Q1602="Email",18,14)))+IF(G1602="Technology",10,5))</x:f>
        <x:v>65</x:v>
      </x:c>
      <x:c r="AE1602" t="str">
        <x:f>IF(U1602&lt;&gt;"Open",U1602,IF(N1602&gt;=0.8,"Commit",IF(N1602&gt;=0.5,"Best Case","Pipeline")))</x:f>
        <x:v>Lost</x:v>
      </x:c>
    </x:row>
    <x:row r="1603">
      <x:c r="A1603" t="str">
        <x:v>L01602</x:v>
      </x:c>
      <x:c r="B1603" s="10" t="n">
        <x:v>45715</x:v>
      </x:c>
      <x:c r="C1603" t="str">
        <x:v>Minh Do</x:v>
      </x:c>
      <x:c r="D1603" t="str">
        <x:v>North</x:v>
      </x:c>
      <x:c r="E1603" t="str">
        <x:v>Google Ads</x:v>
      </x:c>
      <x:c r="F1603" t="str">
        <x:v>REV-OPS</x:v>
      </x:c>
      <x:c r="G1603" t="str">
        <x:v>Financial Services</x:v>
      </x:c>
      <x:c r="H1603" t="str">
        <x:v>SMB</x:v>
      </x:c>
      <x:c r="I1603" t="str">
        <x:v>Closed Lost</x:v>
      </x:c>
      <x:c r="J1603" s="10" t="n">
        <x:v>45756</x:v>
      </x:c>
      <x:c r="K1603" s="10" t="n">
        <x:v>45756</x:v>
      </x:c>
      <x:c r="L1603" s="22" t="n">
        <x:v>42000</x:v>
      </x:c>
      <x:c r="M1603" s="24" t="n">
        <x:v>0</x:v>
      </x:c>
      <x:c r="N1603" s="24" t="n">
        <x:v>0</x:v>
      </x:c>
      <x:c r="O1603" t="str">
        <x:v>Price</x:v>
      </x:c>
      <x:c r="P1603" t="n">
        <x:v>5</x:v>
      </x:c>
      <x:c r="Q1603" t="str">
        <x:f>IFERROR(XLOOKUP(E1603,Lookups!$A$5:$A$24,Lookups!$B$5:$B$24),"Other")</x:f>
        <x:v>Paid Search</x:v>
      </x:c>
      <x:c r="R1603" t="str">
        <x:f>IFERROR(XLOOKUP(F1603,Lookups!$D$5:$D$10,Lookups!$E$5:$E$10),"Unknown Product")</x:f>
        <x:v>Revenue Operations Suite</x:v>
      </x:c>
      <x:c r="S1603" t="str">
        <x:f>IFERROR(XLOOKUP(F1603,Lookups!$D$5:$D$10,Lookups!$F$5:$F$10),"Unknown")</x:f>
        <x:v>Revenue Ops</x:v>
      </x:c>
      <x:c r="T1603" t="str">
        <x:f>IF(L1603&gt;=50000,"Enterprise",IF(L1603&gt;=20000,"Mid-Market","SMB"))</x:f>
        <x:v>Mid-Market</x:v>
      </x:c>
      <x:c r="U1603" t="str">
        <x:f>IF(I1603="Closed Won","Won",IF(I1603="Closed Lost","Lost","Open"))</x:f>
        <x:v>Lost</x:v>
      </x:c>
      <x:c r="V1603" s="22" t="n">
        <x:f>IF(U1603="Won",L1603*(1-M1603),0)</x:f>
        <x:v>0</x:v>
      </x:c>
      <x:c r="W1603" s="22" t="n">
        <x:f>IF(U1603="Open",L1603*N1603,0)</x:f>
        <x:v>0</x:v>
      </x:c>
      <x:c r="X1603" s="26" t="n">
        <x:f>IF(U1603="Open","",IFERROR(K1603-B1603,""))</x:f>
        <x:v>41</x:v>
      </x:c>
      <x:c r="Y1603" s="26" t="n">
        <x:f>IF(U1603="Open",Lookups!$B$2-B1603,X1603)</x:f>
        <x:v>41</x:v>
      </x:c>
      <x:c r="Z1603" t="str">
        <x:f>IF(AND(U1603="Open",Y1603&gt;30),"STALE","OK")</x:f>
        <x:v>OK</x:v>
      </x:c>
      <x:c r="AA1603" t="str">
        <x:f>TEXT(B1603,"yyyy-mm")</x:f>
        <x:v>2025-02</x:v>
      </x:c>
      <x:c r="AB1603" t="str">
        <x:f>IF(K1603="","",TEXT(K1603,"yyyy-mm"))</x:f>
        <x:v>2025-04</x:v>
      </x:c>
      <x:c r="AC1603" t="str">
        <x:f>"Q"&amp;ROUNDUP(MONTH(B1603)/3,0)&amp;"-"&amp;YEAR(B1603)</x:f>
        <x:v>Q1-2025</x:v>
      </x:c>
      <x:c r="AD1603" s="26" t="n">
        <x:f>MIN(100,IF(H1603="Enterprise",30,IF(H1603="Mid-Market",22,14))+IF(T1603="Enterprise",25,IF(T1603="Mid-Market",18,10))+IF(Q1603="Referral",25,IF(Q1603="Organic Search",20,IF(Q1603="Email",18,14)))+IF(G1603="Technology",10,5))</x:f>
        <x:v>51</x:v>
      </x:c>
      <x:c r="AE1603" t="str">
        <x:f>IF(U1603&lt;&gt;"Open",U1603,IF(N1603&gt;=0.8,"Commit",IF(N1603&gt;=0.5,"Best Case","Pipeline")))</x:f>
        <x:v>Lost</x:v>
      </x:c>
    </x:row>
    <x:row r="1604">
      <x:c r="A1604" t="str">
        <x:v>L01603</x:v>
      </x:c>
      <x:c r="B1604" s="10" t="n">
        <x:v>46070</x:v>
      </x:c>
      <x:c r="C1604" t="str">
        <x:v>Tuan Bui</x:v>
      </x:c>
      <x:c r="D1604" t="str">
        <x:v>Central</x:v>
      </x:c>
      <x:c r="E1604" t="str">
        <x:v>linkedin</x:v>
      </x:c>
      <x:c r="F1604" t="str">
        <x:v>CRM-PRO</x:v>
      </x:c>
      <x:c r="G1604" t="str">
        <x:v>Manufacturing</x:v>
      </x:c>
      <x:c r="H1604" t="str">
        <x:v>Mid-Market</x:v>
      </x:c>
      <x:c r="I1604" t="str">
        <x:v>Closed Won</x:v>
      </x:c>
      <x:c r="J1604" s="10" t="n">
        <x:v>46128</x:v>
      </x:c>
      <x:c r="K1604" s="10" t="n">
        <x:v>46128</x:v>
      </x:c>
      <x:c r="L1604" s="22" t="n">
        <x:v>37900</x:v>
      </x:c>
      <x:c r="M1604" s="24" t="n">
        <x:v>0.05</x:v>
      </x:c>
      <x:c r="N1604" s="24" t="n">
        <x:v>1</x:v>
      </x:c>
      <x:c r="O1604" t="str"/>
      <x:c r="P1604" t="n">
        <x:v>6</x:v>
      </x:c>
      <x:c r="Q1604" t="str">
        <x:f>IFERROR(XLOOKUP(E1604,Lookups!$A$5:$A$24,Lookups!$B$5:$B$24),"Other")</x:f>
        <x:v>LinkedIn</x:v>
      </x:c>
      <x:c r="R1604" t="str">
        <x:f>IFERROR(XLOOKUP(F1604,Lookups!$D$5:$D$10,Lookups!$E$5:$E$10),"Unknown Product")</x:f>
        <x:v>NexaCRM Pro</x:v>
      </x:c>
      <x:c r="S1604" t="str">
        <x:f>IFERROR(XLOOKUP(F1604,Lookups!$D$5:$D$10,Lookups!$F$5:$F$10),"Unknown")</x:f>
        <x:v>CRM</x:v>
      </x:c>
      <x:c r="T1604" t="str">
        <x:f>IF(L1604&gt;=50000,"Enterprise",IF(L1604&gt;=20000,"Mid-Market","SMB"))</x:f>
        <x:v>Mid-Market</x:v>
      </x:c>
      <x:c r="U1604" t="str">
        <x:f>IF(I1604="Closed Won","Won",IF(I1604="Closed Lost","Lost","Open"))</x:f>
        <x:v>Won</x:v>
      </x:c>
      <x:c r="V1604" s="22" t="n">
        <x:f>IF(U1604="Won",L1604*(1-M1604),0)</x:f>
        <x:v>36005</x:v>
      </x:c>
      <x:c r="W1604" s="22" t="n">
        <x:f>IF(U1604="Open",L1604*N1604,0)</x:f>
        <x:v>0</x:v>
      </x:c>
      <x:c r="X1604" s="26" t="n">
        <x:f>IF(U1604="Open","",IFERROR(K1604-B1604,""))</x:f>
        <x:v>58</x:v>
      </x:c>
      <x:c r="Y1604" s="26" t="n">
        <x:f>IF(U1604="Open",Lookups!$B$2-B1604,X1604)</x:f>
        <x:v>58</x:v>
      </x:c>
      <x:c r="Z1604" t="str">
        <x:f>IF(AND(U1604="Open",Y1604&gt;30),"STALE","OK")</x:f>
        <x:v>OK</x:v>
      </x:c>
      <x:c r="AA1604" t="str">
        <x:f>TEXT(B1604,"yyyy-mm")</x:f>
        <x:v>2026-02</x:v>
      </x:c>
      <x:c r="AB1604" t="str">
        <x:f>IF(K1604="","",TEXT(K1604,"yyyy-mm"))</x:f>
        <x:v>2026-04</x:v>
      </x:c>
      <x:c r="AC1604" t="str">
        <x:f>"Q"&amp;ROUNDUP(MONTH(B1604)/3,0)&amp;"-"&amp;YEAR(B1604)</x:f>
        <x:v>Q1-2026</x:v>
      </x:c>
      <x:c r="AD1604" s="26" t="n">
        <x:f>MIN(100,IF(H1604="Enterprise",30,IF(H1604="Mid-Market",22,14))+IF(T1604="Enterprise",25,IF(T1604="Mid-Market",18,10))+IF(Q1604="Referral",25,IF(Q1604="Organic Search",20,IF(Q1604="Email",18,14)))+IF(G1604="Technology",10,5))</x:f>
        <x:v>59</x:v>
      </x:c>
      <x:c r="AE1604" t="str">
        <x:f>IF(U1604&lt;&gt;"Open",U1604,IF(N1604&gt;=0.8,"Commit",IF(N1604&gt;=0.5,"Best Case","Pipeline")))</x:f>
        <x:v>Won</x:v>
      </x:c>
    </x:row>
    <x:row r="1605">
      <x:c r="A1605" t="str">
        <x:v>L01604</x:v>
      </x:c>
      <x:c r="B1605" s="10" t="n">
        <x:v>45807</x:v>
      </x:c>
      <x:c r="C1605" t="str">
        <x:v>Quynh Vu</x:v>
      </x:c>
      <x:c r="D1605" t="str">
        <x:v>North</x:v>
      </x:c>
      <x:c r="E1605" t="str">
        <x:v>customer referral</x:v>
      </x:c>
      <x:c r="F1605" t="str">
        <x:v>CRM-PRO</x:v>
      </x:c>
      <x:c r="G1605" t="str">
        <x:v>Retail</x:v>
      </x:c>
      <x:c r="H1605" t="str">
        <x:v>SMB</x:v>
      </x:c>
      <x:c r="I1605" t="str">
        <x:v>Closed Won</x:v>
      </x:c>
      <x:c r="J1605" s="10" t="n">
        <x:v>45895</x:v>
      </x:c>
      <x:c r="K1605" s="10" t="n">
        <x:v>45895</x:v>
      </x:c>
      <x:c r="L1605" s="22" t="n">
        <x:v>25500</x:v>
      </x:c>
      <x:c r="M1605" s="24" t="n">
        <x:v>0.05</x:v>
      </x:c>
      <x:c r="N1605" s="24" t="n">
        <x:v>1</x:v>
      </x:c>
      <x:c r="O1605" t="str"/>
      <x:c r="P1605" t="n">
        <x:v>6</x:v>
      </x:c>
      <x:c r="Q1605" t="str">
        <x:f>IFERROR(XLOOKUP(E1605,Lookups!$A$5:$A$24,Lookups!$B$5:$B$24),"Other")</x:f>
        <x:v>Referral</x:v>
      </x:c>
      <x:c r="R1605" t="str">
        <x:f>IFERROR(XLOOKUP(F1605,Lookups!$D$5:$D$10,Lookups!$E$5:$E$10),"Unknown Product")</x:f>
        <x:v>NexaCRM Pro</x:v>
      </x:c>
      <x:c r="S1605" t="str">
        <x:f>IFERROR(XLOOKUP(F1605,Lookups!$D$5:$D$10,Lookups!$F$5:$F$10),"Unknown")</x:f>
        <x:v>CRM</x:v>
      </x:c>
      <x:c r="T1605" t="str">
        <x:f>IF(L1605&gt;=50000,"Enterprise",IF(L1605&gt;=20000,"Mid-Market","SMB"))</x:f>
        <x:v>Mid-Market</x:v>
      </x:c>
      <x:c r="U1605" t="str">
        <x:f>IF(I1605="Closed Won","Won",IF(I1605="Closed Lost","Lost","Open"))</x:f>
        <x:v>Won</x:v>
      </x:c>
      <x:c r="V1605" s="22" t="n">
        <x:f>IF(U1605="Won",L1605*(1-M1605),0)</x:f>
        <x:v>24225</x:v>
      </x:c>
      <x:c r="W1605" s="22" t="n">
        <x:f>IF(U1605="Open",L1605*N1605,0)</x:f>
        <x:v>0</x:v>
      </x:c>
      <x:c r="X1605" s="26" t="n">
        <x:f>IF(U1605="Open","",IFERROR(K1605-B1605,""))</x:f>
        <x:v>88</x:v>
      </x:c>
      <x:c r="Y1605" s="26" t="n">
        <x:f>IF(U1605="Open",Lookups!$B$2-B1605,X1605)</x:f>
        <x:v>88</x:v>
      </x:c>
      <x:c r="Z1605" t="str">
        <x:f>IF(AND(U1605="Open",Y1605&gt;30),"STALE","OK")</x:f>
        <x:v>OK</x:v>
      </x:c>
      <x:c r="AA1605" t="str">
        <x:f>TEXT(B1605,"yyyy-mm")</x:f>
        <x:v>2025-05</x:v>
      </x:c>
      <x:c r="AB1605" t="str">
        <x:f>IF(K1605="","",TEXT(K1605,"yyyy-mm"))</x:f>
        <x:v>2025-08</x:v>
      </x:c>
      <x:c r="AC1605" t="str">
        <x:f>"Q"&amp;ROUNDUP(MONTH(B1605)/3,0)&amp;"-"&amp;YEAR(B1605)</x:f>
        <x:v>Q2-2025</x:v>
      </x:c>
      <x:c r="AD1605" s="26" t="n">
        <x:f>MIN(100,IF(H1605="Enterprise",30,IF(H1605="Mid-Market",22,14))+IF(T1605="Enterprise",25,IF(T1605="Mid-Market",18,10))+IF(Q1605="Referral",25,IF(Q1605="Organic Search",20,IF(Q1605="Email",18,14)))+IF(G1605="Technology",10,5))</x:f>
        <x:v>62</x:v>
      </x:c>
      <x:c r="AE1605" t="str">
        <x:f>IF(U1605&lt;&gt;"Open",U1605,IF(N1605&gt;=0.8,"Commit",IF(N1605&gt;=0.5,"Best Case","Pipeline")))</x:f>
        <x:v>Won</x:v>
      </x:c>
    </x:row>
    <x:row r="1606">
      <x:c r="A1606" t="str">
        <x:v>L01605</x:v>
      </x:c>
      <x:c r="B1606" s="10" t="n">
        <x:v>46011</x:v>
      </x:c>
      <x:c r="C1606" t="str">
        <x:v>Ha Vo</x:v>
      </x:c>
      <x:c r="D1606" t="str">
        <x:v>North</x:v>
      </x:c>
      <x:c r="E1606" t="str">
        <x:v>Cold Email</x:v>
      </x:c>
      <x:c r="F1606" t="str">
        <x:v>CRM-CORE</x:v>
      </x:c>
      <x:c r="G1606" t="str">
        <x:v>Financial Services</x:v>
      </x:c>
      <x:c r="H1606" t="str">
        <x:v>SMB</x:v>
      </x:c>
      <x:c r="I1606" t="str">
        <x:v>Negotiation</x:v>
      </x:c>
      <x:c r="J1606" s="10" t="n">
        <x:v>46178</x:v>
      </x:c>
      <x:c r="K1606" s="10"/>
      <x:c r="L1606" s="22" t="n">
        <x:v>10100</x:v>
      </x:c>
      <x:c r="M1606" s="24" t="n">
        <x:v>0</x:v>
      </x:c>
      <x:c r="N1606" s="24" t="n">
        <x:v>0.85</x:v>
      </x:c>
      <x:c r="O1606" t="str"/>
      <x:c r="P1606" t="n">
        <x:v>5</x:v>
      </x:c>
      <x:c r="Q1606" t="str">
        <x:f>IFERROR(XLOOKUP(E1606,Lookups!$A$5:$A$24,Lookups!$B$5:$B$24),"Other")</x:f>
        <x:v>Outbound</x:v>
      </x:c>
      <x:c r="R1606" t="str">
        <x:f>IFERROR(XLOOKUP(F1606,Lookups!$D$5:$D$10,Lookups!$E$5:$E$10),"Unknown Product")</x:f>
        <x:v>NexaCRM Core</x:v>
      </x:c>
      <x:c r="S1606" t="str">
        <x:f>IFERROR(XLOOKUP(F1606,Lookups!$D$5:$D$10,Lookups!$F$5:$F$10),"Unknown")</x:f>
        <x:v>CRM</x:v>
      </x:c>
      <x:c r="T1606" t="str">
        <x:f>IF(L1606&gt;=50000,"Enterprise",IF(L1606&gt;=20000,"Mid-Market","SMB"))</x:f>
        <x:v>SMB</x:v>
      </x:c>
      <x:c r="U1606" t="str">
        <x:f>IF(I1606="Closed Won","Won",IF(I1606="Closed Lost","Lost","Open"))</x:f>
        <x:v>Open</x:v>
      </x:c>
      <x:c r="V1606" s="22" t="n">
        <x:f>IF(U1606="Won",L1606*(1-M1606),0)</x:f>
        <x:v>0</x:v>
      </x:c>
      <x:c r="W1606" s="22" t="n">
        <x:f>IF(U1606="Open",L1606*N1606,0)</x:f>
        <x:v>8585</x:v>
      </x:c>
      <x:c r="X1606" s="26" t="str">
        <x:f>IF(U1606="Open","",IFERROR(K1606-B1606,""))</x:f>
      </x:c>
      <x:c r="Y1606" s="26" t="n">
        <x:f>IF(U1606="Open",Lookups!$B$2-B1606,X1606)</x:f>
        <x:v>255</x:v>
      </x:c>
      <x:c r="Z1606" t="str">
        <x:f>IF(AND(U1606="Open",Y1606&gt;30),"STALE","OK")</x:f>
        <x:v>STALE</x:v>
      </x:c>
      <x:c r="AA1606" t="str">
        <x:f>TEXT(B1606,"yyyy-mm")</x:f>
        <x:v>2025-12</x:v>
      </x:c>
      <x:c r="AB1606" t="str">
        <x:f>IF(K1606="","",TEXT(K1606,"yyyy-mm"))</x:f>
      </x:c>
      <x:c r="AC1606" t="str">
        <x:f>"Q"&amp;ROUNDUP(MONTH(B1606)/3,0)&amp;"-"&amp;YEAR(B1606)</x:f>
        <x:v>Q4-2025</x:v>
      </x:c>
      <x:c r="AD1606" s="26" t="n">
        <x:f>MIN(100,IF(H1606="Enterprise",30,IF(H1606="Mid-Market",22,14))+IF(T1606="Enterprise",25,IF(T1606="Mid-Market",18,10))+IF(Q1606="Referral",25,IF(Q1606="Organic Search",20,IF(Q1606="Email",18,14)))+IF(G1606="Technology",10,5))</x:f>
        <x:v>43</x:v>
      </x:c>
      <x:c r="AE1606" t="str">
        <x:f>IF(U1606&lt;&gt;"Open",U1606,IF(N1606&gt;=0.8,"Commit",IF(N1606&gt;=0.5,"Best Case","Pipeline")))</x:f>
        <x:v>Commit</x:v>
      </x:c>
    </x:row>
    <x:row r="1607">
      <x:c r="A1607" t="str">
        <x:v>L01606</x:v>
      </x:c>
      <x:c r="B1607" s="10" t="n">
        <x:v>45826</x:v>
      </x:c>
      <x:c r="C1607" t="str">
        <x:v>Tuan Bui</x:v>
      </x:c>
      <x:c r="D1607" t="str">
        <x:v>Central</x:v>
      </x:c>
      <x:c r="E1607" t="str">
        <x:v>LI Ads</x:v>
      </x:c>
      <x:c r="F1607" t="str">
        <x:v>BI-PLUS</x:v>
      </x:c>
      <x:c r="G1607" t="str">
        <x:v>Financial Services</x:v>
      </x:c>
      <x:c r="H1607" t="str">
        <x:v>SMB</x:v>
      </x:c>
      <x:c r="I1607" t="str">
        <x:v>Closed Won</x:v>
      </x:c>
      <x:c r="J1607" s="10" t="n">
        <x:v>45899</x:v>
      </x:c>
      <x:c r="K1607" s="10" t="n">
        <x:v>45899</x:v>
      </x:c>
      <x:c r="L1607" s="22" t="n">
        <x:v>22100</x:v>
      </x:c>
      <x:c r="M1607" s="24" t="n">
        <x:v>0.03</x:v>
      </x:c>
      <x:c r="N1607" s="24" t="n">
        <x:v>1</x:v>
      </x:c>
      <x:c r="O1607" t="str"/>
      <x:c r="P1607" t="n">
        <x:v>6</x:v>
      </x:c>
      <x:c r="Q1607" t="str">
        <x:f>IFERROR(XLOOKUP(E1607,Lookups!$A$5:$A$24,Lookups!$B$5:$B$24),"Other")</x:f>
        <x:v>LinkedIn</x:v>
      </x:c>
      <x:c r="R1607" t="str">
        <x:f>IFERROR(XLOOKUP(F1607,Lookups!$D$5:$D$10,Lookups!$E$5:$E$10),"Unknown Product")</x:f>
        <x:v>Analytics Plus</x:v>
      </x:c>
      <x:c r="S1607" t="str">
        <x:f>IFERROR(XLOOKUP(F1607,Lookups!$D$5:$D$10,Lookups!$F$5:$F$10),"Unknown")</x:f>
        <x:v>Analytics</x:v>
      </x:c>
      <x:c r="T1607" t="str">
        <x:f>IF(L1607&gt;=50000,"Enterprise",IF(L1607&gt;=20000,"Mid-Market","SMB"))</x:f>
        <x:v>Mid-Market</x:v>
      </x:c>
      <x:c r="U1607" t="str">
        <x:f>IF(I1607="Closed Won","Won",IF(I1607="Closed Lost","Lost","Open"))</x:f>
        <x:v>Won</x:v>
      </x:c>
      <x:c r="V1607" s="22" t="n">
        <x:f>IF(U1607="Won",L1607*(1-M1607),0)</x:f>
        <x:v>21437</x:v>
      </x:c>
      <x:c r="W1607" s="22" t="n">
        <x:f>IF(U1607="Open",L1607*N1607,0)</x:f>
        <x:v>0</x:v>
      </x:c>
      <x:c r="X1607" s="26" t="n">
        <x:f>IF(U1607="Open","",IFERROR(K1607-B1607,""))</x:f>
        <x:v>73</x:v>
      </x:c>
      <x:c r="Y1607" s="26" t="n">
        <x:f>IF(U1607="Open",Lookups!$B$2-B1607,X1607)</x:f>
        <x:v>73</x:v>
      </x:c>
      <x:c r="Z1607" t="str">
        <x:f>IF(AND(U1607="Open",Y1607&gt;30),"STALE","OK")</x:f>
        <x:v>OK</x:v>
      </x:c>
      <x:c r="AA1607" t="str">
        <x:f>TEXT(B1607,"yyyy-mm")</x:f>
        <x:v>2025-06</x:v>
      </x:c>
      <x:c r="AB1607" t="str">
        <x:f>IF(K1607="","",TEXT(K1607,"yyyy-mm"))</x:f>
        <x:v>2025-08</x:v>
      </x:c>
      <x:c r="AC1607" t="str">
        <x:f>"Q"&amp;ROUNDUP(MONTH(B1607)/3,0)&amp;"-"&amp;YEAR(B1607)</x:f>
        <x:v>Q2-2025</x:v>
      </x:c>
      <x:c r="AD1607" s="26" t="n">
        <x:f>MIN(100,IF(H1607="Enterprise",30,IF(H1607="Mid-Market",22,14))+IF(T1607="Enterprise",25,IF(T1607="Mid-Market",18,10))+IF(Q1607="Referral",25,IF(Q1607="Organic Search",20,IF(Q1607="Email",18,14)))+IF(G1607="Technology",10,5))</x:f>
        <x:v>51</x:v>
      </x:c>
      <x:c r="AE1607" t="str">
        <x:f>IF(U1607&lt;&gt;"Open",U1607,IF(N1607&gt;=0.8,"Commit",IF(N1607&gt;=0.5,"Best Case","Pipeline")))</x:f>
        <x:v>Won</x:v>
      </x:c>
    </x:row>
    <x:row r="1608">
      <x:c r="A1608" t="str">
        <x:v>L01607</x:v>
      </x:c>
      <x:c r="B1608" s="10" t="n">
        <x:v>45813</x:v>
      </x:c>
      <x:c r="C1608" t="str">
        <x:v>Tuan Bui</x:v>
      </x:c>
      <x:c r="D1608" t="str">
        <x:v>Central</x:v>
      </x:c>
      <x:c r="E1608" t="str">
        <x:v>Google Organic</x:v>
      </x:c>
      <x:c r="F1608" t="str">
        <x:v>CRM-PRO</x:v>
      </x:c>
      <x:c r="G1608" t="str">
        <x:v>Retail</x:v>
      </x:c>
      <x:c r="H1608" t="str">
        <x:v>Enterprise</x:v>
      </x:c>
      <x:c r="I1608" t="str">
        <x:v>Closed Won</x:v>
      </x:c>
      <x:c r="J1608" s="10" t="n">
        <x:v>45907</x:v>
      </x:c>
      <x:c r="K1608" s="10" t="n">
        <x:v>45907</x:v>
      </x:c>
      <x:c r="L1608" s="22" t="n">
        <x:v>86700</x:v>
      </x:c>
      <x:c r="M1608" s="24" t="n">
        <x:v>0.1</x:v>
      </x:c>
      <x:c r="N1608" s="24" t="n">
        <x:v>1</x:v>
      </x:c>
      <x:c r="O1608" t="str"/>
      <x:c r="P1608" t="n">
        <x:v>6</x:v>
      </x:c>
      <x:c r="Q1608" t="str">
        <x:f>IFERROR(XLOOKUP(E1608,Lookups!$A$5:$A$24,Lookups!$B$5:$B$24),"Other")</x:f>
        <x:v>Organic Search</x:v>
      </x:c>
      <x:c r="R1608" t="str">
        <x:f>IFERROR(XLOOKUP(F1608,Lookups!$D$5:$D$10,Lookups!$E$5:$E$10),"Unknown Product")</x:f>
        <x:v>NexaCRM Pro</x:v>
      </x:c>
      <x:c r="S1608" t="str">
        <x:f>IFERROR(XLOOKUP(F1608,Lookups!$D$5:$D$10,Lookups!$F$5:$F$10),"Unknown")</x:f>
        <x:v>CRM</x:v>
      </x:c>
      <x:c r="T1608" t="str">
        <x:f>IF(L1608&gt;=50000,"Enterprise",IF(L1608&gt;=20000,"Mid-Market","SMB"))</x:f>
        <x:v>Enterprise</x:v>
      </x:c>
      <x:c r="U1608" t="str">
        <x:f>IF(I1608="Closed Won","Won",IF(I1608="Closed Lost","Lost","Open"))</x:f>
        <x:v>Won</x:v>
      </x:c>
      <x:c r="V1608" s="22" t="n">
        <x:f>IF(U1608="Won",L1608*(1-M1608),0)</x:f>
        <x:v>78030</x:v>
      </x:c>
      <x:c r="W1608" s="22" t="n">
        <x:f>IF(U1608="Open",L1608*N1608,0)</x:f>
        <x:v>0</x:v>
      </x:c>
      <x:c r="X1608" s="26" t="n">
        <x:f>IF(U1608="Open","",IFERROR(K1608-B1608,""))</x:f>
        <x:v>94</x:v>
      </x:c>
      <x:c r="Y1608" s="26" t="n">
        <x:f>IF(U1608="Open",Lookups!$B$2-B1608,X1608)</x:f>
        <x:v>94</x:v>
      </x:c>
      <x:c r="Z1608" t="str">
        <x:f>IF(AND(U1608="Open",Y1608&gt;30),"STALE","OK")</x:f>
        <x:v>OK</x:v>
      </x:c>
      <x:c r="AA1608" t="str">
        <x:f>TEXT(B1608,"yyyy-mm")</x:f>
        <x:v>2025-06</x:v>
      </x:c>
      <x:c r="AB1608" t="str">
        <x:f>IF(K1608="","",TEXT(K1608,"yyyy-mm"))</x:f>
        <x:v>2025-09</x:v>
      </x:c>
      <x:c r="AC1608" t="str">
        <x:f>"Q"&amp;ROUNDUP(MONTH(B1608)/3,0)&amp;"-"&amp;YEAR(B1608)</x:f>
        <x:v>Q2-2025</x:v>
      </x:c>
      <x:c r="AD1608" s="26" t="n">
        <x:f>MIN(100,IF(H1608="Enterprise",30,IF(H1608="Mid-Market",22,14))+IF(T1608="Enterprise",25,IF(T1608="Mid-Market",18,10))+IF(Q1608="Referral",25,IF(Q1608="Organic Search",20,IF(Q1608="Email",18,14)))+IF(G1608="Technology",10,5))</x:f>
        <x:v>80</x:v>
      </x:c>
      <x:c r="AE1608" t="str">
        <x:f>IF(U1608&lt;&gt;"Open",U1608,IF(N1608&gt;=0.8,"Commit",IF(N1608&gt;=0.5,"Best Case","Pipeline")))</x:f>
        <x:v>Won</x:v>
      </x:c>
    </x:row>
    <x:row r="1609">
      <x:c r="A1609" t="str">
        <x:v>L01608</x:v>
      </x:c>
      <x:c r="B1609" s="10" t="n">
        <x:v>46220</x:v>
      </x:c>
      <x:c r="C1609" t="str">
        <x:v>Quynh Vu</x:v>
      </x:c>
      <x:c r="D1609" t="str">
        <x:v>North</x:v>
      </x:c>
      <x:c r="E1609" t="str">
        <x:v>Google Organic</x:v>
      </x:c>
      <x:c r="F1609" t="str">
        <x:v>BI-PLUS</x:v>
      </x:c>
      <x:c r="G1609" t="str">
        <x:v>Professional Services</x:v>
      </x:c>
      <x:c r="H1609" t="str">
        <x:v>Mid-Market</x:v>
      </x:c>
      <x:c r="I1609" t="str">
        <x:v>Demo / Meeting</x:v>
      </x:c>
      <x:c r="J1609" s="10" t="n">
        <x:v>46253</x:v>
      </x:c>
      <x:c r="K1609" s="10"/>
      <x:c r="L1609" s="22" t="n">
        <x:v>45700</x:v>
      </x:c>
      <x:c r="M1609" s="24" t="n">
        <x:v>0</x:v>
      </x:c>
      <x:c r="N1609" s="24" t="n">
        <x:v>0.4</x:v>
      </x:c>
      <x:c r="O1609" t="str"/>
      <x:c r="P1609" t="n">
        <x:v>3</x:v>
      </x:c>
      <x:c r="Q1609" t="str">
        <x:f>IFERROR(XLOOKUP(E1609,Lookups!$A$5:$A$24,Lookups!$B$5:$B$24),"Other")</x:f>
        <x:v>Organic Search</x:v>
      </x:c>
      <x:c r="R1609" t="str">
        <x:f>IFERROR(XLOOKUP(F1609,Lookups!$D$5:$D$10,Lookups!$E$5:$E$10),"Unknown Product")</x:f>
        <x:v>Analytics Plus</x:v>
      </x:c>
      <x:c r="S1609" t="str">
        <x:f>IFERROR(XLOOKUP(F1609,Lookups!$D$5:$D$10,Lookups!$F$5:$F$10),"Unknown")</x:f>
        <x:v>Analytics</x:v>
      </x:c>
      <x:c r="T1609" t="str">
        <x:f>IF(L1609&gt;=50000,"Enterprise",IF(L1609&gt;=20000,"Mid-Market","SMB"))</x:f>
        <x:v>Mid-Market</x:v>
      </x:c>
      <x:c r="U1609" t="str">
        <x:f>IF(I1609="Closed Won","Won",IF(I1609="Closed Lost","Lost","Open"))</x:f>
        <x:v>Open</x:v>
      </x:c>
      <x:c r="V1609" s="22" t="n">
        <x:f>IF(U1609="Won",L1609*(1-M1609),0)</x:f>
        <x:v>0</x:v>
      </x:c>
      <x:c r="W1609" s="22" t="n">
        <x:f>IF(U1609="Open",L1609*N1609,0)</x:f>
        <x:v>18280</x:v>
      </x:c>
      <x:c r="X1609" s="26" t="str">
        <x:f>IF(U1609="Open","",IFERROR(K1609-B1609,""))</x:f>
      </x:c>
      <x:c r="Y1609" s="26" t="n">
        <x:f>IF(U1609="Open",Lookups!$B$2-B1609,X1609)</x:f>
        <x:v>46</x:v>
      </x:c>
      <x:c r="Z1609" t="str">
        <x:f>IF(AND(U1609="Open",Y1609&gt;30),"STALE","OK")</x:f>
        <x:v>STALE</x:v>
      </x:c>
      <x:c r="AA1609" t="str">
        <x:f>TEXT(B1609,"yyyy-mm")</x:f>
        <x:v>2026-07</x:v>
      </x:c>
      <x:c r="AB1609" t="str">
        <x:f>IF(K1609="","",TEXT(K1609,"yyyy-mm"))</x:f>
      </x:c>
      <x:c r="AC1609" t="str">
        <x:f>"Q"&amp;ROUNDUP(MONTH(B1609)/3,0)&amp;"-"&amp;YEAR(B1609)</x:f>
        <x:v>Q3-2026</x:v>
      </x:c>
      <x:c r="AD1609" s="26" t="n">
        <x:f>MIN(100,IF(H1609="Enterprise",30,IF(H1609="Mid-Market",22,14))+IF(T1609="Enterprise",25,IF(T1609="Mid-Market",18,10))+IF(Q1609="Referral",25,IF(Q1609="Organic Search",20,IF(Q1609="Email",18,14)))+IF(G1609="Technology",10,5))</x:f>
        <x:v>65</x:v>
      </x:c>
      <x:c r="AE1609" t="str">
        <x:f>IF(U1609&lt;&gt;"Open",U1609,IF(N1609&gt;=0.8,"Commit",IF(N1609&gt;=0.5,"Best Case","Pipeline")))</x:f>
        <x:v>Pipeline</x:v>
      </x:c>
    </x:row>
    <x:row r="1610">
      <x:c r="A1610" t="str">
        <x:v>L01609</x:v>
      </x:c>
      <x:c r="B1610" s="10" t="n">
        <x:v>46144</x:v>
      </x:c>
      <x:c r="C1610" t="str">
        <x:v>Ha Vo</x:v>
      </x:c>
      <x:c r="D1610" t="str">
        <x:v>North</x:v>
      </x:c>
      <x:c r="E1610" t="str">
        <x:v>newsletter</x:v>
      </x:c>
      <x:c r="F1610" t="str">
        <x:v>MKT-AUTO</x:v>
      </x:c>
      <x:c r="G1610" t="str">
        <x:v>Technology</x:v>
      </x:c>
      <x:c r="H1610" t="str">
        <x:v>SMB</x:v>
      </x:c>
      <x:c r="I1610" t="str">
        <x:v>Closed Lost</x:v>
      </x:c>
      <x:c r="J1610" s="10" t="n">
        <x:v>46184</x:v>
      </x:c>
      <x:c r="K1610" s="10" t="n">
        <x:v>46184</x:v>
      </x:c>
      <x:c r="L1610" s="22" t="n">
        <x:v>20800</x:v>
      </x:c>
      <x:c r="M1610" s="24" t="n">
        <x:v>0</x:v>
      </x:c>
      <x:c r="N1610" s="24" t="n">
        <x:v>0</x:v>
      </x:c>
      <x:c r="O1610" t="str">
        <x:v>Price</x:v>
      </x:c>
      <x:c r="P1610" t="n">
        <x:v>2</x:v>
      </x:c>
      <x:c r="Q1610" t="str">
        <x:f>IFERROR(XLOOKUP(E1610,Lookups!$A$5:$A$24,Lookups!$B$5:$B$24),"Other")</x:f>
        <x:v>Email</x:v>
      </x:c>
      <x:c r="R1610" t="str">
        <x:f>IFERROR(XLOOKUP(F1610,Lookups!$D$5:$D$10,Lookups!$E$5:$E$10),"Unknown Product")</x:f>
        <x:v>Marketing Automation</x:v>
      </x:c>
      <x:c r="S1610" t="str">
        <x:f>IFERROR(XLOOKUP(F1610,Lookups!$D$5:$D$10,Lookups!$F$5:$F$10),"Unknown")</x:f>
        <x:v>Marketing</x:v>
      </x:c>
      <x:c r="T1610" t="str">
        <x:f>IF(L1610&gt;=50000,"Enterprise",IF(L1610&gt;=20000,"Mid-Market","SMB"))</x:f>
        <x:v>Mid-Market</x:v>
      </x:c>
      <x:c r="U1610" t="str">
        <x:f>IF(I1610="Closed Won","Won",IF(I1610="Closed Lost","Lost","Open"))</x:f>
        <x:v>Lost</x:v>
      </x:c>
      <x:c r="V1610" s="22" t="n">
        <x:f>IF(U1610="Won",L1610*(1-M1610),0)</x:f>
        <x:v>0</x:v>
      </x:c>
      <x:c r="W1610" s="22" t="n">
        <x:f>IF(U1610="Open",L1610*N1610,0)</x:f>
        <x:v>0</x:v>
      </x:c>
      <x:c r="X1610" s="26" t="n">
        <x:f>IF(U1610="Open","",IFERROR(K1610-B1610,""))</x:f>
        <x:v>40</x:v>
      </x:c>
      <x:c r="Y1610" s="26" t="n">
        <x:f>IF(U1610="Open",Lookups!$B$2-B1610,X1610)</x:f>
        <x:v>40</x:v>
      </x:c>
      <x:c r="Z1610" t="str">
        <x:f>IF(AND(U1610="Open",Y1610&gt;30),"STALE","OK")</x:f>
        <x:v>OK</x:v>
      </x:c>
      <x:c r="AA1610" t="str">
        <x:f>TEXT(B1610,"yyyy-mm")</x:f>
        <x:v>2026-05</x:v>
      </x:c>
      <x:c r="AB1610" t="str">
        <x:f>IF(K1610="","",TEXT(K1610,"yyyy-mm"))</x:f>
        <x:v>2026-06</x:v>
      </x:c>
      <x:c r="AC1610" t="str">
        <x:f>"Q"&amp;ROUNDUP(MONTH(B1610)/3,0)&amp;"-"&amp;YEAR(B1610)</x:f>
        <x:v>Q2-2026</x:v>
      </x:c>
      <x:c r="AD1610" s="26" t="n">
        <x:f>MIN(100,IF(H1610="Enterprise",30,IF(H1610="Mid-Market",22,14))+IF(T1610="Enterprise",25,IF(T1610="Mid-Market",18,10))+IF(Q1610="Referral",25,IF(Q1610="Organic Search",20,IF(Q1610="Email",18,14)))+IF(G1610="Technology",10,5))</x:f>
        <x:v>60</x:v>
      </x:c>
      <x:c r="AE1610" t="str">
        <x:f>IF(U1610&lt;&gt;"Open",U1610,IF(N1610&gt;=0.8,"Commit",IF(N1610&gt;=0.5,"Best Case","Pipeline")))</x:f>
        <x:v>Lost</x:v>
      </x:c>
    </x:row>
    <x:row r="1611">
      <x:c r="A1611" t="str">
        <x:v>L01610</x:v>
      </x:c>
      <x:c r="B1611" s="10" t="n">
        <x:v>46197</x:v>
      </x:c>
      <x:c r="C1611" t="str">
        <x:v>Bao Tran</x:v>
      </x:c>
      <x:c r="D1611" t="str">
        <x:v>South</x:v>
      </x:c>
      <x:c r="E1611" t="str">
        <x:v>Google Organic</x:v>
      </x:c>
      <x:c r="F1611" t="str">
        <x:v>MKT-AUTO</x:v>
      </x:c>
      <x:c r="G1611" t="str">
        <x:v>Retail</x:v>
      </x:c>
      <x:c r="H1611" t="str">
        <x:v>Mid-Market</x:v>
      </x:c>
      <x:c r="I1611" t="str">
        <x:v>Qualified</x:v>
      </x:c>
      <x:c r="J1611" s="10" t="n">
        <x:v>46258</x:v>
      </x:c>
      <x:c r="K1611" s="10"/>
      <x:c r="L1611" s="22" t="n">
        <x:v>35300</x:v>
      </x:c>
      <x:c r="M1611" s="24" t="n">
        <x:v>0</x:v>
      </x:c>
      <x:c r="N1611" s="24" t="n">
        <x:v>0.2</x:v>
      </x:c>
      <x:c r="O1611" t="str"/>
      <x:c r="P1611" t="n">
        <x:v>2</x:v>
      </x:c>
      <x:c r="Q1611" t="str">
        <x:f>IFERROR(XLOOKUP(E1611,Lookups!$A$5:$A$24,Lookups!$B$5:$B$24),"Other")</x:f>
        <x:v>Organic Search</x:v>
      </x:c>
      <x:c r="R1611" t="str">
        <x:f>IFERROR(XLOOKUP(F1611,Lookups!$D$5:$D$10,Lookups!$E$5:$E$10),"Unknown Product")</x:f>
        <x:v>Marketing Automation</x:v>
      </x:c>
      <x:c r="S1611" t="str">
        <x:f>IFERROR(XLOOKUP(F1611,Lookups!$D$5:$D$10,Lookups!$F$5:$F$10),"Unknown")</x:f>
        <x:v>Marketing</x:v>
      </x:c>
      <x:c r="T1611" t="str">
        <x:f>IF(L1611&gt;=50000,"Enterprise",IF(L1611&gt;=20000,"Mid-Market","SMB"))</x:f>
        <x:v>Mid-Market</x:v>
      </x:c>
      <x:c r="U1611" t="str">
        <x:f>IF(I1611="Closed Won","Won",IF(I1611="Closed Lost","Lost","Open"))</x:f>
        <x:v>Open</x:v>
      </x:c>
      <x:c r="V1611" s="22" t="n">
        <x:f>IF(U1611="Won",L1611*(1-M1611),0)</x:f>
        <x:v>0</x:v>
      </x:c>
      <x:c r="W1611" s="22" t="n">
        <x:f>IF(U1611="Open",L1611*N1611,0)</x:f>
        <x:v>7060</x:v>
      </x:c>
      <x:c r="X1611" s="26" t="str">
        <x:f>IF(U1611="Open","",IFERROR(K1611-B1611,""))</x:f>
      </x:c>
      <x:c r="Y1611" s="26" t="n">
        <x:f>IF(U1611="Open",Lookups!$B$2-B1611,X1611)</x:f>
        <x:v>69</x:v>
      </x:c>
      <x:c r="Z1611" t="str">
        <x:f>IF(AND(U1611="Open",Y1611&gt;30),"STALE","OK")</x:f>
        <x:v>STALE</x:v>
      </x:c>
      <x:c r="AA1611" t="str">
        <x:f>TEXT(B1611,"yyyy-mm")</x:f>
        <x:v>2026-06</x:v>
      </x:c>
      <x:c r="AB1611" t="str">
        <x:f>IF(K1611="","",TEXT(K1611,"yyyy-mm"))</x:f>
      </x:c>
      <x:c r="AC1611" t="str">
        <x:f>"Q"&amp;ROUNDUP(MONTH(B1611)/3,0)&amp;"-"&amp;YEAR(B1611)</x:f>
        <x:v>Q2-2026</x:v>
      </x:c>
      <x:c r="AD1611" s="26" t="n">
        <x:f>MIN(100,IF(H1611="Enterprise",30,IF(H1611="Mid-Market",22,14))+IF(T1611="Enterprise",25,IF(T1611="Mid-Market",18,10))+IF(Q1611="Referral",25,IF(Q1611="Organic Search",20,IF(Q1611="Email",18,14)))+IF(G1611="Technology",10,5))</x:f>
        <x:v>65</x:v>
      </x:c>
      <x:c r="AE1611" t="str">
        <x:f>IF(U1611&lt;&gt;"Open",U1611,IF(N1611&gt;=0.8,"Commit",IF(N1611&gt;=0.5,"Best Case","Pipeline")))</x:f>
        <x:v>Pipeline</x:v>
      </x:c>
    </x:row>
    <x:row r="1612">
      <x:c r="A1612" t="str">
        <x:v>L01611</x:v>
      </x:c>
      <x:c r="B1612" s="10" t="n">
        <x:v>46210</x:v>
      </x:c>
      <x:c r="C1612" t="str">
        <x:v>Duy Pham</x:v>
      </x:c>
      <x:c r="D1612" t="str">
        <x:v>South</x:v>
      </x:c>
      <x:c r="E1612" t="str">
        <x:v>google cpc</x:v>
      </x:c>
      <x:c r="F1612" t="str">
        <x:v>CS-CLOUD</x:v>
      </x:c>
      <x:c r="G1612" t="str">
        <x:v>Professional Services</x:v>
      </x:c>
      <x:c r="H1612" t="str">
        <x:v>Mid-Market</x:v>
      </x:c>
      <x:c r="I1612" t="str">
        <x:v>Qualified</x:v>
      </x:c>
      <x:c r="J1612" s="10" t="n">
        <x:v>46239</x:v>
      </x:c>
      <x:c r="K1612" s="10"/>
      <x:c r="L1612" s="22" t="n">
        <x:v>41700</x:v>
      </x:c>
      <x:c r="M1612" s="24" t="n">
        <x:v>0</x:v>
      </x:c>
      <x:c r="N1612" s="24" t="n">
        <x:v>0.2</x:v>
      </x:c>
      <x:c r="O1612" t="str"/>
      <x:c r="P1612" t="n">
        <x:v>2</x:v>
      </x:c>
      <x:c r="Q1612" t="str">
        <x:f>IFERROR(XLOOKUP(E1612,Lookups!$A$5:$A$24,Lookups!$B$5:$B$24),"Other")</x:f>
        <x:v>Paid Search</x:v>
      </x:c>
      <x:c r="R1612" t="str">
        <x:f>IFERROR(XLOOKUP(F1612,Lookups!$D$5:$D$10,Lookups!$E$5:$E$10),"Unknown Product")</x:f>
        <x:v>Service Cloud</x:v>
      </x:c>
      <x:c r="S1612" t="str">
        <x:f>IFERROR(XLOOKUP(F1612,Lookups!$D$5:$D$10,Lookups!$F$5:$F$10),"Unknown")</x:f>
        <x:v>Customer Service</x:v>
      </x:c>
      <x:c r="T1612" t="str">
        <x:f>IF(L1612&gt;=50000,"Enterprise",IF(L1612&gt;=20000,"Mid-Market","SMB"))</x:f>
        <x:v>Mid-Market</x:v>
      </x:c>
      <x:c r="U1612" t="str">
        <x:f>IF(I1612="Closed Won","Won",IF(I1612="Closed Lost","Lost","Open"))</x:f>
        <x:v>Open</x:v>
      </x:c>
      <x:c r="V1612" s="22" t="n">
        <x:f>IF(U1612="Won",L1612*(1-M1612),0)</x:f>
        <x:v>0</x:v>
      </x:c>
      <x:c r="W1612" s="22" t="n">
        <x:f>IF(U1612="Open",L1612*N1612,0)</x:f>
        <x:v>8340</x:v>
      </x:c>
      <x:c r="X1612" s="26" t="str">
        <x:f>IF(U1612="Open","",IFERROR(K1612-B1612,""))</x:f>
      </x:c>
      <x:c r="Y1612" s="26" t="n">
        <x:f>IF(U1612="Open",Lookups!$B$2-B1612,X1612)</x:f>
        <x:v>56</x:v>
      </x:c>
      <x:c r="Z1612" t="str">
        <x:f>IF(AND(U1612="Open",Y1612&gt;30),"STALE","OK")</x:f>
        <x:v>STALE</x:v>
      </x:c>
      <x:c r="AA1612" t="str">
        <x:f>TEXT(B1612,"yyyy-mm")</x:f>
        <x:v>2026-07</x:v>
      </x:c>
      <x:c r="AB1612" t="str">
        <x:f>IF(K1612="","",TEXT(K1612,"yyyy-mm"))</x:f>
      </x:c>
      <x:c r="AC1612" t="str">
        <x:f>"Q"&amp;ROUNDUP(MONTH(B1612)/3,0)&amp;"-"&amp;YEAR(B1612)</x:f>
        <x:v>Q3-2026</x:v>
      </x:c>
      <x:c r="AD1612" s="26" t="n">
        <x:f>MIN(100,IF(H1612="Enterprise",30,IF(H1612="Mid-Market",22,14))+IF(T1612="Enterprise",25,IF(T1612="Mid-Market",18,10))+IF(Q1612="Referral",25,IF(Q1612="Organic Search",20,IF(Q1612="Email",18,14)))+IF(G1612="Technology",10,5))</x:f>
        <x:v>59</x:v>
      </x:c>
      <x:c r="AE1612" t="str">
        <x:f>IF(U1612&lt;&gt;"Open",U1612,IF(N1612&gt;=0.8,"Commit",IF(N1612&gt;=0.5,"Best Case","Pipeline")))</x:f>
        <x:v>Pipeline</x:v>
      </x:c>
    </x:row>
    <x:row r="1613">
      <x:c r="A1613" t="str">
        <x:v>L01612</x:v>
      </x:c>
      <x:c r="B1613" s="10" t="n">
        <x:v>46028</x:v>
      </x:c>
      <x:c r="C1613" t="str">
        <x:v>Tuan Bui</x:v>
      </x:c>
      <x:c r="D1613" t="str">
        <x:v>Central</x:v>
      </x:c>
      <x:c r="E1613" t="str">
        <x:v>virtual event</x:v>
      </x:c>
      <x:c r="F1613" t="str">
        <x:v>REV-OPS</x:v>
      </x:c>
      <x:c r="G1613" t="str">
        <x:v>Professional Services</x:v>
      </x:c>
      <x:c r="H1613" t="str">
        <x:v>Mid-Market</x:v>
      </x:c>
      <x:c r="I1613" t="str">
        <x:v>Closed Lost</x:v>
      </x:c>
      <x:c r="J1613" s="10" t="n">
        <x:v>46064</x:v>
      </x:c>
      <x:c r="K1613" s="10" t="n">
        <x:v>46064</x:v>
      </x:c>
      <x:c r="L1613" s="22" t="n">
        <x:v>73100</x:v>
      </x:c>
      <x:c r="M1613" s="24" t="n">
        <x:v>0</x:v>
      </x:c>
      <x:c r="N1613" s="24" t="n">
        <x:v>0</x:v>
      </x:c>
      <x:c r="O1613" t="str">
        <x:v>Competitor</x:v>
      </x:c>
      <x:c r="P1613" t="n">
        <x:v>4</x:v>
      </x:c>
      <x:c r="Q1613" t="str">
        <x:f>IFERROR(XLOOKUP(E1613,Lookups!$A$5:$A$24,Lookups!$B$5:$B$24),"Other")</x:f>
        <x:v>Webinar</x:v>
      </x:c>
      <x:c r="R1613" t="str">
        <x:f>IFERROR(XLOOKUP(F1613,Lookups!$D$5:$D$10,Lookups!$E$5:$E$10),"Unknown Product")</x:f>
        <x:v>Revenue Operations Suite</x:v>
      </x:c>
      <x:c r="S1613" t="str">
        <x:f>IFERROR(XLOOKUP(F1613,Lookups!$D$5:$D$10,Lookups!$F$5:$F$10),"Unknown")</x:f>
        <x:v>Revenue Ops</x:v>
      </x:c>
      <x:c r="T1613" t="str">
        <x:f>IF(L1613&gt;=50000,"Enterprise",IF(L1613&gt;=20000,"Mid-Market","SMB"))</x:f>
        <x:v>Enterprise</x:v>
      </x:c>
      <x:c r="U1613" t="str">
        <x:f>IF(I1613="Closed Won","Won",IF(I1613="Closed Lost","Lost","Open"))</x:f>
        <x:v>Lost</x:v>
      </x:c>
      <x:c r="V1613" s="22" t="n">
        <x:f>IF(U1613="Won",L1613*(1-M1613),0)</x:f>
        <x:v>0</x:v>
      </x:c>
      <x:c r="W1613" s="22" t="n">
        <x:f>IF(U1613="Open",L1613*N1613,0)</x:f>
        <x:v>0</x:v>
      </x:c>
      <x:c r="X1613" s="26" t="n">
        <x:f>IF(U1613="Open","",IFERROR(K1613-B1613,""))</x:f>
        <x:v>36</x:v>
      </x:c>
      <x:c r="Y1613" s="26" t="n">
        <x:f>IF(U1613="Open",Lookups!$B$2-B1613,X1613)</x:f>
        <x:v>36</x:v>
      </x:c>
      <x:c r="Z1613" t="str">
        <x:f>IF(AND(U1613="Open",Y1613&gt;30),"STALE","OK")</x:f>
        <x:v>OK</x:v>
      </x:c>
      <x:c r="AA1613" t="str">
        <x:f>TEXT(B1613,"yyyy-mm")</x:f>
        <x:v>2026-01</x:v>
      </x:c>
      <x:c r="AB1613" t="str">
        <x:f>IF(K1613="","",TEXT(K1613,"yyyy-mm"))</x:f>
        <x:v>2026-02</x:v>
      </x:c>
      <x:c r="AC1613" t="str">
        <x:f>"Q"&amp;ROUNDUP(MONTH(B1613)/3,0)&amp;"-"&amp;YEAR(B1613)</x:f>
        <x:v>Q1-2026</x:v>
      </x:c>
      <x:c r="AD1613" s="26" t="n">
        <x:f>MIN(100,IF(H1613="Enterprise",30,IF(H1613="Mid-Market",22,14))+IF(T1613="Enterprise",25,IF(T1613="Mid-Market",18,10))+IF(Q1613="Referral",25,IF(Q1613="Organic Search",20,IF(Q1613="Email",18,14)))+IF(G1613="Technology",10,5))</x:f>
        <x:v>66</x:v>
      </x:c>
      <x:c r="AE1613" t="str">
        <x:f>IF(U1613&lt;&gt;"Open",U1613,IF(N1613&gt;=0.8,"Commit",IF(N1613&gt;=0.5,"Best Case","Pipeline")))</x:f>
        <x:v>Lost</x:v>
      </x:c>
    </x:row>
    <x:row r="1614">
      <x:c r="A1614" t="str">
        <x:v>L01613</x:v>
      </x:c>
      <x:c r="B1614" s="10" t="n">
        <x:v>45912</x:v>
      </x:c>
      <x:c r="C1614" t="str">
        <x:v>Tuan Bui</x:v>
      </x:c>
      <x:c r="D1614" t="str">
        <x:v>Central</x:v>
      </x:c>
      <x:c r="E1614" t="str">
        <x:v>Referral</x:v>
      </x:c>
      <x:c r="F1614" t="str">
        <x:v>CS-CLOUD</x:v>
      </x:c>
      <x:c r="G1614" t="str">
        <x:v>Education</x:v>
      </x:c>
      <x:c r="H1614" t="str">
        <x:v>Mid-Market</x:v>
      </x:c>
      <x:c r="I1614" t="str">
        <x:v>Closed Lost</x:v>
      </x:c>
      <x:c r="J1614" s="10" t="n">
        <x:v>45948</x:v>
      </x:c>
      <x:c r="K1614" s="10" t="n">
        <x:v>45948</x:v>
      </x:c>
      <x:c r="L1614" s="22" t="n">
        <x:v>46100</x:v>
      </x:c>
      <x:c r="M1614" s="24" t="n">
        <x:v>0</x:v>
      </x:c>
      <x:c r="N1614" s="24" t="n">
        <x:v>0</x:v>
      </x:c>
      <x:c r="O1614" t="str">
        <x:v>Competitor</x:v>
      </x:c>
      <x:c r="P1614" t="n">
        <x:v>3</x:v>
      </x:c>
      <x:c r="Q1614" t="str">
        <x:f>IFERROR(XLOOKUP(E1614,Lookups!$A$5:$A$24,Lookups!$B$5:$B$24),"Other")</x:f>
        <x:v>Referral</x:v>
      </x:c>
      <x:c r="R1614" t="str">
        <x:f>IFERROR(XLOOKUP(F1614,Lookups!$D$5:$D$10,Lookups!$E$5:$E$10),"Unknown Product")</x:f>
        <x:v>Service Cloud</x:v>
      </x:c>
      <x:c r="S1614" t="str">
        <x:f>IFERROR(XLOOKUP(F1614,Lookups!$D$5:$D$10,Lookups!$F$5:$F$10),"Unknown")</x:f>
        <x:v>Customer Service</x:v>
      </x:c>
      <x:c r="T1614" t="str">
        <x:f>IF(L1614&gt;=50000,"Enterprise",IF(L1614&gt;=20000,"Mid-Market","SMB"))</x:f>
        <x:v>Mid-Market</x:v>
      </x:c>
      <x:c r="U1614" t="str">
        <x:f>IF(I1614="Closed Won","Won",IF(I1614="Closed Lost","Lost","Open"))</x:f>
        <x:v>Lost</x:v>
      </x:c>
      <x:c r="V1614" s="22" t="n">
        <x:f>IF(U1614="Won",L1614*(1-M1614),0)</x:f>
        <x:v>0</x:v>
      </x:c>
      <x:c r="W1614" s="22" t="n">
        <x:f>IF(U1614="Open",L1614*N1614,0)</x:f>
        <x:v>0</x:v>
      </x:c>
      <x:c r="X1614" s="26" t="n">
        <x:f>IF(U1614="Open","",IFERROR(K1614-B1614,""))</x:f>
        <x:v>36</x:v>
      </x:c>
      <x:c r="Y1614" s="26" t="n">
        <x:f>IF(U1614="Open",Lookups!$B$2-B1614,X1614)</x:f>
        <x:v>36</x:v>
      </x:c>
      <x:c r="Z1614" t="str">
        <x:f>IF(AND(U1614="Open",Y1614&gt;30),"STALE","OK")</x:f>
        <x:v>OK</x:v>
      </x:c>
      <x:c r="AA1614" t="str">
        <x:f>TEXT(B1614,"yyyy-mm")</x:f>
        <x:v>2025-09</x:v>
      </x:c>
      <x:c r="AB1614" t="str">
        <x:f>IF(K1614="","",TEXT(K1614,"yyyy-mm"))</x:f>
        <x:v>2025-10</x:v>
      </x:c>
      <x:c r="AC1614" t="str">
        <x:f>"Q"&amp;ROUNDUP(MONTH(B1614)/3,0)&amp;"-"&amp;YEAR(B1614)</x:f>
        <x:v>Q3-2025</x:v>
      </x:c>
      <x:c r="AD1614" s="26" t="n">
        <x:f>MIN(100,IF(H1614="Enterprise",30,IF(H1614="Mid-Market",22,14))+IF(T1614="Enterprise",25,IF(T1614="Mid-Market",18,10))+IF(Q1614="Referral",25,IF(Q1614="Organic Search",20,IF(Q1614="Email",18,14)))+IF(G1614="Technology",10,5))</x:f>
        <x:v>70</x:v>
      </x:c>
      <x:c r="AE1614" t="str">
        <x:f>IF(U1614&lt;&gt;"Open",U1614,IF(N1614&gt;=0.8,"Commit",IF(N1614&gt;=0.5,"Best Case","Pipeline")))</x:f>
        <x:v>Lost</x:v>
      </x:c>
    </x:row>
    <x:row r="1615">
      <x:c r="A1615" t="str">
        <x:v>L01614</x:v>
      </x:c>
      <x:c r="B1615" s="10" t="n">
        <x:v>45727</x:v>
      </x:c>
      <x:c r="C1615" t="str">
        <x:v>Minh Do</x:v>
      </x:c>
      <x:c r="D1615" t="str">
        <x:v>North</x:v>
      </x:c>
      <x:c r="E1615" t="str">
        <x:v>Email Campaign</x:v>
      </x:c>
      <x:c r="F1615" t="str">
        <x:v>BI-PLUS</x:v>
      </x:c>
      <x:c r="G1615" t="str">
        <x:v>Technology</x:v>
      </x:c>
      <x:c r="H1615" t="str">
        <x:v>SMB</x:v>
      </x:c>
      <x:c r="I1615" t="str">
        <x:v>Closed Lost</x:v>
      </x:c>
      <x:c r="J1615" s="10" t="n">
        <x:v>45735</x:v>
      </x:c>
      <x:c r="K1615" s="10" t="n">
        <x:v>45735</x:v>
      </x:c>
      <x:c r="L1615" s="22" t="n">
        <x:v>24300</x:v>
      </x:c>
      <x:c r="M1615" s="24" t="n">
        <x:v>0</x:v>
      </x:c>
      <x:c r="N1615" s="24" t="n">
        <x:v>0</x:v>
      </x:c>
      <x:c r="O1615" t="str">
        <x:v>Price</x:v>
      </x:c>
      <x:c r="P1615" t="n">
        <x:v>2</x:v>
      </x:c>
      <x:c r="Q1615" t="str">
        <x:f>IFERROR(XLOOKUP(E1615,Lookups!$A$5:$A$24,Lookups!$B$5:$B$24),"Other")</x:f>
        <x:v>Email</x:v>
      </x:c>
      <x:c r="R1615" t="str">
        <x:f>IFERROR(XLOOKUP(F1615,Lookups!$D$5:$D$10,Lookups!$E$5:$E$10),"Unknown Product")</x:f>
        <x:v>Analytics Plus</x:v>
      </x:c>
      <x:c r="S1615" t="str">
        <x:f>IFERROR(XLOOKUP(F1615,Lookups!$D$5:$D$10,Lookups!$F$5:$F$10),"Unknown")</x:f>
        <x:v>Analytics</x:v>
      </x:c>
      <x:c r="T1615" t="str">
        <x:f>IF(L1615&gt;=50000,"Enterprise",IF(L1615&gt;=20000,"Mid-Market","SMB"))</x:f>
        <x:v>Mid-Market</x:v>
      </x:c>
      <x:c r="U1615" t="str">
        <x:f>IF(I1615="Closed Won","Won",IF(I1615="Closed Lost","Lost","Open"))</x:f>
        <x:v>Lost</x:v>
      </x:c>
      <x:c r="V1615" s="22" t="n">
        <x:f>IF(U1615="Won",L1615*(1-M1615),0)</x:f>
        <x:v>0</x:v>
      </x:c>
      <x:c r="W1615" s="22" t="n">
        <x:f>IF(U1615="Open",L1615*N1615,0)</x:f>
        <x:v>0</x:v>
      </x:c>
      <x:c r="X1615" s="26" t="n">
        <x:f>IF(U1615="Open","",IFERROR(K1615-B1615,""))</x:f>
        <x:v>8</x:v>
      </x:c>
      <x:c r="Y1615" s="26" t="n">
        <x:f>IF(U1615="Open",Lookups!$B$2-B1615,X1615)</x:f>
        <x:v>8</x:v>
      </x:c>
      <x:c r="Z1615" t="str">
        <x:f>IF(AND(U1615="Open",Y1615&gt;30),"STALE","OK")</x:f>
        <x:v>OK</x:v>
      </x:c>
      <x:c r="AA1615" t="str">
        <x:f>TEXT(B1615,"yyyy-mm")</x:f>
        <x:v>2025-03</x:v>
      </x:c>
      <x:c r="AB1615" t="str">
        <x:f>IF(K1615="","",TEXT(K1615,"yyyy-mm"))</x:f>
        <x:v>2025-03</x:v>
      </x:c>
      <x:c r="AC1615" t="str">
        <x:f>"Q"&amp;ROUNDUP(MONTH(B1615)/3,0)&amp;"-"&amp;YEAR(B1615)</x:f>
        <x:v>Q1-2025</x:v>
      </x:c>
      <x:c r="AD1615" s="26" t="n">
        <x:f>MIN(100,IF(H1615="Enterprise",30,IF(H1615="Mid-Market",22,14))+IF(T1615="Enterprise",25,IF(T1615="Mid-Market",18,10))+IF(Q1615="Referral",25,IF(Q1615="Organic Search",20,IF(Q1615="Email",18,14)))+IF(G1615="Technology",10,5))</x:f>
        <x:v>60</x:v>
      </x:c>
      <x:c r="AE1615" t="str">
        <x:f>IF(U1615&lt;&gt;"Open",U1615,IF(N1615&gt;=0.8,"Commit",IF(N1615&gt;=0.5,"Best Case","Pipeline")))</x:f>
        <x:v>Lost</x:v>
      </x:c>
    </x:row>
    <x:row r="1616">
      <x:c r="A1616" t="str">
        <x:v>L01615</x:v>
      </x:c>
      <x:c r="B1616" s="10" t="n">
        <x:v>46081</x:v>
      </x:c>
      <x:c r="C1616" t="str">
        <x:v>Tuan Bui</x:v>
      </x:c>
      <x:c r="D1616" t="str">
        <x:v>Central</x:v>
      </x:c>
      <x:c r="E1616" t="str">
        <x:v>LI Ads</x:v>
      </x:c>
      <x:c r="F1616" t="str">
        <x:v>CRM-CORE</x:v>
      </x:c>
      <x:c r="G1616" t="str">
        <x:v>Healthcare</x:v>
      </x:c>
      <x:c r="H1616" t="str">
        <x:v>SMB</x:v>
      </x:c>
      <x:c r="I1616" t="str">
        <x:v>Closed Won</x:v>
      </x:c>
      <x:c r="J1616" s="10" t="n">
        <x:v>46093</x:v>
      </x:c>
      <x:c r="K1616" s="10" t="n">
        <x:v>46093</x:v>
      </x:c>
      <x:c r="L1616" s="22" t="n">
        <x:v>4600</x:v>
      </x:c>
      <x:c r="M1616" s="24" t="n">
        <x:v>0</x:v>
      </x:c>
      <x:c r="N1616" s="24" t="n">
        <x:v>1</x:v>
      </x:c>
      <x:c r="O1616" t="str"/>
      <x:c r="P1616" t="n">
        <x:v>6</x:v>
      </x:c>
      <x:c r="Q1616" t="str">
        <x:f>IFERROR(XLOOKUP(E1616,Lookups!$A$5:$A$24,Lookups!$B$5:$B$24),"Other")</x:f>
        <x:v>LinkedIn</x:v>
      </x:c>
      <x:c r="R1616" t="str">
        <x:f>IFERROR(XLOOKUP(F1616,Lookups!$D$5:$D$10,Lookups!$E$5:$E$10),"Unknown Product")</x:f>
        <x:v>NexaCRM Core</x:v>
      </x:c>
      <x:c r="S1616" t="str">
        <x:f>IFERROR(XLOOKUP(F1616,Lookups!$D$5:$D$10,Lookups!$F$5:$F$10),"Unknown")</x:f>
        <x:v>CRM</x:v>
      </x:c>
      <x:c r="T1616" t="str">
        <x:f>IF(L1616&gt;=50000,"Enterprise",IF(L1616&gt;=20000,"Mid-Market","SMB"))</x:f>
        <x:v>SMB</x:v>
      </x:c>
      <x:c r="U1616" t="str">
        <x:f>IF(I1616="Closed Won","Won",IF(I1616="Closed Lost","Lost","Open"))</x:f>
        <x:v>Won</x:v>
      </x:c>
      <x:c r="V1616" s="22" t="n">
        <x:f>IF(U1616="Won",L1616*(1-M1616),0)</x:f>
        <x:v>4600</x:v>
      </x:c>
      <x:c r="W1616" s="22" t="n">
        <x:f>IF(U1616="Open",L1616*N1616,0)</x:f>
        <x:v>0</x:v>
      </x:c>
      <x:c r="X1616" s="26" t="n">
        <x:f>IF(U1616="Open","",IFERROR(K1616-B1616,""))</x:f>
        <x:v>12</x:v>
      </x:c>
      <x:c r="Y1616" s="26" t="n">
        <x:f>IF(U1616="Open",Lookups!$B$2-B1616,X1616)</x:f>
        <x:v>12</x:v>
      </x:c>
      <x:c r="Z1616" t="str">
        <x:f>IF(AND(U1616="Open",Y1616&gt;30),"STALE","OK")</x:f>
        <x:v>OK</x:v>
      </x:c>
      <x:c r="AA1616" t="str">
        <x:f>TEXT(B1616,"yyyy-mm")</x:f>
        <x:v>2026-02</x:v>
      </x:c>
      <x:c r="AB1616" t="str">
        <x:f>IF(K1616="","",TEXT(K1616,"yyyy-mm"))</x:f>
        <x:v>2026-03</x:v>
      </x:c>
      <x:c r="AC1616" t="str">
        <x:f>"Q"&amp;ROUNDUP(MONTH(B1616)/3,0)&amp;"-"&amp;YEAR(B1616)</x:f>
        <x:v>Q1-2026</x:v>
      </x:c>
      <x:c r="AD1616" s="26" t="n">
        <x:f>MIN(100,IF(H1616="Enterprise",30,IF(H1616="Mid-Market",22,14))+IF(T1616="Enterprise",25,IF(T1616="Mid-Market",18,10))+IF(Q1616="Referral",25,IF(Q1616="Organic Search",20,IF(Q1616="Email",18,14)))+IF(G1616="Technology",10,5))</x:f>
        <x:v>43</x:v>
      </x:c>
      <x:c r="AE1616" t="str">
        <x:f>IF(U1616&lt;&gt;"Open",U1616,IF(N1616&gt;=0.8,"Commit",IF(N1616&gt;=0.5,"Best Case","Pipeline")))</x:f>
        <x:v>Won</x:v>
      </x:c>
    </x:row>
    <x:row r="1617">
      <x:c r="A1617" t="str">
        <x:v>L01616</x:v>
      </x:c>
      <x:c r="B1617" s="10" t="n">
        <x:v>45660</x:v>
      </x:c>
      <x:c r="C1617" t="str">
        <x:v>Ha Vo</x:v>
      </x:c>
      <x:c r="D1617" t="str">
        <x:v>North</x:v>
      </x:c>
      <x:c r="E1617" t="str">
        <x:v>Partner Referral</x:v>
      </x:c>
      <x:c r="F1617" t="str">
        <x:v>CRM-PRO</x:v>
      </x:c>
      <x:c r="G1617" t="str">
        <x:v>Professional Services</x:v>
      </x:c>
      <x:c r="H1617" t="str">
        <x:v>Mid-Market</x:v>
      </x:c>
      <x:c r="I1617" t="str">
        <x:v>Closed Lost</x:v>
      </x:c>
      <x:c r="J1617" s="10" t="n">
        <x:v>45717</x:v>
      </x:c>
      <x:c r="K1617" s="10" t="n">
        <x:v>45717</x:v>
      </x:c>
      <x:c r="L1617" s="22" t="n">
        <x:v>25600</x:v>
      </x:c>
      <x:c r="M1617" s="24" t="n">
        <x:v>0</x:v>
      </x:c>
      <x:c r="N1617" s="24" t="n">
        <x:v>0</x:v>
      </x:c>
      <x:c r="O1617" t="str">
        <x:v>Competitor</x:v>
      </x:c>
      <x:c r="P1617" t="n">
        <x:v>3</x:v>
      </x:c>
      <x:c r="Q1617" t="str">
        <x:f>IFERROR(XLOOKUP(E1617,Lookups!$A$5:$A$24,Lookups!$B$5:$B$24),"Other")</x:f>
        <x:v>Referral</x:v>
      </x:c>
      <x:c r="R1617" t="str">
        <x:f>IFERROR(XLOOKUP(F1617,Lookups!$D$5:$D$10,Lookups!$E$5:$E$10),"Unknown Product")</x:f>
        <x:v>NexaCRM Pro</x:v>
      </x:c>
      <x:c r="S1617" t="str">
        <x:f>IFERROR(XLOOKUP(F1617,Lookups!$D$5:$D$10,Lookups!$F$5:$F$10),"Unknown")</x:f>
        <x:v>CRM</x:v>
      </x:c>
      <x:c r="T1617" t="str">
        <x:f>IF(L1617&gt;=50000,"Enterprise",IF(L1617&gt;=20000,"Mid-Market","SMB"))</x:f>
        <x:v>Mid-Market</x:v>
      </x:c>
      <x:c r="U1617" t="str">
        <x:f>IF(I1617="Closed Won","Won",IF(I1617="Closed Lost","Lost","Open"))</x:f>
        <x:v>Lost</x:v>
      </x:c>
      <x:c r="V1617" s="22" t="n">
        <x:f>IF(U1617="Won",L1617*(1-M1617),0)</x:f>
        <x:v>0</x:v>
      </x:c>
      <x:c r="W1617" s="22" t="n">
        <x:f>IF(U1617="Open",L1617*N1617,0)</x:f>
        <x:v>0</x:v>
      </x:c>
      <x:c r="X1617" s="26" t="n">
        <x:f>IF(U1617="Open","",IFERROR(K1617-B1617,""))</x:f>
        <x:v>57</x:v>
      </x:c>
      <x:c r="Y1617" s="26" t="n">
        <x:f>IF(U1617="Open",Lookups!$B$2-B1617,X1617)</x:f>
        <x:v>57</x:v>
      </x:c>
      <x:c r="Z1617" t="str">
        <x:f>IF(AND(U1617="Open",Y1617&gt;30),"STALE","OK")</x:f>
        <x:v>OK</x:v>
      </x:c>
      <x:c r="AA1617" t="str">
        <x:f>TEXT(B1617,"yyyy-mm")</x:f>
        <x:v>2025-01</x:v>
      </x:c>
      <x:c r="AB1617" t="str">
        <x:f>IF(K1617="","",TEXT(K1617,"yyyy-mm"))</x:f>
        <x:v>2025-03</x:v>
      </x:c>
      <x:c r="AC1617" t="str">
        <x:f>"Q"&amp;ROUNDUP(MONTH(B1617)/3,0)&amp;"-"&amp;YEAR(B1617)</x:f>
        <x:v>Q1-2025</x:v>
      </x:c>
      <x:c r="AD1617" s="26" t="n">
        <x:f>MIN(100,IF(H1617="Enterprise",30,IF(H1617="Mid-Market",22,14))+IF(T1617="Enterprise",25,IF(T1617="Mid-Market",18,10))+IF(Q1617="Referral",25,IF(Q1617="Organic Search",20,IF(Q1617="Email",18,14)))+IF(G1617="Technology",10,5))</x:f>
        <x:v>70</x:v>
      </x:c>
      <x:c r="AE1617" t="str">
        <x:f>IF(U1617&lt;&gt;"Open",U1617,IF(N1617&gt;=0.8,"Commit",IF(N1617&gt;=0.5,"Best Case","Pipeline")))</x:f>
        <x:v>Lost</x:v>
      </x:c>
    </x:row>
    <x:row r="1618">
      <x:c r="A1618" t="str">
        <x:v>L01617</x:v>
      </x:c>
      <x:c r="B1618" s="10" t="n">
        <x:v>46064</x:v>
      </x:c>
      <x:c r="C1618" t="str">
        <x:v>Bao Tran</x:v>
      </x:c>
      <x:c r="D1618" t="str">
        <x:v>South</x:v>
      </x:c>
      <x:c r="E1618" t="str">
        <x:v>Partner Referral</x:v>
      </x:c>
      <x:c r="F1618" t="str">
        <x:v>BI-PLUS</x:v>
      </x:c>
      <x:c r="G1618" t="str">
        <x:v>Technology</x:v>
      </x:c>
      <x:c r="H1618" t="str">
        <x:v>SMB</x:v>
      </x:c>
      <x:c r="I1618" t="str">
        <x:v>Closed Won</x:v>
      </x:c>
      <x:c r="J1618" s="10" t="n">
        <x:v>46102</x:v>
      </x:c>
      <x:c r="K1618" s="10" t="n">
        <x:v>46102</x:v>
      </x:c>
      <x:c r="L1618" s="22" t="n">
        <x:v>15500</x:v>
      </x:c>
      <x:c r="M1618" s="24" t="n">
        <x:v>0.05</x:v>
      </x:c>
      <x:c r="N1618" s="24" t="n">
        <x:v>1</x:v>
      </x:c>
      <x:c r="O1618" t="str"/>
      <x:c r="P1618" t="n">
        <x:v>6</x:v>
      </x:c>
      <x:c r="Q1618" t="str">
        <x:f>IFERROR(XLOOKUP(E1618,Lookups!$A$5:$A$24,Lookups!$B$5:$B$24),"Other")</x:f>
        <x:v>Referral</x:v>
      </x:c>
      <x:c r="R1618" t="str">
        <x:f>IFERROR(XLOOKUP(F1618,Lookups!$D$5:$D$10,Lookups!$E$5:$E$10),"Unknown Product")</x:f>
        <x:v>Analytics Plus</x:v>
      </x:c>
      <x:c r="S1618" t="str">
        <x:f>IFERROR(XLOOKUP(F1618,Lookups!$D$5:$D$10,Lookups!$F$5:$F$10),"Unknown")</x:f>
        <x:v>Analytics</x:v>
      </x:c>
      <x:c r="T1618" t="str">
        <x:f>IF(L1618&gt;=50000,"Enterprise",IF(L1618&gt;=20000,"Mid-Market","SMB"))</x:f>
        <x:v>SMB</x:v>
      </x:c>
      <x:c r="U1618" t="str">
        <x:f>IF(I1618="Closed Won","Won",IF(I1618="Closed Lost","Lost","Open"))</x:f>
        <x:v>Won</x:v>
      </x:c>
      <x:c r="V1618" s="22" t="n">
        <x:f>IF(U1618="Won",L1618*(1-M1618),0)</x:f>
        <x:v>14725</x:v>
      </x:c>
      <x:c r="W1618" s="22" t="n">
        <x:f>IF(U1618="Open",L1618*N1618,0)</x:f>
        <x:v>0</x:v>
      </x:c>
      <x:c r="X1618" s="26" t="n">
        <x:f>IF(U1618="Open","",IFERROR(K1618-B1618,""))</x:f>
        <x:v>38</x:v>
      </x:c>
      <x:c r="Y1618" s="26" t="n">
        <x:f>IF(U1618="Open",Lookups!$B$2-B1618,X1618)</x:f>
        <x:v>38</x:v>
      </x:c>
      <x:c r="Z1618" t="str">
        <x:f>IF(AND(U1618="Open",Y1618&gt;30),"STALE","OK")</x:f>
        <x:v>OK</x:v>
      </x:c>
      <x:c r="AA1618" t="str">
        <x:f>TEXT(B1618,"yyyy-mm")</x:f>
        <x:v>2026-02</x:v>
      </x:c>
      <x:c r="AB1618" t="str">
        <x:f>IF(K1618="","",TEXT(K1618,"yyyy-mm"))</x:f>
        <x:v>2026-03</x:v>
      </x:c>
      <x:c r="AC1618" t="str">
        <x:f>"Q"&amp;ROUNDUP(MONTH(B1618)/3,0)&amp;"-"&amp;YEAR(B1618)</x:f>
        <x:v>Q1-2026</x:v>
      </x:c>
      <x:c r="AD1618" s="26" t="n">
        <x:f>MIN(100,IF(H1618="Enterprise",30,IF(H1618="Mid-Market",22,14))+IF(T1618="Enterprise",25,IF(T1618="Mid-Market",18,10))+IF(Q1618="Referral",25,IF(Q1618="Organic Search",20,IF(Q1618="Email",18,14)))+IF(G1618="Technology",10,5))</x:f>
        <x:v>59</x:v>
      </x:c>
      <x:c r="AE1618" t="str">
        <x:f>IF(U1618&lt;&gt;"Open",U1618,IF(N1618&gt;=0.8,"Commit",IF(N1618&gt;=0.5,"Best Case","Pipeline")))</x:f>
        <x:v>Won</x:v>
      </x:c>
    </x:row>
    <x:row r="1619">
      <x:c r="A1619" t="str">
        <x:v>L01618</x:v>
      </x:c>
      <x:c r="B1619" s="10" t="n">
        <x:v>46142</x:v>
      </x:c>
      <x:c r="C1619" t="str">
        <x:v>Duy Pham</x:v>
      </x:c>
      <x:c r="D1619" t="str">
        <x:v>South</x:v>
      </x:c>
      <x:c r="E1619" t="str">
        <x:v>google cpc</x:v>
      </x:c>
      <x:c r="F1619" t="str">
        <x:v>BI-PLUS</x:v>
      </x:c>
      <x:c r="G1619" t="str">
        <x:v>Technology</x:v>
      </x:c>
      <x:c r="H1619" t="str">
        <x:v>Mid-Market</x:v>
      </x:c>
      <x:c r="I1619" t="str">
        <x:v>Proposal</x:v>
      </x:c>
      <x:c r="J1619" s="10" t="n">
        <x:v>46201</x:v>
      </x:c>
      <x:c r="K1619" s="10"/>
      <x:c r="L1619" s="22" t="n">
        <x:v>38500</x:v>
      </x:c>
      <x:c r="M1619" s="24" t="n">
        <x:v>0.05</x:v>
      </x:c>
      <x:c r="N1619" s="24" t="n">
        <x:v>0.65</x:v>
      </x:c>
      <x:c r="O1619" t="str"/>
      <x:c r="P1619" t="n">
        <x:v>4</x:v>
      </x:c>
      <x:c r="Q1619" t="str">
        <x:f>IFERROR(XLOOKUP(E1619,Lookups!$A$5:$A$24,Lookups!$B$5:$B$24),"Other")</x:f>
        <x:v>Paid Search</x:v>
      </x:c>
      <x:c r="R1619" t="str">
        <x:f>IFERROR(XLOOKUP(F1619,Lookups!$D$5:$D$10,Lookups!$E$5:$E$10),"Unknown Product")</x:f>
        <x:v>Analytics Plus</x:v>
      </x:c>
      <x:c r="S1619" t="str">
        <x:f>IFERROR(XLOOKUP(F1619,Lookups!$D$5:$D$10,Lookups!$F$5:$F$10),"Unknown")</x:f>
        <x:v>Analytics</x:v>
      </x:c>
      <x:c r="T1619" t="str">
        <x:f>IF(L1619&gt;=50000,"Enterprise",IF(L1619&gt;=20000,"Mid-Market","SMB"))</x:f>
        <x:v>Mid-Market</x:v>
      </x:c>
      <x:c r="U1619" t="str">
        <x:f>IF(I1619="Closed Won","Won",IF(I1619="Closed Lost","Lost","Open"))</x:f>
        <x:v>Open</x:v>
      </x:c>
      <x:c r="V1619" s="22" t="n">
        <x:f>IF(U1619="Won",L1619*(1-M1619),0)</x:f>
        <x:v>0</x:v>
      </x:c>
      <x:c r="W1619" s="22" t="n">
        <x:f>IF(U1619="Open",L1619*N1619,0)</x:f>
        <x:v>25025</x:v>
      </x:c>
      <x:c r="X1619" s="26" t="str">
        <x:f>IF(U1619="Open","",IFERROR(K1619-B1619,""))</x:f>
      </x:c>
      <x:c r="Y1619" s="26" t="n">
        <x:f>IF(U1619="Open",Lookups!$B$2-B1619,X1619)</x:f>
        <x:v>124</x:v>
      </x:c>
      <x:c r="Z1619" t="str">
        <x:f>IF(AND(U1619="Open",Y1619&gt;30),"STALE","OK")</x:f>
        <x:v>STALE</x:v>
      </x:c>
      <x:c r="AA1619" t="str">
        <x:f>TEXT(B1619,"yyyy-mm")</x:f>
        <x:v>2026-04</x:v>
      </x:c>
      <x:c r="AB1619" t="str">
        <x:f>IF(K1619="","",TEXT(K1619,"yyyy-mm"))</x:f>
      </x:c>
      <x:c r="AC1619" t="str">
        <x:f>"Q"&amp;ROUNDUP(MONTH(B1619)/3,0)&amp;"-"&amp;YEAR(B1619)</x:f>
        <x:v>Q2-2026</x:v>
      </x:c>
      <x:c r="AD1619" s="26" t="n">
        <x:f>MIN(100,IF(H1619="Enterprise",30,IF(H1619="Mid-Market",22,14))+IF(T1619="Enterprise",25,IF(T1619="Mid-Market",18,10))+IF(Q1619="Referral",25,IF(Q1619="Organic Search",20,IF(Q1619="Email",18,14)))+IF(G1619="Technology",10,5))</x:f>
        <x:v>64</x:v>
      </x:c>
      <x:c r="AE1619" t="str">
        <x:f>IF(U1619&lt;&gt;"Open",U1619,IF(N1619&gt;=0.8,"Commit",IF(N1619&gt;=0.5,"Best Case","Pipeline")))</x:f>
        <x:v>Best Case</x:v>
      </x:c>
    </x:row>
    <x:row r="1620">
      <x:c r="A1620" t="str">
        <x:v>L01619</x:v>
      </x:c>
      <x:c r="B1620" s="10" t="n">
        <x:v>45886</x:v>
      </x:c>
      <x:c r="C1620" t="str">
        <x:v>Minh Do</x:v>
      </x:c>
      <x:c r="D1620" t="str">
        <x:v>North</x:v>
      </x:c>
      <x:c r="E1620" t="str">
        <x:v>email nurture</x:v>
      </x:c>
      <x:c r="F1620" t="str">
        <x:v>CS-CLOUD</x:v>
      </x:c>
      <x:c r="G1620" t="str">
        <x:v>Manufacturing</x:v>
      </x:c>
      <x:c r="H1620" t="str">
        <x:v>SMB</x:v>
      </x:c>
      <x:c r="I1620" t="str">
        <x:v>Closed Won</x:v>
      </x:c>
      <x:c r="J1620" s="10" t="n">
        <x:v>45898</x:v>
      </x:c>
      <x:c r="K1620" s="10" t="n">
        <x:v>45898</x:v>
      </x:c>
      <x:c r="L1620" s="22" t="n">
        <x:v>23100</x:v>
      </x:c>
      <x:c r="M1620" s="24" t="n">
        <x:v>0</x:v>
      </x:c>
      <x:c r="N1620" s="24" t="n">
        <x:v>1</x:v>
      </x:c>
      <x:c r="O1620" t="str"/>
      <x:c r="P1620" t="n">
        <x:v>6</x:v>
      </x:c>
      <x:c r="Q1620" t="str">
        <x:f>IFERROR(XLOOKUP(E1620,Lookups!$A$5:$A$24,Lookups!$B$5:$B$24),"Other")</x:f>
        <x:v>Email</x:v>
      </x:c>
      <x:c r="R1620" t="str">
        <x:f>IFERROR(XLOOKUP(F1620,Lookups!$D$5:$D$10,Lookups!$E$5:$E$10),"Unknown Product")</x:f>
        <x:v>Service Cloud</x:v>
      </x:c>
      <x:c r="S1620" t="str">
        <x:f>IFERROR(XLOOKUP(F1620,Lookups!$D$5:$D$10,Lookups!$F$5:$F$10),"Unknown")</x:f>
        <x:v>Customer Service</x:v>
      </x:c>
      <x:c r="T1620" t="str">
        <x:f>IF(L1620&gt;=50000,"Enterprise",IF(L1620&gt;=20000,"Mid-Market","SMB"))</x:f>
        <x:v>Mid-Market</x:v>
      </x:c>
      <x:c r="U1620" t="str">
        <x:f>IF(I1620="Closed Won","Won",IF(I1620="Closed Lost","Lost","Open"))</x:f>
        <x:v>Won</x:v>
      </x:c>
      <x:c r="V1620" s="22" t="n">
        <x:f>IF(U1620="Won",L1620*(1-M1620),0)</x:f>
        <x:v>23100</x:v>
      </x:c>
      <x:c r="W1620" s="22" t="n">
        <x:f>IF(U1620="Open",L1620*N1620,0)</x:f>
        <x:v>0</x:v>
      </x:c>
      <x:c r="X1620" s="26" t="n">
        <x:f>IF(U1620="Open","",IFERROR(K1620-B1620,""))</x:f>
        <x:v>12</x:v>
      </x:c>
      <x:c r="Y1620" s="26" t="n">
        <x:f>IF(U1620="Open",Lookups!$B$2-B1620,X1620)</x:f>
        <x:v>12</x:v>
      </x:c>
      <x:c r="Z1620" t="str">
        <x:f>IF(AND(U1620="Open",Y1620&gt;30),"STALE","OK")</x:f>
        <x:v>OK</x:v>
      </x:c>
      <x:c r="AA1620" t="str">
        <x:f>TEXT(B1620,"yyyy-mm")</x:f>
        <x:v>2025-08</x:v>
      </x:c>
      <x:c r="AB1620" t="str">
        <x:f>IF(K1620="","",TEXT(K1620,"yyyy-mm"))</x:f>
        <x:v>2025-08</x:v>
      </x:c>
      <x:c r="AC1620" t="str">
        <x:f>"Q"&amp;ROUNDUP(MONTH(B1620)/3,0)&amp;"-"&amp;YEAR(B1620)</x:f>
        <x:v>Q3-2025</x:v>
      </x:c>
      <x:c r="AD1620" s="26" t="n">
        <x:f>MIN(100,IF(H1620="Enterprise",30,IF(H1620="Mid-Market",22,14))+IF(T1620="Enterprise",25,IF(T1620="Mid-Market",18,10))+IF(Q1620="Referral",25,IF(Q1620="Organic Search",20,IF(Q1620="Email",18,14)))+IF(G1620="Technology",10,5))</x:f>
        <x:v>55</x:v>
      </x:c>
      <x:c r="AE1620" t="str">
        <x:f>IF(U1620&lt;&gt;"Open",U1620,IF(N1620&gt;=0.8,"Commit",IF(N1620&gt;=0.5,"Best Case","Pipeline")))</x:f>
        <x:v>Won</x:v>
      </x:c>
    </x:row>
    <x:row r="1621">
      <x:c r="A1621" t="str">
        <x:v>L01620</x:v>
      </x:c>
      <x:c r="B1621" s="10" t="n">
        <x:v>46161</x:v>
      </x:c>
      <x:c r="C1621" t="str">
        <x:v>Ha Vo</x:v>
      </x:c>
      <x:c r="D1621" t="str">
        <x:v>North</x:v>
      </x:c>
      <x:c r="E1621" t="str">
        <x:v>email nurture</x:v>
      </x:c>
      <x:c r="F1621" t="str">
        <x:v>REV-OPS</x:v>
      </x:c>
      <x:c r="G1621" t="str">
        <x:v>Manufacturing</x:v>
      </x:c>
      <x:c r="H1621" t="str">
        <x:v>Enterprise</x:v>
      </x:c>
      <x:c r="I1621" t="str">
        <x:v>Closed Lost</x:v>
      </x:c>
      <x:c r="J1621" s="10" t="n">
        <x:v>46189</x:v>
      </x:c>
      <x:c r="K1621" s="10" t="n">
        <x:v>46189</x:v>
      </x:c>
      <x:c r="L1621" s="22" t="n">
        <x:v>111500</x:v>
      </x:c>
      <x:c r="M1621" s="24" t="n">
        <x:v>0</x:v>
      </x:c>
      <x:c r="N1621" s="24" t="n">
        <x:v>0</x:v>
      </x:c>
      <x:c r="O1621" t="str">
        <x:v>Budget</x:v>
      </x:c>
      <x:c r="P1621" t="n">
        <x:v>4</x:v>
      </x:c>
      <x:c r="Q1621" t="str">
        <x:f>IFERROR(XLOOKUP(E1621,Lookups!$A$5:$A$24,Lookups!$B$5:$B$24),"Other")</x:f>
        <x:v>Email</x:v>
      </x:c>
      <x:c r="R1621" t="str">
        <x:f>IFERROR(XLOOKUP(F1621,Lookups!$D$5:$D$10,Lookups!$E$5:$E$10),"Unknown Product")</x:f>
        <x:v>Revenue Operations Suite</x:v>
      </x:c>
      <x:c r="S1621" t="str">
        <x:f>IFERROR(XLOOKUP(F1621,Lookups!$D$5:$D$10,Lookups!$F$5:$F$10),"Unknown")</x:f>
        <x:v>Revenue Ops</x:v>
      </x:c>
      <x:c r="T1621" t="str">
        <x:f>IF(L1621&gt;=50000,"Enterprise",IF(L1621&gt;=20000,"Mid-Market","SMB"))</x:f>
        <x:v>Enterprise</x:v>
      </x:c>
      <x:c r="U1621" t="str">
        <x:f>IF(I1621="Closed Won","Won",IF(I1621="Closed Lost","Lost","Open"))</x:f>
        <x:v>Lost</x:v>
      </x:c>
      <x:c r="V1621" s="22" t="n">
        <x:f>IF(U1621="Won",L1621*(1-M1621),0)</x:f>
        <x:v>0</x:v>
      </x:c>
      <x:c r="W1621" s="22" t="n">
        <x:f>IF(U1621="Open",L1621*N1621,0)</x:f>
        <x:v>0</x:v>
      </x:c>
      <x:c r="X1621" s="26" t="n">
        <x:f>IF(U1621="Open","",IFERROR(K1621-B1621,""))</x:f>
        <x:v>28</x:v>
      </x:c>
      <x:c r="Y1621" s="26" t="n">
        <x:f>IF(U1621="Open",Lookups!$B$2-B1621,X1621)</x:f>
        <x:v>28</x:v>
      </x:c>
      <x:c r="Z1621" t="str">
        <x:f>IF(AND(U1621="Open",Y1621&gt;30),"STALE","OK")</x:f>
        <x:v>OK</x:v>
      </x:c>
      <x:c r="AA1621" t="str">
        <x:f>TEXT(B1621,"yyyy-mm")</x:f>
        <x:v>2026-05</x:v>
      </x:c>
      <x:c r="AB1621" t="str">
        <x:f>IF(K1621="","",TEXT(K1621,"yyyy-mm"))</x:f>
        <x:v>2026-06</x:v>
      </x:c>
      <x:c r="AC1621" t="str">
        <x:f>"Q"&amp;ROUNDUP(MONTH(B1621)/3,0)&amp;"-"&amp;YEAR(B1621)</x:f>
        <x:v>Q2-2026</x:v>
      </x:c>
      <x:c r="AD1621" s="26" t="n">
        <x:f>MIN(100,IF(H1621="Enterprise",30,IF(H1621="Mid-Market",22,14))+IF(T1621="Enterprise",25,IF(T1621="Mid-Market",18,10))+IF(Q1621="Referral",25,IF(Q1621="Organic Search",20,IF(Q1621="Email",18,14)))+IF(G1621="Technology",10,5))</x:f>
        <x:v>78</x:v>
      </x:c>
      <x:c r="AE1621" t="str">
        <x:f>IF(U1621&lt;&gt;"Open",U1621,IF(N1621&gt;=0.8,"Commit",IF(N1621&gt;=0.5,"Best Case","Pipeline")))</x:f>
        <x:v>Lost</x:v>
      </x:c>
    </x:row>
    <x:row r="1622">
      <x:c r="A1622" t="str">
        <x:v>L01621</x:v>
      </x:c>
      <x:c r="B1622" s="10" t="n">
        <x:v>45982</x:v>
      </x:c>
      <x:c r="C1622" t="str">
        <x:v>An Nguyen</x:v>
      </x:c>
      <x:c r="D1622" t="str">
        <x:v>South</x:v>
      </x:c>
      <x:c r="E1622" t="str">
        <x:v>organic search</x:v>
      </x:c>
      <x:c r="F1622" t="str">
        <x:v>REV-OPS</x:v>
      </x:c>
      <x:c r="G1622" t="str">
        <x:v>Financial Services</x:v>
      </x:c>
      <x:c r="H1622" t="str">
        <x:v>Mid-Market</x:v>
      </x:c>
      <x:c r="I1622" t="str">
        <x:v>Closed Lost</x:v>
      </x:c>
      <x:c r="J1622" s="10" t="n">
        <x:v>46062</x:v>
      </x:c>
      <x:c r="K1622" s="10" t="n">
        <x:v>46062</x:v>
      </x:c>
      <x:c r="L1622" s="22" t="n">
        <x:v>77500</x:v>
      </x:c>
      <x:c r="M1622" s="24" t="n">
        <x:v>0</x:v>
      </x:c>
      <x:c r="N1622" s="24" t="n">
        <x:v>0</x:v>
      </x:c>
      <x:c r="O1622" t="str">
        <x:v>Budget</x:v>
      </x:c>
      <x:c r="P1622" t="n">
        <x:v>4</x:v>
      </x:c>
      <x:c r="Q1622" t="str">
        <x:f>IFERROR(XLOOKUP(E1622,Lookups!$A$5:$A$24,Lookups!$B$5:$B$24),"Other")</x:f>
        <x:v>Organic Search</x:v>
      </x:c>
      <x:c r="R1622" t="str">
        <x:f>IFERROR(XLOOKUP(F1622,Lookups!$D$5:$D$10,Lookups!$E$5:$E$10),"Unknown Product")</x:f>
        <x:v>Revenue Operations Suite</x:v>
      </x:c>
      <x:c r="S1622" t="str">
        <x:f>IFERROR(XLOOKUP(F1622,Lookups!$D$5:$D$10,Lookups!$F$5:$F$10),"Unknown")</x:f>
        <x:v>Revenue Ops</x:v>
      </x:c>
      <x:c r="T1622" t="str">
        <x:f>IF(L1622&gt;=50000,"Enterprise",IF(L1622&gt;=20000,"Mid-Market","SMB"))</x:f>
        <x:v>Enterprise</x:v>
      </x:c>
      <x:c r="U1622" t="str">
        <x:f>IF(I1622="Closed Won","Won",IF(I1622="Closed Lost","Lost","Open"))</x:f>
        <x:v>Lost</x:v>
      </x:c>
      <x:c r="V1622" s="22" t="n">
        <x:f>IF(U1622="Won",L1622*(1-M1622),0)</x:f>
        <x:v>0</x:v>
      </x:c>
      <x:c r="W1622" s="22" t="n">
        <x:f>IF(U1622="Open",L1622*N1622,0)</x:f>
        <x:v>0</x:v>
      </x:c>
      <x:c r="X1622" s="26" t="n">
        <x:f>IF(U1622="Open","",IFERROR(K1622-B1622,""))</x:f>
        <x:v>80</x:v>
      </x:c>
      <x:c r="Y1622" s="26" t="n">
        <x:f>IF(U1622="Open",Lookups!$B$2-B1622,X1622)</x:f>
        <x:v>80</x:v>
      </x:c>
      <x:c r="Z1622" t="str">
        <x:f>IF(AND(U1622="Open",Y1622&gt;30),"STALE","OK")</x:f>
        <x:v>OK</x:v>
      </x:c>
      <x:c r="AA1622" t="str">
        <x:f>TEXT(B1622,"yyyy-mm")</x:f>
        <x:v>2025-11</x:v>
      </x:c>
      <x:c r="AB1622" t="str">
        <x:f>IF(K1622="","",TEXT(K1622,"yyyy-mm"))</x:f>
        <x:v>2026-02</x:v>
      </x:c>
      <x:c r="AC1622" t="str">
        <x:f>"Q"&amp;ROUNDUP(MONTH(B1622)/3,0)&amp;"-"&amp;YEAR(B1622)</x:f>
        <x:v>Q4-2025</x:v>
      </x:c>
      <x:c r="AD1622" s="26" t="n">
        <x:f>MIN(100,IF(H1622="Enterprise",30,IF(H1622="Mid-Market",22,14))+IF(T1622="Enterprise",25,IF(T1622="Mid-Market",18,10))+IF(Q1622="Referral",25,IF(Q1622="Organic Search",20,IF(Q1622="Email",18,14)))+IF(G1622="Technology",10,5))</x:f>
        <x:v>72</x:v>
      </x:c>
      <x:c r="AE1622" t="str">
        <x:f>IF(U1622&lt;&gt;"Open",U1622,IF(N1622&gt;=0.8,"Commit",IF(N1622&gt;=0.5,"Best Case","Pipeline")))</x:f>
        <x:v>Lost</x:v>
      </x:c>
    </x:row>
    <x:row r="1623">
      <x:c r="A1623" t="str">
        <x:v>L01622</x:v>
      </x:c>
      <x:c r="B1623" s="10" t="n">
        <x:v>46032</x:v>
      </x:c>
      <x:c r="C1623" t="str">
        <x:v>Duy Pham</x:v>
      </x:c>
      <x:c r="D1623" t="str">
        <x:v>South</x:v>
      </x:c>
      <x:c r="E1623" t="str">
        <x:v>organic search</x:v>
      </x:c>
      <x:c r="F1623" t="str">
        <x:v>MKT-AUTO</x:v>
      </x:c>
      <x:c r="G1623" t="str">
        <x:v>Professional Services</x:v>
      </x:c>
      <x:c r="H1623" t="str">
        <x:v>SMB</x:v>
      </x:c>
      <x:c r="I1623" t="str">
        <x:v>Closed Lost</x:v>
      </x:c>
      <x:c r="J1623" s="10" t="n">
        <x:v>46109</x:v>
      </x:c>
      <x:c r="K1623" s="10" t="n">
        <x:v>46109</x:v>
      </x:c>
      <x:c r="L1623" s="22" t="n">
        <x:v>14600</x:v>
      </x:c>
      <x:c r="M1623" s="24" t="n">
        <x:v>0</x:v>
      </x:c>
      <x:c r="N1623" s="24" t="n">
        <x:v>0</x:v>
      </x:c>
      <x:c r="O1623" t="str">
        <x:v>Competitor</x:v>
      </x:c>
      <x:c r="P1623" t="n">
        <x:v>4</x:v>
      </x:c>
      <x:c r="Q1623" t="str">
        <x:f>IFERROR(XLOOKUP(E1623,Lookups!$A$5:$A$24,Lookups!$B$5:$B$24),"Other")</x:f>
        <x:v>Organic Search</x:v>
      </x:c>
      <x:c r="R1623" t="str">
        <x:f>IFERROR(XLOOKUP(F1623,Lookups!$D$5:$D$10,Lookups!$E$5:$E$10),"Unknown Product")</x:f>
        <x:v>Marketing Automation</x:v>
      </x:c>
      <x:c r="S1623" t="str">
        <x:f>IFERROR(XLOOKUP(F1623,Lookups!$D$5:$D$10,Lookups!$F$5:$F$10),"Unknown")</x:f>
        <x:v>Marketing</x:v>
      </x:c>
      <x:c r="T1623" t="str">
        <x:f>IF(L1623&gt;=50000,"Enterprise",IF(L1623&gt;=20000,"Mid-Market","SMB"))</x:f>
        <x:v>SMB</x:v>
      </x:c>
      <x:c r="U1623" t="str">
        <x:f>IF(I1623="Closed Won","Won",IF(I1623="Closed Lost","Lost","Open"))</x:f>
        <x:v>Lost</x:v>
      </x:c>
      <x:c r="V1623" s="22" t="n">
        <x:f>IF(U1623="Won",L1623*(1-M1623),0)</x:f>
        <x:v>0</x:v>
      </x:c>
      <x:c r="W1623" s="22" t="n">
        <x:f>IF(U1623="Open",L1623*N1623,0)</x:f>
        <x:v>0</x:v>
      </x:c>
      <x:c r="X1623" s="26" t="n">
        <x:f>IF(U1623="Open","",IFERROR(K1623-B1623,""))</x:f>
        <x:v>77</x:v>
      </x:c>
      <x:c r="Y1623" s="26" t="n">
        <x:f>IF(U1623="Open",Lookups!$B$2-B1623,X1623)</x:f>
        <x:v>77</x:v>
      </x:c>
      <x:c r="Z1623" t="str">
        <x:f>IF(AND(U1623="Open",Y1623&gt;30),"STALE","OK")</x:f>
        <x:v>OK</x:v>
      </x:c>
      <x:c r="AA1623" t="str">
        <x:f>TEXT(B1623,"yyyy-mm")</x:f>
        <x:v>2026-01</x:v>
      </x:c>
      <x:c r="AB1623" t="str">
        <x:f>IF(K1623="","",TEXT(K1623,"yyyy-mm"))</x:f>
        <x:v>2026-03</x:v>
      </x:c>
      <x:c r="AC1623" t="str">
        <x:f>"Q"&amp;ROUNDUP(MONTH(B1623)/3,0)&amp;"-"&amp;YEAR(B1623)</x:f>
        <x:v>Q1-2026</x:v>
      </x:c>
      <x:c r="AD1623" s="26" t="n">
        <x:f>MIN(100,IF(H1623="Enterprise",30,IF(H1623="Mid-Market",22,14))+IF(T1623="Enterprise",25,IF(T1623="Mid-Market",18,10))+IF(Q1623="Referral",25,IF(Q1623="Organic Search",20,IF(Q1623="Email",18,14)))+IF(G1623="Technology",10,5))</x:f>
        <x:v>49</x:v>
      </x:c>
      <x:c r="AE1623" t="str">
        <x:f>IF(U1623&lt;&gt;"Open",U1623,IF(N1623&gt;=0.8,"Commit",IF(N1623&gt;=0.5,"Best Case","Pipeline")))</x:f>
        <x:v>Lost</x:v>
      </x:c>
    </x:row>
    <x:row r="1624">
      <x:c r="A1624" t="str">
        <x:v>L01623</x:v>
      </x:c>
      <x:c r="B1624" s="10" t="n">
        <x:v>46006</x:v>
      </x:c>
      <x:c r="C1624" t="str">
        <x:v>Ha Vo</x:v>
      </x:c>
      <x:c r="D1624" t="str">
        <x:v>North</x:v>
      </x:c>
      <x:c r="E1624" t="str">
        <x:v>google cpc</x:v>
      </x:c>
      <x:c r="F1624" t="str">
        <x:v>CRM-PRO</x:v>
      </x:c>
      <x:c r="G1624" t="str">
        <x:v>Professional Services</x:v>
      </x:c>
      <x:c r="H1624" t="str">
        <x:v>Mid-Market</x:v>
      </x:c>
      <x:c r="I1624" t="str">
        <x:v>Closed Lost</x:v>
      </x:c>
      <x:c r="J1624" s="10" t="n">
        <x:v>46050</x:v>
      </x:c>
      <x:c r="K1624" s="10" t="n">
        <x:v>46050</x:v>
      </x:c>
      <x:c r="L1624" s="22" t="n">
        <x:v>20100</x:v>
      </x:c>
      <x:c r="M1624" s="24" t="n">
        <x:v>0</x:v>
      </x:c>
      <x:c r="N1624" s="24" t="n">
        <x:v>0</x:v>
      </x:c>
      <x:c r="O1624" t="str">
        <x:v>Timing</x:v>
      </x:c>
      <x:c r="P1624" t="n">
        <x:v>4</x:v>
      </x:c>
      <x:c r="Q1624" t="str">
        <x:f>IFERROR(XLOOKUP(E1624,Lookups!$A$5:$A$24,Lookups!$B$5:$B$24),"Other")</x:f>
        <x:v>Paid Search</x:v>
      </x:c>
      <x:c r="R1624" t="str">
        <x:f>IFERROR(XLOOKUP(F1624,Lookups!$D$5:$D$10,Lookups!$E$5:$E$10),"Unknown Product")</x:f>
        <x:v>NexaCRM Pro</x:v>
      </x:c>
      <x:c r="S1624" t="str">
        <x:f>IFERROR(XLOOKUP(F1624,Lookups!$D$5:$D$10,Lookups!$F$5:$F$10),"Unknown")</x:f>
        <x:v>CRM</x:v>
      </x:c>
      <x:c r="T1624" t="str">
        <x:f>IF(L1624&gt;=50000,"Enterprise",IF(L1624&gt;=20000,"Mid-Market","SMB"))</x:f>
        <x:v>Mid-Market</x:v>
      </x:c>
      <x:c r="U1624" t="str">
        <x:f>IF(I1624="Closed Won","Won",IF(I1624="Closed Lost","Lost","Open"))</x:f>
        <x:v>Lost</x:v>
      </x:c>
      <x:c r="V1624" s="22" t="n">
        <x:f>IF(U1624="Won",L1624*(1-M1624),0)</x:f>
        <x:v>0</x:v>
      </x:c>
      <x:c r="W1624" s="22" t="n">
        <x:f>IF(U1624="Open",L1624*N1624,0)</x:f>
        <x:v>0</x:v>
      </x:c>
      <x:c r="X1624" s="26" t="n">
        <x:f>IF(U1624="Open","",IFERROR(K1624-B1624,""))</x:f>
        <x:v>44</x:v>
      </x:c>
      <x:c r="Y1624" s="26" t="n">
        <x:f>IF(U1624="Open",Lookups!$B$2-B1624,X1624)</x:f>
        <x:v>44</x:v>
      </x:c>
      <x:c r="Z1624" t="str">
        <x:f>IF(AND(U1624="Open",Y1624&gt;30),"STALE","OK")</x:f>
        <x:v>OK</x:v>
      </x:c>
      <x:c r="AA1624" t="str">
        <x:f>TEXT(B1624,"yyyy-mm")</x:f>
        <x:v>2025-12</x:v>
      </x:c>
      <x:c r="AB1624" t="str">
        <x:f>IF(K1624="","",TEXT(K1624,"yyyy-mm"))</x:f>
        <x:v>2026-01</x:v>
      </x:c>
      <x:c r="AC1624" t="str">
        <x:f>"Q"&amp;ROUNDUP(MONTH(B1624)/3,0)&amp;"-"&amp;YEAR(B1624)</x:f>
        <x:v>Q4-2025</x:v>
      </x:c>
      <x:c r="AD1624" s="26" t="n">
        <x:f>MIN(100,IF(H1624="Enterprise",30,IF(H1624="Mid-Market",22,14))+IF(T1624="Enterprise",25,IF(T1624="Mid-Market",18,10))+IF(Q1624="Referral",25,IF(Q1624="Organic Search",20,IF(Q1624="Email",18,14)))+IF(G1624="Technology",10,5))</x:f>
        <x:v>59</x:v>
      </x:c>
      <x:c r="AE1624" t="str">
        <x:f>IF(U1624&lt;&gt;"Open",U1624,IF(N1624&gt;=0.8,"Commit",IF(N1624&gt;=0.5,"Best Case","Pipeline")))</x:f>
        <x:v>Lost</x:v>
      </x:c>
    </x:row>
    <x:row r="1625">
      <x:c r="A1625" t="str">
        <x:v>L01624</x:v>
      </x:c>
      <x:c r="B1625" s="10" t="n">
        <x:v>45873</x:v>
      </x:c>
      <x:c r="C1625" t="str">
        <x:v>Minh Do</x:v>
      </x:c>
      <x:c r="D1625" t="str">
        <x:v>North</x:v>
      </x:c>
      <x:c r="E1625" t="str">
        <x:v>google cpc</x:v>
      </x:c>
      <x:c r="F1625" t="str">
        <x:v>CRM-PRO</x:v>
      </x:c>
      <x:c r="G1625" t="str">
        <x:v>Manufacturing</x:v>
      </x:c>
      <x:c r="H1625" t="str">
        <x:v>SMB</x:v>
      </x:c>
      <x:c r="I1625" t="str">
        <x:v>Closed Lost</x:v>
      </x:c>
      <x:c r="J1625" s="10" t="n">
        <x:v>45918</x:v>
      </x:c>
      <x:c r="K1625" s="10" t="n">
        <x:v>45918</x:v>
      </x:c>
      <x:c r="L1625" s="22" t="n">
        <x:v>15400</x:v>
      </x:c>
      <x:c r="M1625" s="24" t="n">
        <x:v>0</x:v>
      </x:c>
      <x:c r="N1625" s="24" t="n">
        <x:v>0</x:v>
      </x:c>
      <x:c r="O1625" t="str">
        <x:v>No Decision</x:v>
      </x:c>
      <x:c r="P1625" t="n">
        <x:v>2</x:v>
      </x:c>
      <x:c r="Q1625" t="str">
        <x:f>IFERROR(XLOOKUP(E1625,Lookups!$A$5:$A$24,Lookups!$B$5:$B$24),"Other")</x:f>
        <x:v>Paid Search</x:v>
      </x:c>
      <x:c r="R1625" t="str">
        <x:f>IFERROR(XLOOKUP(F1625,Lookups!$D$5:$D$10,Lookups!$E$5:$E$10),"Unknown Product")</x:f>
        <x:v>NexaCRM Pro</x:v>
      </x:c>
      <x:c r="S1625" t="str">
        <x:f>IFERROR(XLOOKUP(F1625,Lookups!$D$5:$D$10,Lookups!$F$5:$F$10),"Unknown")</x:f>
        <x:v>CRM</x:v>
      </x:c>
      <x:c r="T1625" t="str">
        <x:f>IF(L1625&gt;=50000,"Enterprise",IF(L1625&gt;=20000,"Mid-Market","SMB"))</x:f>
        <x:v>SMB</x:v>
      </x:c>
      <x:c r="U1625" t="str">
        <x:f>IF(I1625="Closed Won","Won",IF(I1625="Closed Lost","Lost","Open"))</x:f>
        <x:v>Lost</x:v>
      </x:c>
      <x:c r="V1625" s="22" t="n">
        <x:f>IF(U1625="Won",L1625*(1-M1625),0)</x:f>
        <x:v>0</x:v>
      </x:c>
      <x:c r="W1625" s="22" t="n">
        <x:f>IF(U1625="Open",L1625*N1625,0)</x:f>
        <x:v>0</x:v>
      </x:c>
      <x:c r="X1625" s="26" t="n">
        <x:f>IF(U1625="Open","",IFERROR(K1625-B1625,""))</x:f>
        <x:v>45</x:v>
      </x:c>
      <x:c r="Y1625" s="26" t="n">
        <x:f>IF(U1625="Open",Lookups!$B$2-B1625,X1625)</x:f>
        <x:v>45</x:v>
      </x:c>
      <x:c r="Z1625" t="str">
        <x:f>IF(AND(U1625="Open",Y1625&gt;30),"STALE","OK")</x:f>
        <x:v>OK</x:v>
      </x:c>
      <x:c r="AA1625" t="str">
        <x:f>TEXT(B1625,"yyyy-mm")</x:f>
        <x:v>2025-08</x:v>
      </x:c>
      <x:c r="AB1625" t="str">
        <x:f>IF(K1625="","",TEXT(K1625,"yyyy-mm"))</x:f>
        <x:v>2025-09</x:v>
      </x:c>
      <x:c r="AC1625" t="str">
        <x:f>"Q"&amp;ROUNDUP(MONTH(B1625)/3,0)&amp;"-"&amp;YEAR(B1625)</x:f>
        <x:v>Q3-2025</x:v>
      </x:c>
      <x:c r="AD1625" s="26" t="n">
        <x:f>MIN(100,IF(H1625="Enterprise",30,IF(H1625="Mid-Market",22,14))+IF(T1625="Enterprise",25,IF(T1625="Mid-Market",18,10))+IF(Q1625="Referral",25,IF(Q1625="Organic Search",20,IF(Q1625="Email",18,14)))+IF(G1625="Technology",10,5))</x:f>
        <x:v>43</x:v>
      </x:c>
      <x:c r="AE1625" t="str">
        <x:f>IF(U1625&lt;&gt;"Open",U1625,IF(N1625&gt;=0.8,"Commit",IF(N1625&gt;=0.5,"Best Case","Pipeline")))</x:f>
        <x:v>Lost</x:v>
      </x:c>
    </x:row>
    <x:row r="1626">
      <x:c r="A1626" t="str">
        <x:v>L01625</x:v>
      </x:c>
      <x:c r="B1626" s="10" t="n">
        <x:v>46186</x:v>
      </x:c>
      <x:c r="C1626" t="str">
        <x:v>Minh Do</x:v>
      </x:c>
      <x:c r="D1626" t="str">
        <x:v>North</x:v>
      </x:c>
      <x:c r="E1626" t="str">
        <x:v>email nurture</x:v>
      </x:c>
      <x:c r="F1626" t="str">
        <x:v>CRM-PRO</x:v>
      </x:c>
      <x:c r="G1626" t="str">
        <x:v>Manufacturing</x:v>
      </x:c>
      <x:c r="H1626" t="str">
        <x:v>Mid-Market</x:v>
      </x:c>
      <x:c r="I1626" t="str">
        <x:v>Closed Won</x:v>
      </x:c>
      <x:c r="J1626" s="10" t="n">
        <x:v>46200</x:v>
      </x:c>
      <x:c r="K1626" s="10" t="n">
        <x:v>46200</x:v>
      </x:c>
      <x:c r="L1626" s="22" t="n">
        <x:v>22000</x:v>
      </x:c>
      <x:c r="M1626" s="24" t="n">
        <x:v>0.05</x:v>
      </x:c>
      <x:c r="N1626" s="24" t="n">
        <x:v>1</x:v>
      </x:c>
      <x:c r="O1626" t="str"/>
      <x:c r="P1626" t="n">
        <x:v>6</x:v>
      </x:c>
      <x:c r="Q1626" t="str">
        <x:f>IFERROR(XLOOKUP(E1626,Lookups!$A$5:$A$24,Lookups!$B$5:$B$24),"Other")</x:f>
        <x:v>Email</x:v>
      </x:c>
      <x:c r="R1626" t="str">
        <x:f>IFERROR(XLOOKUP(F1626,Lookups!$D$5:$D$10,Lookups!$E$5:$E$10),"Unknown Product")</x:f>
        <x:v>NexaCRM Pro</x:v>
      </x:c>
      <x:c r="S1626" t="str">
        <x:f>IFERROR(XLOOKUP(F1626,Lookups!$D$5:$D$10,Lookups!$F$5:$F$10),"Unknown")</x:f>
        <x:v>CRM</x:v>
      </x:c>
      <x:c r="T1626" t="str">
        <x:f>IF(L1626&gt;=50000,"Enterprise",IF(L1626&gt;=20000,"Mid-Market","SMB"))</x:f>
        <x:v>Mid-Market</x:v>
      </x:c>
      <x:c r="U1626" t="str">
        <x:f>IF(I1626="Closed Won","Won",IF(I1626="Closed Lost","Lost","Open"))</x:f>
        <x:v>Won</x:v>
      </x:c>
      <x:c r="V1626" s="22" t="n">
        <x:f>IF(U1626="Won",L1626*(1-M1626),0)</x:f>
        <x:v>20900</x:v>
      </x:c>
      <x:c r="W1626" s="22" t="n">
        <x:f>IF(U1626="Open",L1626*N1626,0)</x:f>
        <x:v>0</x:v>
      </x:c>
      <x:c r="X1626" s="26" t="n">
        <x:f>IF(U1626="Open","",IFERROR(K1626-B1626,""))</x:f>
        <x:v>14</x:v>
      </x:c>
      <x:c r="Y1626" s="26" t="n">
        <x:f>IF(U1626="Open",Lookups!$B$2-B1626,X1626)</x:f>
        <x:v>14</x:v>
      </x:c>
      <x:c r="Z1626" t="str">
        <x:f>IF(AND(U1626="Open",Y1626&gt;30),"STALE","OK")</x:f>
        <x:v>OK</x:v>
      </x:c>
      <x:c r="AA1626" t="str">
        <x:f>TEXT(B1626,"yyyy-mm")</x:f>
        <x:v>2026-06</x:v>
      </x:c>
      <x:c r="AB1626" t="str">
        <x:f>IF(K1626="","",TEXT(K1626,"yyyy-mm"))</x:f>
        <x:v>2026-06</x:v>
      </x:c>
      <x:c r="AC1626" t="str">
        <x:f>"Q"&amp;ROUNDUP(MONTH(B1626)/3,0)&amp;"-"&amp;YEAR(B1626)</x:f>
        <x:v>Q2-2026</x:v>
      </x:c>
      <x:c r="AD1626" s="26" t="n">
        <x:f>MIN(100,IF(H1626="Enterprise",30,IF(H1626="Mid-Market",22,14))+IF(T1626="Enterprise",25,IF(T1626="Mid-Market",18,10))+IF(Q1626="Referral",25,IF(Q1626="Organic Search",20,IF(Q1626="Email",18,14)))+IF(G1626="Technology",10,5))</x:f>
        <x:v>63</x:v>
      </x:c>
      <x:c r="AE1626" t="str">
        <x:f>IF(U1626&lt;&gt;"Open",U1626,IF(N1626&gt;=0.8,"Commit",IF(N1626&gt;=0.5,"Best Case","Pipeline")))</x:f>
        <x:v>Won</x:v>
      </x:c>
    </x:row>
    <x:row r="1627">
      <x:c r="A1627" t="str">
        <x:v>L01626</x:v>
      </x:c>
      <x:c r="B1627" s="10" t="n">
        <x:v>45769</x:v>
      </x:c>
      <x:c r="C1627" t="str">
        <x:v>Ha Vo</x:v>
      </x:c>
      <x:c r="D1627" t="str">
        <x:v>North</x:v>
      </x:c>
      <x:c r="E1627" t="str">
        <x:v>customer referral</x:v>
      </x:c>
      <x:c r="F1627" t="str">
        <x:v>MKT-AUTO</x:v>
      </x:c>
      <x:c r="G1627" t="str">
        <x:v>Retail</x:v>
      </x:c>
      <x:c r="H1627" t="str">
        <x:v>Enterprise</x:v>
      </x:c>
      <x:c r="I1627" t="str">
        <x:v>Closed Won</x:v>
      </x:c>
      <x:c r="J1627" s="10" t="n">
        <x:v>45827</x:v>
      </x:c>
      <x:c r="K1627" s="10" t="n">
        <x:v>45827</x:v>
      </x:c>
      <x:c r="L1627" s="22" t="n">
        <x:v>65100</x:v>
      </x:c>
      <x:c r="M1627" s="24" t="n">
        <x:v>0.12</x:v>
      </x:c>
      <x:c r="N1627" s="24" t="n">
        <x:v>1</x:v>
      </x:c>
      <x:c r="O1627" t="str"/>
      <x:c r="P1627" t="n">
        <x:v>6</x:v>
      </x:c>
      <x:c r="Q1627" t="str">
        <x:f>IFERROR(XLOOKUP(E1627,Lookups!$A$5:$A$24,Lookups!$B$5:$B$24),"Other")</x:f>
        <x:v>Referral</x:v>
      </x:c>
      <x:c r="R1627" t="str">
        <x:f>IFERROR(XLOOKUP(F1627,Lookups!$D$5:$D$10,Lookups!$E$5:$E$10),"Unknown Product")</x:f>
        <x:v>Marketing Automation</x:v>
      </x:c>
      <x:c r="S1627" t="str">
        <x:f>IFERROR(XLOOKUP(F1627,Lookups!$D$5:$D$10,Lookups!$F$5:$F$10),"Unknown")</x:f>
        <x:v>Marketing</x:v>
      </x:c>
      <x:c r="T1627" t="str">
        <x:f>IF(L1627&gt;=50000,"Enterprise",IF(L1627&gt;=20000,"Mid-Market","SMB"))</x:f>
        <x:v>Enterprise</x:v>
      </x:c>
      <x:c r="U1627" t="str">
        <x:f>IF(I1627="Closed Won","Won",IF(I1627="Closed Lost","Lost","Open"))</x:f>
        <x:v>Won</x:v>
      </x:c>
      <x:c r="V1627" s="22" t="n">
        <x:f>IF(U1627="Won",L1627*(1-M1627),0)</x:f>
        <x:v>57288</x:v>
      </x:c>
      <x:c r="W1627" s="22" t="n">
        <x:f>IF(U1627="Open",L1627*N1627,0)</x:f>
        <x:v>0</x:v>
      </x:c>
      <x:c r="X1627" s="26" t="n">
        <x:f>IF(U1627="Open","",IFERROR(K1627-B1627,""))</x:f>
        <x:v>58</x:v>
      </x:c>
      <x:c r="Y1627" s="26" t="n">
        <x:f>IF(U1627="Open",Lookups!$B$2-B1627,X1627)</x:f>
        <x:v>58</x:v>
      </x:c>
      <x:c r="Z1627" t="str">
        <x:f>IF(AND(U1627="Open",Y1627&gt;30),"STALE","OK")</x:f>
        <x:v>OK</x:v>
      </x:c>
      <x:c r="AA1627" t="str">
        <x:f>TEXT(B1627,"yyyy-mm")</x:f>
        <x:v>2025-04</x:v>
      </x:c>
      <x:c r="AB1627" t="str">
        <x:f>IF(K1627="","",TEXT(K1627,"yyyy-mm"))</x:f>
        <x:v>2025-06</x:v>
      </x:c>
      <x:c r="AC1627" t="str">
        <x:f>"Q"&amp;ROUNDUP(MONTH(B1627)/3,0)&amp;"-"&amp;YEAR(B1627)</x:f>
        <x:v>Q2-2025</x:v>
      </x:c>
      <x:c r="AD1627" s="26" t="n">
        <x:f>MIN(100,IF(H1627="Enterprise",30,IF(H1627="Mid-Market",22,14))+IF(T1627="Enterprise",25,IF(T1627="Mid-Market",18,10))+IF(Q1627="Referral",25,IF(Q1627="Organic Search",20,IF(Q1627="Email",18,14)))+IF(G1627="Technology",10,5))</x:f>
        <x:v>85</x:v>
      </x:c>
      <x:c r="AE1627" t="str">
        <x:f>IF(U1627&lt;&gt;"Open",U1627,IF(N1627&gt;=0.8,"Commit",IF(N1627&gt;=0.5,"Best Case","Pipeline")))</x:f>
        <x:v>Won</x:v>
      </x:c>
    </x:row>
    <x:row r="1628">
      <x:c r="A1628" t="str">
        <x:v>L01627</x:v>
      </x:c>
      <x:c r="B1628" s="10" t="n">
        <x:v>45902</x:v>
      </x:c>
      <x:c r="C1628" t="str">
        <x:v>Quynh Vu</x:v>
      </x:c>
      <x:c r="D1628" t="str">
        <x:v>North</x:v>
      </x:c>
      <x:c r="E1628" t="str">
        <x:v>Referral</x:v>
      </x:c>
      <x:c r="F1628" t="str">
        <x:v>CS-CLOUD</x:v>
      </x:c>
      <x:c r="G1628" t="str">
        <x:v>Education</x:v>
      </x:c>
      <x:c r="H1628" t="str">
        <x:v>Mid-Market</x:v>
      </x:c>
      <x:c r="I1628" t="str">
        <x:v>Closed Lost</x:v>
      </x:c>
      <x:c r="J1628" s="10" t="n">
        <x:v>45931</x:v>
      </x:c>
      <x:c r="K1628" s="10" t="n">
        <x:v>45931</x:v>
      </x:c>
      <x:c r="L1628" s="22" t="n">
        <x:v>46400</x:v>
      </x:c>
      <x:c r="M1628" s="24" t="n">
        <x:v>0</x:v>
      </x:c>
      <x:c r="N1628" s="24" t="n">
        <x:v>0</x:v>
      </x:c>
      <x:c r="O1628" t="str">
        <x:v>Timing</x:v>
      </x:c>
      <x:c r="P1628" t="n">
        <x:v>4</x:v>
      </x:c>
      <x:c r="Q1628" t="str">
        <x:f>IFERROR(XLOOKUP(E1628,Lookups!$A$5:$A$24,Lookups!$B$5:$B$24),"Other")</x:f>
        <x:v>Referral</x:v>
      </x:c>
      <x:c r="R1628" t="str">
        <x:f>IFERROR(XLOOKUP(F1628,Lookups!$D$5:$D$10,Lookups!$E$5:$E$10),"Unknown Product")</x:f>
        <x:v>Service Cloud</x:v>
      </x:c>
      <x:c r="S1628" t="str">
        <x:f>IFERROR(XLOOKUP(F1628,Lookups!$D$5:$D$10,Lookups!$F$5:$F$10),"Unknown")</x:f>
        <x:v>Customer Service</x:v>
      </x:c>
      <x:c r="T1628" t="str">
        <x:f>IF(L1628&gt;=50000,"Enterprise",IF(L1628&gt;=20000,"Mid-Market","SMB"))</x:f>
        <x:v>Mid-Market</x:v>
      </x:c>
      <x:c r="U1628" t="str">
        <x:f>IF(I1628="Closed Won","Won",IF(I1628="Closed Lost","Lost","Open"))</x:f>
        <x:v>Lost</x:v>
      </x:c>
      <x:c r="V1628" s="22" t="n">
        <x:f>IF(U1628="Won",L1628*(1-M1628),0)</x:f>
        <x:v>0</x:v>
      </x:c>
      <x:c r="W1628" s="22" t="n">
        <x:f>IF(U1628="Open",L1628*N1628,0)</x:f>
        <x:v>0</x:v>
      </x:c>
      <x:c r="X1628" s="26" t="n">
        <x:f>IF(U1628="Open","",IFERROR(K1628-B1628,""))</x:f>
        <x:v>29</x:v>
      </x:c>
      <x:c r="Y1628" s="26" t="n">
        <x:f>IF(U1628="Open",Lookups!$B$2-B1628,X1628)</x:f>
        <x:v>29</x:v>
      </x:c>
      <x:c r="Z1628" t="str">
        <x:f>IF(AND(U1628="Open",Y1628&gt;30),"STALE","OK")</x:f>
        <x:v>OK</x:v>
      </x:c>
      <x:c r="AA1628" t="str">
        <x:f>TEXT(B1628,"yyyy-mm")</x:f>
        <x:v>2025-09</x:v>
      </x:c>
      <x:c r="AB1628" t="str">
        <x:f>IF(K1628="","",TEXT(K1628,"yyyy-mm"))</x:f>
        <x:v>2025-10</x:v>
      </x:c>
      <x:c r="AC1628" t="str">
        <x:f>"Q"&amp;ROUNDUP(MONTH(B1628)/3,0)&amp;"-"&amp;YEAR(B1628)</x:f>
        <x:v>Q3-2025</x:v>
      </x:c>
      <x:c r="AD1628" s="26" t="n">
        <x:f>MIN(100,IF(H1628="Enterprise",30,IF(H1628="Mid-Market",22,14))+IF(T1628="Enterprise",25,IF(T1628="Mid-Market",18,10))+IF(Q1628="Referral",25,IF(Q1628="Organic Search",20,IF(Q1628="Email",18,14)))+IF(G1628="Technology",10,5))</x:f>
        <x:v>70</x:v>
      </x:c>
      <x:c r="AE1628" t="str">
        <x:f>IF(U1628&lt;&gt;"Open",U1628,IF(N1628&gt;=0.8,"Commit",IF(N1628&gt;=0.5,"Best Case","Pipeline")))</x:f>
        <x:v>Lost</x:v>
      </x:c>
    </x:row>
    <x:row r="1629">
      <x:c r="A1629" t="str">
        <x:v>L01628</x:v>
      </x:c>
      <x:c r="B1629" s="10" t="n">
        <x:v>46089</x:v>
      </x:c>
      <x:c r="C1629" t="str">
        <x:v>Chi Le</x:v>
      </x:c>
      <x:c r="D1629" t="str">
        <x:v>South</x:v>
      </x:c>
      <x:c r="E1629" t="str">
        <x:v>LI Ads</x:v>
      </x:c>
      <x:c r="F1629" t="str">
        <x:v>CS-CLOUD</x:v>
      </x:c>
      <x:c r="G1629" t="str">
        <x:v>Manufacturing</x:v>
      </x:c>
      <x:c r="H1629" t="str">
        <x:v>Mid-Market</x:v>
      </x:c>
      <x:c r="I1629" t="str">
        <x:v>Closed Lost</x:v>
      </x:c>
      <x:c r="J1629" s="10" t="n">
        <x:v>46157</x:v>
      </x:c>
      <x:c r="K1629" s="10" t="n">
        <x:v>46157</x:v>
      </x:c>
      <x:c r="L1629" s="22" t="n">
        <x:v>40000</x:v>
      </x:c>
      <x:c r="M1629" s="24" t="n">
        <x:v>0</x:v>
      </x:c>
      <x:c r="N1629" s="24" t="n">
        <x:v>0</x:v>
      </x:c>
      <x:c r="O1629" t="str">
        <x:v>Feature Gap</x:v>
      </x:c>
      <x:c r="P1629" t="n">
        <x:v>4</x:v>
      </x:c>
      <x:c r="Q1629" t="str">
        <x:f>IFERROR(XLOOKUP(E1629,Lookups!$A$5:$A$24,Lookups!$B$5:$B$24),"Other")</x:f>
        <x:v>LinkedIn</x:v>
      </x:c>
      <x:c r="R1629" t="str">
        <x:f>IFERROR(XLOOKUP(F1629,Lookups!$D$5:$D$10,Lookups!$E$5:$E$10),"Unknown Product")</x:f>
        <x:v>Service Cloud</x:v>
      </x:c>
      <x:c r="S1629" t="str">
        <x:f>IFERROR(XLOOKUP(F1629,Lookups!$D$5:$D$10,Lookups!$F$5:$F$10),"Unknown")</x:f>
        <x:v>Customer Service</x:v>
      </x:c>
      <x:c r="T1629" t="str">
        <x:f>IF(L1629&gt;=50000,"Enterprise",IF(L1629&gt;=20000,"Mid-Market","SMB"))</x:f>
        <x:v>Mid-Market</x:v>
      </x:c>
      <x:c r="U1629" t="str">
        <x:f>IF(I1629="Closed Won","Won",IF(I1629="Closed Lost","Lost","Open"))</x:f>
        <x:v>Lost</x:v>
      </x:c>
      <x:c r="V1629" s="22" t="n">
        <x:f>IF(U1629="Won",L1629*(1-M1629),0)</x:f>
        <x:v>0</x:v>
      </x:c>
      <x:c r="W1629" s="22" t="n">
        <x:f>IF(U1629="Open",L1629*N1629,0)</x:f>
        <x:v>0</x:v>
      </x:c>
      <x:c r="X1629" s="26" t="n">
        <x:f>IF(U1629="Open","",IFERROR(K1629-B1629,""))</x:f>
        <x:v>68</x:v>
      </x:c>
      <x:c r="Y1629" s="26" t="n">
        <x:f>IF(U1629="Open",Lookups!$B$2-B1629,X1629)</x:f>
        <x:v>68</x:v>
      </x:c>
      <x:c r="Z1629" t="str">
        <x:f>IF(AND(U1629="Open",Y1629&gt;30),"STALE","OK")</x:f>
        <x:v>OK</x:v>
      </x:c>
      <x:c r="AA1629" t="str">
        <x:f>TEXT(B1629,"yyyy-mm")</x:f>
        <x:v>2026-03</x:v>
      </x:c>
      <x:c r="AB1629" t="str">
        <x:f>IF(K1629="","",TEXT(K1629,"yyyy-mm"))</x:f>
        <x:v>2026-05</x:v>
      </x:c>
      <x:c r="AC1629" t="str">
        <x:f>"Q"&amp;ROUNDUP(MONTH(B1629)/3,0)&amp;"-"&amp;YEAR(B1629)</x:f>
        <x:v>Q1-2026</x:v>
      </x:c>
      <x:c r="AD1629" s="26" t="n">
        <x:f>MIN(100,IF(H1629="Enterprise",30,IF(H1629="Mid-Market",22,14))+IF(T1629="Enterprise",25,IF(T1629="Mid-Market",18,10))+IF(Q1629="Referral",25,IF(Q1629="Organic Search",20,IF(Q1629="Email",18,14)))+IF(G1629="Technology",10,5))</x:f>
        <x:v>59</x:v>
      </x:c>
      <x:c r="AE1629" t="str">
        <x:f>IF(U1629&lt;&gt;"Open",U1629,IF(N1629&gt;=0.8,"Commit",IF(N1629&gt;=0.5,"Best Case","Pipeline")))</x:f>
        <x:v>Lost</x:v>
      </x:c>
    </x:row>
    <x:row r="1630">
      <x:c r="A1630" t="str">
        <x:v>L01629</x:v>
      </x:c>
      <x:c r="B1630" s="10" t="n">
        <x:v>46127</x:v>
      </x:c>
      <x:c r="C1630" t="str">
        <x:v>An Nguyen</x:v>
      </x:c>
      <x:c r="D1630" t="str">
        <x:v>South</x:v>
      </x:c>
      <x:c r="E1630" t="str">
        <x:v>organic search</x:v>
      </x:c>
      <x:c r="F1630" t="str">
        <x:v>MKT-AUTO</x:v>
      </x:c>
      <x:c r="G1630" t="str">
        <x:v>Manufacturing</x:v>
      </x:c>
      <x:c r="H1630" t="str">
        <x:v>SMB</x:v>
      </x:c>
      <x:c r="I1630" t="str">
        <x:v>Closed Lost</x:v>
      </x:c>
      <x:c r="J1630" s="10" t="n">
        <x:v>46151</x:v>
      </x:c>
      <x:c r="K1630" s="10" t="n">
        <x:v>46151</x:v>
      </x:c>
      <x:c r="L1630" s="22" t="n">
        <x:v>20700</x:v>
      </x:c>
      <x:c r="M1630" s="24" t="n">
        <x:v>0</x:v>
      </x:c>
      <x:c r="N1630" s="24" t="n">
        <x:v>0</x:v>
      </x:c>
      <x:c r="O1630" t="str">
        <x:v>Feature Gap</x:v>
      </x:c>
      <x:c r="P1630" t="n">
        <x:v>2</x:v>
      </x:c>
      <x:c r="Q1630" t="str">
        <x:f>IFERROR(XLOOKUP(E1630,Lookups!$A$5:$A$24,Lookups!$B$5:$B$24),"Other")</x:f>
        <x:v>Organic Search</x:v>
      </x:c>
      <x:c r="R1630" t="str">
        <x:f>IFERROR(XLOOKUP(F1630,Lookups!$D$5:$D$10,Lookups!$E$5:$E$10),"Unknown Product")</x:f>
        <x:v>Marketing Automation</x:v>
      </x:c>
      <x:c r="S1630" t="str">
        <x:f>IFERROR(XLOOKUP(F1630,Lookups!$D$5:$D$10,Lookups!$F$5:$F$10),"Unknown")</x:f>
        <x:v>Marketing</x:v>
      </x:c>
      <x:c r="T1630" t="str">
        <x:f>IF(L1630&gt;=50000,"Enterprise",IF(L1630&gt;=20000,"Mid-Market","SMB"))</x:f>
        <x:v>Mid-Market</x:v>
      </x:c>
      <x:c r="U1630" t="str">
        <x:f>IF(I1630="Closed Won","Won",IF(I1630="Closed Lost","Lost","Open"))</x:f>
        <x:v>Lost</x:v>
      </x:c>
      <x:c r="V1630" s="22" t="n">
        <x:f>IF(U1630="Won",L1630*(1-M1630),0)</x:f>
        <x:v>0</x:v>
      </x:c>
      <x:c r="W1630" s="22" t="n">
        <x:f>IF(U1630="Open",L1630*N1630,0)</x:f>
        <x:v>0</x:v>
      </x:c>
      <x:c r="X1630" s="26" t="n">
        <x:f>IF(U1630="Open","",IFERROR(K1630-B1630,""))</x:f>
        <x:v>24</x:v>
      </x:c>
      <x:c r="Y1630" s="26" t="n">
        <x:f>IF(U1630="Open",Lookups!$B$2-B1630,X1630)</x:f>
        <x:v>24</x:v>
      </x:c>
      <x:c r="Z1630" t="str">
        <x:f>IF(AND(U1630="Open",Y1630&gt;30),"STALE","OK")</x:f>
        <x:v>OK</x:v>
      </x:c>
      <x:c r="AA1630" t="str">
        <x:f>TEXT(B1630,"yyyy-mm")</x:f>
        <x:v>2026-04</x:v>
      </x:c>
      <x:c r="AB1630" t="str">
        <x:f>IF(K1630="","",TEXT(K1630,"yyyy-mm"))</x:f>
        <x:v>2026-05</x:v>
      </x:c>
      <x:c r="AC1630" t="str">
        <x:f>"Q"&amp;ROUNDUP(MONTH(B1630)/3,0)&amp;"-"&amp;YEAR(B1630)</x:f>
        <x:v>Q2-2026</x:v>
      </x:c>
      <x:c r="AD1630" s="26" t="n">
        <x:f>MIN(100,IF(H1630="Enterprise",30,IF(H1630="Mid-Market",22,14))+IF(T1630="Enterprise",25,IF(T1630="Mid-Market",18,10))+IF(Q1630="Referral",25,IF(Q1630="Organic Search",20,IF(Q1630="Email",18,14)))+IF(G1630="Technology",10,5))</x:f>
        <x:v>57</x:v>
      </x:c>
      <x:c r="AE1630" t="str">
        <x:f>IF(U1630&lt;&gt;"Open",U1630,IF(N1630&gt;=0.8,"Commit",IF(N1630&gt;=0.5,"Best Case","Pipeline")))</x:f>
        <x:v>Lost</x:v>
      </x:c>
    </x:row>
    <x:row r="1631">
      <x:c r="A1631" t="str">
        <x:v>L01630</x:v>
      </x:c>
      <x:c r="B1631" s="10" t="n">
        <x:v>45659</x:v>
      </x:c>
      <x:c r="C1631" t="str">
        <x:v>Ha Vo</x:v>
      </x:c>
      <x:c r="D1631" t="str">
        <x:v>North</x:v>
      </x:c>
      <x:c r="E1631" t="str">
        <x:v>google cpc</x:v>
      </x:c>
      <x:c r="F1631" t="str">
        <x:v>BI-PLUS</x:v>
      </x:c>
      <x:c r="G1631" t="str">
        <x:v>Manufacturing</x:v>
      </x:c>
      <x:c r="H1631" t="str">
        <x:v>SMB</x:v>
      </x:c>
      <x:c r="I1631" t="str">
        <x:v>Negotiation</x:v>
      </x:c>
      <x:c r="J1631" s="10" t="n">
        <x:v>45981</x:v>
      </x:c>
      <x:c r="K1631" s="10"/>
      <x:c r="L1631" s="22" t="n">
        <x:v>25400</x:v>
      </x:c>
      <x:c r="M1631" s="24" t="n">
        <x:v>0.03</x:v>
      </x:c>
      <x:c r="N1631" s="24" t="n">
        <x:v>0.85</x:v>
      </x:c>
      <x:c r="O1631" t="str"/>
      <x:c r="P1631" t="n">
        <x:v>5</x:v>
      </x:c>
      <x:c r="Q1631" t="str">
        <x:f>IFERROR(XLOOKUP(E1631,Lookups!$A$5:$A$24,Lookups!$B$5:$B$24),"Other")</x:f>
        <x:v>Paid Search</x:v>
      </x:c>
      <x:c r="R1631" t="str">
        <x:f>IFERROR(XLOOKUP(F1631,Lookups!$D$5:$D$10,Lookups!$E$5:$E$10),"Unknown Product")</x:f>
        <x:v>Analytics Plus</x:v>
      </x:c>
      <x:c r="S1631" t="str">
        <x:f>IFERROR(XLOOKUP(F1631,Lookups!$D$5:$D$10,Lookups!$F$5:$F$10),"Unknown")</x:f>
        <x:v>Analytics</x:v>
      </x:c>
      <x:c r="T1631" t="str">
        <x:f>IF(L1631&gt;=50000,"Enterprise",IF(L1631&gt;=20000,"Mid-Market","SMB"))</x:f>
        <x:v>Mid-Market</x:v>
      </x:c>
      <x:c r="U1631" t="str">
        <x:f>IF(I1631="Closed Won","Won",IF(I1631="Closed Lost","Lost","Open"))</x:f>
        <x:v>Open</x:v>
      </x:c>
      <x:c r="V1631" s="22" t="n">
        <x:f>IF(U1631="Won",L1631*(1-M1631),0)</x:f>
        <x:v>0</x:v>
      </x:c>
      <x:c r="W1631" s="22" t="n">
        <x:f>IF(U1631="Open",L1631*N1631,0)</x:f>
        <x:v>21590</x:v>
      </x:c>
      <x:c r="X1631" s="26" t="str">
        <x:f>IF(U1631="Open","",IFERROR(K1631-B1631,""))</x:f>
      </x:c>
      <x:c r="Y1631" s="26" t="n">
        <x:f>IF(U1631="Open",Lookups!$B$2-B1631,X1631)</x:f>
        <x:v>607</x:v>
      </x:c>
      <x:c r="Z1631" t="str">
        <x:f>IF(AND(U1631="Open",Y1631&gt;30),"STALE","OK")</x:f>
        <x:v>STALE</x:v>
      </x:c>
      <x:c r="AA1631" t="str">
        <x:f>TEXT(B1631,"yyyy-mm")</x:f>
        <x:v>2025-01</x:v>
      </x:c>
      <x:c r="AB1631" t="str">
        <x:f>IF(K1631="","",TEXT(K1631,"yyyy-mm"))</x:f>
      </x:c>
      <x:c r="AC1631" t="str">
        <x:f>"Q"&amp;ROUNDUP(MONTH(B1631)/3,0)&amp;"-"&amp;YEAR(B1631)</x:f>
        <x:v>Q1-2025</x:v>
      </x:c>
      <x:c r="AD1631" s="26" t="n">
        <x:f>MIN(100,IF(H1631="Enterprise",30,IF(H1631="Mid-Market",22,14))+IF(T1631="Enterprise",25,IF(T1631="Mid-Market",18,10))+IF(Q1631="Referral",25,IF(Q1631="Organic Search",20,IF(Q1631="Email",18,14)))+IF(G1631="Technology",10,5))</x:f>
        <x:v>51</x:v>
      </x:c>
      <x:c r="AE1631" t="str">
        <x:f>IF(U1631&lt;&gt;"Open",U1631,IF(N1631&gt;=0.8,"Commit",IF(N1631&gt;=0.5,"Best Case","Pipeline")))</x:f>
        <x:v>Commit</x:v>
      </x:c>
    </x:row>
    <x:row r="1632">
      <x:c r="A1632" t="str">
        <x:v>L01631</x:v>
      </x:c>
      <x:c r="B1632" s="10" t="n">
        <x:v>45754</x:v>
      </x:c>
      <x:c r="C1632" t="str">
        <x:v>Minh Do</x:v>
      </x:c>
      <x:c r="D1632" t="str">
        <x:v>North</x:v>
      </x:c>
      <x:c r="E1632" t="str">
        <x:v>Outbound</x:v>
      </x:c>
      <x:c r="F1632" t="str">
        <x:v>BI-PLUS</x:v>
      </x:c>
      <x:c r="G1632" t="str">
        <x:v>Financial Services</x:v>
      </x:c>
      <x:c r="H1632" t="str">
        <x:v>Mid-Market</x:v>
      </x:c>
      <x:c r="I1632" t="str">
        <x:v>Closed Lost</x:v>
      </x:c>
      <x:c r="J1632" s="10" t="n">
        <x:v>45796</x:v>
      </x:c>
      <x:c r="K1632" s="10" t="n">
        <x:v>45796</x:v>
      </x:c>
      <x:c r="L1632" s="22" t="n">
        <x:v>40400</x:v>
      </x:c>
      <x:c r="M1632" s="24" t="n">
        <x:v>0</x:v>
      </x:c>
      <x:c r="N1632" s="24" t="n">
        <x:v>0</x:v>
      </x:c>
      <x:c r="O1632" t="str">
        <x:v>Timing</x:v>
      </x:c>
      <x:c r="P1632" t="n">
        <x:v>3</x:v>
      </x:c>
      <x:c r="Q1632" t="str">
        <x:f>IFERROR(XLOOKUP(E1632,Lookups!$A$5:$A$24,Lookups!$B$5:$B$24),"Other")</x:f>
        <x:v>Outbound</x:v>
      </x:c>
      <x:c r="R1632" t="str">
        <x:f>IFERROR(XLOOKUP(F1632,Lookups!$D$5:$D$10,Lookups!$E$5:$E$10),"Unknown Product")</x:f>
        <x:v>Analytics Plus</x:v>
      </x:c>
      <x:c r="S1632" t="str">
        <x:f>IFERROR(XLOOKUP(F1632,Lookups!$D$5:$D$10,Lookups!$F$5:$F$10),"Unknown")</x:f>
        <x:v>Analytics</x:v>
      </x:c>
      <x:c r="T1632" t="str">
        <x:f>IF(L1632&gt;=50000,"Enterprise",IF(L1632&gt;=20000,"Mid-Market","SMB"))</x:f>
        <x:v>Mid-Market</x:v>
      </x:c>
      <x:c r="U1632" t="str">
        <x:f>IF(I1632="Closed Won","Won",IF(I1632="Closed Lost","Lost","Open"))</x:f>
        <x:v>Lost</x:v>
      </x:c>
      <x:c r="V1632" s="22" t="n">
        <x:f>IF(U1632="Won",L1632*(1-M1632),0)</x:f>
        <x:v>0</x:v>
      </x:c>
      <x:c r="W1632" s="22" t="n">
        <x:f>IF(U1632="Open",L1632*N1632,0)</x:f>
        <x:v>0</x:v>
      </x:c>
      <x:c r="X1632" s="26" t="n">
        <x:f>IF(U1632="Open","",IFERROR(K1632-B1632,""))</x:f>
        <x:v>42</x:v>
      </x:c>
      <x:c r="Y1632" s="26" t="n">
        <x:f>IF(U1632="Open",Lookups!$B$2-B1632,X1632)</x:f>
        <x:v>42</x:v>
      </x:c>
      <x:c r="Z1632" t="str">
        <x:f>IF(AND(U1632="Open",Y1632&gt;30),"STALE","OK")</x:f>
        <x:v>OK</x:v>
      </x:c>
      <x:c r="AA1632" t="str">
        <x:f>TEXT(B1632,"yyyy-mm")</x:f>
        <x:v>2025-04</x:v>
      </x:c>
      <x:c r="AB1632" t="str">
        <x:f>IF(K1632="","",TEXT(K1632,"yyyy-mm"))</x:f>
        <x:v>2025-05</x:v>
      </x:c>
      <x:c r="AC1632" t="str">
        <x:f>"Q"&amp;ROUNDUP(MONTH(B1632)/3,0)&amp;"-"&amp;YEAR(B1632)</x:f>
        <x:v>Q2-2025</x:v>
      </x:c>
      <x:c r="AD1632" s="26" t="n">
        <x:f>MIN(100,IF(H1632="Enterprise",30,IF(H1632="Mid-Market",22,14))+IF(T1632="Enterprise",25,IF(T1632="Mid-Market",18,10))+IF(Q1632="Referral",25,IF(Q1632="Organic Search",20,IF(Q1632="Email",18,14)))+IF(G1632="Technology",10,5))</x:f>
        <x:v>59</x:v>
      </x:c>
      <x:c r="AE1632" t="str">
        <x:f>IF(U1632&lt;&gt;"Open",U1632,IF(N1632&gt;=0.8,"Commit",IF(N1632&gt;=0.5,"Best Case","Pipeline")))</x:f>
        <x:v>Lost</x:v>
      </x:c>
    </x:row>
    <x:row r="1633">
      <x:c r="A1633" t="str">
        <x:v>L01632</x:v>
      </x:c>
      <x:c r="B1633" s="10" t="n">
        <x:v>45962</x:v>
      </x:c>
      <x:c r="C1633" t="str">
        <x:v>Ha Vo</x:v>
      </x:c>
      <x:c r="D1633" t="str">
        <x:v>North</x:v>
      </x:c>
      <x:c r="E1633" t="str">
        <x:v>linkedin</x:v>
      </x:c>
      <x:c r="F1633" t="str">
        <x:v>CRM-CORE</x:v>
      </x:c>
      <x:c r="G1633" t="str">
        <x:v>Education</x:v>
      </x:c>
      <x:c r="H1633" t="str">
        <x:v>SMB</x:v>
      </x:c>
      <x:c r="I1633" t="str">
        <x:v>Closed Lost</x:v>
      </x:c>
      <x:c r="J1633" s="10" t="n">
        <x:v>46030</x:v>
      </x:c>
      <x:c r="K1633" s="10" t="n">
        <x:v>46030</x:v>
      </x:c>
      <x:c r="L1633" s="22" t="n">
        <x:v>9400</x:v>
      </x:c>
      <x:c r="M1633" s="24" t="n">
        <x:v>0</x:v>
      </x:c>
      <x:c r="N1633" s="24" t="n">
        <x:v>0</x:v>
      </x:c>
      <x:c r="O1633" t="str">
        <x:v>Price</x:v>
      </x:c>
      <x:c r="P1633" t="n">
        <x:v>4</x:v>
      </x:c>
      <x:c r="Q1633" t="str">
        <x:f>IFERROR(XLOOKUP(E1633,Lookups!$A$5:$A$24,Lookups!$B$5:$B$24),"Other")</x:f>
        <x:v>LinkedIn</x:v>
      </x:c>
      <x:c r="R1633" t="str">
        <x:f>IFERROR(XLOOKUP(F1633,Lookups!$D$5:$D$10,Lookups!$E$5:$E$10),"Unknown Product")</x:f>
        <x:v>NexaCRM Core</x:v>
      </x:c>
      <x:c r="S1633" t="str">
        <x:f>IFERROR(XLOOKUP(F1633,Lookups!$D$5:$D$10,Lookups!$F$5:$F$10),"Unknown")</x:f>
        <x:v>CRM</x:v>
      </x:c>
      <x:c r="T1633" t="str">
        <x:f>IF(L1633&gt;=50000,"Enterprise",IF(L1633&gt;=20000,"Mid-Market","SMB"))</x:f>
        <x:v>SMB</x:v>
      </x:c>
      <x:c r="U1633" t="str">
        <x:f>IF(I1633="Closed Won","Won",IF(I1633="Closed Lost","Lost","Open"))</x:f>
        <x:v>Lost</x:v>
      </x:c>
      <x:c r="V1633" s="22" t="n">
        <x:f>IF(U1633="Won",L1633*(1-M1633),0)</x:f>
        <x:v>0</x:v>
      </x:c>
      <x:c r="W1633" s="22" t="n">
        <x:f>IF(U1633="Open",L1633*N1633,0)</x:f>
        <x:v>0</x:v>
      </x:c>
      <x:c r="X1633" s="26" t="n">
        <x:f>IF(U1633="Open","",IFERROR(K1633-B1633,""))</x:f>
        <x:v>68</x:v>
      </x:c>
      <x:c r="Y1633" s="26" t="n">
        <x:f>IF(U1633="Open",Lookups!$B$2-B1633,X1633)</x:f>
        <x:v>68</x:v>
      </x:c>
      <x:c r="Z1633" t="str">
        <x:f>IF(AND(U1633="Open",Y1633&gt;30),"STALE","OK")</x:f>
        <x:v>OK</x:v>
      </x:c>
      <x:c r="AA1633" t="str">
        <x:f>TEXT(B1633,"yyyy-mm")</x:f>
        <x:v>2025-11</x:v>
      </x:c>
      <x:c r="AB1633" t="str">
        <x:f>IF(K1633="","",TEXT(K1633,"yyyy-mm"))</x:f>
        <x:v>2026-01</x:v>
      </x:c>
      <x:c r="AC1633" t="str">
        <x:f>"Q"&amp;ROUNDUP(MONTH(B1633)/3,0)&amp;"-"&amp;YEAR(B1633)</x:f>
        <x:v>Q4-2025</x:v>
      </x:c>
      <x:c r="AD1633" s="26" t="n">
        <x:f>MIN(100,IF(H1633="Enterprise",30,IF(H1633="Mid-Market",22,14))+IF(T1633="Enterprise",25,IF(T1633="Mid-Market",18,10))+IF(Q1633="Referral",25,IF(Q1633="Organic Search",20,IF(Q1633="Email",18,14)))+IF(G1633="Technology",10,5))</x:f>
        <x:v>43</x:v>
      </x:c>
      <x:c r="AE1633" t="str">
        <x:f>IF(U1633&lt;&gt;"Open",U1633,IF(N1633&gt;=0.8,"Commit",IF(N1633&gt;=0.5,"Best Case","Pipeline")))</x:f>
        <x:v>Lost</x:v>
      </x:c>
    </x:row>
    <x:row r="1634">
      <x:c r="A1634" t="str">
        <x:v>L01633</x:v>
      </x:c>
      <x:c r="B1634" s="10" t="n">
        <x:v>46257</x:v>
      </x:c>
      <x:c r="C1634" t="str">
        <x:v>Minh Do</x:v>
      </x:c>
      <x:c r="D1634" t="str">
        <x:v>North</x:v>
      </x:c>
      <x:c r="E1634" t="str">
        <x:v>LinkedIn Ads</x:v>
      </x:c>
      <x:c r="F1634" t="str">
        <x:v>CRM-CORE</x:v>
      </x:c>
      <x:c r="G1634" t="str">
        <x:v>Healthcare</x:v>
      </x:c>
      <x:c r="H1634" t="str">
        <x:v>SMB</x:v>
      </x:c>
      <x:c r="I1634" t="str">
        <x:v>Qualified</x:v>
      </x:c>
      <x:c r="J1634" s="10" t="n">
        <x:v>46264</x:v>
      </x:c>
      <x:c r="K1634" s="10"/>
      <x:c r="L1634" s="22" t="n">
        <x:v>10300</x:v>
      </x:c>
      <x:c r="M1634" s="24" t="n">
        <x:v>0</x:v>
      </x:c>
      <x:c r="N1634" s="24" t="n">
        <x:v>0.2</x:v>
      </x:c>
      <x:c r="O1634" t="str"/>
      <x:c r="P1634" t="n">
        <x:v>2</x:v>
      </x:c>
      <x:c r="Q1634" t="str">
        <x:f>IFERROR(XLOOKUP(E1634,Lookups!$A$5:$A$24,Lookups!$B$5:$B$24),"Other")</x:f>
        <x:v>LinkedIn</x:v>
      </x:c>
      <x:c r="R1634" t="str">
        <x:f>IFERROR(XLOOKUP(F1634,Lookups!$D$5:$D$10,Lookups!$E$5:$E$10),"Unknown Product")</x:f>
        <x:v>NexaCRM Core</x:v>
      </x:c>
      <x:c r="S1634" t="str">
        <x:f>IFERROR(XLOOKUP(F1634,Lookups!$D$5:$D$10,Lookups!$F$5:$F$10),"Unknown")</x:f>
        <x:v>CRM</x:v>
      </x:c>
      <x:c r="T1634" t="str">
        <x:f>IF(L1634&gt;=50000,"Enterprise",IF(L1634&gt;=20000,"Mid-Market","SMB"))</x:f>
        <x:v>SMB</x:v>
      </x:c>
      <x:c r="U1634" t="str">
        <x:f>IF(I1634="Closed Won","Won",IF(I1634="Closed Lost","Lost","Open"))</x:f>
        <x:v>Open</x:v>
      </x:c>
      <x:c r="V1634" s="22" t="n">
        <x:f>IF(U1634="Won",L1634*(1-M1634),0)</x:f>
        <x:v>0</x:v>
      </x:c>
      <x:c r="W1634" s="22" t="n">
        <x:f>IF(U1634="Open",L1634*N1634,0)</x:f>
        <x:v>2060</x:v>
      </x:c>
      <x:c r="X1634" s="26" t="str">
        <x:f>IF(U1634="Open","",IFERROR(K1634-B1634,""))</x:f>
      </x:c>
      <x:c r="Y1634" s="26" t="n">
        <x:f>IF(U1634="Open",Lookups!$B$2-B1634,X1634)</x:f>
        <x:v>9</x:v>
      </x:c>
      <x:c r="Z1634" t="str">
        <x:f>IF(AND(U1634="Open",Y1634&gt;30),"STALE","OK")</x:f>
        <x:v>OK</x:v>
      </x:c>
      <x:c r="AA1634" t="str">
        <x:f>TEXT(B1634,"yyyy-mm")</x:f>
        <x:v>2026-08</x:v>
      </x:c>
      <x:c r="AB1634" t="str">
        <x:f>IF(K1634="","",TEXT(K1634,"yyyy-mm"))</x:f>
      </x:c>
      <x:c r="AC1634" t="str">
        <x:f>"Q"&amp;ROUNDUP(MONTH(B1634)/3,0)&amp;"-"&amp;YEAR(B1634)</x:f>
        <x:v>Q3-2026</x:v>
      </x:c>
      <x:c r="AD1634" s="26" t="n">
        <x:f>MIN(100,IF(H1634="Enterprise",30,IF(H1634="Mid-Market",22,14))+IF(T1634="Enterprise",25,IF(T1634="Mid-Market",18,10))+IF(Q1634="Referral",25,IF(Q1634="Organic Search",20,IF(Q1634="Email",18,14)))+IF(G1634="Technology",10,5))</x:f>
        <x:v>43</x:v>
      </x:c>
      <x:c r="AE1634" t="str">
        <x:f>IF(U1634&lt;&gt;"Open",U1634,IF(N1634&gt;=0.8,"Commit",IF(N1634&gt;=0.5,"Best Case","Pipeline")))</x:f>
        <x:v>Pipeline</x:v>
      </x:c>
    </x:row>
    <x:row r="1635">
      <x:c r="A1635" t="str">
        <x:v>L01634</x:v>
      </x:c>
      <x:c r="B1635" s="10" t="n">
        <x:v>45838</x:v>
      </x:c>
      <x:c r="C1635" t="str">
        <x:v>Duy Pham</x:v>
      </x:c>
      <x:c r="D1635" t="str">
        <x:v>South</x:v>
      </x:c>
      <x:c r="E1635" t="str">
        <x:v>newsletter</x:v>
      </x:c>
      <x:c r="F1635" t="str">
        <x:v>REV-OPS</x:v>
      </x:c>
      <x:c r="G1635" t="str">
        <x:v>Technology</x:v>
      </x:c>
      <x:c r="H1635" t="str">
        <x:v>Mid-Market</x:v>
      </x:c>
      <x:c r="I1635" t="str">
        <x:v>Closed Lost</x:v>
      </x:c>
      <x:c r="J1635" s="10" t="n">
        <x:v>45896</x:v>
      </x:c>
      <x:c r="K1635" s="10" t="n">
        <x:v>45896</x:v>
      </x:c>
      <x:c r="L1635" s="22" t="n">
        <x:v>57900</x:v>
      </x:c>
      <x:c r="M1635" s="24" t="n">
        <x:v>0</x:v>
      </x:c>
      <x:c r="N1635" s="24" t="n">
        <x:v>0</x:v>
      </x:c>
      <x:c r="O1635" t="str">
        <x:v>Timing</x:v>
      </x:c>
      <x:c r="P1635" t="n">
        <x:v>4</x:v>
      </x:c>
      <x:c r="Q1635" t="str">
        <x:f>IFERROR(XLOOKUP(E1635,Lookups!$A$5:$A$24,Lookups!$B$5:$B$24),"Other")</x:f>
        <x:v>Email</x:v>
      </x:c>
      <x:c r="R1635" t="str">
        <x:f>IFERROR(XLOOKUP(F1635,Lookups!$D$5:$D$10,Lookups!$E$5:$E$10),"Unknown Product")</x:f>
        <x:v>Revenue Operations Suite</x:v>
      </x:c>
      <x:c r="S1635" t="str">
        <x:f>IFERROR(XLOOKUP(F1635,Lookups!$D$5:$D$10,Lookups!$F$5:$F$10),"Unknown")</x:f>
        <x:v>Revenue Ops</x:v>
      </x:c>
      <x:c r="T1635" t="str">
        <x:f>IF(L1635&gt;=50000,"Enterprise",IF(L1635&gt;=20000,"Mid-Market","SMB"))</x:f>
        <x:v>Enterprise</x:v>
      </x:c>
      <x:c r="U1635" t="str">
        <x:f>IF(I1635="Closed Won","Won",IF(I1635="Closed Lost","Lost","Open"))</x:f>
        <x:v>Lost</x:v>
      </x:c>
      <x:c r="V1635" s="22" t="n">
        <x:f>IF(U1635="Won",L1635*(1-M1635),0)</x:f>
        <x:v>0</x:v>
      </x:c>
      <x:c r="W1635" s="22" t="n">
        <x:f>IF(U1635="Open",L1635*N1635,0)</x:f>
        <x:v>0</x:v>
      </x:c>
      <x:c r="X1635" s="26" t="n">
        <x:f>IF(U1635="Open","",IFERROR(K1635-B1635,""))</x:f>
        <x:v>58</x:v>
      </x:c>
      <x:c r="Y1635" s="26" t="n">
        <x:f>IF(U1635="Open",Lookups!$B$2-B1635,X1635)</x:f>
        <x:v>58</x:v>
      </x:c>
      <x:c r="Z1635" t="str">
        <x:f>IF(AND(U1635="Open",Y1635&gt;30),"STALE","OK")</x:f>
        <x:v>OK</x:v>
      </x:c>
      <x:c r="AA1635" t="str">
        <x:f>TEXT(B1635,"yyyy-mm")</x:f>
        <x:v>2025-06</x:v>
      </x:c>
      <x:c r="AB1635" t="str">
        <x:f>IF(K1635="","",TEXT(K1635,"yyyy-mm"))</x:f>
        <x:v>2025-08</x:v>
      </x:c>
      <x:c r="AC1635" t="str">
        <x:f>"Q"&amp;ROUNDUP(MONTH(B1635)/3,0)&amp;"-"&amp;YEAR(B1635)</x:f>
        <x:v>Q2-2025</x:v>
      </x:c>
      <x:c r="AD1635" s="26" t="n">
        <x:f>MIN(100,IF(H1635="Enterprise",30,IF(H1635="Mid-Market",22,14))+IF(T1635="Enterprise",25,IF(T1635="Mid-Market",18,10))+IF(Q1635="Referral",25,IF(Q1635="Organic Search",20,IF(Q1635="Email",18,14)))+IF(G1635="Technology",10,5))</x:f>
        <x:v>75</x:v>
      </x:c>
      <x:c r="AE1635" t="str">
        <x:f>IF(U1635&lt;&gt;"Open",U1635,IF(N1635&gt;=0.8,"Commit",IF(N1635&gt;=0.5,"Best Case","Pipeline")))</x:f>
        <x:v>Lost</x:v>
      </x:c>
    </x:row>
    <x:row r="1636">
      <x:c r="A1636" t="str">
        <x:v>L01635</x:v>
      </x:c>
      <x:c r="B1636" s="10" t="n">
        <x:v>45957</x:v>
      </x:c>
      <x:c r="C1636" t="str">
        <x:v>An Nguyen</x:v>
      </x:c>
      <x:c r="D1636" t="str">
        <x:v>South</x:v>
      </x:c>
      <x:c r="E1636" t="str">
        <x:v>Google Ads</x:v>
      </x:c>
      <x:c r="F1636" t="str">
        <x:v>CRM-CORE</x:v>
      </x:c>
      <x:c r="G1636" t="str">
        <x:v>Retail</x:v>
      </x:c>
      <x:c r="H1636" t="str">
        <x:v>SMB</x:v>
      </x:c>
      <x:c r="I1636" t="str">
        <x:v>Negotiation</x:v>
      </x:c>
      <x:c r="J1636" s="10" t="n">
        <x:v>46119</x:v>
      </x:c>
      <x:c r="K1636" s="10"/>
      <x:c r="L1636" s="22" t="n">
        <x:v>8500</x:v>
      </x:c>
      <x:c r="M1636" s="24" t="n">
        <x:v>0</x:v>
      </x:c>
      <x:c r="N1636" s="24" t="n">
        <x:v>0.85</x:v>
      </x:c>
      <x:c r="O1636" t="str"/>
      <x:c r="P1636" t="n">
        <x:v>5</x:v>
      </x:c>
      <x:c r="Q1636" t="str">
        <x:f>IFERROR(XLOOKUP(E1636,Lookups!$A$5:$A$24,Lookups!$B$5:$B$24),"Other")</x:f>
        <x:v>Paid Search</x:v>
      </x:c>
      <x:c r="R1636" t="str">
        <x:f>IFERROR(XLOOKUP(F1636,Lookups!$D$5:$D$10,Lookups!$E$5:$E$10),"Unknown Product")</x:f>
        <x:v>NexaCRM Core</x:v>
      </x:c>
      <x:c r="S1636" t="str">
        <x:f>IFERROR(XLOOKUP(F1636,Lookups!$D$5:$D$10,Lookups!$F$5:$F$10),"Unknown")</x:f>
        <x:v>CRM</x:v>
      </x:c>
      <x:c r="T1636" t="str">
        <x:f>IF(L1636&gt;=50000,"Enterprise",IF(L1636&gt;=20000,"Mid-Market","SMB"))</x:f>
        <x:v>SMB</x:v>
      </x:c>
      <x:c r="U1636" t="str">
        <x:f>IF(I1636="Closed Won","Won",IF(I1636="Closed Lost","Lost","Open"))</x:f>
        <x:v>Open</x:v>
      </x:c>
      <x:c r="V1636" s="22" t="n">
        <x:f>IF(U1636="Won",L1636*(1-M1636),0)</x:f>
        <x:v>0</x:v>
      </x:c>
      <x:c r="W1636" s="22" t="n">
        <x:f>IF(U1636="Open",L1636*N1636,0)</x:f>
        <x:v>7225</x:v>
      </x:c>
      <x:c r="X1636" s="26" t="str">
        <x:f>IF(U1636="Open","",IFERROR(K1636-B1636,""))</x:f>
      </x:c>
      <x:c r="Y1636" s="26" t="n">
        <x:f>IF(U1636="Open",Lookups!$B$2-B1636,X1636)</x:f>
        <x:v>309</x:v>
      </x:c>
      <x:c r="Z1636" t="str">
        <x:f>IF(AND(U1636="Open",Y1636&gt;30),"STALE","OK")</x:f>
        <x:v>STALE</x:v>
      </x:c>
      <x:c r="AA1636" t="str">
        <x:f>TEXT(B1636,"yyyy-mm")</x:f>
        <x:v>2025-10</x:v>
      </x:c>
      <x:c r="AB1636" t="str">
        <x:f>IF(K1636="","",TEXT(K1636,"yyyy-mm"))</x:f>
      </x:c>
      <x:c r="AC1636" t="str">
        <x:f>"Q"&amp;ROUNDUP(MONTH(B1636)/3,0)&amp;"-"&amp;YEAR(B1636)</x:f>
        <x:v>Q4-2025</x:v>
      </x:c>
      <x:c r="AD1636" s="26" t="n">
        <x:f>MIN(100,IF(H1636="Enterprise",30,IF(H1636="Mid-Market",22,14))+IF(T1636="Enterprise",25,IF(T1636="Mid-Market",18,10))+IF(Q1636="Referral",25,IF(Q1636="Organic Search",20,IF(Q1636="Email",18,14)))+IF(G1636="Technology",10,5))</x:f>
        <x:v>43</x:v>
      </x:c>
      <x:c r="AE1636" t="str">
        <x:f>IF(U1636&lt;&gt;"Open",U1636,IF(N1636&gt;=0.8,"Commit",IF(N1636&gt;=0.5,"Best Case","Pipeline")))</x:f>
        <x:v>Commit</x:v>
      </x:c>
    </x:row>
    <x:row r="1637">
      <x:c r="A1637" t="str">
        <x:v>L01636</x:v>
      </x:c>
      <x:c r="B1637" s="10" t="n">
        <x:v>46219</x:v>
      </x:c>
      <x:c r="C1637" t="str">
        <x:v>Quynh Vu</x:v>
      </x:c>
      <x:c r="D1637" t="str">
        <x:v>North</x:v>
      </x:c>
      <x:c r="E1637" t="str">
        <x:v>organic search</x:v>
      </x:c>
      <x:c r="F1637" t="str">
        <x:v>MKT-AUTO</x:v>
      </x:c>
      <x:c r="G1637" t="str">
        <x:v>Education</x:v>
      </x:c>
      <x:c r="H1637" t="str">
        <x:v>Enterprise</x:v>
      </x:c>
      <x:c r="I1637" t="str">
        <x:v>Demo / Meeting</x:v>
      </x:c>
      <x:c r="J1637" s="10" t="n">
        <x:v>46257</x:v>
      </x:c>
      <x:c r="K1637" s="10"/>
      <x:c r="L1637" s="22" t="n">
        <x:v>56800</x:v>
      </x:c>
      <x:c r="M1637" s="24" t="n">
        <x:v>0</x:v>
      </x:c>
      <x:c r="N1637" s="24" t="n">
        <x:v>0.4</x:v>
      </x:c>
      <x:c r="O1637" t="str"/>
      <x:c r="P1637" t="n">
        <x:v>3</x:v>
      </x:c>
      <x:c r="Q1637" t="str">
        <x:f>IFERROR(XLOOKUP(E1637,Lookups!$A$5:$A$24,Lookups!$B$5:$B$24),"Other")</x:f>
        <x:v>Organic Search</x:v>
      </x:c>
      <x:c r="R1637" t="str">
        <x:f>IFERROR(XLOOKUP(F1637,Lookups!$D$5:$D$10,Lookups!$E$5:$E$10),"Unknown Product")</x:f>
        <x:v>Marketing Automation</x:v>
      </x:c>
      <x:c r="S1637" t="str">
        <x:f>IFERROR(XLOOKUP(F1637,Lookups!$D$5:$D$10,Lookups!$F$5:$F$10),"Unknown")</x:f>
        <x:v>Marketing</x:v>
      </x:c>
      <x:c r="T1637" t="str">
        <x:f>IF(L1637&gt;=50000,"Enterprise",IF(L1637&gt;=20000,"Mid-Market","SMB"))</x:f>
        <x:v>Enterprise</x:v>
      </x:c>
      <x:c r="U1637" t="str">
        <x:f>IF(I1637="Closed Won","Won",IF(I1637="Closed Lost","Lost","Open"))</x:f>
        <x:v>Open</x:v>
      </x:c>
      <x:c r="V1637" s="22" t="n">
        <x:f>IF(U1637="Won",L1637*(1-M1637),0)</x:f>
        <x:v>0</x:v>
      </x:c>
      <x:c r="W1637" s="22" t="n">
        <x:f>IF(U1637="Open",L1637*N1637,0)</x:f>
        <x:v>22720</x:v>
      </x:c>
      <x:c r="X1637" s="26" t="str">
        <x:f>IF(U1637="Open","",IFERROR(K1637-B1637,""))</x:f>
      </x:c>
      <x:c r="Y1637" s="26" t="n">
        <x:f>IF(U1637="Open",Lookups!$B$2-B1637,X1637)</x:f>
        <x:v>47</x:v>
      </x:c>
      <x:c r="Z1637" t="str">
        <x:f>IF(AND(U1637="Open",Y1637&gt;30),"STALE","OK")</x:f>
        <x:v>STALE</x:v>
      </x:c>
      <x:c r="AA1637" t="str">
        <x:f>TEXT(B1637,"yyyy-mm")</x:f>
        <x:v>2026-07</x:v>
      </x:c>
      <x:c r="AB1637" t="str">
        <x:f>IF(K1637="","",TEXT(K1637,"yyyy-mm"))</x:f>
      </x:c>
      <x:c r="AC1637" t="str">
        <x:f>"Q"&amp;ROUNDUP(MONTH(B1637)/3,0)&amp;"-"&amp;YEAR(B1637)</x:f>
        <x:v>Q3-2026</x:v>
      </x:c>
      <x:c r="AD1637" s="26" t="n">
        <x:f>MIN(100,IF(H1637="Enterprise",30,IF(H1637="Mid-Market",22,14))+IF(T1637="Enterprise",25,IF(T1637="Mid-Market",18,10))+IF(Q1637="Referral",25,IF(Q1637="Organic Search",20,IF(Q1637="Email",18,14)))+IF(G1637="Technology",10,5))</x:f>
        <x:v>80</x:v>
      </x:c>
      <x:c r="AE1637" t="str">
        <x:f>IF(U1637&lt;&gt;"Open",U1637,IF(N1637&gt;=0.8,"Commit",IF(N1637&gt;=0.5,"Best Case","Pipeline")))</x:f>
        <x:v>Pipeline</x:v>
      </x:c>
    </x:row>
    <x:row r="1638">
      <x:c r="A1638" t="str">
        <x:v>L01637</x:v>
      </x:c>
      <x:c r="B1638" s="10" t="n">
        <x:v>45830</x:v>
      </x:c>
      <x:c r="C1638" t="str">
        <x:v>An Nguyen</x:v>
      </x:c>
      <x:c r="D1638" t="str">
        <x:v>South</x:v>
      </x:c>
      <x:c r="E1638" t="str">
        <x:v>Google Organic</x:v>
      </x:c>
      <x:c r="F1638" t="str">
        <x:v>BI-PLUS</x:v>
      </x:c>
      <x:c r="G1638" t="str">
        <x:v>Financial Services</x:v>
      </x:c>
      <x:c r="H1638" t="str">
        <x:v>SMB</x:v>
      </x:c>
      <x:c r="I1638" t="str">
        <x:v>Closed Lost</x:v>
      </x:c>
      <x:c r="J1638" s="10" t="n">
        <x:v>45894</x:v>
      </x:c>
      <x:c r="K1638" s="10" t="n">
        <x:v>45894</x:v>
      </x:c>
      <x:c r="L1638" s="22" t="n">
        <x:v>13200</x:v>
      </x:c>
      <x:c r="M1638" s="24" t="n">
        <x:v>0</x:v>
      </x:c>
      <x:c r="N1638" s="24" t="n">
        <x:v>0</x:v>
      </x:c>
      <x:c r="O1638" t="str">
        <x:v>No Decision</x:v>
      </x:c>
      <x:c r="P1638" t="n">
        <x:v>2</x:v>
      </x:c>
      <x:c r="Q1638" t="str">
        <x:f>IFERROR(XLOOKUP(E1638,Lookups!$A$5:$A$24,Lookups!$B$5:$B$24),"Other")</x:f>
        <x:v>Organic Search</x:v>
      </x:c>
      <x:c r="R1638" t="str">
        <x:f>IFERROR(XLOOKUP(F1638,Lookups!$D$5:$D$10,Lookups!$E$5:$E$10),"Unknown Product")</x:f>
        <x:v>Analytics Plus</x:v>
      </x:c>
      <x:c r="S1638" t="str">
        <x:f>IFERROR(XLOOKUP(F1638,Lookups!$D$5:$D$10,Lookups!$F$5:$F$10),"Unknown")</x:f>
        <x:v>Analytics</x:v>
      </x:c>
      <x:c r="T1638" t="str">
        <x:f>IF(L1638&gt;=50000,"Enterprise",IF(L1638&gt;=20000,"Mid-Market","SMB"))</x:f>
        <x:v>SMB</x:v>
      </x:c>
      <x:c r="U1638" t="str">
        <x:f>IF(I1638="Closed Won","Won",IF(I1638="Closed Lost","Lost","Open"))</x:f>
        <x:v>Lost</x:v>
      </x:c>
      <x:c r="V1638" s="22" t="n">
        <x:f>IF(U1638="Won",L1638*(1-M1638),0)</x:f>
        <x:v>0</x:v>
      </x:c>
      <x:c r="W1638" s="22" t="n">
        <x:f>IF(U1638="Open",L1638*N1638,0)</x:f>
        <x:v>0</x:v>
      </x:c>
      <x:c r="X1638" s="26" t="n">
        <x:f>IF(U1638="Open","",IFERROR(K1638-B1638,""))</x:f>
        <x:v>64</x:v>
      </x:c>
      <x:c r="Y1638" s="26" t="n">
        <x:f>IF(U1638="Open",Lookups!$B$2-B1638,X1638)</x:f>
        <x:v>64</x:v>
      </x:c>
      <x:c r="Z1638" t="str">
        <x:f>IF(AND(U1638="Open",Y1638&gt;30),"STALE","OK")</x:f>
        <x:v>OK</x:v>
      </x:c>
      <x:c r="AA1638" t="str">
        <x:f>TEXT(B1638,"yyyy-mm")</x:f>
        <x:v>2025-06</x:v>
      </x:c>
      <x:c r="AB1638" t="str">
        <x:f>IF(K1638="","",TEXT(K1638,"yyyy-mm"))</x:f>
        <x:v>2025-08</x:v>
      </x:c>
      <x:c r="AC1638" t="str">
        <x:f>"Q"&amp;ROUNDUP(MONTH(B1638)/3,0)&amp;"-"&amp;YEAR(B1638)</x:f>
        <x:v>Q2-2025</x:v>
      </x:c>
      <x:c r="AD1638" s="26" t="n">
        <x:f>MIN(100,IF(H1638="Enterprise",30,IF(H1638="Mid-Market",22,14))+IF(T1638="Enterprise",25,IF(T1638="Mid-Market",18,10))+IF(Q1638="Referral",25,IF(Q1638="Organic Search",20,IF(Q1638="Email",18,14)))+IF(G1638="Technology",10,5))</x:f>
        <x:v>49</x:v>
      </x:c>
      <x:c r="AE1638" t="str">
        <x:f>IF(U1638&lt;&gt;"Open",U1638,IF(N1638&gt;=0.8,"Commit",IF(N1638&gt;=0.5,"Best Case","Pipeline")))</x:f>
        <x:v>Lost</x:v>
      </x:c>
    </x:row>
    <x:row r="1639">
      <x:c r="A1639" t="str">
        <x:v>L01638</x:v>
      </x:c>
      <x:c r="B1639" s="10" t="n">
        <x:v>45721</x:v>
      </x:c>
      <x:c r="C1639" t="str">
        <x:v>Quynh Vu</x:v>
      </x:c>
      <x:c r="D1639" t="str">
        <x:v>North</x:v>
      </x:c>
      <x:c r="E1639" t="str">
        <x:v>Webinar</x:v>
      </x:c>
      <x:c r="F1639" t="str">
        <x:v>REV-OPS</x:v>
      </x:c>
      <x:c r="G1639" t="str">
        <x:v>Technology</x:v>
      </x:c>
      <x:c r="H1639" t="str">
        <x:v>SMB</x:v>
      </x:c>
      <x:c r="I1639" t="str">
        <x:v>Closed Lost</x:v>
      </x:c>
      <x:c r="J1639" s="10" t="n">
        <x:v>45776</x:v>
      </x:c>
      <x:c r="K1639" s="10" t="n">
        <x:v>45776</x:v>
      </x:c>
      <x:c r="L1639" s="22" t="n">
        <x:v>40400</x:v>
      </x:c>
      <x:c r="M1639" s="24" t="n">
        <x:v>0</x:v>
      </x:c>
      <x:c r="N1639" s="24" t="n">
        <x:v>0</x:v>
      </x:c>
      <x:c r="O1639" t="str">
        <x:v>Timing</x:v>
      </x:c>
      <x:c r="P1639" t="n">
        <x:v>3</x:v>
      </x:c>
      <x:c r="Q1639" t="str">
        <x:f>IFERROR(XLOOKUP(E1639,Lookups!$A$5:$A$24,Lookups!$B$5:$B$24),"Other")</x:f>
        <x:v>Webinar</x:v>
      </x:c>
      <x:c r="R1639" t="str">
        <x:f>IFERROR(XLOOKUP(F1639,Lookups!$D$5:$D$10,Lookups!$E$5:$E$10),"Unknown Product")</x:f>
        <x:v>Revenue Operations Suite</x:v>
      </x:c>
      <x:c r="S1639" t="str">
        <x:f>IFERROR(XLOOKUP(F1639,Lookups!$D$5:$D$10,Lookups!$F$5:$F$10),"Unknown")</x:f>
        <x:v>Revenue Ops</x:v>
      </x:c>
      <x:c r="T1639" t="str">
        <x:f>IF(L1639&gt;=50000,"Enterprise",IF(L1639&gt;=20000,"Mid-Market","SMB"))</x:f>
        <x:v>Mid-Market</x:v>
      </x:c>
      <x:c r="U1639" t="str">
        <x:f>IF(I1639="Closed Won","Won",IF(I1639="Closed Lost","Lost","Open"))</x:f>
        <x:v>Lost</x:v>
      </x:c>
      <x:c r="V1639" s="22" t="n">
        <x:f>IF(U1639="Won",L1639*(1-M1639),0)</x:f>
        <x:v>0</x:v>
      </x:c>
      <x:c r="W1639" s="22" t="n">
        <x:f>IF(U1639="Open",L1639*N1639,0)</x:f>
        <x:v>0</x:v>
      </x:c>
      <x:c r="X1639" s="26" t="n">
        <x:f>IF(U1639="Open","",IFERROR(K1639-B1639,""))</x:f>
        <x:v>55</x:v>
      </x:c>
      <x:c r="Y1639" s="26" t="n">
        <x:f>IF(U1639="Open",Lookups!$B$2-B1639,X1639)</x:f>
        <x:v>55</x:v>
      </x:c>
      <x:c r="Z1639" t="str">
        <x:f>IF(AND(U1639="Open",Y1639&gt;30),"STALE","OK")</x:f>
        <x:v>OK</x:v>
      </x:c>
      <x:c r="AA1639" t="str">
        <x:f>TEXT(B1639,"yyyy-mm")</x:f>
        <x:v>2025-03</x:v>
      </x:c>
      <x:c r="AB1639" t="str">
        <x:f>IF(K1639="","",TEXT(K1639,"yyyy-mm"))</x:f>
        <x:v>2025-04</x:v>
      </x:c>
      <x:c r="AC1639" t="str">
        <x:f>"Q"&amp;ROUNDUP(MONTH(B1639)/3,0)&amp;"-"&amp;YEAR(B1639)</x:f>
        <x:v>Q1-2025</x:v>
      </x:c>
      <x:c r="AD1639" s="26" t="n">
        <x:f>MIN(100,IF(H1639="Enterprise",30,IF(H1639="Mid-Market",22,14))+IF(T1639="Enterprise",25,IF(T1639="Mid-Market",18,10))+IF(Q1639="Referral",25,IF(Q1639="Organic Search",20,IF(Q1639="Email",18,14)))+IF(G1639="Technology",10,5))</x:f>
        <x:v>56</x:v>
      </x:c>
      <x:c r="AE1639" t="str">
        <x:f>IF(U1639&lt;&gt;"Open",U1639,IF(N1639&gt;=0.8,"Commit",IF(N1639&gt;=0.5,"Best Case","Pipeline")))</x:f>
        <x:v>Lost</x:v>
      </x:c>
    </x:row>
    <x:row r="1640">
      <x:c r="A1640" t="str">
        <x:v>L01639</x:v>
      </x:c>
      <x:c r="B1640" s="10" t="n">
        <x:v>45787</x:v>
      </x:c>
      <x:c r="C1640" t="str">
        <x:v>Ha Vo</x:v>
      </x:c>
      <x:c r="D1640" t="str">
        <x:v>North</x:v>
      </x:c>
      <x:c r="E1640" t="str">
        <x:v>linkedin</x:v>
      </x:c>
      <x:c r="F1640" t="str">
        <x:v>CRM-PRO</x:v>
      </x:c>
      <x:c r="G1640" t="str">
        <x:v>Education</x:v>
      </x:c>
      <x:c r="H1640" t="str">
        <x:v>Enterprise</x:v>
      </x:c>
      <x:c r="I1640" t="str">
        <x:v>Closed Lost</x:v>
      </x:c>
      <x:c r="J1640" s="10" t="n">
        <x:v>45853</x:v>
      </x:c>
      <x:c r="K1640" s="10" t="n">
        <x:v>45853</x:v>
      </x:c>
      <x:c r="L1640" s="22" t="n">
        <x:v>87300</x:v>
      </x:c>
      <x:c r="M1640" s="24" t="n">
        <x:v>0</x:v>
      </x:c>
      <x:c r="N1640" s="24" t="n">
        <x:v>0</x:v>
      </x:c>
      <x:c r="O1640" t="str">
        <x:v>Competitor</x:v>
      </x:c>
      <x:c r="P1640" t="n">
        <x:v>3</x:v>
      </x:c>
      <x:c r="Q1640" t="str">
        <x:f>IFERROR(XLOOKUP(E1640,Lookups!$A$5:$A$24,Lookups!$B$5:$B$24),"Other")</x:f>
        <x:v>LinkedIn</x:v>
      </x:c>
      <x:c r="R1640" t="str">
        <x:f>IFERROR(XLOOKUP(F1640,Lookups!$D$5:$D$10,Lookups!$E$5:$E$10),"Unknown Product")</x:f>
        <x:v>NexaCRM Pro</x:v>
      </x:c>
      <x:c r="S1640" t="str">
        <x:f>IFERROR(XLOOKUP(F1640,Lookups!$D$5:$D$10,Lookups!$F$5:$F$10),"Unknown")</x:f>
        <x:v>CRM</x:v>
      </x:c>
      <x:c r="T1640" t="str">
        <x:f>IF(L1640&gt;=50000,"Enterprise",IF(L1640&gt;=20000,"Mid-Market","SMB"))</x:f>
        <x:v>Enterprise</x:v>
      </x:c>
      <x:c r="U1640" t="str">
        <x:f>IF(I1640="Closed Won","Won",IF(I1640="Closed Lost","Lost","Open"))</x:f>
        <x:v>Lost</x:v>
      </x:c>
      <x:c r="V1640" s="22" t="n">
        <x:f>IF(U1640="Won",L1640*(1-M1640),0)</x:f>
        <x:v>0</x:v>
      </x:c>
      <x:c r="W1640" s="22" t="n">
        <x:f>IF(U1640="Open",L1640*N1640,0)</x:f>
        <x:v>0</x:v>
      </x:c>
      <x:c r="X1640" s="26" t="n">
        <x:f>IF(U1640="Open","",IFERROR(K1640-B1640,""))</x:f>
        <x:v>66</x:v>
      </x:c>
      <x:c r="Y1640" s="26" t="n">
        <x:f>IF(U1640="Open",Lookups!$B$2-B1640,X1640)</x:f>
        <x:v>66</x:v>
      </x:c>
      <x:c r="Z1640" t="str">
        <x:f>IF(AND(U1640="Open",Y1640&gt;30),"STALE","OK")</x:f>
        <x:v>OK</x:v>
      </x:c>
      <x:c r="AA1640" t="str">
        <x:f>TEXT(B1640,"yyyy-mm")</x:f>
        <x:v>2025-05</x:v>
      </x:c>
      <x:c r="AB1640" t="str">
        <x:f>IF(K1640="","",TEXT(K1640,"yyyy-mm"))</x:f>
        <x:v>2025-07</x:v>
      </x:c>
      <x:c r="AC1640" t="str">
        <x:f>"Q"&amp;ROUNDUP(MONTH(B1640)/3,0)&amp;"-"&amp;YEAR(B1640)</x:f>
        <x:v>Q2-2025</x:v>
      </x:c>
      <x:c r="AD1640" s="26" t="n">
        <x:f>MIN(100,IF(H1640="Enterprise",30,IF(H1640="Mid-Market",22,14))+IF(T1640="Enterprise",25,IF(T1640="Mid-Market",18,10))+IF(Q1640="Referral",25,IF(Q1640="Organic Search",20,IF(Q1640="Email",18,14)))+IF(G1640="Technology",10,5))</x:f>
        <x:v>74</x:v>
      </x:c>
      <x:c r="AE1640" t="str">
        <x:f>IF(U1640&lt;&gt;"Open",U1640,IF(N1640&gt;=0.8,"Commit",IF(N1640&gt;=0.5,"Best Case","Pipeline")))</x:f>
        <x:v>Lost</x:v>
      </x:c>
    </x:row>
    <x:row r="1641">
      <x:c r="A1641" t="str">
        <x:v>L01640</x:v>
      </x:c>
      <x:c r="B1641" s="10" t="n">
        <x:v>46002</x:v>
      </x:c>
      <x:c r="C1641" t="str">
        <x:v>Duy Pham</x:v>
      </x:c>
      <x:c r="D1641" t="str">
        <x:v>South</x:v>
      </x:c>
      <x:c r="E1641" t="str">
        <x:v>Google Ads</x:v>
      </x:c>
      <x:c r="F1641" t="str">
        <x:v>CS-CLOUD</x:v>
      </x:c>
      <x:c r="G1641" t="str">
        <x:v>Manufacturing</x:v>
      </x:c>
      <x:c r="H1641" t="str">
        <x:v>Enterprise</x:v>
      </x:c>
      <x:c r="I1641" t="str">
        <x:v>Negotiation</x:v>
      </x:c>
      <x:c r="J1641" s="10" t="n">
        <x:v>46137</x:v>
      </x:c>
      <x:c r="K1641" s="10"/>
      <x:c r="L1641" s="22" t="n">
        <x:v>88500</x:v>
      </x:c>
      <x:c r="M1641" s="24" t="n">
        <x:v>0.03</x:v>
      </x:c>
      <x:c r="N1641" s="24" t="n">
        <x:v>0.85</x:v>
      </x:c>
      <x:c r="O1641" t="str"/>
      <x:c r="P1641" t="n">
        <x:v>5</x:v>
      </x:c>
      <x:c r="Q1641" t="str">
        <x:f>IFERROR(XLOOKUP(E1641,Lookups!$A$5:$A$24,Lookups!$B$5:$B$24),"Other")</x:f>
        <x:v>Paid Search</x:v>
      </x:c>
      <x:c r="R1641" t="str">
        <x:f>IFERROR(XLOOKUP(F1641,Lookups!$D$5:$D$10,Lookups!$E$5:$E$10),"Unknown Product")</x:f>
        <x:v>Service Cloud</x:v>
      </x:c>
      <x:c r="S1641" t="str">
        <x:f>IFERROR(XLOOKUP(F1641,Lookups!$D$5:$D$10,Lookups!$F$5:$F$10),"Unknown")</x:f>
        <x:v>Customer Service</x:v>
      </x:c>
      <x:c r="T1641" t="str">
        <x:f>IF(L1641&gt;=50000,"Enterprise",IF(L1641&gt;=20000,"Mid-Market","SMB"))</x:f>
        <x:v>Enterprise</x:v>
      </x:c>
      <x:c r="U1641" t="str">
        <x:f>IF(I1641="Closed Won","Won",IF(I1641="Closed Lost","Lost","Open"))</x:f>
        <x:v>Open</x:v>
      </x:c>
      <x:c r="V1641" s="22" t="n">
        <x:f>IF(U1641="Won",L1641*(1-M1641),0)</x:f>
        <x:v>0</x:v>
      </x:c>
      <x:c r="W1641" s="22" t="n">
        <x:f>IF(U1641="Open",L1641*N1641,0)</x:f>
        <x:v>75225</x:v>
      </x:c>
      <x:c r="X1641" s="26" t="str">
        <x:f>IF(U1641="Open","",IFERROR(K1641-B1641,""))</x:f>
      </x:c>
      <x:c r="Y1641" s="26" t="n">
        <x:f>IF(U1641="Open",Lookups!$B$2-B1641,X1641)</x:f>
        <x:v>264</x:v>
      </x:c>
      <x:c r="Z1641" t="str">
        <x:f>IF(AND(U1641="Open",Y1641&gt;30),"STALE","OK")</x:f>
        <x:v>STALE</x:v>
      </x:c>
      <x:c r="AA1641" t="str">
        <x:f>TEXT(B1641,"yyyy-mm")</x:f>
        <x:v>2025-12</x:v>
      </x:c>
      <x:c r="AB1641" t="str">
        <x:f>IF(K1641="","",TEXT(K1641,"yyyy-mm"))</x:f>
      </x:c>
      <x:c r="AC1641" t="str">
        <x:f>"Q"&amp;ROUNDUP(MONTH(B1641)/3,0)&amp;"-"&amp;YEAR(B1641)</x:f>
        <x:v>Q4-2025</x:v>
      </x:c>
      <x:c r="AD1641" s="26" t="n">
        <x:f>MIN(100,IF(H1641="Enterprise",30,IF(H1641="Mid-Market",22,14))+IF(T1641="Enterprise",25,IF(T1641="Mid-Market",18,10))+IF(Q1641="Referral",25,IF(Q1641="Organic Search",20,IF(Q1641="Email",18,14)))+IF(G1641="Technology",10,5))</x:f>
        <x:v>74</x:v>
      </x:c>
      <x:c r="AE1641" t="str">
        <x:f>IF(U1641&lt;&gt;"Open",U1641,IF(N1641&gt;=0.8,"Commit",IF(N1641&gt;=0.5,"Best Case","Pipeline")))</x:f>
        <x:v>Commit</x:v>
      </x:c>
    </x:row>
    <x:row r="1642">
      <x:c r="A1642" t="str">
        <x:v>L01641</x:v>
      </x:c>
      <x:c r="B1642" s="10" t="n">
        <x:v>46077</x:v>
      </x:c>
      <x:c r="C1642" t="str">
        <x:v>An Nguyen</x:v>
      </x:c>
      <x:c r="D1642" t="str">
        <x:v>South</x:v>
      </x:c>
      <x:c r="E1642" t="str">
        <x:v>LI Ads</x:v>
      </x:c>
      <x:c r="F1642" t="str">
        <x:v>CS-CLOUD</x:v>
      </x:c>
      <x:c r="G1642" t="str">
        <x:v>Healthcare</x:v>
      </x:c>
      <x:c r="H1642" t="str">
        <x:v>SMB</x:v>
      </x:c>
      <x:c r="I1642" t="str">
        <x:v>Closed Lost</x:v>
      </x:c>
      <x:c r="J1642" s="10" t="n">
        <x:v>46157</x:v>
      </x:c>
      <x:c r="K1642" s="10" t="n">
        <x:v>46157</x:v>
      </x:c>
      <x:c r="L1642" s="22" t="n">
        <x:v>12100</x:v>
      </x:c>
      <x:c r="M1642" s="24" t="n">
        <x:v>0</x:v>
      </x:c>
      <x:c r="N1642" s="24" t="n">
        <x:v>0</x:v>
      </x:c>
      <x:c r="O1642" t="str">
        <x:v>Feature Gap</x:v>
      </x:c>
      <x:c r="P1642" t="n">
        <x:v>4</x:v>
      </x:c>
      <x:c r="Q1642" t="str">
        <x:f>IFERROR(XLOOKUP(E1642,Lookups!$A$5:$A$24,Lookups!$B$5:$B$24),"Other")</x:f>
        <x:v>LinkedIn</x:v>
      </x:c>
      <x:c r="R1642" t="str">
        <x:f>IFERROR(XLOOKUP(F1642,Lookups!$D$5:$D$10,Lookups!$E$5:$E$10),"Unknown Product")</x:f>
        <x:v>Service Cloud</x:v>
      </x:c>
      <x:c r="S1642" t="str">
        <x:f>IFERROR(XLOOKUP(F1642,Lookups!$D$5:$D$10,Lookups!$F$5:$F$10),"Unknown")</x:f>
        <x:v>Customer Service</x:v>
      </x:c>
      <x:c r="T1642" t="str">
        <x:f>IF(L1642&gt;=50000,"Enterprise",IF(L1642&gt;=20000,"Mid-Market","SMB"))</x:f>
        <x:v>SMB</x:v>
      </x:c>
      <x:c r="U1642" t="str">
        <x:f>IF(I1642="Closed Won","Won",IF(I1642="Closed Lost","Lost","Open"))</x:f>
        <x:v>Lost</x:v>
      </x:c>
      <x:c r="V1642" s="22" t="n">
        <x:f>IF(U1642="Won",L1642*(1-M1642),0)</x:f>
        <x:v>0</x:v>
      </x:c>
      <x:c r="W1642" s="22" t="n">
        <x:f>IF(U1642="Open",L1642*N1642,0)</x:f>
        <x:v>0</x:v>
      </x:c>
      <x:c r="X1642" s="26" t="n">
        <x:f>IF(U1642="Open","",IFERROR(K1642-B1642,""))</x:f>
        <x:v>80</x:v>
      </x:c>
      <x:c r="Y1642" s="26" t="n">
        <x:f>IF(U1642="Open",Lookups!$B$2-B1642,X1642)</x:f>
        <x:v>80</x:v>
      </x:c>
      <x:c r="Z1642" t="str">
        <x:f>IF(AND(U1642="Open",Y1642&gt;30),"STALE","OK")</x:f>
        <x:v>OK</x:v>
      </x:c>
      <x:c r="AA1642" t="str">
        <x:f>TEXT(B1642,"yyyy-mm")</x:f>
        <x:v>2026-02</x:v>
      </x:c>
      <x:c r="AB1642" t="str">
        <x:f>IF(K1642="","",TEXT(K1642,"yyyy-mm"))</x:f>
        <x:v>2026-05</x:v>
      </x:c>
      <x:c r="AC1642" t="str">
        <x:f>"Q"&amp;ROUNDUP(MONTH(B1642)/3,0)&amp;"-"&amp;YEAR(B1642)</x:f>
        <x:v>Q1-2026</x:v>
      </x:c>
      <x:c r="AD1642" s="26" t="n">
        <x:f>MIN(100,IF(H1642="Enterprise",30,IF(H1642="Mid-Market",22,14))+IF(T1642="Enterprise",25,IF(T1642="Mid-Market",18,10))+IF(Q1642="Referral",25,IF(Q1642="Organic Search",20,IF(Q1642="Email",18,14)))+IF(G1642="Technology",10,5))</x:f>
        <x:v>43</x:v>
      </x:c>
      <x:c r="AE1642" t="str">
        <x:f>IF(U1642&lt;&gt;"Open",U1642,IF(N1642&gt;=0.8,"Commit",IF(N1642&gt;=0.5,"Best Case","Pipeline")))</x:f>
        <x:v>Lost</x:v>
      </x:c>
    </x:row>
    <x:row r="1643">
      <x:c r="A1643" t="str">
        <x:v>L01642</x:v>
      </x:c>
      <x:c r="B1643" s="10" t="n">
        <x:v>45740</x:v>
      </x:c>
      <x:c r="C1643" t="str">
        <x:v>Tuan Bui</x:v>
      </x:c>
      <x:c r="D1643" t="str">
        <x:v>Central</x:v>
      </x:c>
      <x:c r="E1643" t="str">
        <x:v>Cold Email</x:v>
      </x:c>
      <x:c r="F1643" t="str">
        <x:v>REV-OPS</x:v>
      </x:c>
      <x:c r="G1643" t="str">
        <x:v>Retail</x:v>
      </x:c>
      <x:c r="H1643" t="str">
        <x:v>Enterprise</x:v>
      </x:c>
      <x:c r="I1643" t="str">
        <x:v>Negotiation</x:v>
      </x:c>
      <x:c r="J1643" s="10" t="n">
        <x:v>46188</x:v>
      </x:c>
      <x:c r="K1643" s="10"/>
      <x:c r="L1643" s="22" t="n">
        <x:v>86100</x:v>
      </x:c>
      <x:c r="M1643" s="24" t="n">
        <x:v>0</x:v>
      </x:c>
      <x:c r="N1643" s="24" t="n">
        <x:v>0.85</x:v>
      </x:c>
      <x:c r="O1643" t="str"/>
      <x:c r="P1643" t="n">
        <x:v>5</x:v>
      </x:c>
      <x:c r="Q1643" t="str">
        <x:f>IFERROR(XLOOKUP(E1643,Lookups!$A$5:$A$24,Lookups!$B$5:$B$24),"Other")</x:f>
        <x:v>Outbound</x:v>
      </x:c>
      <x:c r="R1643" t="str">
        <x:f>IFERROR(XLOOKUP(F1643,Lookups!$D$5:$D$10,Lookups!$E$5:$E$10),"Unknown Product")</x:f>
        <x:v>Revenue Operations Suite</x:v>
      </x:c>
      <x:c r="S1643" t="str">
        <x:f>IFERROR(XLOOKUP(F1643,Lookups!$D$5:$D$10,Lookups!$F$5:$F$10),"Unknown")</x:f>
        <x:v>Revenue Ops</x:v>
      </x:c>
      <x:c r="T1643" t="str">
        <x:f>IF(L1643&gt;=50000,"Enterprise",IF(L1643&gt;=20000,"Mid-Market","SMB"))</x:f>
        <x:v>Enterprise</x:v>
      </x:c>
      <x:c r="U1643" t="str">
        <x:f>IF(I1643="Closed Won","Won",IF(I1643="Closed Lost","Lost","Open"))</x:f>
        <x:v>Open</x:v>
      </x:c>
      <x:c r="V1643" s="22" t="n">
        <x:f>IF(U1643="Won",L1643*(1-M1643),0)</x:f>
        <x:v>0</x:v>
      </x:c>
      <x:c r="W1643" s="22" t="n">
        <x:f>IF(U1643="Open",L1643*N1643,0)</x:f>
        <x:v>73185</x:v>
      </x:c>
      <x:c r="X1643" s="26" t="str">
        <x:f>IF(U1643="Open","",IFERROR(K1643-B1643,""))</x:f>
      </x:c>
      <x:c r="Y1643" s="26" t="n">
        <x:f>IF(U1643="Open",Lookups!$B$2-B1643,X1643)</x:f>
        <x:v>526</x:v>
      </x:c>
      <x:c r="Z1643" t="str">
        <x:f>IF(AND(U1643="Open",Y1643&gt;30),"STALE","OK")</x:f>
        <x:v>STALE</x:v>
      </x:c>
      <x:c r="AA1643" t="str">
        <x:f>TEXT(B1643,"yyyy-mm")</x:f>
        <x:v>2025-03</x:v>
      </x:c>
      <x:c r="AB1643" t="str">
        <x:f>IF(K1643="","",TEXT(K1643,"yyyy-mm"))</x:f>
      </x:c>
      <x:c r="AC1643" t="str">
        <x:f>"Q"&amp;ROUNDUP(MONTH(B1643)/3,0)&amp;"-"&amp;YEAR(B1643)</x:f>
        <x:v>Q1-2025</x:v>
      </x:c>
      <x:c r="AD1643" s="26" t="n">
        <x:f>MIN(100,IF(H1643="Enterprise",30,IF(H1643="Mid-Market",22,14))+IF(T1643="Enterprise",25,IF(T1643="Mid-Market",18,10))+IF(Q1643="Referral",25,IF(Q1643="Organic Search",20,IF(Q1643="Email",18,14)))+IF(G1643="Technology",10,5))</x:f>
        <x:v>74</x:v>
      </x:c>
      <x:c r="AE1643" t="str">
        <x:f>IF(U1643&lt;&gt;"Open",U1643,IF(N1643&gt;=0.8,"Commit",IF(N1643&gt;=0.5,"Best Case","Pipeline")))</x:f>
        <x:v>Commit</x:v>
      </x:c>
    </x:row>
    <x:row r="1644">
      <x:c r="A1644" t="str">
        <x:v>L01643</x:v>
      </x:c>
      <x:c r="B1644" s="10" t="n">
        <x:v>45669</x:v>
      </x:c>
      <x:c r="C1644" t="str">
        <x:v>Tuan Bui</x:v>
      </x:c>
      <x:c r="D1644" t="str">
        <x:v>Central</x:v>
      </x:c>
      <x:c r="E1644" t="str">
        <x:v>organic search</x:v>
      </x:c>
      <x:c r="F1644" t="str">
        <x:v>CRM-PRO</x:v>
      </x:c>
      <x:c r="G1644" t="str">
        <x:v>Retail</x:v>
      </x:c>
      <x:c r="H1644" t="str">
        <x:v>SMB</x:v>
      </x:c>
      <x:c r="I1644" t="str">
        <x:v>Closed Lost</x:v>
      </x:c>
      <x:c r="J1644" s="10" t="n">
        <x:v>45724</x:v>
      </x:c>
      <x:c r="K1644" s="10" t="n">
        <x:v>45724</x:v>
      </x:c>
      <x:c r="L1644" s="22" t="n">
        <x:v>21400</x:v>
      </x:c>
      <x:c r="M1644" s="24" t="n">
        <x:v>0</x:v>
      </x:c>
      <x:c r="N1644" s="24" t="n">
        <x:v>0</x:v>
      </x:c>
      <x:c r="O1644" t="str">
        <x:v>Feature Gap</x:v>
      </x:c>
      <x:c r="P1644" t="n">
        <x:v>2</x:v>
      </x:c>
      <x:c r="Q1644" t="str">
        <x:f>IFERROR(XLOOKUP(E1644,Lookups!$A$5:$A$24,Lookups!$B$5:$B$24),"Other")</x:f>
        <x:v>Organic Search</x:v>
      </x:c>
      <x:c r="R1644" t="str">
        <x:f>IFERROR(XLOOKUP(F1644,Lookups!$D$5:$D$10,Lookups!$E$5:$E$10),"Unknown Product")</x:f>
        <x:v>NexaCRM Pro</x:v>
      </x:c>
      <x:c r="S1644" t="str">
        <x:f>IFERROR(XLOOKUP(F1644,Lookups!$D$5:$D$10,Lookups!$F$5:$F$10),"Unknown")</x:f>
        <x:v>CRM</x:v>
      </x:c>
      <x:c r="T1644" t="str">
        <x:f>IF(L1644&gt;=50000,"Enterprise",IF(L1644&gt;=20000,"Mid-Market","SMB"))</x:f>
        <x:v>Mid-Market</x:v>
      </x:c>
      <x:c r="U1644" t="str">
        <x:f>IF(I1644="Closed Won","Won",IF(I1644="Closed Lost","Lost","Open"))</x:f>
        <x:v>Lost</x:v>
      </x:c>
      <x:c r="V1644" s="22" t="n">
        <x:f>IF(U1644="Won",L1644*(1-M1644),0)</x:f>
        <x:v>0</x:v>
      </x:c>
      <x:c r="W1644" s="22" t="n">
        <x:f>IF(U1644="Open",L1644*N1644,0)</x:f>
        <x:v>0</x:v>
      </x:c>
      <x:c r="X1644" s="26" t="n">
        <x:f>IF(U1644="Open","",IFERROR(K1644-B1644,""))</x:f>
        <x:v>55</x:v>
      </x:c>
      <x:c r="Y1644" s="26" t="n">
        <x:f>IF(U1644="Open",Lookups!$B$2-B1644,X1644)</x:f>
        <x:v>55</x:v>
      </x:c>
      <x:c r="Z1644" t="str">
        <x:f>IF(AND(U1644="Open",Y1644&gt;30),"STALE","OK")</x:f>
        <x:v>OK</x:v>
      </x:c>
      <x:c r="AA1644" t="str">
        <x:f>TEXT(B1644,"yyyy-mm")</x:f>
        <x:v>2025-01</x:v>
      </x:c>
      <x:c r="AB1644" t="str">
        <x:f>IF(K1644="","",TEXT(K1644,"yyyy-mm"))</x:f>
        <x:v>2025-03</x:v>
      </x:c>
      <x:c r="AC1644" t="str">
        <x:f>"Q"&amp;ROUNDUP(MONTH(B1644)/3,0)&amp;"-"&amp;YEAR(B1644)</x:f>
        <x:v>Q1-2025</x:v>
      </x:c>
      <x:c r="AD1644" s="26" t="n">
        <x:f>MIN(100,IF(H1644="Enterprise",30,IF(H1644="Mid-Market",22,14))+IF(T1644="Enterprise",25,IF(T1644="Mid-Market",18,10))+IF(Q1644="Referral",25,IF(Q1644="Organic Search",20,IF(Q1644="Email",18,14)))+IF(G1644="Technology",10,5))</x:f>
        <x:v>57</x:v>
      </x:c>
      <x:c r="AE1644" t="str">
        <x:f>IF(U1644&lt;&gt;"Open",U1644,IF(N1644&gt;=0.8,"Commit",IF(N1644&gt;=0.5,"Best Case","Pipeline")))</x:f>
        <x:v>Lost</x:v>
      </x:c>
    </x:row>
    <x:row r="1645">
      <x:c r="A1645" t="str">
        <x:v>L01644</x:v>
      </x:c>
      <x:c r="B1645" s="10" t="n">
        <x:v>46194</x:v>
      </x:c>
      <x:c r="C1645" t="str">
        <x:v>Minh Do</x:v>
      </x:c>
      <x:c r="D1645" t="str">
        <x:v>North</x:v>
      </x:c>
      <x:c r="E1645" t="str">
        <x:v>Partner Referral</x:v>
      </x:c>
      <x:c r="F1645" t="str">
        <x:v>CRM-PRO</x:v>
      </x:c>
      <x:c r="G1645" t="str">
        <x:v>Technology</x:v>
      </x:c>
      <x:c r="H1645" t="str">
        <x:v>SMB</x:v>
      </x:c>
      <x:c r="I1645" t="str">
        <x:v>Closed Lost</x:v>
      </x:c>
      <x:c r="J1645" s="10" t="n">
        <x:v>46225</x:v>
      </x:c>
      <x:c r="K1645" s="10" t="n">
        <x:v>46225</x:v>
      </x:c>
      <x:c r="L1645" s="22" t="n">
        <x:v>17300</x:v>
      </x:c>
      <x:c r="M1645" s="24" t="n">
        <x:v>0</x:v>
      </x:c>
      <x:c r="N1645" s="24" t="n">
        <x:v>0</x:v>
      </x:c>
      <x:c r="O1645" t="str">
        <x:v>No Decision</x:v>
      </x:c>
      <x:c r="P1645" t="n">
        <x:v>2</x:v>
      </x:c>
      <x:c r="Q1645" t="str">
        <x:f>IFERROR(XLOOKUP(E1645,Lookups!$A$5:$A$24,Lookups!$B$5:$B$24),"Other")</x:f>
        <x:v>Referral</x:v>
      </x:c>
      <x:c r="R1645" t="str">
        <x:f>IFERROR(XLOOKUP(F1645,Lookups!$D$5:$D$10,Lookups!$E$5:$E$10),"Unknown Product")</x:f>
        <x:v>NexaCRM Pro</x:v>
      </x:c>
      <x:c r="S1645" t="str">
        <x:f>IFERROR(XLOOKUP(F1645,Lookups!$D$5:$D$10,Lookups!$F$5:$F$10),"Unknown")</x:f>
        <x:v>CRM</x:v>
      </x:c>
      <x:c r="T1645" t="str">
        <x:f>IF(L1645&gt;=50000,"Enterprise",IF(L1645&gt;=20000,"Mid-Market","SMB"))</x:f>
        <x:v>SMB</x:v>
      </x:c>
      <x:c r="U1645" t="str">
        <x:f>IF(I1645="Closed Won","Won",IF(I1645="Closed Lost","Lost","Open"))</x:f>
        <x:v>Lost</x:v>
      </x:c>
      <x:c r="V1645" s="22" t="n">
        <x:f>IF(U1645="Won",L1645*(1-M1645),0)</x:f>
        <x:v>0</x:v>
      </x:c>
      <x:c r="W1645" s="22" t="n">
        <x:f>IF(U1645="Open",L1645*N1645,0)</x:f>
        <x:v>0</x:v>
      </x:c>
      <x:c r="X1645" s="26" t="n">
        <x:f>IF(U1645="Open","",IFERROR(K1645-B1645,""))</x:f>
        <x:v>31</x:v>
      </x:c>
      <x:c r="Y1645" s="26" t="n">
        <x:f>IF(U1645="Open",Lookups!$B$2-B1645,X1645)</x:f>
        <x:v>31</x:v>
      </x:c>
      <x:c r="Z1645" t="str">
        <x:f>IF(AND(U1645="Open",Y1645&gt;30),"STALE","OK")</x:f>
        <x:v>OK</x:v>
      </x:c>
      <x:c r="AA1645" t="str">
        <x:f>TEXT(B1645,"yyyy-mm")</x:f>
        <x:v>2026-06</x:v>
      </x:c>
      <x:c r="AB1645" t="str">
        <x:f>IF(K1645="","",TEXT(K1645,"yyyy-mm"))</x:f>
        <x:v>2026-07</x:v>
      </x:c>
      <x:c r="AC1645" t="str">
        <x:f>"Q"&amp;ROUNDUP(MONTH(B1645)/3,0)&amp;"-"&amp;YEAR(B1645)</x:f>
        <x:v>Q2-2026</x:v>
      </x:c>
      <x:c r="AD1645" s="26" t="n">
        <x:f>MIN(100,IF(H1645="Enterprise",30,IF(H1645="Mid-Market",22,14))+IF(T1645="Enterprise",25,IF(T1645="Mid-Market",18,10))+IF(Q1645="Referral",25,IF(Q1645="Organic Search",20,IF(Q1645="Email",18,14)))+IF(G1645="Technology",10,5))</x:f>
        <x:v>59</x:v>
      </x:c>
      <x:c r="AE1645" t="str">
        <x:f>IF(U1645&lt;&gt;"Open",U1645,IF(N1645&gt;=0.8,"Commit",IF(N1645&gt;=0.5,"Best Case","Pipeline")))</x:f>
        <x:v>Lost</x:v>
      </x:c>
    </x:row>
    <x:row r="1646">
      <x:c r="A1646" t="str">
        <x:v>L01645</x:v>
      </x:c>
      <x:c r="B1646" s="10" t="n">
        <x:v>45687</x:v>
      </x:c>
      <x:c r="C1646" t="str">
        <x:v>Quynh Vu</x:v>
      </x:c>
      <x:c r="D1646" t="str">
        <x:v>North</x:v>
      </x:c>
      <x:c r="E1646" t="str">
        <x:v>Google Organic</x:v>
      </x:c>
      <x:c r="F1646" t="str">
        <x:v>CRM-PRO</x:v>
      </x:c>
      <x:c r="G1646" t="str">
        <x:v>Professional Services</x:v>
      </x:c>
      <x:c r="H1646" t="str">
        <x:v>SMB</x:v>
      </x:c>
      <x:c r="I1646" t="str">
        <x:v>Closed Won</x:v>
      </x:c>
      <x:c r="J1646" s="10" t="n">
        <x:v>45757</x:v>
      </x:c>
      <x:c r="K1646" s="10" t="n">
        <x:v>45757</x:v>
      </x:c>
      <x:c r="L1646" s="22" t="n">
        <x:v>12700</x:v>
      </x:c>
      <x:c r="M1646" s="24" t="n">
        <x:v>0.05</x:v>
      </x:c>
      <x:c r="N1646" s="24" t="n">
        <x:v>1</x:v>
      </x:c>
      <x:c r="O1646" t="str"/>
      <x:c r="P1646" t="n">
        <x:v>6</x:v>
      </x:c>
      <x:c r="Q1646" t="str">
        <x:f>IFERROR(XLOOKUP(E1646,Lookups!$A$5:$A$24,Lookups!$B$5:$B$24),"Other")</x:f>
        <x:v>Organic Search</x:v>
      </x:c>
      <x:c r="R1646" t="str">
        <x:f>IFERROR(XLOOKUP(F1646,Lookups!$D$5:$D$10,Lookups!$E$5:$E$10),"Unknown Product")</x:f>
        <x:v>NexaCRM Pro</x:v>
      </x:c>
      <x:c r="S1646" t="str">
        <x:f>IFERROR(XLOOKUP(F1646,Lookups!$D$5:$D$10,Lookups!$F$5:$F$10),"Unknown")</x:f>
        <x:v>CRM</x:v>
      </x:c>
      <x:c r="T1646" t="str">
        <x:f>IF(L1646&gt;=50000,"Enterprise",IF(L1646&gt;=20000,"Mid-Market","SMB"))</x:f>
        <x:v>SMB</x:v>
      </x:c>
      <x:c r="U1646" t="str">
        <x:f>IF(I1646="Closed Won","Won",IF(I1646="Closed Lost","Lost","Open"))</x:f>
        <x:v>Won</x:v>
      </x:c>
      <x:c r="V1646" s="22" t="n">
        <x:f>IF(U1646="Won",L1646*(1-M1646),0)</x:f>
        <x:v>12065</x:v>
      </x:c>
      <x:c r="W1646" s="22" t="n">
        <x:f>IF(U1646="Open",L1646*N1646,0)</x:f>
        <x:v>0</x:v>
      </x:c>
      <x:c r="X1646" s="26" t="n">
        <x:f>IF(U1646="Open","",IFERROR(K1646-B1646,""))</x:f>
        <x:v>70</x:v>
      </x:c>
      <x:c r="Y1646" s="26" t="n">
        <x:f>IF(U1646="Open",Lookups!$B$2-B1646,X1646)</x:f>
        <x:v>70</x:v>
      </x:c>
      <x:c r="Z1646" t="str">
        <x:f>IF(AND(U1646="Open",Y1646&gt;30),"STALE","OK")</x:f>
        <x:v>OK</x:v>
      </x:c>
      <x:c r="AA1646" t="str">
        <x:f>TEXT(B1646,"yyyy-mm")</x:f>
        <x:v>2025-01</x:v>
      </x:c>
      <x:c r="AB1646" t="str">
        <x:f>IF(K1646="","",TEXT(K1646,"yyyy-mm"))</x:f>
        <x:v>2025-04</x:v>
      </x:c>
      <x:c r="AC1646" t="str">
        <x:f>"Q"&amp;ROUNDUP(MONTH(B1646)/3,0)&amp;"-"&amp;YEAR(B1646)</x:f>
        <x:v>Q1-2025</x:v>
      </x:c>
      <x:c r="AD1646" s="26" t="n">
        <x:f>MIN(100,IF(H1646="Enterprise",30,IF(H1646="Mid-Market",22,14))+IF(T1646="Enterprise",25,IF(T1646="Mid-Market",18,10))+IF(Q1646="Referral",25,IF(Q1646="Organic Search",20,IF(Q1646="Email",18,14)))+IF(G1646="Technology",10,5))</x:f>
        <x:v>49</x:v>
      </x:c>
      <x:c r="AE1646" t="str">
        <x:f>IF(U1646&lt;&gt;"Open",U1646,IF(N1646&gt;=0.8,"Commit",IF(N1646&gt;=0.5,"Best Case","Pipeline")))</x:f>
        <x:v>Won</x:v>
      </x:c>
    </x:row>
    <x:row r="1647">
      <x:c r="A1647" t="str">
        <x:v>L01646</x:v>
      </x:c>
      <x:c r="B1647" s="10" t="n">
        <x:v>45901</x:v>
      </x:c>
      <x:c r="C1647" t="str">
        <x:v>Duy Pham</x:v>
      </x:c>
      <x:c r="D1647" t="str">
        <x:v>South</x:v>
      </x:c>
      <x:c r="E1647" t="str">
        <x:v>SEM - Google</x:v>
      </x:c>
      <x:c r="F1647" t="str">
        <x:v>CRM-CORE</x:v>
      </x:c>
      <x:c r="G1647" t="str">
        <x:v>Professional Services</x:v>
      </x:c>
      <x:c r="H1647" t="str">
        <x:v>Mid-Market</x:v>
      </x:c>
      <x:c r="I1647" t="str">
        <x:v>Closed Lost</x:v>
      </x:c>
      <x:c r="J1647" s="10" t="n">
        <x:v>45965</x:v>
      </x:c>
      <x:c r="K1647" s="10" t="n">
        <x:v>45965</x:v>
      </x:c>
      <x:c r="L1647" s="22" t="n">
        <x:v>10300</x:v>
      </x:c>
      <x:c r="M1647" s="24" t="n">
        <x:v>0</x:v>
      </x:c>
      <x:c r="N1647" s="24" t="n">
        <x:v>0</x:v>
      </x:c>
      <x:c r="O1647" t="str">
        <x:v>Price</x:v>
      </x:c>
      <x:c r="P1647" t="n">
        <x:v>5</x:v>
      </x:c>
      <x:c r="Q1647" t="str">
        <x:f>IFERROR(XLOOKUP(E1647,Lookups!$A$5:$A$24,Lookups!$B$5:$B$24),"Other")</x:f>
        <x:v>Paid Search</x:v>
      </x:c>
      <x:c r="R1647" t="str">
        <x:f>IFERROR(XLOOKUP(F1647,Lookups!$D$5:$D$10,Lookups!$E$5:$E$10),"Unknown Product")</x:f>
        <x:v>NexaCRM Core</x:v>
      </x:c>
      <x:c r="S1647" t="str">
        <x:f>IFERROR(XLOOKUP(F1647,Lookups!$D$5:$D$10,Lookups!$F$5:$F$10),"Unknown")</x:f>
        <x:v>CRM</x:v>
      </x:c>
      <x:c r="T1647" t="str">
        <x:f>IF(L1647&gt;=50000,"Enterprise",IF(L1647&gt;=20000,"Mid-Market","SMB"))</x:f>
        <x:v>SMB</x:v>
      </x:c>
      <x:c r="U1647" t="str">
        <x:f>IF(I1647="Closed Won","Won",IF(I1647="Closed Lost","Lost","Open"))</x:f>
        <x:v>Lost</x:v>
      </x:c>
      <x:c r="V1647" s="22" t="n">
        <x:f>IF(U1647="Won",L1647*(1-M1647),0)</x:f>
        <x:v>0</x:v>
      </x:c>
      <x:c r="W1647" s="22" t="n">
        <x:f>IF(U1647="Open",L1647*N1647,0)</x:f>
        <x:v>0</x:v>
      </x:c>
      <x:c r="X1647" s="26" t="n">
        <x:f>IF(U1647="Open","",IFERROR(K1647-B1647,""))</x:f>
        <x:v>64</x:v>
      </x:c>
      <x:c r="Y1647" s="26" t="n">
        <x:f>IF(U1647="Open",Lookups!$B$2-B1647,X1647)</x:f>
        <x:v>64</x:v>
      </x:c>
      <x:c r="Z1647" t="str">
        <x:f>IF(AND(U1647="Open",Y1647&gt;30),"STALE","OK")</x:f>
        <x:v>OK</x:v>
      </x:c>
      <x:c r="AA1647" t="str">
        <x:f>TEXT(B1647,"yyyy-mm")</x:f>
        <x:v>2025-09</x:v>
      </x:c>
      <x:c r="AB1647" t="str">
        <x:f>IF(K1647="","",TEXT(K1647,"yyyy-mm"))</x:f>
        <x:v>2025-11</x:v>
      </x:c>
      <x:c r="AC1647" t="str">
        <x:f>"Q"&amp;ROUNDUP(MONTH(B1647)/3,0)&amp;"-"&amp;YEAR(B1647)</x:f>
        <x:v>Q3-2025</x:v>
      </x:c>
      <x:c r="AD1647" s="26" t="n">
        <x:f>MIN(100,IF(H1647="Enterprise",30,IF(H1647="Mid-Market",22,14))+IF(T1647="Enterprise",25,IF(T1647="Mid-Market",18,10))+IF(Q1647="Referral",25,IF(Q1647="Organic Search",20,IF(Q1647="Email",18,14)))+IF(G1647="Technology",10,5))</x:f>
        <x:v>51</x:v>
      </x:c>
      <x:c r="AE1647" t="str">
        <x:f>IF(U1647&lt;&gt;"Open",U1647,IF(N1647&gt;=0.8,"Commit",IF(N1647&gt;=0.5,"Best Case","Pipeline")))</x:f>
        <x:v>Lost</x:v>
      </x:c>
    </x:row>
    <x:row r="1648">
      <x:c r="A1648" t="str">
        <x:v>L01647</x:v>
      </x:c>
      <x:c r="B1648" s="10" t="n">
        <x:v>46047</x:v>
      </x:c>
      <x:c r="C1648" t="str">
        <x:v>Tuan Bui</x:v>
      </x:c>
      <x:c r="D1648" t="str">
        <x:v>Central</x:v>
      </x:c>
      <x:c r="E1648" t="str">
        <x:v>virtual event</x:v>
      </x:c>
      <x:c r="F1648" t="str">
        <x:v>CS-CLOUD</x:v>
      </x:c>
      <x:c r="G1648" t="str">
        <x:v>Professional Services</x:v>
      </x:c>
      <x:c r="H1648" t="str">
        <x:v>Mid-Market</x:v>
      </x:c>
      <x:c r="I1648" t="str">
        <x:v>Closed Lost</x:v>
      </x:c>
      <x:c r="J1648" s="10" t="n">
        <x:v>46082</x:v>
      </x:c>
      <x:c r="K1648" s="10" t="n">
        <x:v>46082</x:v>
      </x:c>
      <x:c r="L1648" s="22" t="n">
        <x:v>32600</x:v>
      </x:c>
      <x:c r="M1648" s="24" t="n">
        <x:v>0</x:v>
      </x:c>
      <x:c r="N1648" s="24" t="n">
        <x:v>0</x:v>
      </x:c>
      <x:c r="O1648" t="str">
        <x:v>Timing</x:v>
      </x:c>
      <x:c r="P1648" t="n">
        <x:v>3</x:v>
      </x:c>
      <x:c r="Q1648" t="str">
        <x:f>IFERROR(XLOOKUP(E1648,Lookups!$A$5:$A$24,Lookups!$B$5:$B$24),"Other")</x:f>
        <x:v>Webinar</x:v>
      </x:c>
      <x:c r="R1648" t="str">
        <x:f>IFERROR(XLOOKUP(F1648,Lookups!$D$5:$D$10,Lookups!$E$5:$E$10),"Unknown Product")</x:f>
        <x:v>Service Cloud</x:v>
      </x:c>
      <x:c r="S1648" t="str">
        <x:f>IFERROR(XLOOKUP(F1648,Lookups!$D$5:$D$10,Lookups!$F$5:$F$10),"Unknown")</x:f>
        <x:v>Customer Service</x:v>
      </x:c>
      <x:c r="T1648" t="str">
        <x:f>IF(L1648&gt;=50000,"Enterprise",IF(L1648&gt;=20000,"Mid-Market","SMB"))</x:f>
        <x:v>Mid-Market</x:v>
      </x:c>
      <x:c r="U1648" t="str">
        <x:f>IF(I1648="Closed Won","Won",IF(I1648="Closed Lost","Lost","Open"))</x:f>
        <x:v>Lost</x:v>
      </x:c>
      <x:c r="V1648" s="22" t="n">
        <x:f>IF(U1648="Won",L1648*(1-M1648),0)</x:f>
        <x:v>0</x:v>
      </x:c>
      <x:c r="W1648" s="22" t="n">
        <x:f>IF(U1648="Open",L1648*N1648,0)</x:f>
        <x:v>0</x:v>
      </x:c>
      <x:c r="X1648" s="26" t="n">
        <x:f>IF(U1648="Open","",IFERROR(K1648-B1648,""))</x:f>
        <x:v>35</x:v>
      </x:c>
      <x:c r="Y1648" s="26" t="n">
        <x:f>IF(U1648="Open",Lookups!$B$2-B1648,X1648)</x:f>
        <x:v>35</x:v>
      </x:c>
      <x:c r="Z1648" t="str">
        <x:f>IF(AND(U1648="Open",Y1648&gt;30),"STALE","OK")</x:f>
        <x:v>OK</x:v>
      </x:c>
      <x:c r="AA1648" t="str">
        <x:f>TEXT(B1648,"yyyy-mm")</x:f>
        <x:v>2026-01</x:v>
      </x:c>
      <x:c r="AB1648" t="str">
        <x:f>IF(K1648="","",TEXT(K1648,"yyyy-mm"))</x:f>
        <x:v>2026-03</x:v>
      </x:c>
      <x:c r="AC1648" t="str">
        <x:f>"Q"&amp;ROUNDUP(MONTH(B1648)/3,0)&amp;"-"&amp;YEAR(B1648)</x:f>
        <x:v>Q1-2026</x:v>
      </x:c>
      <x:c r="AD1648" s="26" t="n">
        <x:f>MIN(100,IF(H1648="Enterprise",30,IF(H1648="Mid-Market",22,14))+IF(T1648="Enterprise",25,IF(T1648="Mid-Market",18,10))+IF(Q1648="Referral",25,IF(Q1648="Organic Search",20,IF(Q1648="Email",18,14)))+IF(G1648="Technology",10,5))</x:f>
        <x:v>59</x:v>
      </x:c>
      <x:c r="AE1648" t="str">
        <x:f>IF(U1648&lt;&gt;"Open",U1648,IF(N1648&gt;=0.8,"Commit",IF(N1648&gt;=0.5,"Best Case","Pipeline")))</x:f>
        <x:v>Lost</x:v>
      </x:c>
    </x:row>
    <x:row r="1649">
      <x:c r="A1649" t="str">
        <x:v>L01648</x:v>
      </x:c>
      <x:c r="B1649" s="10" t="n">
        <x:v>46247</x:v>
      </x:c>
      <x:c r="C1649" t="str">
        <x:v>Ha Vo</x:v>
      </x:c>
      <x:c r="D1649" t="str">
        <x:v>North</x:v>
      </x:c>
      <x:c r="E1649" t="str">
        <x:v>Google Organic</x:v>
      </x:c>
      <x:c r="F1649" t="str">
        <x:v>CRM-CORE</x:v>
      </x:c>
      <x:c r="G1649" t="str">
        <x:v>Financial Services</x:v>
      </x:c>
      <x:c r="H1649" t="str">
        <x:v>Mid-Market</x:v>
      </x:c>
      <x:c r="I1649" t="str">
        <x:v>New</x:v>
      </x:c>
      <x:c r="J1649" s="10" t="n">
        <x:v>46257</x:v>
      </x:c>
      <x:c r="K1649" s="10"/>
      <x:c r="L1649" s="22" t="n">
        <x:v>18700</x:v>
      </x:c>
      <x:c r="M1649" s="24" t="n">
        <x:v>0.03</x:v>
      </x:c>
      <x:c r="N1649" s="24" t="n">
        <x:v>0.05</x:v>
      </x:c>
      <x:c r="O1649" t="str"/>
      <x:c r="P1649" t="n">
        <x:v>1</x:v>
      </x:c>
      <x:c r="Q1649" t="str">
        <x:f>IFERROR(XLOOKUP(E1649,Lookups!$A$5:$A$24,Lookups!$B$5:$B$24),"Other")</x:f>
        <x:v>Organic Search</x:v>
      </x:c>
      <x:c r="R1649" t="str">
        <x:f>IFERROR(XLOOKUP(F1649,Lookups!$D$5:$D$10,Lookups!$E$5:$E$10),"Unknown Product")</x:f>
        <x:v>NexaCRM Core</x:v>
      </x:c>
      <x:c r="S1649" t="str">
        <x:f>IFERROR(XLOOKUP(F1649,Lookups!$D$5:$D$10,Lookups!$F$5:$F$10),"Unknown")</x:f>
        <x:v>CRM</x:v>
      </x:c>
      <x:c r="T1649" t="str">
        <x:f>IF(L1649&gt;=50000,"Enterprise",IF(L1649&gt;=20000,"Mid-Market","SMB"))</x:f>
        <x:v>SMB</x:v>
      </x:c>
      <x:c r="U1649" t="str">
        <x:f>IF(I1649="Closed Won","Won",IF(I1649="Closed Lost","Lost","Open"))</x:f>
        <x:v>Open</x:v>
      </x:c>
      <x:c r="V1649" s="22" t="n">
        <x:f>IF(U1649="Won",L1649*(1-M1649),0)</x:f>
        <x:v>0</x:v>
      </x:c>
      <x:c r="W1649" s="22" t="n">
        <x:f>IF(U1649="Open",L1649*N1649,0)</x:f>
        <x:v>935</x:v>
      </x:c>
      <x:c r="X1649" s="26" t="str">
        <x:f>IF(U1649="Open","",IFERROR(K1649-B1649,""))</x:f>
      </x:c>
      <x:c r="Y1649" s="26" t="n">
        <x:f>IF(U1649="Open",Lookups!$B$2-B1649,X1649)</x:f>
        <x:v>19</x:v>
      </x:c>
      <x:c r="Z1649" t="str">
        <x:f>IF(AND(U1649="Open",Y1649&gt;30),"STALE","OK")</x:f>
        <x:v>OK</x:v>
      </x:c>
      <x:c r="AA1649" t="str">
        <x:f>TEXT(B1649,"yyyy-mm")</x:f>
        <x:v>2026-08</x:v>
      </x:c>
      <x:c r="AB1649" t="str">
        <x:f>IF(K1649="","",TEXT(K1649,"yyyy-mm"))</x:f>
      </x:c>
      <x:c r="AC1649" t="str">
        <x:f>"Q"&amp;ROUNDUP(MONTH(B1649)/3,0)&amp;"-"&amp;YEAR(B1649)</x:f>
        <x:v>Q3-2026</x:v>
      </x:c>
      <x:c r="AD1649" s="26" t="n">
        <x:f>MIN(100,IF(H1649="Enterprise",30,IF(H1649="Mid-Market",22,14))+IF(T1649="Enterprise",25,IF(T1649="Mid-Market",18,10))+IF(Q1649="Referral",25,IF(Q1649="Organic Search",20,IF(Q1649="Email",18,14)))+IF(G1649="Technology",10,5))</x:f>
        <x:v>57</x:v>
      </x:c>
      <x:c r="AE1649" t="str">
        <x:f>IF(U1649&lt;&gt;"Open",U1649,IF(N1649&gt;=0.8,"Commit",IF(N1649&gt;=0.5,"Best Case","Pipeline")))</x:f>
        <x:v>Pipeline</x:v>
      </x:c>
    </x:row>
    <x:row r="1650">
      <x:c r="A1650" t="str">
        <x:v>L01649</x:v>
      </x:c>
      <x:c r="B1650" s="10" t="n">
        <x:v>45987</x:v>
      </x:c>
      <x:c r="C1650" t="str">
        <x:v>Duy Pham</x:v>
      </x:c>
      <x:c r="D1650" t="str">
        <x:v>South</x:v>
      </x:c>
      <x:c r="E1650" t="str">
        <x:v>Email Campaign</x:v>
      </x:c>
      <x:c r="F1650" t="str">
        <x:v>CRM-CORE</x:v>
      </x:c>
      <x:c r="G1650" t="str">
        <x:v>Financial Services</x:v>
      </x:c>
      <x:c r="H1650" t="str">
        <x:v>SMB</x:v>
      </x:c>
      <x:c r="I1650" t="str">
        <x:v>Closed Lost</x:v>
      </x:c>
      <x:c r="J1650" s="10" t="n">
        <x:v>46009</x:v>
      </x:c>
      <x:c r="K1650" s="10" t="n">
        <x:v>46009</x:v>
      </x:c>
      <x:c r="L1650" s="22" t="n">
        <x:v>6300</x:v>
      </x:c>
      <x:c r="M1650" s="24" t="n">
        <x:v>0</x:v>
      </x:c>
      <x:c r="N1650" s="24" t="n">
        <x:v>0</x:v>
      </x:c>
      <x:c r="O1650" t="str">
        <x:v>Price</x:v>
      </x:c>
      <x:c r="P1650" t="n">
        <x:v>3</x:v>
      </x:c>
      <x:c r="Q1650" t="str">
        <x:f>IFERROR(XLOOKUP(E1650,Lookups!$A$5:$A$24,Lookups!$B$5:$B$24),"Other")</x:f>
        <x:v>Email</x:v>
      </x:c>
      <x:c r="R1650" t="str">
        <x:f>IFERROR(XLOOKUP(F1650,Lookups!$D$5:$D$10,Lookups!$E$5:$E$10),"Unknown Product")</x:f>
        <x:v>NexaCRM Core</x:v>
      </x:c>
      <x:c r="S1650" t="str">
        <x:f>IFERROR(XLOOKUP(F1650,Lookups!$D$5:$D$10,Lookups!$F$5:$F$10),"Unknown")</x:f>
        <x:v>CRM</x:v>
      </x:c>
      <x:c r="T1650" t="str">
        <x:f>IF(L1650&gt;=50000,"Enterprise",IF(L1650&gt;=20000,"Mid-Market","SMB"))</x:f>
        <x:v>SMB</x:v>
      </x:c>
      <x:c r="U1650" t="str">
        <x:f>IF(I1650="Closed Won","Won",IF(I1650="Closed Lost","Lost","Open"))</x:f>
        <x:v>Lost</x:v>
      </x:c>
      <x:c r="V1650" s="22" t="n">
        <x:f>IF(U1650="Won",L1650*(1-M1650),0)</x:f>
        <x:v>0</x:v>
      </x:c>
      <x:c r="W1650" s="22" t="n">
        <x:f>IF(U1650="Open",L1650*N1650,0)</x:f>
        <x:v>0</x:v>
      </x:c>
      <x:c r="X1650" s="26" t="n">
        <x:f>IF(U1650="Open","",IFERROR(K1650-B1650,""))</x:f>
        <x:v>22</x:v>
      </x:c>
      <x:c r="Y1650" s="26" t="n">
        <x:f>IF(U1650="Open",Lookups!$B$2-B1650,X1650)</x:f>
        <x:v>22</x:v>
      </x:c>
      <x:c r="Z1650" t="str">
        <x:f>IF(AND(U1650="Open",Y1650&gt;30),"STALE","OK")</x:f>
        <x:v>OK</x:v>
      </x:c>
      <x:c r="AA1650" t="str">
        <x:f>TEXT(B1650,"yyyy-mm")</x:f>
        <x:v>2025-11</x:v>
      </x:c>
      <x:c r="AB1650" t="str">
        <x:f>IF(K1650="","",TEXT(K1650,"yyyy-mm"))</x:f>
        <x:v>2025-12</x:v>
      </x:c>
      <x:c r="AC1650" t="str">
        <x:f>"Q"&amp;ROUNDUP(MONTH(B1650)/3,0)&amp;"-"&amp;YEAR(B1650)</x:f>
        <x:v>Q4-2025</x:v>
      </x:c>
      <x:c r="AD1650" s="26" t="n">
        <x:f>MIN(100,IF(H1650="Enterprise",30,IF(H1650="Mid-Market",22,14))+IF(T1650="Enterprise",25,IF(T1650="Mid-Market",18,10))+IF(Q1650="Referral",25,IF(Q1650="Organic Search",20,IF(Q1650="Email",18,14)))+IF(G1650="Technology",10,5))</x:f>
        <x:v>47</x:v>
      </x:c>
      <x:c r="AE1650" t="str">
        <x:f>IF(U1650&lt;&gt;"Open",U1650,IF(N1650&gt;=0.8,"Commit",IF(N1650&gt;=0.5,"Best Case","Pipeline")))</x:f>
        <x:v>Lost</x:v>
      </x:c>
    </x:row>
    <x:row r="1651">
      <x:c r="A1651" t="str">
        <x:v>L01650</x:v>
      </x:c>
      <x:c r="B1651" s="10" t="n">
        <x:v>46125</x:v>
      </x:c>
      <x:c r="C1651" t="str">
        <x:v>Tuan Bui</x:v>
      </x:c>
      <x:c r="D1651" t="str">
        <x:v>Central</x:v>
      </x:c>
      <x:c r="E1651" t="str">
        <x:v>SEO</x:v>
      </x:c>
      <x:c r="F1651" t="str">
        <x:v>MKT-AUTO</x:v>
      </x:c>
      <x:c r="G1651" t="str">
        <x:v>Education</x:v>
      </x:c>
      <x:c r="H1651" t="str">
        <x:v>SMB</x:v>
      </x:c>
      <x:c r="I1651" t="str">
        <x:v>Closed Lost</x:v>
      </x:c>
      <x:c r="J1651" s="10" t="n">
        <x:v>46148</x:v>
      </x:c>
      <x:c r="K1651" s="10" t="n">
        <x:v>46148</x:v>
      </x:c>
      <x:c r="L1651" s="22" t="n">
        <x:v>15300</x:v>
      </x:c>
      <x:c r="M1651" s="24" t="n">
        <x:v>0</x:v>
      </x:c>
      <x:c r="N1651" s="24" t="n">
        <x:v>0</x:v>
      </x:c>
      <x:c r="O1651" t="str">
        <x:v>Competitor</x:v>
      </x:c>
      <x:c r="P1651" t="n">
        <x:v>4</x:v>
      </x:c>
      <x:c r="Q1651" t="str">
        <x:f>IFERROR(XLOOKUP(E1651,Lookups!$A$5:$A$24,Lookups!$B$5:$B$24),"Other")</x:f>
        <x:v>Organic Search</x:v>
      </x:c>
      <x:c r="R1651" t="str">
        <x:f>IFERROR(XLOOKUP(F1651,Lookups!$D$5:$D$10,Lookups!$E$5:$E$10),"Unknown Product")</x:f>
        <x:v>Marketing Automation</x:v>
      </x:c>
      <x:c r="S1651" t="str">
        <x:f>IFERROR(XLOOKUP(F1651,Lookups!$D$5:$D$10,Lookups!$F$5:$F$10),"Unknown")</x:f>
        <x:v>Marketing</x:v>
      </x:c>
      <x:c r="T1651" t="str">
        <x:f>IF(L1651&gt;=50000,"Enterprise",IF(L1651&gt;=20000,"Mid-Market","SMB"))</x:f>
        <x:v>SMB</x:v>
      </x:c>
      <x:c r="U1651" t="str">
        <x:f>IF(I1651="Closed Won","Won",IF(I1651="Closed Lost","Lost","Open"))</x:f>
        <x:v>Lost</x:v>
      </x:c>
      <x:c r="V1651" s="22" t="n">
        <x:f>IF(U1651="Won",L1651*(1-M1651),0)</x:f>
        <x:v>0</x:v>
      </x:c>
      <x:c r="W1651" s="22" t="n">
        <x:f>IF(U1651="Open",L1651*N1651,0)</x:f>
        <x:v>0</x:v>
      </x:c>
      <x:c r="X1651" s="26" t="n">
        <x:f>IF(U1651="Open","",IFERROR(K1651-B1651,""))</x:f>
        <x:v>23</x:v>
      </x:c>
      <x:c r="Y1651" s="26" t="n">
        <x:f>IF(U1651="Open",Lookups!$B$2-B1651,X1651)</x:f>
        <x:v>23</x:v>
      </x:c>
      <x:c r="Z1651" t="str">
        <x:f>IF(AND(U1651="Open",Y1651&gt;30),"STALE","OK")</x:f>
        <x:v>OK</x:v>
      </x:c>
      <x:c r="AA1651" t="str">
        <x:f>TEXT(B1651,"yyyy-mm")</x:f>
        <x:v>2026-04</x:v>
      </x:c>
      <x:c r="AB1651" t="str">
        <x:f>IF(K1651="","",TEXT(K1651,"yyyy-mm"))</x:f>
        <x:v>2026-05</x:v>
      </x:c>
      <x:c r="AC1651" t="str">
        <x:f>"Q"&amp;ROUNDUP(MONTH(B1651)/3,0)&amp;"-"&amp;YEAR(B1651)</x:f>
        <x:v>Q2-2026</x:v>
      </x:c>
      <x:c r="AD1651" s="26" t="n">
        <x:f>MIN(100,IF(H1651="Enterprise",30,IF(H1651="Mid-Market",22,14))+IF(T1651="Enterprise",25,IF(T1651="Mid-Market",18,10))+IF(Q1651="Referral",25,IF(Q1651="Organic Search",20,IF(Q1651="Email",18,14)))+IF(G1651="Technology",10,5))</x:f>
        <x:v>49</x:v>
      </x:c>
      <x:c r="AE1651" t="str">
        <x:f>IF(U1651&lt;&gt;"Open",U1651,IF(N1651&gt;=0.8,"Commit",IF(N1651&gt;=0.5,"Best Case","Pipeline")))</x:f>
        <x:v>Lost</x:v>
      </x:c>
    </x:row>
    <x:row r="1652">
      <x:c r="A1652" t="str">
        <x:v>L01651</x:v>
      </x:c>
      <x:c r="B1652" s="10" t="n">
        <x:v>45978</x:v>
      </x:c>
      <x:c r="C1652" t="str">
        <x:v>Duy Pham</x:v>
      </x:c>
      <x:c r="D1652" t="str">
        <x:v>South</x:v>
      </x:c>
      <x:c r="E1652" t="str">
        <x:v>linkedin</x:v>
      </x:c>
      <x:c r="F1652" t="str">
        <x:v>REV-OPS</x:v>
      </x:c>
      <x:c r="G1652" t="str">
        <x:v>Healthcare</x:v>
      </x:c>
      <x:c r="H1652" t="str">
        <x:v>Enterprise</x:v>
      </x:c>
      <x:c r="I1652" t="str">
        <x:v>Closed Won</x:v>
      </x:c>
      <x:c r="J1652" s="10" t="n">
        <x:v>46044</x:v>
      </x:c>
      <x:c r="K1652" s="10" t="n">
        <x:v>46044</x:v>
      </x:c>
      <x:c r="L1652" s="22" t="n">
        <x:v>125200</x:v>
      </x:c>
      <x:c r="M1652" s="24" t="n">
        <x:v>0.03</x:v>
      </x:c>
      <x:c r="N1652" s="24" t="n">
        <x:v>1</x:v>
      </x:c>
      <x:c r="O1652" t="str"/>
      <x:c r="P1652" t="n">
        <x:v>6</x:v>
      </x:c>
      <x:c r="Q1652" t="str">
        <x:f>IFERROR(XLOOKUP(E1652,Lookups!$A$5:$A$24,Lookups!$B$5:$B$24),"Other")</x:f>
        <x:v>LinkedIn</x:v>
      </x:c>
      <x:c r="R1652" t="str">
        <x:f>IFERROR(XLOOKUP(F1652,Lookups!$D$5:$D$10,Lookups!$E$5:$E$10),"Unknown Product")</x:f>
        <x:v>Revenue Operations Suite</x:v>
      </x:c>
      <x:c r="S1652" t="str">
        <x:f>IFERROR(XLOOKUP(F1652,Lookups!$D$5:$D$10,Lookups!$F$5:$F$10),"Unknown")</x:f>
        <x:v>Revenue Ops</x:v>
      </x:c>
      <x:c r="T1652" t="str">
        <x:f>IF(L1652&gt;=50000,"Enterprise",IF(L1652&gt;=20000,"Mid-Market","SMB"))</x:f>
        <x:v>Enterprise</x:v>
      </x:c>
      <x:c r="U1652" t="str">
        <x:f>IF(I1652="Closed Won","Won",IF(I1652="Closed Lost","Lost","Open"))</x:f>
        <x:v>Won</x:v>
      </x:c>
      <x:c r="V1652" s="22" t="n">
        <x:f>IF(U1652="Won",L1652*(1-M1652),0)</x:f>
        <x:v>121444</x:v>
      </x:c>
      <x:c r="W1652" s="22" t="n">
        <x:f>IF(U1652="Open",L1652*N1652,0)</x:f>
        <x:v>0</x:v>
      </x:c>
      <x:c r="X1652" s="26" t="n">
        <x:f>IF(U1652="Open","",IFERROR(K1652-B1652,""))</x:f>
        <x:v>66</x:v>
      </x:c>
      <x:c r="Y1652" s="26" t="n">
        <x:f>IF(U1652="Open",Lookups!$B$2-B1652,X1652)</x:f>
        <x:v>66</x:v>
      </x:c>
      <x:c r="Z1652" t="str">
        <x:f>IF(AND(U1652="Open",Y1652&gt;30),"STALE","OK")</x:f>
        <x:v>OK</x:v>
      </x:c>
      <x:c r="AA1652" t="str">
        <x:f>TEXT(B1652,"yyyy-mm")</x:f>
        <x:v>2025-11</x:v>
      </x:c>
      <x:c r="AB1652" t="str">
        <x:f>IF(K1652="","",TEXT(K1652,"yyyy-mm"))</x:f>
        <x:v>2026-01</x:v>
      </x:c>
      <x:c r="AC1652" t="str">
        <x:f>"Q"&amp;ROUNDUP(MONTH(B1652)/3,0)&amp;"-"&amp;YEAR(B1652)</x:f>
        <x:v>Q4-2025</x:v>
      </x:c>
      <x:c r="AD1652" s="26" t="n">
        <x:f>MIN(100,IF(H1652="Enterprise",30,IF(H1652="Mid-Market",22,14))+IF(T1652="Enterprise",25,IF(T1652="Mid-Market",18,10))+IF(Q1652="Referral",25,IF(Q1652="Organic Search",20,IF(Q1652="Email",18,14)))+IF(G1652="Technology",10,5))</x:f>
        <x:v>74</x:v>
      </x:c>
      <x:c r="AE1652" t="str">
        <x:f>IF(U1652&lt;&gt;"Open",U1652,IF(N1652&gt;=0.8,"Commit",IF(N1652&gt;=0.5,"Best Case","Pipeline")))</x:f>
        <x:v>Won</x:v>
      </x:c>
    </x:row>
    <x:row r="1653">
      <x:c r="A1653" t="str">
        <x:v>L01652</x:v>
      </x:c>
      <x:c r="B1653" s="10" t="n">
        <x:v>46194</x:v>
      </x:c>
      <x:c r="C1653" t="str">
        <x:v>Chi Le</x:v>
      </x:c>
      <x:c r="D1653" t="str">
        <x:v>South</x:v>
      </x:c>
      <x:c r="E1653" t="str">
        <x:v>SEO</x:v>
      </x:c>
      <x:c r="F1653" t="str">
        <x:v>REV-OPS</x:v>
      </x:c>
      <x:c r="G1653" t="str">
        <x:v>Technology</x:v>
      </x:c>
      <x:c r="H1653" t="str">
        <x:v>SMB</x:v>
      </x:c>
      <x:c r="I1653" t="str">
        <x:v>Closed Lost</x:v>
      </x:c>
      <x:c r="J1653" s="10" t="n">
        <x:v>46202</x:v>
      </x:c>
      <x:c r="K1653" s="10" t="n">
        <x:v>46202</x:v>
      </x:c>
      <x:c r="L1653" s="22" t="n">
        <x:v>21100</x:v>
      </x:c>
      <x:c r="M1653" s="24" t="n">
        <x:v>0</x:v>
      </x:c>
      <x:c r="N1653" s="24" t="n">
        <x:v>0</x:v>
      </x:c>
      <x:c r="O1653" t="str">
        <x:v>Price</x:v>
      </x:c>
      <x:c r="P1653" t="n">
        <x:v>4</x:v>
      </x:c>
      <x:c r="Q1653" t="str">
        <x:f>IFERROR(XLOOKUP(E1653,Lookups!$A$5:$A$24,Lookups!$B$5:$B$24),"Other")</x:f>
        <x:v>Organic Search</x:v>
      </x:c>
      <x:c r="R1653" t="str">
        <x:f>IFERROR(XLOOKUP(F1653,Lookups!$D$5:$D$10,Lookups!$E$5:$E$10),"Unknown Product")</x:f>
        <x:v>Revenue Operations Suite</x:v>
      </x:c>
      <x:c r="S1653" t="str">
        <x:f>IFERROR(XLOOKUP(F1653,Lookups!$D$5:$D$10,Lookups!$F$5:$F$10),"Unknown")</x:f>
        <x:v>Revenue Ops</x:v>
      </x:c>
      <x:c r="T1653" t="str">
        <x:f>IF(L1653&gt;=50000,"Enterprise",IF(L1653&gt;=20000,"Mid-Market","SMB"))</x:f>
        <x:v>Mid-Market</x:v>
      </x:c>
      <x:c r="U1653" t="str">
        <x:f>IF(I1653="Closed Won","Won",IF(I1653="Closed Lost","Lost","Open"))</x:f>
        <x:v>Lost</x:v>
      </x:c>
      <x:c r="V1653" s="22" t="n">
        <x:f>IF(U1653="Won",L1653*(1-M1653),0)</x:f>
        <x:v>0</x:v>
      </x:c>
      <x:c r="W1653" s="22" t="n">
        <x:f>IF(U1653="Open",L1653*N1653,0)</x:f>
        <x:v>0</x:v>
      </x:c>
      <x:c r="X1653" s="26" t="n">
        <x:f>IF(U1653="Open","",IFERROR(K1653-B1653,""))</x:f>
        <x:v>8</x:v>
      </x:c>
      <x:c r="Y1653" s="26" t="n">
        <x:f>IF(U1653="Open",Lookups!$B$2-B1653,X1653)</x:f>
        <x:v>8</x:v>
      </x:c>
      <x:c r="Z1653" t="str">
        <x:f>IF(AND(U1653="Open",Y1653&gt;30),"STALE","OK")</x:f>
        <x:v>OK</x:v>
      </x:c>
      <x:c r="AA1653" t="str">
        <x:f>TEXT(B1653,"yyyy-mm")</x:f>
        <x:v>2026-06</x:v>
      </x:c>
      <x:c r="AB1653" t="str">
        <x:f>IF(K1653="","",TEXT(K1653,"yyyy-mm"))</x:f>
        <x:v>2026-06</x:v>
      </x:c>
      <x:c r="AC1653" t="str">
        <x:f>"Q"&amp;ROUNDUP(MONTH(B1653)/3,0)&amp;"-"&amp;YEAR(B1653)</x:f>
        <x:v>Q2-2026</x:v>
      </x:c>
      <x:c r="AD1653" s="26" t="n">
        <x:f>MIN(100,IF(H1653="Enterprise",30,IF(H1653="Mid-Market",22,14))+IF(T1653="Enterprise",25,IF(T1653="Mid-Market",18,10))+IF(Q1653="Referral",25,IF(Q1653="Organic Search",20,IF(Q1653="Email",18,14)))+IF(G1653="Technology",10,5))</x:f>
        <x:v>62</x:v>
      </x:c>
      <x:c r="AE1653" t="str">
        <x:f>IF(U1653&lt;&gt;"Open",U1653,IF(N1653&gt;=0.8,"Commit",IF(N1653&gt;=0.5,"Best Case","Pipeline")))</x:f>
        <x:v>Lost</x:v>
      </x:c>
    </x:row>
    <x:row r="1654">
      <x:c r="A1654" t="str">
        <x:v>L01653</x:v>
      </x:c>
      <x:c r="B1654" s="10" t="n">
        <x:v>45939</x:v>
      </x:c>
      <x:c r="C1654" t="str">
        <x:v>Minh Do</x:v>
      </x:c>
      <x:c r="D1654" t="str">
        <x:v>North</x:v>
      </x:c>
      <x:c r="E1654" t="str">
        <x:v>LI Ads</x:v>
      </x:c>
      <x:c r="F1654" t="str">
        <x:v>CRM-PRO</x:v>
      </x:c>
      <x:c r="G1654" t="str">
        <x:v>Manufacturing</x:v>
      </x:c>
      <x:c r="H1654" t="str">
        <x:v>SMB</x:v>
      </x:c>
      <x:c r="I1654" t="str">
        <x:v>Closed Lost</x:v>
      </x:c>
      <x:c r="J1654" s="10" t="n">
        <x:v>45972</x:v>
      </x:c>
      <x:c r="K1654" s="10" t="n">
        <x:v>45972</x:v>
      </x:c>
      <x:c r="L1654" s="22" t="n">
        <x:v>25500</x:v>
      </x:c>
      <x:c r="M1654" s="24" t="n">
        <x:v>0</x:v>
      </x:c>
      <x:c r="N1654" s="24" t="n">
        <x:v>0</x:v>
      </x:c>
      <x:c r="O1654" t="str">
        <x:v>Timing</x:v>
      </x:c>
      <x:c r="P1654" t="n">
        <x:v>2</x:v>
      </x:c>
      <x:c r="Q1654" t="str">
        <x:f>IFERROR(XLOOKUP(E1654,Lookups!$A$5:$A$24,Lookups!$B$5:$B$24),"Other")</x:f>
        <x:v>LinkedIn</x:v>
      </x:c>
      <x:c r="R1654" t="str">
        <x:f>IFERROR(XLOOKUP(F1654,Lookups!$D$5:$D$10,Lookups!$E$5:$E$10),"Unknown Product")</x:f>
        <x:v>NexaCRM Pro</x:v>
      </x:c>
      <x:c r="S1654" t="str">
        <x:f>IFERROR(XLOOKUP(F1654,Lookups!$D$5:$D$10,Lookups!$F$5:$F$10),"Unknown")</x:f>
        <x:v>CRM</x:v>
      </x:c>
      <x:c r="T1654" t="str">
        <x:f>IF(L1654&gt;=50000,"Enterprise",IF(L1654&gt;=20000,"Mid-Market","SMB"))</x:f>
        <x:v>Mid-Market</x:v>
      </x:c>
      <x:c r="U1654" t="str">
        <x:f>IF(I1654="Closed Won","Won",IF(I1654="Closed Lost","Lost","Open"))</x:f>
        <x:v>Lost</x:v>
      </x:c>
      <x:c r="V1654" s="22" t="n">
        <x:f>IF(U1654="Won",L1654*(1-M1654),0)</x:f>
        <x:v>0</x:v>
      </x:c>
      <x:c r="W1654" s="22" t="n">
        <x:f>IF(U1654="Open",L1654*N1654,0)</x:f>
        <x:v>0</x:v>
      </x:c>
      <x:c r="X1654" s="26" t="n">
        <x:f>IF(U1654="Open","",IFERROR(K1654-B1654,""))</x:f>
        <x:v>33</x:v>
      </x:c>
      <x:c r="Y1654" s="26" t="n">
        <x:f>IF(U1654="Open",Lookups!$B$2-B1654,X1654)</x:f>
        <x:v>33</x:v>
      </x:c>
      <x:c r="Z1654" t="str">
        <x:f>IF(AND(U1654="Open",Y1654&gt;30),"STALE","OK")</x:f>
        <x:v>OK</x:v>
      </x:c>
      <x:c r="AA1654" t="str">
        <x:f>TEXT(B1654,"yyyy-mm")</x:f>
        <x:v>2025-10</x:v>
      </x:c>
      <x:c r="AB1654" t="str">
        <x:f>IF(K1654="","",TEXT(K1654,"yyyy-mm"))</x:f>
        <x:v>2025-11</x:v>
      </x:c>
      <x:c r="AC1654" t="str">
        <x:f>"Q"&amp;ROUNDUP(MONTH(B1654)/3,0)&amp;"-"&amp;YEAR(B1654)</x:f>
        <x:v>Q4-2025</x:v>
      </x:c>
      <x:c r="AD1654" s="26" t="n">
        <x:f>MIN(100,IF(H1654="Enterprise",30,IF(H1654="Mid-Market",22,14))+IF(T1654="Enterprise",25,IF(T1654="Mid-Market",18,10))+IF(Q1654="Referral",25,IF(Q1654="Organic Search",20,IF(Q1654="Email",18,14)))+IF(G1654="Technology",10,5))</x:f>
        <x:v>51</x:v>
      </x:c>
      <x:c r="AE1654" t="str">
        <x:f>IF(U1654&lt;&gt;"Open",U1654,IF(N1654&gt;=0.8,"Commit",IF(N1654&gt;=0.5,"Best Case","Pipeline")))</x:f>
        <x:v>Lost</x:v>
      </x:c>
    </x:row>
    <x:row r="1655">
      <x:c r="A1655" t="str">
        <x:v>L01654</x:v>
      </x:c>
      <x:c r="B1655" s="10" t="n">
        <x:v>45835</x:v>
      </x:c>
      <x:c r="C1655" t="str">
        <x:v>Tuan Bui</x:v>
      </x:c>
      <x:c r="D1655" t="str">
        <x:v>Central</x:v>
      </x:c>
      <x:c r="E1655" t="str">
        <x:v>SDR Outreach</x:v>
      </x:c>
      <x:c r="F1655" t="str">
        <x:v>CS-CLOUD</x:v>
      </x:c>
      <x:c r="G1655" t="str">
        <x:v>Manufacturing</x:v>
      </x:c>
      <x:c r="H1655" t="str">
        <x:v>Mid-Market</x:v>
      </x:c>
      <x:c r="I1655" t="str">
        <x:v>Closed Lost</x:v>
      </x:c>
      <x:c r="J1655" s="10" t="n">
        <x:v>45869</x:v>
      </x:c>
      <x:c r="K1655" s="10" t="n">
        <x:v>45869</x:v>
      </x:c>
      <x:c r="L1655" s="22" t="n">
        <x:v>43000</x:v>
      </x:c>
      <x:c r="M1655" s="24" t="n">
        <x:v>0</x:v>
      </x:c>
      <x:c r="N1655" s="24" t="n">
        <x:v>0</x:v>
      </x:c>
      <x:c r="O1655" t="str">
        <x:v>Feature Gap</x:v>
      </x:c>
      <x:c r="P1655" t="n">
        <x:v>3</x:v>
      </x:c>
      <x:c r="Q1655" t="str">
        <x:f>IFERROR(XLOOKUP(E1655,Lookups!$A$5:$A$24,Lookups!$B$5:$B$24),"Other")</x:f>
        <x:v>Outbound</x:v>
      </x:c>
      <x:c r="R1655" t="str">
        <x:f>IFERROR(XLOOKUP(F1655,Lookups!$D$5:$D$10,Lookups!$E$5:$E$10),"Unknown Product")</x:f>
        <x:v>Service Cloud</x:v>
      </x:c>
      <x:c r="S1655" t="str">
        <x:f>IFERROR(XLOOKUP(F1655,Lookups!$D$5:$D$10,Lookups!$F$5:$F$10),"Unknown")</x:f>
        <x:v>Customer Service</x:v>
      </x:c>
      <x:c r="T1655" t="str">
        <x:f>IF(L1655&gt;=50000,"Enterprise",IF(L1655&gt;=20000,"Mid-Market","SMB"))</x:f>
        <x:v>Mid-Market</x:v>
      </x:c>
      <x:c r="U1655" t="str">
        <x:f>IF(I1655="Closed Won","Won",IF(I1655="Closed Lost","Lost","Open"))</x:f>
        <x:v>Lost</x:v>
      </x:c>
      <x:c r="V1655" s="22" t="n">
        <x:f>IF(U1655="Won",L1655*(1-M1655),0)</x:f>
        <x:v>0</x:v>
      </x:c>
      <x:c r="W1655" s="22" t="n">
        <x:f>IF(U1655="Open",L1655*N1655,0)</x:f>
        <x:v>0</x:v>
      </x:c>
      <x:c r="X1655" s="26" t="n">
        <x:f>IF(U1655="Open","",IFERROR(K1655-B1655,""))</x:f>
        <x:v>34</x:v>
      </x:c>
      <x:c r="Y1655" s="26" t="n">
        <x:f>IF(U1655="Open",Lookups!$B$2-B1655,X1655)</x:f>
        <x:v>34</x:v>
      </x:c>
      <x:c r="Z1655" t="str">
        <x:f>IF(AND(U1655="Open",Y1655&gt;30),"STALE","OK")</x:f>
        <x:v>OK</x:v>
      </x:c>
      <x:c r="AA1655" t="str">
        <x:f>TEXT(B1655,"yyyy-mm")</x:f>
        <x:v>2025-06</x:v>
      </x:c>
      <x:c r="AB1655" t="str">
        <x:f>IF(K1655="","",TEXT(K1655,"yyyy-mm"))</x:f>
        <x:v>2025-07</x:v>
      </x:c>
      <x:c r="AC1655" t="str">
        <x:f>"Q"&amp;ROUNDUP(MONTH(B1655)/3,0)&amp;"-"&amp;YEAR(B1655)</x:f>
        <x:v>Q2-2025</x:v>
      </x:c>
      <x:c r="AD1655" s="26" t="n">
        <x:f>MIN(100,IF(H1655="Enterprise",30,IF(H1655="Mid-Market",22,14))+IF(T1655="Enterprise",25,IF(T1655="Mid-Market",18,10))+IF(Q1655="Referral",25,IF(Q1655="Organic Search",20,IF(Q1655="Email",18,14)))+IF(G1655="Technology",10,5))</x:f>
        <x:v>59</x:v>
      </x:c>
      <x:c r="AE1655" t="str">
        <x:f>IF(U1655&lt;&gt;"Open",U1655,IF(N1655&gt;=0.8,"Commit",IF(N1655&gt;=0.5,"Best Case","Pipeline")))</x:f>
        <x:v>Lost</x:v>
      </x:c>
    </x:row>
    <x:row r="1656">
      <x:c r="A1656" t="str">
        <x:v>L01655</x:v>
      </x:c>
      <x:c r="B1656" s="10" t="n">
        <x:v>46002</x:v>
      </x:c>
      <x:c r="C1656" t="str">
        <x:v>Tuan Bui</x:v>
      </x:c>
      <x:c r="D1656" t="str">
        <x:v>Central</x:v>
      </x:c>
      <x:c r="E1656" t="str">
        <x:v>Outbound</x:v>
      </x:c>
      <x:c r="F1656" t="str">
        <x:v>CS-CLOUD</x:v>
      </x:c>
      <x:c r="G1656" t="str">
        <x:v>Healthcare</x:v>
      </x:c>
      <x:c r="H1656" t="str">
        <x:v>Mid-Market</x:v>
      </x:c>
      <x:c r="I1656" t="str">
        <x:v>Closed Lost</x:v>
      </x:c>
      <x:c r="J1656" s="10" t="n">
        <x:v>46070</x:v>
      </x:c>
      <x:c r="K1656" s="10" t="n">
        <x:v>46070</x:v>
      </x:c>
      <x:c r="L1656" s="22" t="n">
        <x:v>21100</x:v>
      </x:c>
      <x:c r="M1656" s="24" t="n">
        <x:v>0</x:v>
      </x:c>
      <x:c r="N1656" s="24" t="n">
        <x:v>0</x:v>
      </x:c>
      <x:c r="O1656" t="str">
        <x:v>No Decision</x:v>
      </x:c>
      <x:c r="P1656" t="n">
        <x:v>3</x:v>
      </x:c>
      <x:c r="Q1656" t="str">
        <x:f>IFERROR(XLOOKUP(E1656,Lookups!$A$5:$A$24,Lookups!$B$5:$B$24),"Other")</x:f>
        <x:v>Outbound</x:v>
      </x:c>
      <x:c r="R1656" t="str">
        <x:f>IFERROR(XLOOKUP(F1656,Lookups!$D$5:$D$10,Lookups!$E$5:$E$10),"Unknown Product")</x:f>
        <x:v>Service Cloud</x:v>
      </x:c>
      <x:c r="S1656" t="str">
        <x:f>IFERROR(XLOOKUP(F1656,Lookups!$D$5:$D$10,Lookups!$F$5:$F$10),"Unknown")</x:f>
        <x:v>Customer Service</x:v>
      </x:c>
      <x:c r="T1656" t="str">
        <x:f>IF(L1656&gt;=50000,"Enterprise",IF(L1656&gt;=20000,"Mid-Market","SMB"))</x:f>
        <x:v>Mid-Market</x:v>
      </x:c>
      <x:c r="U1656" t="str">
        <x:f>IF(I1656="Closed Won","Won",IF(I1656="Closed Lost","Lost","Open"))</x:f>
        <x:v>Lost</x:v>
      </x:c>
      <x:c r="V1656" s="22" t="n">
        <x:f>IF(U1656="Won",L1656*(1-M1656),0)</x:f>
        <x:v>0</x:v>
      </x:c>
      <x:c r="W1656" s="22" t="n">
        <x:f>IF(U1656="Open",L1656*N1656,0)</x:f>
        <x:v>0</x:v>
      </x:c>
      <x:c r="X1656" s="26" t="n">
        <x:f>IF(U1656="Open","",IFERROR(K1656-B1656,""))</x:f>
        <x:v>68</x:v>
      </x:c>
      <x:c r="Y1656" s="26" t="n">
        <x:f>IF(U1656="Open",Lookups!$B$2-B1656,X1656)</x:f>
        <x:v>68</x:v>
      </x:c>
      <x:c r="Z1656" t="str">
        <x:f>IF(AND(U1656="Open",Y1656&gt;30),"STALE","OK")</x:f>
        <x:v>OK</x:v>
      </x:c>
      <x:c r="AA1656" t="str">
        <x:f>TEXT(B1656,"yyyy-mm")</x:f>
        <x:v>2025-12</x:v>
      </x:c>
      <x:c r="AB1656" t="str">
        <x:f>IF(K1656="","",TEXT(K1656,"yyyy-mm"))</x:f>
        <x:v>2026-02</x:v>
      </x:c>
      <x:c r="AC1656" t="str">
        <x:f>"Q"&amp;ROUNDUP(MONTH(B1656)/3,0)&amp;"-"&amp;YEAR(B1656)</x:f>
        <x:v>Q4-2025</x:v>
      </x:c>
      <x:c r="AD1656" s="26" t="n">
        <x:f>MIN(100,IF(H1656="Enterprise",30,IF(H1656="Mid-Market",22,14))+IF(T1656="Enterprise",25,IF(T1656="Mid-Market",18,10))+IF(Q1656="Referral",25,IF(Q1656="Organic Search",20,IF(Q1656="Email",18,14)))+IF(G1656="Technology",10,5))</x:f>
        <x:v>59</x:v>
      </x:c>
      <x:c r="AE1656" t="str">
        <x:f>IF(U1656&lt;&gt;"Open",U1656,IF(N1656&gt;=0.8,"Commit",IF(N1656&gt;=0.5,"Best Case","Pipeline")))</x:f>
        <x:v>Lost</x:v>
      </x:c>
    </x:row>
    <x:row r="1657">
      <x:c r="A1657" t="str">
        <x:v>L01656</x:v>
      </x:c>
      <x:c r="B1657" s="10" t="n">
        <x:v>45739</x:v>
      </x:c>
      <x:c r="C1657" t="str">
        <x:v>Bao Tran</x:v>
      </x:c>
      <x:c r="D1657" t="str">
        <x:v>South</x:v>
      </x:c>
      <x:c r="E1657" t="str">
        <x:v>Partner Referral</x:v>
      </x:c>
      <x:c r="F1657" t="str">
        <x:v>CRM-CORE</x:v>
      </x:c>
      <x:c r="G1657" t="str">
        <x:v>Financial Services</x:v>
      </x:c>
      <x:c r="H1657" t="str">
        <x:v>SMB</x:v>
      </x:c>
      <x:c r="I1657" t="str">
        <x:v>Negotiation</x:v>
      </x:c>
      <x:c r="J1657" s="10" t="n">
        <x:v>46077</x:v>
      </x:c>
      <x:c r="K1657" s="10"/>
      <x:c r="L1657" s="22" t="n">
        <x:v>5200</x:v>
      </x:c>
      <x:c r="M1657" s="24" t="n">
        <x:v>0.03</x:v>
      </x:c>
      <x:c r="N1657" s="24" t="n">
        <x:v>0.85</x:v>
      </x:c>
      <x:c r="O1657" t="str"/>
      <x:c r="P1657" t="n">
        <x:v>5</x:v>
      </x:c>
      <x:c r="Q1657" t="str">
        <x:f>IFERROR(XLOOKUP(E1657,Lookups!$A$5:$A$24,Lookups!$B$5:$B$24),"Other")</x:f>
        <x:v>Referral</x:v>
      </x:c>
      <x:c r="R1657" t="str">
        <x:f>IFERROR(XLOOKUP(F1657,Lookups!$D$5:$D$10,Lookups!$E$5:$E$10),"Unknown Product")</x:f>
        <x:v>NexaCRM Core</x:v>
      </x:c>
      <x:c r="S1657" t="str">
        <x:f>IFERROR(XLOOKUP(F1657,Lookups!$D$5:$D$10,Lookups!$F$5:$F$10),"Unknown")</x:f>
        <x:v>CRM</x:v>
      </x:c>
      <x:c r="T1657" t="str">
        <x:f>IF(L1657&gt;=50000,"Enterprise",IF(L1657&gt;=20000,"Mid-Market","SMB"))</x:f>
        <x:v>SMB</x:v>
      </x:c>
      <x:c r="U1657" t="str">
        <x:f>IF(I1657="Closed Won","Won",IF(I1657="Closed Lost","Lost","Open"))</x:f>
        <x:v>Open</x:v>
      </x:c>
      <x:c r="V1657" s="22" t="n">
        <x:f>IF(U1657="Won",L1657*(1-M1657),0)</x:f>
        <x:v>0</x:v>
      </x:c>
      <x:c r="W1657" s="22" t="n">
        <x:f>IF(U1657="Open",L1657*N1657,0)</x:f>
        <x:v>4420</x:v>
      </x:c>
      <x:c r="X1657" s="26" t="str">
        <x:f>IF(U1657="Open","",IFERROR(K1657-B1657,""))</x:f>
      </x:c>
      <x:c r="Y1657" s="26" t="n">
        <x:f>IF(U1657="Open",Lookups!$B$2-B1657,X1657)</x:f>
        <x:v>527</x:v>
      </x:c>
      <x:c r="Z1657" t="str">
        <x:f>IF(AND(U1657="Open",Y1657&gt;30),"STALE","OK")</x:f>
        <x:v>STALE</x:v>
      </x:c>
      <x:c r="AA1657" t="str">
        <x:f>TEXT(B1657,"yyyy-mm")</x:f>
        <x:v>2025-03</x:v>
      </x:c>
      <x:c r="AB1657" t="str">
        <x:f>IF(K1657="","",TEXT(K1657,"yyyy-mm"))</x:f>
      </x:c>
      <x:c r="AC1657" t="str">
        <x:f>"Q"&amp;ROUNDUP(MONTH(B1657)/3,0)&amp;"-"&amp;YEAR(B1657)</x:f>
        <x:v>Q1-2025</x:v>
      </x:c>
      <x:c r="AD1657" s="26" t="n">
        <x:f>MIN(100,IF(H1657="Enterprise",30,IF(H1657="Mid-Market",22,14))+IF(T1657="Enterprise",25,IF(T1657="Mid-Market",18,10))+IF(Q1657="Referral",25,IF(Q1657="Organic Search",20,IF(Q1657="Email",18,14)))+IF(G1657="Technology",10,5))</x:f>
        <x:v>54</x:v>
      </x:c>
      <x:c r="AE1657" t="str">
        <x:f>IF(U1657&lt;&gt;"Open",U1657,IF(N1657&gt;=0.8,"Commit",IF(N1657&gt;=0.5,"Best Case","Pipeline")))</x:f>
        <x:v>Commit</x:v>
      </x:c>
    </x:row>
    <x:row r="1658">
      <x:c r="A1658" t="str">
        <x:v>L01657</x:v>
      </x:c>
      <x:c r="B1658" s="10" t="n">
        <x:v>45664</x:v>
      </x:c>
      <x:c r="C1658" t="str">
        <x:v>Chi Le</x:v>
      </x:c>
      <x:c r="D1658" t="str">
        <x:v>South</x:v>
      </x:c>
      <x:c r="E1658" t="str">
        <x:v>SEO</x:v>
      </x:c>
      <x:c r="F1658" t="str">
        <x:v>CRM-CORE</x:v>
      </x:c>
      <x:c r="G1658" t="str">
        <x:v>Technology</x:v>
      </x:c>
      <x:c r="H1658" t="str">
        <x:v>Mid-Market</x:v>
      </x:c>
      <x:c r="I1658" t="str">
        <x:v>Closed Lost</x:v>
      </x:c>
      <x:c r="J1658" s="10" t="n">
        <x:v>45688</x:v>
      </x:c>
      <x:c r="K1658" s="10" t="n">
        <x:v>45688</x:v>
      </x:c>
      <x:c r="L1658" s="22" t="n">
        <x:v>15500</x:v>
      </x:c>
      <x:c r="M1658" s="24" t="n">
        <x:v>0</x:v>
      </x:c>
      <x:c r="N1658" s="24" t="n">
        <x:v>0</x:v>
      </x:c>
      <x:c r="O1658" t="str">
        <x:v>Price</x:v>
      </x:c>
      <x:c r="P1658" t="n">
        <x:v>5</x:v>
      </x:c>
      <x:c r="Q1658" t="str">
        <x:f>IFERROR(XLOOKUP(E1658,Lookups!$A$5:$A$24,Lookups!$B$5:$B$24),"Other")</x:f>
        <x:v>Organic Search</x:v>
      </x:c>
      <x:c r="R1658" t="str">
        <x:f>IFERROR(XLOOKUP(F1658,Lookups!$D$5:$D$10,Lookups!$E$5:$E$10),"Unknown Product")</x:f>
        <x:v>NexaCRM Core</x:v>
      </x:c>
      <x:c r="S1658" t="str">
        <x:f>IFERROR(XLOOKUP(F1658,Lookups!$D$5:$D$10,Lookups!$F$5:$F$10),"Unknown")</x:f>
        <x:v>CRM</x:v>
      </x:c>
      <x:c r="T1658" t="str">
        <x:f>IF(L1658&gt;=50000,"Enterprise",IF(L1658&gt;=20000,"Mid-Market","SMB"))</x:f>
        <x:v>SMB</x:v>
      </x:c>
      <x:c r="U1658" t="str">
        <x:f>IF(I1658="Closed Won","Won",IF(I1658="Closed Lost","Lost","Open"))</x:f>
        <x:v>Lost</x:v>
      </x:c>
      <x:c r="V1658" s="22" t="n">
        <x:f>IF(U1658="Won",L1658*(1-M1658),0)</x:f>
        <x:v>0</x:v>
      </x:c>
      <x:c r="W1658" s="22" t="n">
        <x:f>IF(U1658="Open",L1658*N1658,0)</x:f>
        <x:v>0</x:v>
      </x:c>
      <x:c r="X1658" s="26" t="n">
        <x:f>IF(U1658="Open","",IFERROR(K1658-B1658,""))</x:f>
        <x:v>24</x:v>
      </x:c>
      <x:c r="Y1658" s="26" t="n">
        <x:f>IF(U1658="Open",Lookups!$B$2-B1658,X1658)</x:f>
        <x:v>24</x:v>
      </x:c>
      <x:c r="Z1658" t="str">
        <x:f>IF(AND(U1658="Open",Y1658&gt;30),"STALE","OK")</x:f>
        <x:v>OK</x:v>
      </x:c>
      <x:c r="AA1658" t="str">
        <x:f>TEXT(B1658,"yyyy-mm")</x:f>
        <x:v>2025-01</x:v>
      </x:c>
      <x:c r="AB1658" t="str">
        <x:f>IF(K1658="","",TEXT(K1658,"yyyy-mm"))</x:f>
        <x:v>2025-01</x:v>
      </x:c>
      <x:c r="AC1658" t="str">
        <x:f>"Q"&amp;ROUNDUP(MONTH(B1658)/3,0)&amp;"-"&amp;YEAR(B1658)</x:f>
        <x:v>Q1-2025</x:v>
      </x:c>
      <x:c r="AD1658" s="26" t="n">
        <x:f>MIN(100,IF(H1658="Enterprise",30,IF(H1658="Mid-Market",22,14))+IF(T1658="Enterprise",25,IF(T1658="Mid-Market",18,10))+IF(Q1658="Referral",25,IF(Q1658="Organic Search",20,IF(Q1658="Email",18,14)))+IF(G1658="Technology",10,5))</x:f>
        <x:v>62</x:v>
      </x:c>
      <x:c r="AE1658" t="str">
        <x:f>IF(U1658&lt;&gt;"Open",U1658,IF(N1658&gt;=0.8,"Commit",IF(N1658&gt;=0.5,"Best Case","Pipeline")))</x:f>
        <x:v>Lost</x:v>
      </x:c>
    </x:row>
    <x:row r="1659">
      <x:c r="A1659" t="str">
        <x:v>L01658</x:v>
      </x:c>
      <x:c r="B1659" s="10" t="n">
        <x:v>45966</x:v>
      </x:c>
      <x:c r="C1659" t="str">
        <x:v>Ha Vo</x:v>
      </x:c>
      <x:c r="D1659" t="str">
        <x:v>North</x:v>
      </x:c>
      <x:c r="E1659" t="str">
        <x:v>Outbound</x:v>
      </x:c>
      <x:c r="F1659" t="str">
        <x:v>CRM-PRO</x:v>
      </x:c>
      <x:c r="G1659" t="str">
        <x:v>Manufacturing</x:v>
      </x:c>
      <x:c r="H1659" t="str">
        <x:v>SMB</x:v>
      </x:c>
      <x:c r="I1659" t="str">
        <x:v>Negotiation</x:v>
      </x:c>
      <x:c r="J1659" s="10" t="n">
        <x:v>46200</x:v>
      </x:c>
      <x:c r="K1659" s="10"/>
      <x:c r="L1659" s="22" t="n">
        <x:v>24300</x:v>
      </x:c>
      <x:c r="M1659" s="24" t="n">
        <x:v>0</x:v>
      </x:c>
      <x:c r="N1659" s="24" t="n">
        <x:v>0.85</x:v>
      </x:c>
      <x:c r="O1659" t="str"/>
      <x:c r="P1659" t="n">
        <x:v>5</x:v>
      </x:c>
      <x:c r="Q1659" t="str">
        <x:f>IFERROR(XLOOKUP(E1659,Lookups!$A$5:$A$24,Lookups!$B$5:$B$24),"Other")</x:f>
        <x:v>Outbound</x:v>
      </x:c>
      <x:c r="R1659" t="str">
        <x:f>IFERROR(XLOOKUP(F1659,Lookups!$D$5:$D$10,Lookups!$E$5:$E$10),"Unknown Product")</x:f>
        <x:v>NexaCRM Pro</x:v>
      </x:c>
      <x:c r="S1659" t="str">
        <x:f>IFERROR(XLOOKUP(F1659,Lookups!$D$5:$D$10,Lookups!$F$5:$F$10),"Unknown")</x:f>
        <x:v>CRM</x:v>
      </x:c>
      <x:c r="T1659" t="str">
        <x:f>IF(L1659&gt;=50000,"Enterprise",IF(L1659&gt;=20000,"Mid-Market","SMB"))</x:f>
        <x:v>Mid-Market</x:v>
      </x:c>
      <x:c r="U1659" t="str">
        <x:f>IF(I1659="Closed Won","Won",IF(I1659="Closed Lost","Lost","Open"))</x:f>
        <x:v>Open</x:v>
      </x:c>
      <x:c r="V1659" s="22" t="n">
        <x:f>IF(U1659="Won",L1659*(1-M1659),0)</x:f>
        <x:v>0</x:v>
      </x:c>
      <x:c r="W1659" s="22" t="n">
        <x:f>IF(U1659="Open",L1659*N1659,0)</x:f>
        <x:v>20655</x:v>
      </x:c>
      <x:c r="X1659" s="26" t="str">
        <x:f>IF(U1659="Open","",IFERROR(K1659-B1659,""))</x:f>
      </x:c>
      <x:c r="Y1659" s="26" t="n">
        <x:f>IF(U1659="Open",Lookups!$B$2-B1659,X1659)</x:f>
        <x:v>300</x:v>
      </x:c>
      <x:c r="Z1659" t="str">
        <x:f>IF(AND(U1659="Open",Y1659&gt;30),"STALE","OK")</x:f>
        <x:v>STALE</x:v>
      </x:c>
      <x:c r="AA1659" t="str">
        <x:f>TEXT(B1659,"yyyy-mm")</x:f>
        <x:v>2025-11</x:v>
      </x:c>
      <x:c r="AB1659" t="str">
        <x:f>IF(K1659="","",TEXT(K1659,"yyyy-mm"))</x:f>
      </x:c>
      <x:c r="AC1659" t="str">
        <x:f>"Q"&amp;ROUNDUP(MONTH(B1659)/3,0)&amp;"-"&amp;YEAR(B1659)</x:f>
        <x:v>Q4-2025</x:v>
      </x:c>
      <x:c r="AD1659" s="26" t="n">
        <x:f>MIN(100,IF(H1659="Enterprise",30,IF(H1659="Mid-Market",22,14))+IF(T1659="Enterprise",25,IF(T1659="Mid-Market",18,10))+IF(Q1659="Referral",25,IF(Q1659="Organic Search",20,IF(Q1659="Email",18,14)))+IF(G1659="Technology",10,5))</x:f>
        <x:v>51</x:v>
      </x:c>
      <x:c r="AE1659" t="str">
        <x:f>IF(U1659&lt;&gt;"Open",U1659,IF(N1659&gt;=0.8,"Commit",IF(N1659&gt;=0.5,"Best Case","Pipeline")))</x:f>
        <x:v>Commit</x:v>
      </x:c>
    </x:row>
    <x:row r="1660">
      <x:c r="A1660" t="str">
        <x:v>L01659</x:v>
      </x:c>
      <x:c r="B1660" s="10" t="n">
        <x:v>45688</x:v>
      </x:c>
      <x:c r="C1660" t="str">
        <x:v>An Nguyen</x:v>
      </x:c>
      <x:c r="D1660" t="str">
        <x:v>South</x:v>
      </x:c>
      <x:c r="E1660" t="str">
        <x:v>virtual event</x:v>
      </x:c>
      <x:c r="F1660" t="str">
        <x:v>MKT-AUTO</x:v>
      </x:c>
      <x:c r="G1660" t="str">
        <x:v>Retail</x:v>
      </x:c>
      <x:c r="H1660" t="str">
        <x:v>SMB</x:v>
      </x:c>
      <x:c r="I1660" t="str">
        <x:v>Closed Lost</x:v>
      </x:c>
      <x:c r="J1660" s="10" t="n">
        <x:v>45746</x:v>
      </x:c>
      <x:c r="K1660" s="10" t="n">
        <x:v>45746</x:v>
      </x:c>
      <x:c r="L1660" s="22" t="n">
        <x:v>19600</x:v>
      </x:c>
      <x:c r="M1660" s="24" t="n">
        <x:v>0</x:v>
      </x:c>
      <x:c r="N1660" s="24" t="n">
        <x:v>0</x:v>
      </x:c>
      <x:c r="O1660" t="str">
        <x:v>Budget</x:v>
      </x:c>
      <x:c r="P1660" t="n">
        <x:v>3</x:v>
      </x:c>
      <x:c r="Q1660" t="str">
        <x:f>IFERROR(XLOOKUP(E1660,Lookups!$A$5:$A$24,Lookups!$B$5:$B$24),"Other")</x:f>
        <x:v>Webinar</x:v>
      </x:c>
      <x:c r="R1660" t="str">
        <x:f>IFERROR(XLOOKUP(F1660,Lookups!$D$5:$D$10,Lookups!$E$5:$E$10),"Unknown Product")</x:f>
        <x:v>Marketing Automation</x:v>
      </x:c>
      <x:c r="S1660" t="str">
        <x:f>IFERROR(XLOOKUP(F1660,Lookups!$D$5:$D$10,Lookups!$F$5:$F$10),"Unknown")</x:f>
        <x:v>Marketing</x:v>
      </x:c>
      <x:c r="T1660" t="str">
        <x:f>IF(L1660&gt;=50000,"Enterprise",IF(L1660&gt;=20000,"Mid-Market","SMB"))</x:f>
        <x:v>SMB</x:v>
      </x:c>
      <x:c r="U1660" t="str">
        <x:f>IF(I1660="Closed Won","Won",IF(I1660="Closed Lost","Lost","Open"))</x:f>
        <x:v>Lost</x:v>
      </x:c>
      <x:c r="V1660" s="22" t="n">
        <x:f>IF(U1660="Won",L1660*(1-M1660),0)</x:f>
        <x:v>0</x:v>
      </x:c>
      <x:c r="W1660" s="22" t="n">
        <x:f>IF(U1660="Open",L1660*N1660,0)</x:f>
        <x:v>0</x:v>
      </x:c>
      <x:c r="X1660" s="26" t="n">
        <x:f>IF(U1660="Open","",IFERROR(K1660-B1660,""))</x:f>
        <x:v>58</x:v>
      </x:c>
      <x:c r="Y1660" s="26" t="n">
        <x:f>IF(U1660="Open",Lookups!$B$2-B1660,X1660)</x:f>
        <x:v>58</x:v>
      </x:c>
      <x:c r="Z1660" t="str">
        <x:f>IF(AND(U1660="Open",Y1660&gt;30),"STALE","OK")</x:f>
        <x:v>OK</x:v>
      </x:c>
      <x:c r="AA1660" t="str">
        <x:f>TEXT(B1660,"yyyy-mm")</x:f>
        <x:v>2025-01</x:v>
      </x:c>
      <x:c r="AB1660" t="str">
        <x:f>IF(K1660="","",TEXT(K1660,"yyyy-mm"))</x:f>
        <x:v>2025-03</x:v>
      </x:c>
      <x:c r="AC1660" t="str">
        <x:f>"Q"&amp;ROUNDUP(MONTH(B1660)/3,0)&amp;"-"&amp;YEAR(B1660)</x:f>
        <x:v>Q1-2025</x:v>
      </x:c>
      <x:c r="AD1660" s="26" t="n">
        <x:f>MIN(100,IF(H1660="Enterprise",30,IF(H1660="Mid-Market",22,14))+IF(T1660="Enterprise",25,IF(T1660="Mid-Market",18,10))+IF(Q1660="Referral",25,IF(Q1660="Organic Search",20,IF(Q1660="Email",18,14)))+IF(G1660="Technology",10,5))</x:f>
        <x:v>43</x:v>
      </x:c>
      <x:c r="AE1660" t="str">
        <x:f>IF(U1660&lt;&gt;"Open",U1660,IF(N1660&gt;=0.8,"Commit",IF(N1660&gt;=0.5,"Best Case","Pipeline")))</x:f>
        <x:v>Lost</x:v>
      </x:c>
    </x:row>
    <x:row r="1661">
      <x:c r="A1661" t="str">
        <x:v>L01660</x:v>
      </x:c>
      <x:c r="B1661" s="10" t="n">
        <x:v>45948</x:v>
      </x:c>
      <x:c r="C1661" t="str">
        <x:v>Duy Pham</x:v>
      </x:c>
      <x:c r="D1661" t="str">
        <x:v>South</x:v>
      </x:c>
      <x:c r="E1661" t="str">
        <x:v>customer referral</x:v>
      </x:c>
      <x:c r="F1661" t="str">
        <x:v>BI-PLUS</x:v>
      </x:c>
      <x:c r="G1661" t="str">
        <x:v>Healthcare</x:v>
      </x:c>
      <x:c r="H1661" t="str">
        <x:v>SMB</x:v>
      </x:c>
      <x:c r="I1661" t="str">
        <x:v>Closed Lost</x:v>
      </x:c>
      <x:c r="J1661" s="10" t="n">
        <x:v>45979</x:v>
      </x:c>
      <x:c r="K1661" s="10" t="n">
        <x:v>45979</x:v>
      </x:c>
      <x:c r="L1661" s="22" t="n">
        <x:v>14700</x:v>
      </x:c>
      <x:c r="M1661" s="24" t="n">
        <x:v>0</x:v>
      </x:c>
      <x:c r="N1661" s="24" t="n">
        <x:v>0</x:v>
      </x:c>
      <x:c r="O1661" t="str">
        <x:v>No Decision</x:v>
      </x:c>
      <x:c r="P1661" t="n">
        <x:v>4</x:v>
      </x:c>
      <x:c r="Q1661" t="str">
        <x:f>IFERROR(XLOOKUP(E1661,Lookups!$A$5:$A$24,Lookups!$B$5:$B$24),"Other")</x:f>
        <x:v>Referral</x:v>
      </x:c>
      <x:c r="R1661" t="str">
        <x:f>IFERROR(XLOOKUP(F1661,Lookups!$D$5:$D$10,Lookups!$E$5:$E$10),"Unknown Product")</x:f>
        <x:v>Analytics Plus</x:v>
      </x:c>
      <x:c r="S1661" t="str">
        <x:f>IFERROR(XLOOKUP(F1661,Lookups!$D$5:$D$10,Lookups!$F$5:$F$10),"Unknown")</x:f>
        <x:v>Analytics</x:v>
      </x:c>
      <x:c r="T1661" t="str">
        <x:f>IF(L1661&gt;=50000,"Enterprise",IF(L1661&gt;=20000,"Mid-Market","SMB"))</x:f>
        <x:v>SMB</x:v>
      </x:c>
      <x:c r="U1661" t="str">
        <x:f>IF(I1661="Closed Won","Won",IF(I1661="Closed Lost","Lost","Open"))</x:f>
        <x:v>Lost</x:v>
      </x:c>
      <x:c r="V1661" s="22" t="n">
        <x:f>IF(U1661="Won",L1661*(1-M1661),0)</x:f>
        <x:v>0</x:v>
      </x:c>
      <x:c r="W1661" s="22" t="n">
        <x:f>IF(U1661="Open",L1661*N1661,0)</x:f>
        <x:v>0</x:v>
      </x:c>
      <x:c r="X1661" s="26" t="n">
        <x:f>IF(U1661="Open","",IFERROR(K1661-B1661,""))</x:f>
        <x:v>31</x:v>
      </x:c>
      <x:c r="Y1661" s="26" t="n">
        <x:f>IF(U1661="Open",Lookups!$B$2-B1661,X1661)</x:f>
        <x:v>31</x:v>
      </x:c>
      <x:c r="Z1661" t="str">
        <x:f>IF(AND(U1661="Open",Y1661&gt;30),"STALE","OK")</x:f>
        <x:v>OK</x:v>
      </x:c>
      <x:c r="AA1661" t="str">
        <x:f>TEXT(B1661,"yyyy-mm")</x:f>
        <x:v>2025-10</x:v>
      </x:c>
      <x:c r="AB1661" t="str">
        <x:f>IF(K1661="","",TEXT(K1661,"yyyy-mm"))</x:f>
        <x:v>2025-11</x:v>
      </x:c>
      <x:c r="AC1661" t="str">
        <x:f>"Q"&amp;ROUNDUP(MONTH(B1661)/3,0)&amp;"-"&amp;YEAR(B1661)</x:f>
        <x:v>Q4-2025</x:v>
      </x:c>
      <x:c r="AD1661" s="26" t="n">
        <x:f>MIN(100,IF(H1661="Enterprise",30,IF(H1661="Mid-Market",22,14))+IF(T1661="Enterprise",25,IF(T1661="Mid-Market",18,10))+IF(Q1661="Referral",25,IF(Q1661="Organic Search",20,IF(Q1661="Email",18,14)))+IF(G1661="Technology",10,5))</x:f>
        <x:v>54</x:v>
      </x:c>
      <x:c r="AE1661" t="str">
        <x:f>IF(U1661&lt;&gt;"Open",U1661,IF(N1661&gt;=0.8,"Commit",IF(N1661&gt;=0.5,"Best Case","Pipeline")))</x:f>
        <x:v>Lost</x:v>
      </x:c>
    </x:row>
    <x:row r="1662">
      <x:c r="A1662" t="str">
        <x:v>L01661</x:v>
      </x:c>
      <x:c r="B1662" s="10" t="n">
        <x:v>46028</x:v>
      </x:c>
      <x:c r="C1662" t="str">
        <x:v>Minh Do</x:v>
      </x:c>
      <x:c r="D1662" t="str">
        <x:v>North</x:v>
      </x:c>
      <x:c r="E1662" t="str">
        <x:v>Email Campaign</x:v>
      </x:c>
      <x:c r="F1662" t="str">
        <x:v>CRM-CORE</x:v>
      </x:c>
      <x:c r="G1662" t="str">
        <x:v>Retail</x:v>
      </x:c>
      <x:c r="H1662" t="str">
        <x:v>SMB</x:v>
      </x:c>
      <x:c r="I1662" t="str">
        <x:v>Closed Lost</x:v>
      </x:c>
      <x:c r="J1662" s="10" t="n">
        <x:v>46066</x:v>
      </x:c>
      <x:c r="K1662" s="10" t="n">
        <x:v>46066</x:v>
      </x:c>
      <x:c r="L1662" s="22" t="n">
        <x:v>9600</x:v>
      </x:c>
      <x:c r="M1662" s="24" t="n">
        <x:v>0</x:v>
      </x:c>
      <x:c r="N1662" s="24" t="n">
        <x:v>0</x:v>
      </x:c>
      <x:c r="O1662" t="str">
        <x:v>No Decision</x:v>
      </x:c>
      <x:c r="P1662" t="n">
        <x:v>5</x:v>
      </x:c>
      <x:c r="Q1662" t="str">
        <x:f>IFERROR(XLOOKUP(E1662,Lookups!$A$5:$A$24,Lookups!$B$5:$B$24),"Other")</x:f>
        <x:v>Email</x:v>
      </x:c>
      <x:c r="R1662" t="str">
        <x:f>IFERROR(XLOOKUP(F1662,Lookups!$D$5:$D$10,Lookups!$E$5:$E$10),"Unknown Product")</x:f>
        <x:v>NexaCRM Core</x:v>
      </x:c>
      <x:c r="S1662" t="str">
        <x:f>IFERROR(XLOOKUP(F1662,Lookups!$D$5:$D$10,Lookups!$F$5:$F$10),"Unknown")</x:f>
        <x:v>CRM</x:v>
      </x:c>
      <x:c r="T1662" t="str">
        <x:f>IF(L1662&gt;=50000,"Enterprise",IF(L1662&gt;=20000,"Mid-Market","SMB"))</x:f>
        <x:v>SMB</x:v>
      </x:c>
      <x:c r="U1662" t="str">
        <x:f>IF(I1662="Closed Won","Won",IF(I1662="Closed Lost","Lost","Open"))</x:f>
        <x:v>Lost</x:v>
      </x:c>
      <x:c r="V1662" s="22" t="n">
        <x:f>IF(U1662="Won",L1662*(1-M1662),0)</x:f>
        <x:v>0</x:v>
      </x:c>
      <x:c r="W1662" s="22" t="n">
        <x:f>IF(U1662="Open",L1662*N1662,0)</x:f>
        <x:v>0</x:v>
      </x:c>
      <x:c r="X1662" s="26" t="n">
        <x:f>IF(U1662="Open","",IFERROR(K1662-B1662,""))</x:f>
        <x:v>38</x:v>
      </x:c>
      <x:c r="Y1662" s="26" t="n">
        <x:f>IF(U1662="Open",Lookups!$B$2-B1662,X1662)</x:f>
        <x:v>38</x:v>
      </x:c>
      <x:c r="Z1662" t="str">
        <x:f>IF(AND(U1662="Open",Y1662&gt;30),"STALE","OK")</x:f>
        <x:v>OK</x:v>
      </x:c>
      <x:c r="AA1662" t="str">
        <x:f>TEXT(B1662,"yyyy-mm")</x:f>
        <x:v>2026-01</x:v>
      </x:c>
      <x:c r="AB1662" t="str">
        <x:f>IF(K1662="","",TEXT(K1662,"yyyy-mm"))</x:f>
        <x:v>2026-02</x:v>
      </x:c>
      <x:c r="AC1662" t="str">
        <x:f>"Q"&amp;ROUNDUP(MONTH(B1662)/3,0)&amp;"-"&amp;YEAR(B1662)</x:f>
        <x:v>Q1-2026</x:v>
      </x:c>
      <x:c r="AD1662" s="26" t="n">
        <x:f>MIN(100,IF(H1662="Enterprise",30,IF(H1662="Mid-Market",22,14))+IF(T1662="Enterprise",25,IF(T1662="Mid-Market",18,10))+IF(Q1662="Referral",25,IF(Q1662="Organic Search",20,IF(Q1662="Email",18,14)))+IF(G1662="Technology",10,5))</x:f>
        <x:v>47</x:v>
      </x:c>
      <x:c r="AE1662" t="str">
        <x:f>IF(U1662&lt;&gt;"Open",U1662,IF(N1662&gt;=0.8,"Commit",IF(N1662&gt;=0.5,"Best Case","Pipeline")))</x:f>
        <x:v>Lost</x:v>
      </x:c>
    </x:row>
    <x:row r="1663">
      <x:c r="A1663" t="str">
        <x:v>L01662</x:v>
      </x:c>
      <x:c r="B1663" s="10" t="n">
        <x:v>46069</x:v>
      </x:c>
      <x:c r="C1663" t="str">
        <x:v>Duy Pham</x:v>
      </x:c>
      <x:c r="D1663" t="str">
        <x:v>South</x:v>
      </x:c>
      <x:c r="E1663" t="str">
        <x:v>SEM - Google</x:v>
      </x:c>
      <x:c r="F1663" t="str">
        <x:v>CS-CLOUD</x:v>
      </x:c>
      <x:c r="G1663" t="str">
        <x:v>Professional Services</x:v>
      </x:c>
      <x:c r="H1663" t="str">
        <x:v>SMB</x:v>
      </x:c>
      <x:c r="I1663" t="str">
        <x:v>Closed Lost</x:v>
      </x:c>
      <x:c r="J1663" s="10" t="n">
        <x:v>46109</x:v>
      </x:c>
      <x:c r="K1663" s="10" t="n">
        <x:v>46109</x:v>
      </x:c>
      <x:c r="L1663" s="22" t="n">
        <x:v>18900</x:v>
      </x:c>
      <x:c r="M1663" s="24" t="n">
        <x:v>0</x:v>
      </x:c>
      <x:c r="N1663" s="24" t="n">
        <x:v>0</x:v>
      </x:c>
      <x:c r="O1663" t="str">
        <x:v>Budget</x:v>
      </x:c>
      <x:c r="P1663" t="n">
        <x:v>5</x:v>
      </x:c>
      <x:c r="Q1663" t="str">
        <x:f>IFERROR(XLOOKUP(E1663,Lookups!$A$5:$A$24,Lookups!$B$5:$B$24),"Other")</x:f>
        <x:v>Paid Search</x:v>
      </x:c>
      <x:c r="R1663" t="str">
        <x:f>IFERROR(XLOOKUP(F1663,Lookups!$D$5:$D$10,Lookups!$E$5:$E$10),"Unknown Product")</x:f>
        <x:v>Service Cloud</x:v>
      </x:c>
      <x:c r="S1663" t="str">
        <x:f>IFERROR(XLOOKUP(F1663,Lookups!$D$5:$D$10,Lookups!$F$5:$F$10),"Unknown")</x:f>
        <x:v>Customer Service</x:v>
      </x:c>
      <x:c r="T1663" t="str">
        <x:f>IF(L1663&gt;=50000,"Enterprise",IF(L1663&gt;=20000,"Mid-Market","SMB"))</x:f>
        <x:v>SMB</x:v>
      </x:c>
      <x:c r="U1663" t="str">
        <x:f>IF(I1663="Closed Won","Won",IF(I1663="Closed Lost","Lost","Open"))</x:f>
        <x:v>Lost</x:v>
      </x:c>
      <x:c r="V1663" s="22" t="n">
        <x:f>IF(U1663="Won",L1663*(1-M1663),0)</x:f>
        <x:v>0</x:v>
      </x:c>
      <x:c r="W1663" s="22" t="n">
        <x:f>IF(U1663="Open",L1663*N1663,0)</x:f>
        <x:v>0</x:v>
      </x:c>
      <x:c r="X1663" s="26" t="n">
        <x:f>IF(U1663="Open","",IFERROR(K1663-B1663,""))</x:f>
        <x:v>40</x:v>
      </x:c>
      <x:c r="Y1663" s="26" t="n">
        <x:f>IF(U1663="Open",Lookups!$B$2-B1663,X1663)</x:f>
        <x:v>40</x:v>
      </x:c>
      <x:c r="Z1663" t="str">
        <x:f>IF(AND(U1663="Open",Y1663&gt;30),"STALE","OK")</x:f>
        <x:v>OK</x:v>
      </x:c>
      <x:c r="AA1663" t="str">
        <x:f>TEXT(B1663,"yyyy-mm")</x:f>
        <x:v>2026-02</x:v>
      </x:c>
      <x:c r="AB1663" t="str">
        <x:f>IF(K1663="","",TEXT(K1663,"yyyy-mm"))</x:f>
        <x:v>2026-03</x:v>
      </x:c>
      <x:c r="AC1663" t="str">
        <x:f>"Q"&amp;ROUNDUP(MONTH(B1663)/3,0)&amp;"-"&amp;YEAR(B1663)</x:f>
        <x:v>Q1-2026</x:v>
      </x:c>
      <x:c r="AD1663" s="26" t="n">
        <x:f>MIN(100,IF(H1663="Enterprise",30,IF(H1663="Mid-Market",22,14))+IF(T1663="Enterprise",25,IF(T1663="Mid-Market",18,10))+IF(Q1663="Referral",25,IF(Q1663="Organic Search",20,IF(Q1663="Email",18,14)))+IF(G1663="Technology",10,5))</x:f>
        <x:v>43</x:v>
      </x:c>
      <x:c r="AE1663" t="str">
        <x:f>IF(U1663&lt;&gt;"Open",U1663,IF(N1663&gt;=0.8,"Commit",IF(N1663&gt;=0.5,"Best Case","Pipeline")))</x:f>
        <x:v>Lost</x:v>
      </x:c>
    </x:row>
    <x:row r="1664">
      <x:c r="A1664" t="str">
        <x:v>L01663</x:v>
      </x:c>
      <x:c r="B1664" s="10" t="n">
        <x:v>45850</x:v>
      </x:c>
      <x:c r="C1664" t="str">
        <x:v>Bao Tran</x:v>
      </x:c>
      <x:c r="D1664" t="str">
        <x:v>South</x:v>
      </x:c>
      <x:c r="E1664" t="str">
        <x:v>Google Organic</x:v>
      </x:c>
      <x:c r="F1664" t="str">
        <x:v>CRM-PRO</x:v>
      </x:c>
      <x:c r="G1664" t="str">
        <x:v>Healthcare</x:v>
      </x:c>
      <x:c r="H1664" t="str">
        <x:v>SMB</x:v>
      </x:c>
      <x:c r="I1664" t="str">
        <x:v>Closed Lost</x:v>
      </x:c>
      <x:c r="J1664" s="10" t="n">
        <x:v>45884</x:v>
      </x:c>
      <x:c r="K1664" s="10" t="n">
        <x:v>45884</x:v>
      </x:c>
      <x:c r="L1664" s="22" t="n">
        <x:v>20700</x:v>
      </x:c>
      <x:c r="M1664" s="24" t="n">
        <x:v>0</x:v>
      </x:c>
      <x:c r="N1664" s="24" t="n">
        <x:v>0</x:v>
      </x:c>
      <x:c r="O1664" t="str">
        <x:v>No Decision</x:v>
      </x:c>
      <x:c r="P1664" t="n">
        <x:v>5</x:v>
      </x:c>
      <x:c r="Q1664" t="str">
        <x:f>IFERROR(XLOOKUP(E1664,Lookups!$A$5:$A$24,Lookups!$B$5:$B$24),"Other")</x:f>
        <x:v>Organic Search</x:v>
      </x:c>
      <x:c r="R1664" t="str">
        <x:f>IFERROR(XLOOKUP(F1664,Lookups!$D$5:$D$10,Lookups!$E$5:$E$10),"Unknown Product")</x:f>
        <x:v>NexaCRM Pro</x:v>
      </x:c>
      <x:c r="S1664" t="str">
        <x:f>IFERROR(XLOOKUP(F1664,Lookups!$D$5:$D$10,Lookups!$F$5:$F$10),"Unknown")</x:f>
        <x:v>CRM</x:v>
      </x:c>
      <x:c r="T1664" t="str">
        <x:f>IF(L1664&gt;=50000,"Enterprise",IF(L1664&gt;=20000,"Mid-Market","SMB"))</x:f>
        <x:v>Mid-Market</x:v>
      </x:c>
      <x:c r="U1664" t="str">
        <x:f>IF(I1664="Closed Won","Won",IF(I1664="Closed Lost","Lost","Open"))</x:f>
        <x:v>Lost</x:v>
      </x:c>
      <x:c r="V1664" s="22" t="n">
        <x:f>IF(U1664="Won",L1664*(1-M1664),0)</x:f>
        <x:v>0</x:v>
      </x:c>
      <x:c r="W1664" s="22" t="n">
        <x:f>IF(U1664="Open",L1664*N1664,0)</x:f>
        <x:v>0</x:v>
      </x:c>
      <x:c r="X1664" s="26" t="n">
        <x:f>IF(U1664="Open","",IFERROR(K1664-B1664,""))</x:f>
        <x:v>34</x:v>
      </x:c>
      <x:c r="Y1664" s="26" t="n">
        <x:f>IF(U1664="Open",Lookups!$B$2-B1664,X1664)</x:f>
        <x:v>34</x:v>
      </x:c>
      <x:c r="Z1664" t="str">
        <x:f>IF(AND(U1664="Open",Y1664&gt;30),"STALE","OK")</x:f>
        <x:v>OK</x:v>
      </x:c>
      <x:c r="AA1664" t="str">
        <x:f>TEXT(B1664,"yyyy-mm")</x:f>
        <x:v>2025-07</x:v>
      </x:c>
      <x:c r="AB1664" t="str">
        <x:f>IF(K1664="","",TEXT(K1664,"yyyy-mm"))</x:f>
        <x:v>2025-08</x:v>
      </x:c>
      <x:c r="AC1664" t="str">
        <x:f>"Q"&amp;ROUNDUP(MONTH(B1664)/3,0)&amp;"-"&amp;YEAR(B1664)</x:f>
        <x:v>Q3-2025</x:v>
      </x:c>
      <x:c r="AD1664" s="26" t="n">
        <x:f>MIN(100,IF(H1664="Enterprise",30,IF(H1664="Mid-Market",22,14))+IF(T1664="Enterprise",25,IF(T1664="Mid-Market",18,10))+IF(Q1664="Referral",25,IF(Q1664="Organic Search",20,IF(Q1664="Email",18,14)))+IF(G1664="Technology",10,5))</x:f>
        <x:v>57</x:v>
      </x:c>
      <x:c r="AE1664" t="str">
        <x:f>IF(U1664&lt;&gt;"Open",U1664,IF(N1664&gt;=0.8,"Commit",IF(N1664&gt;=0.5,"Best Case","Pipeline")))</x:f>
        <x:v>Lost</x:v>
      </x:c>
    </x:row>
    <x:row r="1665">
      <x:c r="A1665" t="str">
        <x:v>L01664</x:v>
      </x:c>
      <x:c r="B1665" s="10" t="n">
        <x:v>45886</x:v>
      </x:c>
      <x:c r="C1665" t="str">
        <x:v>Minh Do</x:v>
      </x:c>
      <x:c r="D1665" t="str">
        <x:v>North</x:v>
      </x:c>
      <x:c r="E1665" t="str">
        <x:v>Partner Referral</x:v>
      </x:c>
      <x:c r="F1665" t="str">
        <x:v>CRM-PRO</x:v>
      </x:c>
      <x:c r="G1665" t="str">
        <x:v>Healthcare</x:v>
      </x:c>
      <x:c r="H1665" t="str">
        <x:v>Mid-Market</x:v>
      </x:c>
      <x:c r="I1665" t="str">
        <x:v>Closed Lost</x:v>
      </x:c>
      <x:c r="J1665" s="10" t="n">
        <x:v>45928</x:v>
      </x:c>
      <x:c r="K1665" s="10" t="n">
        <x:v>45928</x:v>
      </x:c>
      <x:c r="L1665" s="22" t="n">
        <x:v>22100</x:v>
      </x:c>
      <x:c r="M1665" s="24" t="n">
        <x:v>0</x:v>
      </x:c>
      <x:c r="N1665" s="24" t="n">
        <x:v>0</x:v>
      </x:c>
      <x:c r="O1665" t="str">
        <x:v>Feature Gap</x:v>
      </x:c>
      <x:c r="P1665" t="n">
        <x:v>3</x:v>
      </x:c>
      <x:c r="Q1665" t="str">
        <x:f>IFERROR(XLOOKUP(E1665,Lookups!$A$5:$A$24,Lookups!$B$5:$B$24),"Other")</x:f>
        <x:v>Referral</x:v>
      </x:c>
      <x:c r="R1665" t="str">
        <x:f>IFERROR(XLOOKUP(F1665,Lookups!$D$5:$D$10,Lookups!$E$5:$E$10),"Unknown Product")</x:f>
        <x:v>NexaCRM Pro</x:v>
      </x:c>
      <x:c r="S1665" t="str">
        <x:f>IFERROR(XLOOKUP(F1665,Lookups!$D$5:$D$10,Lookups!$F$5:$F$10),"Unknown")</x:f>
        <x:v>CRM</x:v>
      </x:c>
      <x:c r="T1665" t="str">
        <x:f>IF(L1665&gt;=50000,"Enterprise",IF(L1665&gt;=20000,"Mid-Market","SMB"))</x:f>
        <x:v>Mid-Market</x:v>
      </x:c>
      <x:c r="U1665" t="str">
        <x:f>IF(I1665="Closed Won","Won",IF(I1665="Closed Lost","Lost","Open"))</x:f>
        <x:v>Lost</x:v>
      </x:c>
      <x:c r="V1665" s="22" t="n">
        <x:f>IF(U1665="Won",L1665*(1-M1665),0)</x:f>
        <x:v>0</x:v>
      </x:c>
      <x:c r="W1665" s="22" t="n">
        <x:f>IF(U1665="Open",L1665*N1665,0)</x:f>
        <x:v>0</x:v>
      </x:c>
      <x:c r="X1665" s="26" t="n">
        <x:f>IF(U1665="Open","",IFERROR(K1665-B1665,""))</x:f>
        <x:v>42</x:v>
      </x:c>
      <x:c r="Y1665" s="26" t="n">
        <x:f>IF(U1665="Open",Lookups!$B$2-B1665,X1665)</x:f>
        <x:v>42</x:v>
      </x:c>
      <x:c r="Z1665" t="str">
        <x:f>IF(AND(U1665="Open",Y1665&gt;30),"STALE","OK")</x:f>
        <x:v>OK</x:v>
      </x:c>
      <x:c r="AA1665" t="str">
        <x:f>TEXT(B1665,"yyyy-mm")</x:f>
        <x:v>2025-08</x:v>
      </x:c>
      <x:c r="AB1665" t="str">
        <x:f>IF(K1665="","",TEXT(K1665,"yyyy-mm"))</x:f>
        <x:v>2025-09</x:v>
      </x:c>
      <x:c r="AC1665" t="str">
        <x:f>"Q"&amp;ROUNDUP(MONTH(B1665)/3,0)&amp;"-"&amp;YEAR(B1665)</x:f>
        <x:v>Q3-2025</x:v>
      </x:c>
      <x:c r="AD1665" s="26" t="n">
        <x:f>MIN(100,IF(H1665="Enterprise",30,IF(H1665="Mid-Market",22,14))+IF(T1665="Enterprise",25,IF(T1665="Mid-Market",18,10))+IF(Q1665="Referral",25,IF(Q1665="Organic Search",20,IF(Q1665="Email",18,14)))+IF(G1665="Technology",10,5))</x:f>
        <x:v>70</x:v>
      </x:c>
      <x:c r="AE1665" t="str">
        <x:f>IF(U1665&lt;&gt;"Open",U1665,IF(N1665&gt;=0.8,"Commit",IF(N1665&gt;=0.5,"Best Case","Pipeline")))</x:f>
        <x:v>Lost</x:v>
      </x:c>
    </x:row>
    <x:row r="1666">
      <x:c r="A1666" t="str">
        <x:v>L01665</x:v>
      </x:c>
      <x:c r="B1666" s="10" t="n">
        <x:v>46107</x:v>
      </x:c>
      <x:c r="C1666" t="str">
        <x:v>Minh Do</x:v>
      </x:c>
      <x:c r="D1666" t="str">
        <x:v>North</x:v>
      </x:c>
      <x:c r="E1666" t="str">
        <x:v>google cpc</x:v>
      </x:c>
      <x:c r="F1666" t="str">
        <x:v>CRM-CORE</x:v>
      </x:c>
      <x:c r="G1666" t="str">
        <x:v>Healthcare</x:v>
      </x:c>
      <x:c r="H1666" t="str">
        <x:v>Enterprise</x:v>
      </x:c>
      <x:c r="I1666" t="str">
        <x:v>Closed Won</x:v>
      </x:c>
      <x:c r="J1666" s="10" t="n">
        <x:v>46174</x:v>
      </x:c>
      <x:c r="K1666" s="10" t="n">
        <x:v>46174</x:v>
      </x:c>
      <x:c r="L1666" s="22" t="n">
        <x:v>28800</x:v>
      </x:c>
      <x:c r="M1666" s="24" t="n">
        <x:v>0</x:v>
      </x:c>
      <x:c r="N1666" s="24" t="n">
        <x:v>1</x:v>
      </x:c>
      <x:c r="O1666" t="str"/>
      <x:c r="P1666" t="n">
        <x:v>6</x:v>
      </x:c>
      <x:c r="Q1666" t="str">
        <x:f>IFERROR(XLOOKUP(E1666,Lookups!$A$5:$A$24,Lookups!$B$5:$B$24),"Other")</x:f>
        <x:v>Paid Search</x:v>
      </x:c>
      <x:c r="R1666" t="str">
        <x:f>IFERROR(XLOOKUP(F1666,Lookups!$D$5:$D$10,Lookups!$E$5:$E$10),"Unknown Product")</x:f>
        <x:v>NexaCRM Core</x:v>
      </x:c>
      <x:c r="S1666" t="str">
        <x:f>IFERROR(XLOOKUP(F1666,Lookups!$D$5:$D$10,Lookups!$F$5:$F$10),"Unknown")</x:f>
        <x:v>CRM</x:v>
      </x:c>
      <x:c r="T1666" t="str">
        <x:f>IF(L1666&gt;=50000,"Enterprise",IF(L1666&gt;=20000,"Mid-Market","SMB"))</x:f>
        <x:v>Mid-Market</x:v>
      </x:c>
      <x:c r="U1666" t="str">
        <x:f>IF(I1666="Closed Won","Won",IF(I1666="Closed Lost","Lost","Open"))</x:f>
        <x:v>Won</x:v>
      </x:c>
      <x:c r="V1666" s="22" t="n">
        <x:f>IF(U1666="Won",L1666*(1-M1666),0)</x:f>
        <x:v>28800</x:v>
      </x:c>
      <x:c r="W1666" s="22" t="n">
        <x:f>IF(U1666="Open",L1666*N1666,0)</x:f>
        <x:v>0</x:v>
      </x:c>
      <x:c r="X1666" s="26" t="n">
        <x:f>IF(U1666="Open","",IFERROR(K1666-B1666,""))</x:f>
        <x:v>67</x:v>
      </x:c>
      <x:c r="Y1666" s="26" t="n">
        <x:f>IF(U1666="Open",Lookups!$B$2-B1666,X1666)</x:f>
        <x:v>67</x:v>
      </x:c>
      <x:c r="Z1666" t="str">
        <x:f>IF(AND(U1666="Open",Y1666&gt;30),"STALE","OK")</x:f>
        <x:v>OK</x:v>
      </x:c>
      <x:c r="AA1666" t="str">
        <x:f>TEXT(B1666,"yyyy-mm")</x:f>
        <x:v>2026-03</x:v>
      </x:c>
      <x:c r="AB1666" t="str">
        <x:f>IF(K1666="","",TEXT(K1666,"yyyy-mm"))</x:f>
        <x:v>2026-06</x:v>
      </x:c>
      <x:c r="AC1666" t="str">
        <x:f>"Q"&amp;ROUNDUP(MONTH(B1666)/3,0)&amp;"-"&amp;YEAR(B1666)</x:f>
        <x:v>Q1-2026</x:v>
      </x:c>
      <x:c r="AD1666" s="26" t="n">
        <x:f>MIN(100,IF(H1666="Enterprise",30,IF(H1666="Mid-Market",22,14))+IF(T1666="Enterprise",25,IF(T1666="Mid-Market",18,10))+IF(Q1666="Referral",25,IF(Q1666="Organic Search",20,IF(Q1666="Email",18,14)))+IF(G1666="Technology",10,5))</x:f>
        <x:v>67</x:v>
      </x:c>
      <x:c r="AE1666" t="str">
        <x:f>IF(U1666&lt;&gt;"Open",U1666,IF(N1666&gt;=0.8,"Commit",IF(N1666&gt;=0.5,"Best Case","Pipeline")))</x:f>
        <x:v>Won</x:v>
      </x:c>
    </x:row>
    <x:row r="1667">
      <x:c r="A1667" t="str">
        <x:v>L01666</x:v>
      </x:c>
      <x:c r="B1667" s="10" t="n">
        <x:v>45710</x:v>
      </x:c>
      <x:c r="C1667" t="str">
        <x:v>Duy Pham</x:v>
      </x:c>
      <x:c r="D1667" t="str">
        <x:v>South</x:v>
      </x:c>
      <x:c r="E1667" t="str">
        <x:v>Outbound</x:v>
      </x:c>
      <x:c r="F1667" t="str">
        <x:v>BI-PLUS</x:v>
      </x:c>
      <x:c r="G1667" t="str">
        <x:v>Education</x:v>
      </x:c>
      <x:c r="H1667" t="str">
        <x:v>Enterprise</x:v>
      </x:c>
      <x:c r="I1667" t="str">
        <x:v>Closed Lost</x:v>
      </x:c>
      <x:c r="J1667" s="10" t="n">
        <x:v>45745</x:v>
      </x:c>
      <x:c r="K1667" s="10" t="n">
        <x:v>45745</x:v>
      </x:c>
      <x:c r="L1667" s="22" t="n">
        <x:v>96500</x:v>
      </x:c>
      <x:c r="M1667" s="24" t="n">
        <x:v>0</x:v>
      </x:c>
      <x:c r="N1667" s="24" t="n">
        <x:v>0</x:v>
      </x:c>
      <x:c r="O1667" t="str">
        <x:v>Competitor</x:v>
      </x:c>
      <x:c r="P1667" t="n">
        <x:v>3</x:v>
      </x:c>
      <x:c r="Q1667" t="str">
        <x:f>IFERROR(XLOOKUP(E1667,Lookups!$A$5:$A$24,Lookups!$B$5:$B$24),"Other")</x:f>
        <x:v>Outbound</x:v>
      </x:c>
      <x:c r="R1667" t="str">
        <x:f>IFERROR(XLOOKUP(F1667,Lookups!$D$5:$D$10,Lookups!$E$5:$E$10),"Unknown Product")</x:f>
        <x:v>Analytics Plus</x:v>
      </x:c>
      <x:c r="S1667" t="str">
        <x:f>IFERROR(XLOOKUP(F1667,Lookups!$D$5:$D$10,Lookups!$F$5:$F$10),"Unknown")</x:f>
        <x:v>Analytics</x:v>
      </x:c>
      <x:c r="T1667" t="str">
        <x:f>IF(L1667&gt;=50000,"Enterprise",IF(L1667&gt;=20000,"Mid-Market","SMB"))</x:f>
        <x:v>Enterprise</x:v>
      </x:c>
      <x:c r="U1667" t="str">
        <x:f>IF(I1667="Closed Won","Won",IF(I1667="Closed Lost","Lost","Open"))</x:f>
        <x:v>Lost</x:v>
      </x:c>
      <x:c r="V1667" s="22" t="n">
        <x:f>IF(U1667="Won",L1667*(1-M1667),0)</x:f>
        <x:v>0</x:v>
      </x:c>
      <x:c r="W1667" s="22" t="n">
        <x:f>IF(U1667="Open",L1667*N1667,0)</x:f>
        <x:v>0</x:v>
      </x:c>
      <x:c r="X1667" s="26" t="n">
        <x:f>IF(U1667="Open","",IFERROR(K1667-B1667,""))</x:f>
        <x:v>35</x:v>
      </x:c>
      <x:c r="Y1667" s="26" t="n">
        <x:f>IF(U1667="Open",Lookups!$B$2-B1667,X1667)</x:f>
        <x:v>35</x:v>
      </x:c>
      <x:c r="Z1667" t="str">
        <x:f>IF(AND(U1667="Open",Y1667&gt;30),"STALE","OK")</x:f>
        <x:v>OK</x:v>
      </x:c>
      <x:c r="AA1667" t="str">
        <x:f>TEXT(B1667,"yyyy-mm")</x:f>
        <x:v>2025-02</x:v>
      </x:c>
      <x:c r="AB1667" t="str">
        <x:f>IF(K1667="","",TEXT(K1667,"yyyy-mm"))</x:f>
        <x:v>2025-03</x:v>
      </x:c>
      <x:c r="AC1667" t="str">
        <x:f>"Q"&amp;ROUNDUP(MONTH(B1667)/3,0)&amp;"-"&amp;YEAR(B1667)</x:f>
        <x:v>Q1-2025</x:v>
      </x:c>
      <x:c r="AD1667" s="26" t="n">
        <x:f>MIN(100,IF(H1667="Enterprise",30,IF(H1667="Mid-Market",22,14))+IF(T1667="Enterprise",25,IF(T1667="Mid-Market",18,10))+IF(Q1667="Referral",25,IF(Q1667="Organic Search",20,IF(Q1667="Email",18,14)))+IF(G1667="Technology",10,5))</x:f>
        <x:v>74</x:v>
      </x:c>
      <x:c r="AE1667" t="str">
        <x:f>IF(U1667&lt;&gt;"Open",U1667,IF(N1667&gt;=0.8,"Commit",IF(N1667&gt;=0.5,"Best Case","Pipeline")))</x:f>
        <x:v>Lost</x:v>
      </x:c>
    </x:row>
    <x:row r="1668">
      <x:c r="A1668" t="str">
        <x:v>L01667</x:v>
      </x:c>
      <x:c r="B1668" s="10" t="n">
        <x:v>45702</x:v>
      </x:c>
      <x:c r="C1668" t="str">
        <x:v>Ha Vo</x:v>
      </x:c>
      <x:c r="D1668" t="str">
        <x:v>North</x:v>
      </x:c>
      <x:c r="E1668" t="str">
        <x:v>Google Ads</x:v>
      </x:c>
      <x:c r="F1668" t="str">
        <x:v>CS-CLOUD</x:v>
      </x:c>
      <x:c r="G1668" t="str">
        <x:v>Manufacturing</x:v>
      </x:c>
      <x:c r="H1668" t="str">
        <x:v>SMB</x:v>
      </x:c>
      <x:c r="I1668" t="str">
        <x:v>Closed Won</x:v>
      </x:c>
      <x:c r="J1668" s="10" t="n">
        <x:v>45762</x:v>
      </x:c>
      <x:c r="K1668" s="10" t="n">
        <x:v>45762</x:v>
      </x:c>
      <x:c r="L1668" s="22" t="n">
        <x:v>23000</x:v>
      </x:c>
      <x:c r="M1668" s="24" t="n">
        <x:v>0.1</x:v>
      </x:c>
      <x:c r="N1668" s="24" t="n">
        <x:v>1</x:v>
      </x:c>
      <x:c r="O1668" t="str"/>
      <x:c r="P1668" t="n">
        <x:v>6</x:v>
      </x:c>
      <x:c r="Q1668" t="str">
        <x:f>IFERROR(XLOOKUP(E1668,Lookups!$A$5:$A$24,Lookups!$B$5:$B$24),"Other")</x:f>
        <x:v>Paid Search</x:v>
      </x:c>
      <x:c r="R1668" t="str">
        <x:f>IFERROR(XLOOKUP(F1668,Lookups!$D$5:$D$10,Lookups!$E$5:$E$10),"Unknown Product")</x:f>
        <x:v>Service Cloud</x:v>
      </x:c>
      <x:c r="S1668" t="str">
        <x:f>IFERROR(XLOOKUP(F1668,Lookups!$D$5:$D$10,Lookups!$F$5:$F$10),"Unknown")</x:f>
        <x:v>Customer Service</x:v>
      </x:c>
      <x:c r="T1668" t="str">
        <x:f>IF(L1668&gt;=50000,"Enterprise",IF(L1668&gt;=20000,"Mid-Market","SMB"))</x:f>
        <x:v>Mid-Market</x:v>
      </x:c>
      <x:c r="U1668" t="str">
        <x:f>IF(I1668="Closed Won","Won",IF(I1668="Closed Lost","Lost","Open"))</x:f>
        <x:v>Won</x:v>
      </x:c>
      <x:c r="V1668" s="22" t="n">
        <x:f>IF(U1668="Won",L1668*(1-M1668),0)</x:f>
        <x:v>20700</x:v>
      </x:c>
      <x:c r="W1668" s="22" t="n">
        <x:f>IF(U1668="Open",L1668*N1668,0)</x:f>
        <x:v>0</x:v>
      </x:c>
      <x:c r="X1668" s="26" t="n">
        <x:f>IF(U1668="Open","",IFERROR(K1668-B1668,""))</x:f>
        <x:v>60</x:v>
      </x:c>
      <x:c r="Y1668" s="26" t="n">
        <x:f>IF(U1668="Open",Lookups!$B$2-B1668,X1668)</x:f>
        <x:v>60</x:v>
      </x:c>
      <x:c r="Z1668" t="str">
        <x:f>IF(AND(U1668="Open",Y1668&gt;30),"STALE","OK")</x:f>
        <x:v>OK</x:v>
      </x:c>
      <x:c r="AA1668" t="str">
        <x:f>TEXT(B1668,"yyyy-mm")</x:f>
        <x:v>2025-02</x:v>
      </x:c>
      <x:c r="AB1668" t="str">
        <x:f>IF(K1668="","",TEXT(K1668,"yyyy-mm"))</x:f>
        <x:v>2025-04</x:v>
      </x:c>
      <x:c r="AC1668" t="str">
        <x:f>"Q"&amp;ROUNDUP(MONTH(B1668)/3,0)&amp;"-"&amp;YEAR(B1668)</x:f>
        <x:v>Q1-2025</x:v>
      </x:c>
      <x:c r="AD1668" s="26" t="n">
        <x:f>MIN(100,IF(H1668="Enterprise",30,IF(H1668="Mid-Market",22,14))+IF(T1668="Enterprise",25,IF(T1668="Mid-Market",18,10))+IF(Q1668="Referral",25,IF(Q1668="Organic Search",20,IF(Q1668="Email",18,14)))+IF(G1668="Technology",10,5))</x:f>
        <x:v>51</x:v>
      </x:c>
      <x:c r="AE1668" t="str">
        <x:f>IF(U1668&lt;&gt;"Open",U1668,IF(N1668&gt;=0.8,"Commit",IF(N1668&gt;=0.5,"Best Case","Pipeline")))</x:f>
        <x:v>Won</x:v>
      </x:c>
    </x:row>
    <x:row r="1669">
      <x:c r="A1669" t="str">
        <x:v>L01668</x:v>
      </x:c>
      <x:c r="B1669" s="10" t="n">
        <x:v>45823</x:v>
      </x:c>
      <x:c r="C1669" t="str">
        <x:v>Bao Tran</x:v>
      </x:c>
      <x:c r="D1669" t="str">
        <x:v>South</x:v>
      </x:c>
      <x:c r="E1669" t="str">
        <x:v>virtual event</x:v>
      </x:c>
      <x:c r="F1669" t="str">
        <x:v>CRM-CORE</x:v>
      </x:c>
      <x:c r="G1669" t="str">
        <x:v>Professional Services</x:v>
      </x:c>
      <x:c r="H1669" t="str">
        <x:v>Enterprise</x:v>
      </x:c>
      <x:c r="I1669" t="str">
        <x:v>Closed Lost</x:v>
      </x:c>
      <x:c r="J1669" s="10" t="n">
        <x:v>45855</x:v>
      </x:c>
      <x:c r="K1669" s="10" t="n">
        <x:v>45855</x:v>
      </x:c>
      <x:c r="L1669" s="22" t="n">
        <x:v>18000</x:v>
      </x:c>
      <x:c r="M1669" s="24" t="n">
        <x:v>0</x:v>
      </x:c>
      <x:c r="N1669" s="24" t="n">
        <x:v>0</x:v>
      </x:c>
      <x:c r="O1669" t="str">
        <x:v>No Decision</x:v>
      </x:c>
      <x:c r="P1669" t="n">
        <x:v>5</x:v>
      </x:c>
      <x:c r="Q1669" t="str">
        <x:f>IFERROR(XLOOKUP(E1669,Lookups!$A$5:$A$24,Lookups!$B$5:$B$24),"Other")</x:f>
        <x:v>Webinar</x:v>
      </x:c>
      <x:c r="R1669" t="str">
        <x:f>IFERROR(XLOOKUP(F1669,Lookups!$D$5:$D$10,Lookups!$E$5:$E$10),"Unknown Product")</x:f>
        <x:v>NexaCRM Core</x:v>
      </x:c>
      <x:c r="S1669" t="str">
        <x:f>IFERROR(XLOOKUP(F1669,Lookups!$D$5:$D$10,Lookups!$F$5:$F$10),"Unknown")</x:f>
        <x:v>CRM</x:v>
      </x:c>
      <x:c r="T1669" t="str">
        <x:f>IF(L1669&gt;=50000,"Enterprise",IF(L1669&gt;=20000,"Mid-Market","SMB"))</x:f>
        <x:v>SMB</x:v>
      </x:c>
      <x:c r="U1669" t="str">
        <x:f>IF(I1669="Closed Won","Won",IF(I1669="Closed Lost","Lost","Open"))</x:f>
        <x:v>Lost</x:v>
      </x:c>
      <x:c r="V1669" s="22" t="n">
        <x:f>IF(U1669="Won",L1669*(1-M1669),0)</x:f>
        <x:v>0</x:v>
      </x:c>
      <x:c r="W1669" s="22" t="n">
        <x:f>IF(U1669="Open",L1669*N1669,0)</x:f>
        <x:v>0</x:v>
      </x:c>
      <x:c r="X1669" s="26" t="n">
        <x:f>IF(U1669="Open","",IFERROR(K1669-B1669,""))</x:f>
        <x:v>32</x:v>
      </x:c>
      <x:c r="Y1669" s="26" t="n">
        <x:f>IF(U1669="Open",Lookups!$B$2-B1669,X1669)</x:f>
        <x:v>32</x:v>
      </x:c>
      <x:c r="Z1669" t="str">
        <x:f>IF(AND(U1669="Open",Y1669&gt;30),"STALE","OK")</x:f>
        <x:v>OK</x:v>
      </x:c>
      <x:c r="AA1669" t="str">
        <x:f>TEXT(B1669,"yyyy-mm")</x:f>
        <x:v>2025-06</x:v>
      </x:c>
      <x:c r="AB1669" t="str">
        <x:f>IF(K1669="","",TEXT(K1669,"yyyy-mm"))</x:f>
        <x:v>2025-07</x:v>
      </x:c>
      <x:c r="AC1669" t="str">
        <x:f>"Q"&amp;ROUNDUP(MONTH(B1669)/3,0)&amp;"-"&amp;YEAR(B1669)</x:f>
        <x:v>Q2-2025</x:v>
      </x:c>
      <x:c r="AD1669" s="26" t="n">
        <x:f>MIN(100,IF(H1669="Enterprise",30,IF(H1669="Mid-Market",22,14))+IF(T1669="Enterprise",25,IF(T1669="Mid-Market",18,10))+IF(Q1669="Referral",25,IF(Q1669="Organic Search",20,IF(Q1669="Email",18,14)))+IF(G1669="Technology",10,5))</x:f>
        <x:v>59</x:v>
      </x:c>
      <x:c r="AE1669" t="str">
        <x:f>IF(U1669&lt;&gt;"Open",U1669,IF(N1669&gt;=0.8,"Commit",IF(N1669&gt;=0.5,"Best Case","Pipeline")))</x:f>
        <x:v>Lost</x:v>
      </x:c>
    </x:row>
    <x:row r="1670">
      <x:c r="A1670" t="str">
        <x:v>L01669</x:v>
      </x:c>
      <x:c r="B1670" s="10" t="n">
        <x:v>45664</x:v>
      </x:c>
      <x:c r="C1670" t="str">
        <x:v>Ha Vo</x:v>
      </x:c>
      <x:c r="D1670" t="str">
        <x:v>North</x:v>
      </x:c>
      <x:c r="E1670" t="str">
        <x:v>Unknown Event</x:v>
      </x:c>
      <x:c r="F1670" t="str">
        <x:v>REV-OPS</x:v>
      </x:c>
      <x:c r="G1670" t="str">
        <x:v>Professional Services</x:v>
      </x:c>
      <x:c r="H1670" t="str">
        <x:v>Mid-Market</x:v>
      </x:c>
      <x:c r="I1670" t="str">
        <x:v>Closed Lost</x:v>
      </x:c>
      <x:c r="J1670" s="10" t="n">
        <x:v>45721</x:v>
      </x:c>
      <x:c r="K1670" s="10" t="n">
        <x:v>45721</x:v>
      </x:c>
      <x:c r="L1670" s="22" t="n">
        <x:v>80300</x:v>
      </x:c>
      <x:c r="M1670" s="24" t="n">
        <x:v>0</x:v>
      </x:c>
      <x:c r="N1670" s="24" t="n">
        <x:v>0</x:v>
      </x:c>
      <x:c r="O1670" t="str">
        <x:v>Competitor</x:v>
      </x:c>
      <x:c r="P1670" t="n">
        <x:v>2</x:v>
      </x:c>
      <x:c r="Q1670" t="str">
        <x:f>IFERROR(XLOOKUP(E1670,Lookups!$A$5:$A$24,Lookups!$B$5:$B$24),"Other")</x:f>
        <x:v>Other</x:v>
      </x:c>
      <x:c r="R1670" t="str">
        <x:f>IFERROR(XLOOKUP(F1670,Lookups!$D$5:$D$10,Lookups!$E$5:$E$10),"Unknown Product")</x:f>
        <x:v>Revenue Operations Suite</x:v>
      </x:c>
      <x:c r="S1670" t="str">
        <x:f>IFERROR(XLOOKUP(F1670,Lookups!$D$5:$D$10,Lookups!$F$5:$F$10),"Unknown")</x:f>
        <x:v>Revenue Ops</x:v>
      </x:c>
      <x:c r="T1670" t="str">
        <x:f>IF(L1670&gt;=50000,"Enterprise",IF(L1670&gt;=20000,"Mid-Market","SMB"))</x:f>
        <x:v>Enterprise</x:v>
      </x:c>
      <x:c r="U1670" t="str">
        <x:f>IF(I1670="Closed Won","Won",IF(I1670="Closed Lost","Lost","Open"))</x:f>
        <x:v>Lost</x:v>
      </x:c>
      <x:c r="V1670" s="22" t="n">
        <x:f>IF(U1670="Won",L1670*(1-M1670),0)</x:f>
        <x:v>0</x:v>
      </x:c>
      <x:c r="W1670" s="22" t="n">
        <x:f>IF(U1670="Open",L1670*N1670,0)</x:f>
        <x:v>0</x:v>
      </x:c>
      <x:c r="X1670" s="26" t="n">
        <x:f>IF(U1670="Open","",IFERROR(K1670-B1670,""))</x:f>
        <x:v>57</x:v>
      </x:c>
      <x:c r="Y1670" s="26" t="n">
        <x:f>IF(U1670="Open",Lookups!$B$2-B1670,X1670)</x:f>
        <x:v>57</x:v>
      </x:c>
      <x:c r="Z1670" t="str">
        <x:f>IF(AND(U1670="Open",Y1670&gt;30),"STALE","OK")</x:f>
        <x:v>OK</x:v>
      </x:c>
      <x:c r="AA1670" t="str">
        <x:f>TEXT(B1670,"yyyy-mm")</x:f>
        <x:v>2025-01</x:v>
      </x:c>
      <x:c r="AB1670" t="str">
        <x:f>IF(K1670="","",TEXT(K1670,"yyyy-mm"))</x:f>
        <x:v>2025-03</x:v>
      </x:c>
      <x:c r="AC1670" t="str">
        <x:f>"Q"&amp;ROUNDUP(MONTH(B1670)/3,0)&amp;"-"&amp;YEAR(B1670)</x:f>
        <x:v>Q1-2025</x:v>
      </x:c>
      <x:c r="AD1670" s="26" t="n">
        <x:f>MIN(100,IF(H1670="Enterprise",30,IF(H1670="Mid-Market",22,14))+IF(T1670="Enterprise",25,IF(T1670="Mid-Market",18,10))+IF(Q1670="Referral",25,IF(Q1670="Organic Search",20,IF(Q1670="Email",18,14)))+IF(G1670="Technology",10,5))</x:f>
        <x:v>66</x:v>
      </x:c>
      <x:c r="AE1670" t="str">
        <x:f>IF(U1670&lt;&gt;"Open",U1670,IF(N1670&gt;=0.8,"Commit",IF(N1670&gt;=0.5,"Best Case","Pipeline")))</x:f>
        <x:v>Lost</x:v>
      </x:c>
    </x:row>
    <x:row r="1671">
      <x:c r="A1671" t="str">
        <x:v>L01670</x:v>
      </x:c>
      <x:c r="B1671" s="10" t="n">
        <x:v>45762</x:v>
      </x:c>
      <x:c r="C1671" t="str">
        <x:v>Chi Le</x:v>
      </x:c>
      <x:c r="D1671" t="str">
        <x:v>South</x:v>
      </x:c>
      <x:c r="E1671" t="str">
        <x:v>Webinar</x:v>
      </x:c>
      <x:c r="F1671" t="str">
        <x:v>CS-CLOUD</x:v>
      </x:c>
      <x:c r="G1671" t="str">
        <x:v>Retail</x:v>
      </x:c>
      <x:c r="H1671" t="str">
        <x:v>SMB</x:v>
      </x:c>
      <x:c r="I1671" t="str">
        <x:v>Negotiation</x:v>
      </x:c>
      <x:c r="J1671" s="10" t="n">
        <x:v>46030</x:v>
      </x:c>
      <x:c r="K1671" s="10"/>
      <x:c r="L1671" s="22" t="n">
        <x:v>25000</x:v>
      </x:c>
      <x:c r="M1671" s="24" t="n">
        <x:v>0.05</x:v>
      </x:c>
      <x:c r="N1671" s="24" t="n">
        <x:v>0.85</x:v>
      </x:c>
      <x:c r="O1671" t="str"/>
      <x:c r="P1671" t="n">
        <x:v>5</x:v>
      </x:c>
      <x:c r="Q1671" t="str">
        <x:f>IFERROR(XLOOKUP(E1671,Lookups!$A$5:$A$24,Lookups!$B$5:$B$24),"Other")</x:f>
        <x:v>Webinar</x:v>
      </x:c>
      <x:c r="R1671" t="str">
        <x:f>IFERROR(XLOOKUP(F1671,Lookups!$D$5:$D$10,Lookups!$E$5:$E$10),"Unknown Product")</x:f>
        <x:v>Service Cloud</x:v>
      </x:c>
      <x:c r="S1671" t="str">
        <x:f>IFERROR(XLOOKUP(F1671,Lookups!$D$5:$D$10,Lookups!$F$5:$F$10),"Unknown")</x:f>
        <x:v>Customer Service</x:v>
      </x:c>
      <x:c r="T1671" t="str">
        <x:f>IF(L1671&gt;=50000,"Enterprise",IF(L1671&gt;=20000,"Mid-Market","SMB"))</x:f>
        <x:v>Mid-Market</x:v>
      </x:c>
      <x:c r="U1671" t="str">
        <x:f>IF(I1671="Closed Won","Won",IF(I1671="Closed Lost","Lost","Open"))</x:f>
        <x:v>Open</x:v>
      </x:c>
      <x:c r="V1671" s="22" t="n">
        <x:f>IF(U1671="Won",L1671*(1-M1671),0)</x:f>
        <x:v>0</x:v>
      </x:c>
      <x:c r="W1671" s="22" t="n">
        <x:f>IF(U1671="Open",L1671*N1671,0)</x:f>
        <x:v>21250</x:v>
      </x:c>
      <x:c r="X1671" s="26" t="str">
        <x:f>IF(U1671="Open","",IFERROR(K1671-B1671,""))</x:f>
      </x:c>
      <x:c r="Y1671" s="26" t="n">
        <x:f>IF(U1671="Open",Lookups!$B$2-B1671,X1671)</x:f>
        <x:v>504</x:v>
      </x:c>
      <x:c r="Z1671" t="str">
        <x:f>IF(AND(U1671="Open",Y1671&gt;30),"STALE","OK")</x:f>
        <x:v>STALE</x:v>
      </x:c>
      <x:c r="AA1671" t="str">
        <x:f>TEXT(B1671,"yyyy-mm")</x:f>
        <x:v>2025-04</x:v>
      </x:c>
      <x:c r="AB1671" t="str">
        <x:f>IF(K1671="","",TEXT(K1671,"yyyy-mm"))</x:f>
      </x:c>
      <x:c r="AC1671" t="str">
        <x:f>"Q"&amp;ROUNDUP(MONTH(B1671)/3,0)&amp;"-"&amp;YEAR(B1671)</x:f>
        <x:v>Q2-2025</x:v>
      </x:c>
      <x:c r="AD1671" s="26" t="n">
        <x:f>MIN(100,IF(H1671="Enterprise",30,IF(H1671="Mid-Market",22,14))+IF(T1671="Enterprise",25,IF(T1671="Mid-Market",18,10))+IF(Q1671="Referral",25,IF(Q1671="Organic Search",20,IF(Q1671="Email",18,14)))+IF(G1671="Technology",10,5))</x:f>
        <x:v>51</x:v>
      </x:c>
      <x:c r="AE1671" t="str">
        <x:f>IF(U1671&lt;&gt;"Open",U1671,IF(N1671&gt;=0.8,"Commit",IF(N1671&gt;=0.5,"Best Case","Pipeline")))</x:f>
        <x:v>Commit</x:v>
      </x:c>
    </x:row>
    <x:row r="1672">
      <x:c r="A1672" t="str">
        <x:v>L01671</x:v>
      </x:c>
      <x:c r="B1672" s="10" t="n">
        <x:v>45919</x:v>
      </x:c>
      <x:c r="C1672" t="str">
        <x:v>Tuan Bui</x:v>
      </x:c>
      <x:c r="D1672" t="str">
        <x:v>Central</x:v>
      </x:c>
      <x:c r="E1672" t="str">
        <x:v>LinkedIn Ads</x:v>
      </x:c>
      <x:c r="F1672" t="str">
        <x:v>CRM-PRO</x:v>
      </x:c>
      <x:c r="G1672" t="str">
        <x:v>Financial Services</x:v>
      </x:c>
      <x:c r="H1672" t="str">
        <x:v>SMB</x:v>
      </x:c>
      <x:c r="I1672" t="str">
        <x:v>Closed Won</x:v>
      </x:c>
      <x:c r="J1672" s="10" t="n">
        <x:v>45931</x:v>
      </x:c>
      <x:c r="K1672" s="10" t="n">
        <x:v>45931</x:v>
      </x:c>
      <x:c r="L1672" s="22" t="n">
        <x:v>18700</x:v>
      </x:c>
      <x:c r="M1672" s="24" t="n">
        <x:v>0</x:v>
      </x:c>
      <x:c r="N1672" s="24" t="n">
        <x:v>1</x:v>
      </x:c>
      <x:c r="O1672" t="str"/>
      <x:c r="P1672" t="n">
        <x:v>6</x:v>
      </x:c>
      <x:c r="Q1672" t="str">
        <x:f>IFERROR(XLOOKUP(E1672,Lookups!$A$5:$A$24,Lookups!$B$5:$B$24),"Other")</x:f>
        <x:v>LinkedIn</x:v>
      </x:c>
      <x:c r="R1672" t="str">
        <x:f>IFERROR(XLOOKUP(F1672,Lookups!$D$5:$D$10,Lookups!$E$5:$E$10),"Unknown Product")</x:f>
        <x:v>NexaCRM Pro</x:v>
      </x:c>
      <x:c r="S1672" t="str">
        <x:f>IFERROR(XLOOKUP(F1672,Lookups!$D$5:$D$10,Lookups!$F$5:$F$10),"Unknown")</x:f>
        <x:v>CRM</x:v>
      </x:c>
      <x:c r="T1672" t="str">
        <x:f>IF(L1672&gt;=50000,"Enterprise",IF(L1672&gt;=20000,"Mid-Market","SMB"))</x:f>
        <x:v>SMB</x:v>
      </x:c>
      <x:c r="U1672" t="str">
        <x:f>IF(I1672="Closed Won","Won",IF(I1672="Closed Lost","Lost","Open"))</x:f>
        <x:v>Won</x:v>
      </x:c>
      <x:c r="V1672" s="22" t="n">
        <x:f>IF(U1672="Won",L1672*(1-M1672),0)</x:f>
        <x:v>18700</x:v>
      </x:c>
      <x:c r="W1672" s="22" t="n">
        <x:f>IF(U1672="Open",L1672*N1672,0)</x:f>
        <x:v>0</x:v>
      </x:c>
      <x:c r="X1672" s="26" t="n">
        <x:f>IF(U1672="Open","",IFERROR(K1672-B1672,""))</x:f>
        <x:v>12</x:v>
      </x:c>
      <x:c r="Y1672" s="26" t="n">
        <x:f>IF(U1672="Open",Lookups!$B$2-B1672,X1672)</x:f>
        <x:v>12</x:v>
      </x:c>
      <x:c r="Z1672" t="str">
        <x:f>IF(AND(U1672="Open",Y1672&gt;30),"STALE","OK")</x:f>
        <x:v>OK</x:v>
      </x:c>
      <x:c r="AA1672" t="str">
        <x:f>TEXT(B1672,"yyyy-mm")</x:f>
        <x:v>2025-09</x:v>
      </x:c>
      <x:c r="AB1672" t="str">
        <x:f>IF(K1672="","",TEXT(K1672,"yyyy-mm"))</x:f>
        <x:v>2025-10</x:v>
      </x:c>
      <x:c r="AC1672" t="str">
        <x:f>"Q"&amp;ROUNDUP(MONTH(B1672)/3,0)&amp;"-"&amp;YEAR(B1672)</x:f>
        <x:v>Q3-2025</x:v>
      </x:c>
      <x:c r="AD1672" s="26" t="n">
        <x:f>MIN(100,IF(H1672="Enterprise",30,IF(H1672="Mid-Market",22,14))+IF(T1672="Enterprise",25,IF(T1672="Mid-Market",18,10))+IF(Q1672="Referral",25,IF(Q1672="Organic Search",20,IF(Q1672="Email",18,14)))+IF(G1672="Technology",10,5))</x:f>
        <x:v>43</x:v>
      </x:c>
      <x:c r="AE1672" t="str">
        <x:f>IF(U1672&lt;&gt;"Open",U1672,IF(N1672&gt;=0.8,"Commit",IF(N1672&gt;=0.5,"Best Case","Pipeline")))</x:f>
        <x:v>Won</x:v>
      </x:c>
    </x:row>
    <x:row r="1673">
      <x:c r="A1673" t="str">
        <x:v>L01672</x:v>
      </x:c>
      <x:c r="B1673" s="10" t="n">
        <x:v>45719</x:v>
      </x:c>
      <x:c r="C1673" t="str">
        <x:v>Ha Vo</x:v>
      </x:c>
      <x:c r="D1673" t="str">
        <x:v>North</x:v>
      </x:c>
      <x:c r="E1673" t="str">
        <x:v>virtual event</x:v>
      </x:c>
      <x:c r="F1673" t="str">
        <x:v>MKT-AUTO</x:v>
      </x:c>
      <x:c r="G1673" t="str">
        <x:v>Education</x:v>
      </x:c>
      <x:c r="H1673" t="str">
        <x:v>SMB</x:v>
      </x:c>
      <x:c r="I1673" t="str">
        <x:v>Closed Lost</x:v>
      </x:c>
      <x:c r="J1673" s="10" t="n">
        <x:v>45762</x:v>
      </x:c>
      <x:c r="K1673" s="10" t="n">
        <x:v>45762</x:v>
      </x:c>
      <x:c r="L1673" s="22" t="n">
        <x:v>9800</x:v>
      </x:c>
      <x:c r="M1673" s="24" t="n">
        <x:v>0</x:v>
      </x:c>
      <x:c r="N1673" s="24" t="n">
        <x:v>0</x:v>
      </x:c>
      <x:c r="O1673" t="str">
        <x:v>No Decision</x:v>
      </x:c>
      <x:c r="P1673" t="n">
        <x:v>2</x:v>
      </x:c>
      <x:c r="Q1673" t="str">
        <x:f>IFERROR(XLOOKUP(E1673,Lookups!$A$5:$A$24,Lookups!$B$5:$B$24),"Other")</x:f>
        <x:v>Webinar</x:v>
      </x:c>
      <x:c r="R1673" t="str">
        <x:f>IFERROR(XLOOKUP(F1673,Lookups!$D$5:$D$10,Lookups!$E$5:$E$10),"Unknown Product")</x:f>
        <x:v>Marketing Automation</x:v>
      </x:c>
      <x:c r="S1673" t="str">
        <x:f>IFERROR(XLOOKUP(F1673,Lookups!$D$5:$D$10,Lookups!$F$5:$F$10),"Unknown")</x:f>
        <x:v>Marketing</x:v>
      </x:c>
      <x:c r="T1673" t="str">
        <x:f>IF(L1673&gt;=50000,"Enterprise",IF(L1673&gt;=20000,"Mid-Market","SMB"))</x:f>
        <x:v>SMB</x:v>
      </x:c>
      <x:c r="U1673" t="str">
        <x:f>IF(I1673="Closed Won","Won",IF(I1673="Closed Lost","Lost","Open"))</x:f>
        <x:v>Lost</x:v>
      </x:c>
      <x:c r="V1673" s="22" t="n">
        <x:f>IF(U1673="Won",L1673*(1-M1673),0)</x:f>
        <x:v>0</x:v>
      </x:c>
      <x:c r="W1673" s="22" t="n">
        <x:f>IF(U1673="Open",L1673*N1673,0)</x:f>
        <x:v>0</x:v>
      </x:c>
      <x:c r="X1673" s="26" t="n">
        <x:f>IF(U1673="Open","",IFERROR(K1673-B1673,""))</x:f>
        <x:v>43</x:v>
      </x:c>
      <x:c r="Y1673" s="26" t="n">
        <x:f>IF(U1673="Open",Lookups!$B$2-B1673,X1673)</x:f>
        <x:v>43</x:v>
      </x:c>
      <x:c r="Z1673" t="str">
        <x:f>IF(AND(U1673="Open",Y1673&gt;30),"STALE","OK")</x:f>
        <x:v>OK</x:v>
      </x:c>
      <x:c r="AA1673" t="str">
        <x:f>TEXT(B1673,"yyyy-mm")</x:f>
        <x:v>2025-03</x:v>
      </x:c>
      <x:c r="AB1673" t="str">
        <x:f>IF(K1673="","",TEXT(K1673,"yyyy-mm"))</x:f>
        <x:v>2025-04</x:v>
      </x:c>
      <x:c r="AC1673" t="str">
        <x:f>"Q"&amp;ROUNDUP(MONTH(B1673)/3,0)&amp;"-"&amp;YEAR(B1673)</x:f>
        <x:v>Q1-2025</x:v>
      </x:c>
      <x:c r="AD1673" s="26" t="n">
        <x:f>MIN(100,IF(H1673="Enterprise",30,IF(H1673="Mid-Market",22,14))+IF(T1673="Enterprise",25,IF(T1673="Mid-Market",18,10))+IF(Q1673="Referral",25,IF(Q1673="Organic Search",20,IF(Q1673="Email",18,14)))+IF(G1673="Technology",10,5))</x:f>
        <x:v>43</x:v>
      </x:c>
      <x:c r="AE1673" t="str">
        <x:f>IF(U1673&lt;&gt;"Open",U1673,IF(N1673&gt;=0.8,"Commit",IF(N1673&gt;=0.5,"Best Case","Pipeline")))</x:f>
        <x:v>Lost</x:v>
      </x:c>
    </x:row>
    <x:row r="1674">
      <x:c r="A1674" t="str">
        <x:v>L01673</x:v>
      </x:c>
      <x:c r="B1674" s="10" t="n">
        <x:v>45934</x:v>
      </x:c>
      <x:c r="C1674" t="str">
        <x:v>Quynh Vu</x:v>
      </x:c>
      <x:c r="D1674" t="str">
        <x:v>North</x:v>
      </x:c>
      <x:c r="E1674" t="str">
        <x:v>LinkedIn Ads</x:v>
      </x:c>
      <x:c r="F1674" t="str">
        <x:v>BI-PLUS</x:v>
      </x:c>
      <x:c r="G1674" t="str">
        <x:v>Professional Services</x:v>
      </x:c>
      <x:c r="H1674" t="str">
        <x:v>Enterprise</x:v>
      </x:c>
      <x:c r="I1674" t="str">
        <x:v>Closed Lost</x:v>
      </x:c>
      <x:c r="J1674" s="10" t="n">
        <x:v>45984</x:v>
      </x:c>
      <x:c r="K1674" s="10" t="n">
        <x:v>45984</x:v>
      </x:c>
      <x:c r="L1674" s="22" t="n">
        <x:v>91100</x:v>
      </x:c>
      <x:c r="M1674" s="24" t="n">
        <x:v>0</x:v>
      </x:c>
      <x:c r="N1674" s="24" t="n">
        <x:v>0</x:v>
      </x:c>
      <x:c r="O1674" t="str">
        <x:v>Competitor</x:v>
      </x:c>
      <x:c r="P1674" t="n">
        <x:v>2</x:v>
      </x:c>
      <x:c r="Q1674" t="str">
        <x:f>IFERROR(XLOOKUP(E1674,Lookups!$A$5:$A$24,Lookups!$B$5:$B$24),"Other")</x:f>
        <x:v>LinkedIn</x:v>
      </x:c>
      <x:c r="R1674" t="str">
        <x:f>IFERROR(XLOOKUP(F1674,Lookups!$D$5:$D$10,Lookups!$E$5:$E$10),"Unknown Product")</x:f>
        <x:v>Analytics Plus</x:v>
      </x:c>
      <x:c r="S1674" t="str">
        <x:f>IFERROR(XLOOKUP(F1674,Lookups!$D$5:$D$10,Lookups!$F$5:$F$10),"Unknown")</x:f>
        <x:v>Analytics</x:v>
      </x:c>
      <x:c r="T1674" t="str">
        <x:f>IF(L1674&gt;=50000,"Enterprise",IF(L1674&gt;=20000,"Mid-Market","SMB"))</x:f>
        <x:v>Enterprise</x:v>
      </x:c>
      <x:c r="U1674" t="str">
        <x:f>IF(I1674="Closed Won","Won",IF(I1674="Closed Lost","Lost","Open"))</x:f>
        <x:v>Lost</x:v>
      </x:c>
      <x:c r="V1674" s="22" t="n">
        <x:f>IF(U1674="Won",L1674*(1-M1674),0)</x:f>
        <x:v>0</x:v>
      </x:c>
      <x:c r="W1674" s="22" t="n">
        <x:f>IF(U1674="Open",L1674*N1674,0)</x:f>
        <x:v>0</x:v>
      </x:c>
      <x:c r="X1674" s="26" t="n">
        <x:f>IF(U1674="Open","",IFERROR(K1674-B1674,""))</x:f>
        <x:v>50</x:v>
      </x:c>
      <x:c r="Y1674" s="26" t="n">
        <x:f>IF(U1674="Open",Lookups!$B$2-B1674,X1674)</x:f>
        <x:v>50</x:v>
      </x:c>
      <x:c r="Z1674" t="str">
        <x:f>IF(AND(U1674="Open",Y1674&gt;30),"STALE","OK")</x:f>
        <x:v>OK</x:v>
      </x:c>
      <x:c r="AA1674" t="str">
        <x:f>TEXT(B1674,"yyyy-mm")</x:f>
        <x:v>2025-10</x:v>
      </x:c>
      <x:c r="AB1674" t="str">
        <x:f>IF(K1674="","",TEXT(K1674,"yyyy-mm"))</x:f>
        <x:v>2025-11</x:v>
      </x:c>
      <x:c r="AC1674" t="str">
        <x:f>"Q"&amp;ROUNDUP(MONTH(B1674)/3,0)&amp;"-"&amp;YEAR(B1674)</x:f>
        <x:v>Q4-2025</x:v>
      </x:c>
      <x:c r="AD1674" s="26" t="n">
        <x:f>MIN(100,IF(H1674="Enterprise",30,IF(H1674="Mid-Market",22,14))+IF(T1674="Enterprise",25,IF(T1674="Mid-Market",18,10))+IF(Q1674="Referral",25,IF(Q1674="Organic Search",20,IF(Q1674="Email",18,14)))+IF(G1674="Technology",10,5))</x:f>
        <x:v>74</x:v>
      </x:c>
      <x:c r="AE1674" t="str">
        <x:f>IF(U1674&lt;&gt;"Open",U1674,IF(N1674&gt;=0.8,"Commit",IF(N1674&gt;=0.5,"Best Case","Pipeline")))</x:f>
        <x:v>Lost</x:v>
      </x:c>
    </x:row>
    <x:row r="1675">
      <x:c r="A1675" t="str">
        <x:v>L01674</x:v>
      </x:c>
      <x:c r="B1675" s="10" t="n">
        <x:v>46051</x:v>
      </x:c>
      <x:c r="C1675" t="str">
        <x:v>Quynh Vu</x:v>
      </x:c>
      <x:c r="D1675" t="str">
        <x:v>North</x:v>
      </x:c>
      <x:c r="E1675" t="str">
        <x:v>Google Ads</x:v>
      </x:c>
      <x:c r="F1675" t="str">
        <x:v>BI-PLUS</x:v>
      </x:c>
      <x:c r="G1675" t="str">
        <x:v>Financial Services</x:v>
      </x:c>
      <x:c r="H1675" t="str">
        <x:v>Mid-Market</x:v>
      </x:c>
      <x:c r="I1675" t="str">
        <x:v>Closed Lost</x:v>
      </x:c>
      <x:c r="J1675" s="10" t="n">
        <x:v>46121</x:v>
      </x:c>
      <x:c r="K1675" s="10" t="n">
        <x:v>46121</x:v>
      </x:c>
      <x:c r="L1675" s="22" t="n">
        <x:v>41600</x:v>
      </x:c>
      <x:c r="M1675" s="24" t="n">
        <x:v>0</x:v>
      </x:c>
      <x:c r="N1675" s="24" t="n">
        <x:v>0</x:v>
      </x:c>
      <x:c r="O1675" t="str">
        <x:v>Competitor</x:v>
      </x:c>
      <x:c r="P1675" t="n">
        <x:v>4</x:v>
      </x:c>
      <x:c r="Q1675" t="str">
        <x:f>IFERROR(XLOOKUP(E1675,Lookups!$A$5:$A$24,Lookups!$B$5:$B$24),"Other")</x:f>
        <x:v>Paid Search</x:v>
      </x:c>
      <x:c r="R1675" t="str">
        <x:f>IFERROR(XLOOKUP(F1675,Lookups!$D$5:$D$10,Lookups!$E$5:$E$10),"Unknown Product")</x:f>
        <x:v>Analytics Plus</x:v>
      </x:c>
      <x:c r="S1675" t="str">
        <x:f>IFERROR(XLOOKUP(F1675,Lookups!$D$5:$D$10,Lookups!$F$5:$F$10),"Unknown")</x:f>
        <x:v>Analytics</x:v>
      </x:c>
      <x:c r="T1675" t="str">
        <x:f>IF(L1675&gt;=50000,"Enterprise",IF(L1675&gt;=20000,"Mid-Market","SMB"))</x:f>
        <x:v>Mid-Market</x:v>
      </x:c>
      <x:c r="U1675" t="str">
        <x:f>IF(I1675="Closed Won","Won",IF(I1675="Closed Lost","Lost","Open"))</x:f>
        <x:v>Lost</x:v>
      </x:c>
      <x:c r="V1675" s="22" t="n">
        <x:f>IF(U1675="Won",L1675*(1-M1675),0)</x:f>
        <x:v>0</x:v>
      </x:c>
      <x:c r="W1675" s="22" t="n">
        <x:f>IF(U1675="Open",L1675*N1675,0)</x:f>
        <x:v>0</x:v>
      </x:c>
      <x:c r="X1675" s="26" t="n">
        <x:f>IF(U1675="Open","",IFERROR(K1675-B1675,""))</x:f>
        <x:v>70</x:v>
      </x:c>
      <x:c r="Y1675" s="26" t="n">
        <x:f>IF(U1675="Open",Lookups!$B$2-B1675,X1675)</x:f>
        <x:v>70</x:v>
      </x:c>
      <x:c r="Z1675" t="str">
        <x:f>IF(AND(U1675="Open",Y1675&gt;30),"STALE","OK")</x:f>
        <x:v>OK</x:v>
      </x:c>
      <x:c r="AA1675" t="str">
        <x:f>TEXT(B1675,"yyyy-mm")</x:f>
        <x:v>2026-01</x:v>
      </x:c>
      <x:c r="AB1675" t="str">
        <x:f>IF(K1675="","",TEXT(K1675,"yyyy-mm"))</x:f>
        <x:v>2026-04</x:v>
      </x:c>
      <x:c r="AC1675" t="str">
        <x:f>"Q"&amp;ROUNDUP(MONTH(B1675)/3,0)&amp;"-"&amp;YEAR(B1675)</x:f>
        <x:v>Q1-2026</x:v>
      </x:c>
      <x:c r="AD1675" s="26" t="n">
        <x:f>MIN(100,IF(H1675="Enterprise",30,IF(H1675="Mid-Market",22,14))+IF(T1675="Enterprise",25,IF(T1675="Mid-Market",18,10))+IF(Q1675="Referral",25,IF(Q1675="Organic Search",20,IF(Q1675="Email",18,14)))+IF(G1675="Technology",10,5))</x:f>
        <x:v>59</x:v>
      </x:c>
      <x:c r="AE1675" t="str">
        <x:f>IF(U1675&lt;&gt;"Open",U1675,IF(N1675&gt;=0.8,"Commit",IF(N1675&gt;=0.5,"Best Case","Pipeline")))</x:f>
        <x:v>Lost</x:v>
      </x:c>
    </x:row>
    <x:row r="1676">
      <x:c r="A1676" t="str">
        <x:v>L01675</x:v>
      </x:c>
      <x:c r="B1676" s="10" t="n">
        <x:v>45754</x:v>
      </x:c>
      <x:c r="C1676" t="str">
        <x:v>Bao Tran</x:v>
      </x:c>
      <x:c r="D1676" t="str">
        <x:v>South</x:v>
      </x:c>
      <x:c r="E1676" t="str">
        <x:v>Unknown Event</x:v>
      </x:c>
      <x:c r="F1676" t="str">
        <x:v>BI-PLUS</x:v>
      </x:c>
      <x:c r="G1676" t="str">
        <x:v>Manufacturing</x:v>
      </x:c>
      <x:c r="H1676" t="str">
        <x:v>Mid-Market</x:v>
      </x:c>
      <x:c r="I1676" t="str">
        <x:v>Closed Lost</x:v>
      </x:c>
      <x:c r="J1676" s="10" t="n">
        <x:v>45784</x:v>
      </x:c>
      <x:c r="K1676" s="10" t="n">
        <x:v>45784</x:v>
      </x:c>
      <x:c r="L1676" s="22" t="n">
        <x:v>23500</x:v>
      </x:c>
      <x:c r="M1676" s="24" t="n">
        <x:v>0</x:v>
      </x:c>
      <x:c r="N1676" s="24" t="n">
        <x:v>0</x:v>
      </x:c>
      <x:c r="O1676" t="str">
        <x:v>Budget</x:v>
      </x:c>
      <x:c r="P1676" t="n">
        <x:v>4</x:v>
      </x:c>
      <x:c r="Q1676" t="str">
        <x:f>IFERROR(XLOOKUP(E1676,Lookups!$A$5:$A$24,Lookups!$B$5:$B$24),"Other")</x:f>
        <x:v>Other</x:v>
      </x:c>
      <x:c r="R1676" t="str">
        <x:f>IFERROR(XLOOKUP(F1676,Lookups!$D$5:$D$10,Lookups!$E$5:$E$10),"Unknown Product")</x:f>
        <x:v>Analytics Plus</x:v>
      </x:c>
      <x:c r="S1676" t="str">
        <x:f>IFERROR(XLOOKUP(F1676,Lookups!$D$5:$D$10,Lookups!$F$5:$F$10),"Unknown")</x:f>
        <x:v>Analytics</x:v>
      </x:c>
      <x:c r="T1676" t="str">
        <x:f>IF(L1676&gt;=50000,"Enterprise",IF(L1676&gt;=20000,"Mid-Market","SMB"))</x:f>
        <x:v>Mid-Market</x:v>
      </x:c>
      <x:c r="U1676" t="str">
        <x:f>IF(I1676="Closed Won","Won",IF(I1676="Closed Lost","Lost","Open"))</x:f>
        <x:v>Lost</x:v>
      </x:c>
      <x:c r="V1676" s="22" t="n">
        <x:f>IF(U1676="Won",L1676*(1-M1676),0)</x:f>
        <x:v>0</x:v>
      </x:c>
      <x:c r="W1676" s="22" t="n">
        <x:f>IF(U1676="Open",L1676*N1676,0)</x:f>
        <x:v>0</x:v>
      </x:c>
      <x:c r="X1676" s="26" t="n">
        <x:f>IF(U1676="Open","",IFERROR(K1676-B1676,""))</x:f>
        <x:v>30</x:v>
      </x:c>
      <x:c r="Y1676" s="26" t="n">
        <x:f>IF(U1676="Open",Lookups!$B$2-B1676,X1676)</x:f>
        <x:v>30</x:v>
      </x:c>
      <x:c r="Z1676" t="str">
        <x:f>IF(AND(U1676="Open",Y1676&gt;30),"STALE","OK")</x:f>
        <x:v>OK</x:v>
      </x:c>
      <x:c r="AA1676" t="str">
        <x:f>TEXT(B1676,"yyyy-mm")</x:f>
        <x:v>2025-04</x:v>
      </x:c>
      <x:c r="AB1676" t="str">
        <x:f>IF(K1676="","",TEXT(K1676,"yyyy-mm"))</x:f>
        <x:v>2025-05</x:v>
      </x:c>
      <x:c r="AC1676" t="str">
        <x:f>"Q"&amp;ROUNDUP(MONTH(B1676)/3,0)&amp;"-"&amp;YEAR(B1676)</x:f>
        <x:v>Q2-2025</x:v>
      </x:c>
      <x:c r="AD1676" s="26" t="n">
        <x:f>MIN(100,IF(H1676="Enterprise",30,IF(H1676="Mid-Market",22,14))+IF(T1676="Enterprise",25,IF(T1676="Mid-Market",18,10))+IF(Q1676="Referral",25,IF(Q1676="Organic Search",20,IF(Q1676="Email",18,14)))+IF(G1676="Technology",10,5))</x:f>
        <x:v>59</x:v>
      </x:c>
      <x:c r="AE1676" t="str">
        <x:f>IF(U1676&lt;&gt;"Open",U1676,IF(N1676&gt;=0.8,"Commit",IF(N1676&gt;=0.5,"Best Case","Pipeline")))</x:f>
        <x:v>Lost</x:v>
      </x:c>
    </x:row>
    <x:row r="1677">
      <x:c r="A1677" t="str">
        <x:v>L01676</x:v>
      </x:c>
      <x:c r="B1677" s="10" t="n">
        <x:v>46250</x:v>
      </x:c>
      <x:c r="C1677" t="str">
        <x:v>Chi Le</x:v>
      </x:c>
      <x:c r="D1677" t="str">
        <x:v>South</x:v>
      </x:c>
      <x:c r="E1677" t="str">
        <x:v>SDR Outreach</x:v>
      </x:c>
      <x:c r="F1677" t="str">
        <x:v>MKT-AUTO</x:v>
      </x:c>
      <x:c r="G1677" t="str">
        <x:v>Technology</x:v>
      </x:c>
      <x:c r="H1677" t="str">
        <x:v>SMB</x:v>
      </x:c>
      <x:c r="I1677" t="str">
        <x:v>Closed Lost</x:v>
      </x:c>
      <x:c r="J1677" s="10" t="n">
        <x:v>46266</x:v>
      </x:c>
      <x:c r="K1677" s="10" t="n">
        <x:v>46266</x:v>
      </x:c>
      <x:c r="L1677" s="22" t="n">
        <x:v>15000</x:v>
      </x:c>
      <x:c r="M1677" s="24" t="n">
        <x:v>0</x:v>
      </x:c>
      <x:c r="N1677" s="24" t="n">
        <x:v>0</x:v>
      </x:c>
      <x:c r="O1677" t="str">
        <x:v>No Decision</x:v>
      </x:c>
      <x:c r="P1677" t="n">
        <x:v>2</x:v>
      </x:c>
      <x:c r="Q1677" t="str">
        <x:f>IFERROR(XLOOKUP(E1677,Lookups!$A$5:$A$24,Lookups!$B$5:$B$24),"Other")</x:f>
        <x:v>Outbound</x:v>
      </x:c>
      <x:c r="R1677" t="str">
        <x:f>IFERROR(XLOOKUP(F1677,Lookups!$D$5:$D$10,Lookups!$E$5:$E$10),"Unknown Product")</x:f>
        <x:v>Marketing Automation</x:v>
      </x:c>
      <x:c r="S1677" t="str">
        <x:f>IFERROR(XLOOKUP(F1677,Lookups!$D$5:$D$10,Lookups!$F$5:$F$10),"Unknown")</x:f>
        <x:v>Marketing</x:v>
      </x:c>
      <x:c r="T1677" t="str">
        <x:f>IF(L1677&gt;=50000,"Enterprise",IF(L1677&gt;=20000,"Mid-Market","SMB"))</x:f>
        <x:v>SMB</x:v>
      </x:c>
      <x:c r="U1677" t="str">
        <x:f>IF(I1677="Closed Won","Won",IF(I1677="Closed Lost","Lost","Open"))</x:f>
        <x:v>Lost</x:v>
      </x:c>
      <x:c r="V1677" s="22" t="n">
        <x:f>IF(U1677="Won",L1677*(1-M1677),0)</x:f>
        <x:v>0</x:v>
      </x:c>
      <x:c r="W1677" s="22" t="n">
        <x:f>IF(U1677="Open",L1677*N1677,0)</x:f>
        <x:v>0</x:v>
      </x:c>
      <x:c r="X1677" s="26" t="n">
        <x:f>IF(U1677="Open","",IFERROR(K1677-B1677,""))</x:f>
        <x:v>16</x:v>
      </x:c>
      <x:c r="Y1677" s="26" t="n">
        <x:f>IF(U1677="Open",Lookups!$B$2-B1677,X1677)</x:f>
        <x:v>16</x:v>
      </x:c>
      <x:c r="Z1677" t="str">
        <x:f>IF(AND(U1677="Open",Y1677&gt;30),"STALE","OK")</x:f>
        <x:v>OK</x:v>
      </x:c>
      <x:c r="AA1677" t="str">
        <x:f>TEXT(B1677,"yyyy-mm")</x:f>
        <x:v>2026-08</x:v>
      </x:c>
      <x:c r="AB1677" t="str">
        <x:f>IF(K1677="","",TEXT(K1677,"yyyy-mm"))</x:f>
        <x:v>2026-09</x:v>
      </x:c>
      <x:c r="AC1677" t="str">
        <x:f>"Q"&amp;ROUNDUP(MONTH(B1677)/3,0)&amp;"-"&amp;YEAR(B1677)</x:f>
        <x:v>Q3-2026</x:v>
      </x:c>
      <x:c r="AD1677" s="26" t="n">
        <x:f>MIN(100,IF(H1677="Enterprise",30,IF(H1677="Mid-Market",22,14))+IF(T1677="Enterprise",25,IF(T1677="Mid-Market",18,10))+IF(Q1677="Referral",25,IF(Q1677="Organic Search",20,IF(Q1677="Email",18,14)))+IF(G1677="Technology",10,5))</x:f>
        <x:v>48</x:v>
      </x:c>
      <x:c r="AE1677" t="str">
        <x:f>IF(U1677&lt;&gt;"Open",U1677,IF(N1677&gt;=0.8,"Commit",IF(N1677&gt;=0.5,"Best Case","Pipeline")))</x:f>
        <x:v>Lost</x:v>
      </x:c>
    </x:row>
    <x:row r="1678">
      <x:c r="A1678" t="str">
        <x:v>L01677</x:v>
      </x:c>
      <x:c r="B1678" s="10" t="n">
        <x:v>45783</x:v>
      </x:c>
      <x:c r="C1678" t="str">
        <x:v>An Nguyen</x:v>
      </x:c>
      <x:c r="D1678" t="str">
        <x:v>South</x:v>
      </x:c>
      <x:c r="E1678" t="str">
        <x:v>Webinar</x:v>
      </x:c>
      <x:c r="F1678" t="str">
        <x:v>MKT-AUTO</x:v>
      </x:c>
      <x:c r="G1678" t="str">
        <x:v>Retail</x:v>
      </x:c>
      <x:c r="H1678" t="str">
        <x:v>SMB</x:v>
      </x:c>
      <x:c r="I1678" t="str">
        <x:v>Closed Lost</x:v>
      </x:c>
      <x:c r="J1678" s="10" t="n">
        <x:v>45807</x:v>
      </x:c>
      <x:c r="K1678" s="10" t="n">
        <x:v>45807</x:v>
      </x:c>
      <x:c r="L1678" s="22" t="n">
        <x:v>9900</x:v>
      </x:c>
      <x:c r="M1678" s="24" t="n">
        <x:v>0</x:v>
      </x:c>
      <x:c r="N1678" s="24" t="n">
        <x:v>0</x:v>
      </x:c>
      <x:c r="O1678" t="str">
        <x:v>Budget</x:v>
      </x:c>
      <x:c r="P1678" t="n">
        <x:v>4</x:v>
      </x:c>
      <x:c r="Q1678" t="str">
        <x:f>IFERROR(XLOOKUP(E1678,Lookups!$A$5:$A$24,Lookups!$B$5:$B$24),"Other")</x:f>
        <x:v>Webinar</x:v>
      </x:c>
      <x:c r="R1678" t="str">
        <x:f>IFERROR(XLOOKUP(F1678,Lookups!$D$5:$D$10,Lookups!$E$5:$E$10),"Unknown Product")</x:f>
        <x:v>Marketing Automation</x:v>
      </x:c>
      <x:c r="S1678" t="str">
        <x:f>IFERROR(XLOOKUP(F1678,Lookups!$D$5:$D$10,Lookups!$F$5:$F$10),"Unknown")</x:f>
        <x:v>Marketing</x:v>
      </x:c>
      <x:c r="T1678" t="str">
        <x:f>IF(L1678&gt;=50000,"Enterprise",IF(L1678&gt;=20000,"Mid-Market","SMB"))</x:f>
        <x:v>SMB</x:v>
      </x:c>
      <x:c r="U1678" t="str">
        <x:f>IF(I1678="Closed Won","Won",IF(I1678="Closed Lost","Lost","Open"))</x:f>
        <x:v>Lost</x:v>
      </x:c>
      <x:c r="V1678" s="22" t="n">
        <x:f>IF(U1678="Won",L1678*(1-M1678),0)</x:f>
        <x:v>0</x:v>
      </x:c>
      <x:c r="W1678" s="22" t="n">
        <x:f>IF(U1678="Open",L1678*N1678,0)</x:f>
        <x:v>0</x:v>
      </x:c>
      <x:c r="X1678" s="26" t="n">
        <x:f>IF(U1678="Open","",IFERROR(K1678-B1678,""))</x:f>
        <x:v>24</x:v>
      </x:c>
      <x:c r="Y1678" s="26" t="n">
        <x:f>IF(U1678="Open",Lookups!$B$2-B1678,X1678)</x:f>
        <x:v>24</x:v>
      </x:c>
      <x:c r="Z1678" t="str">
        <x:f>IF(AND(U1678="Open",Y1678&gt;30),"STALE","OK")</x:f>
        <x:v>OK</x:v>
      </x:c>
      <x:c r="AA1678" t="str">
        <x:f>TEXT(B1678,"yyyy-mm")</x:f>
        <x:v>2025-05</x:v>
      </x:c>
      <x:c r="AB1678" t="str">
        <x:f>IF(K1678="","",TEXT(K1678,"yyyy-mm"))</x:f>
        <x:v>2025-05</x:v>
      </x:c>
      <x:c r="AC1678" t="str">
        <x:f>"Q"&amp;ROUNDUP(MONTH(B1678)/3,0)&amp;"-"&amp;YEAR(B1678)</x:f>
        <x:v>Q2-2025</x:v>
      </x:c>
      <x:c r="AD1678" s="26" t="n">
        <x:f>MIN(100,IF(H1678="Enterprise",30,IF(H1678="Mid-Market",22,14))+IF(T1678="Enterprise",25,IF(T1678="Mid-Market",18,10))+IF(Q1678="Referral",25,IF(Q1678="Organic Search",20,IF(Q1678="Email",18,14)))+IF(G1678="Technology",10,5))</x:f>
        <x:v>43</x:v>
      </x:c>
      <x:c r="AE1678" t="str">
        <x:f>IF(U1678&lt;&gt;"Open",U1678,IF(N1678&gt;=0.8,"Commit",IF(N1678&gt;=0.5,"Best Case","Pipeline")))</x:f>
        <x:v>Lost</x:v>
      </x:c>
    </x:row>
    <x:row r="1679">
      <x:c r="A1679" t="str">
        <x:v>L01678</x:v>
      </x:c>
      <x:c r="B1679" s="10" t="n">
        <x:v>45809</x:v>
      </x:c>
      <x:c r="C1679" t="str">
        <x:v>Duy Pham</x:v>
      </x:c>
      <x:c r="D1679" t="str">
        <x:v>South</x:v>
      </x:c>
      <x:c r="E1679" t="str">
        <x:v>Google Ads</x:v>
      </x:c>
      <x:c r="F1679" t="str">
        <x:v>CRM-CORE</x:v>
      </x:c>
      <x:c r="G1679" t="str">
        <x:v>Professional Services</x:v>
      </x:c>
      <x:c r="H1679" t="str">
        <x:v>Mid-Market</x:v>
      </x:c>
      <x:c r="I1679" t="str">
        <x:v>Negotiation</x:v>
      </x:c>
      <x:c r="J1679" s="10" t="n">
        <x:v>46089</x:v>
      </x:c>
      <x:c r="K1679" s="10"/>
      <x:c r="L1679" s="22" t="n">
        <x:v>13100</x:v>
      </x:c>
      <x:c r="M1679" s="24" t="n">
        <x:v>0.05</x:v>
      </x:c>
      <x:c r="N1679" s="24" t="n">
        <x:v>0.85</x:v>
      </x:c>
      <x:c r="O1679" t="str"/>
      <x:c r="P1679" t="n">
        <x:v>5</x:v>
      </x:c>
      <x:c r="Q1679" t="str">
        <x:f>IFERROR(XLOOKUP(E1679,Lookups!$A$5:$A$24,Lookups!$B$5:$B$24),"Other")</x:f>
        <x:v>Paid Search</x:v>
      </x:c>
      <x:c r="R1679" t="str">
        <x:f>IFERROR(XLOOKUP(F1679,Lookups!$D$5:$D$10,Lookups!$E$5:$E$10),"Unknown Product")</x:f>
        <x:v>NexaCRM Core</x:v>
      </x:c>
      <x:c r="S1679" t="str">
        <x:f>IFERROR(XLOOKUP(F1679,Lookups!$D$5:$D$10,Lookups!$F$5:$F$10),"Unknown")</x:f>
        <x:v>CRM</x:v>
      </x:c>
      <x:c r="T1679" t="str">
        <x:f>IF(L1679&gt;=50000,"Enterprise",IF(L1679&gt;=20000,"Mid-Market","SMB"))</x:f>
        <x:v>SMB</x:v>
      </x:c>
      <x:c r="U1679" t="str">
        <x:f>IF(I1679="Closed Won","Won",IF(I1679="Closed Lost","Lost","Open"))</x:f>
        <x:v>Open</x:v>
      </x:c>
      <x:c r="V1679" s="22" t="n">
        <x:f>IF(U1679="Won",L1679*(1-M1679),0)</x:f>
        <x:v>0</x:v>
      </x:c>
      <x:c r="W1679" s="22" t="n">
        <x:f>IF(U1679="Open",L1679*N1679,0)</x:f>
        <x:v>11135</x:v>
      </x:c>
      <x:c r="X1679" s="26" t="str">
        <x:f>IF(U1679="Open","",IFERROR(K1679-B1679,""))</x:f>
      </x:c>
      <x:c r="Y1679" s="26" t="n">
        <x:f>IF(U1679="Open",Lookups!$B$2-B1679,X1679)</x:f>
        <x:v>457</x:v>
      </x:c>
      <x:c r="Z1679" t="str">
        <x:f>IF(AND(U1679="Open",Y1679&gt;30),"STALE","OK")</x:f>
        <x:v>STALE</x:v>
      </x:c>
      <x:c r="AA1679" t="str">
        <x:f>TEXT(B1679,"yyyy-mm")</x:f>
        <x:v>2025-06</x:v>
      </x:c>
      <x:c r="AB1679" t="str">
        <x:f>IF(K1679="","",TEXT(K1679,"yyyy-mm"))</x:f>
      </x:c>
      <x:c r="AC1679" t="str">
        <x:f>"Q"&amp;ROUNDUP(MONTH(B1679)/3,0)&amp;"-"&amp;YEAR(B1679)</x:f>
        <x:v>Q2-2025</x:v>
      </x:c>
      <x:c r="AD1679" s="26" t="n">
        <x:f>MIN(100,IF(H1679="Enterprise",30,IF(H1679="Mid-Market",22,14))+IF(T1679="Enterprise",25,IF(T1679="Mid-Market",18,10))+IF(Q1679="Referral",25,IF(Q1679="Organic Search",20,IF(Q1679="Email",18,14)))+IF(G1679="Technology",10,5))</x:f>
        <x:v>51</x:v>
      </x:c>
      <x:c r="AE1679" t="str">
        <x:f>IF(U1679&lt;&gt;"Open",U1679,IF(N1679&gt;=0.8,"Commit",IF(N1679&gt;=0.5,"Best Case","Pipeline")))</x:f>
        <x:v>Commit</x:v>
      </x:c>
    </x:row>
    <x:row r="1680">
      <x:c r="A1680" t="str">
        <x:v>L01679</x:v>
      </x:c>
      <x:c r="B1680" s="10" t="n">
        <x:v>46224</x:v>
      </x:c>
      <x:c r="C1680" t="str">
        <x:v>Bao Tran</x:v>
      </x:c>
      <x:c r="D1680" t="str">
        <x:v>South</x:v>
      </x:c>
      <x:c r="E1680" t="str">
        <x:v>google cpc</x:v>
      </x:c>
      <x:c r="F1680" t="str">
        <x:v>CRM-CORE</x:v>
      </x:c>
      <x:c r="G1680" t="str">
        <x:v>Retail</x:v>
      </x:c>
      <x:c r="H1680" t="str">
        <x:v>SMB</x:v>
      </x:c>
      <x:c r="I1680" t="str">
        <x:v>Qualified</x:v>
      </x:c>
      <x:c r="J1680" s="10" t="n">
        <x:v>46241</x:v>
      </x:c>
      <x:c r="K1680" s="10"/>
      <x:c r="L1680" s="22" t="n">
        <x:v>6500</x:v>
      </x:c>
      <x:c r="M1680" s="24" t="n">
        <x:v>0.03</x:v>
      </x:c>
      <x:c r="N1680" s="24" t="n">
        <x:v>0.2</x:v>
      </x:c>
      <x:c r="O1680" t="str"/>
      <x:c r="P1680" t="n">
        <x:v>2</x:v>
      </x:c>
      <x:c r="Q1680" t="str">
        <x:f>IFERROR(XLOOKUP(E1680,Lookups!$A$5:$A$24,Lookups!$B$5:$B$24),"Other")</x:f>
        <x:v>Paid Search</x:v>
      </x:c>
      <x:c r="R1680" t="str">
        <x:f>IFERROR(XLOOKUP(F1680,Lookups!$D$5:$D$10,Lookups!$E$5:$E$10),"Unknown Product")</x:f>
        <x:v>NexaCRM Core</x:v>
      </x:c>
      <x:c r="S1680" t="str">
        <x:f>IFERROR(XLOOKUP(F1680,Lookups!$D$5:$D$10,Lookups!$F$5:$F$10),"Unknown")</x:f>
        <x:v>CRM</x:v>
      </x:c>
      <x:c r="T1680" t="str">
        <x:f>IF(L1680&gt;=50000,"Enterprise",IF(L1680&gt;=20000,"Mid-Market","SMB"))</x:f>
        <x:v>SMB</x:v>
      </x:c>
      <x:c r="U1680" t="str">
        <x:f>IF(I1680="Closed Won","Won",IF(I1680="Closed Lost","Lost","Open"))</x:f>
        <x:v>Open</x:v>
      </x:c>
      <x:c r="V1680" s="22" t="n">
        <x:f>IF(U1680="Won",L1680*(1-M1680),0)</x:f>
        <x:v>0</x:v>
      </x:c>
      <x:c r="W1680" s="22" t="n">
        <x:f>IF(U1680="Open",L1680*N1680,0)</x:f>
        <x:v>1300</x:v>
      </x:c>
      <x:c r="X1680" s="26" t="str">
        <x:f>IF(U1680="Open","",IFERROR(K1680-B1680,""))</x:f>
      </x:c>
      <x:c r="Y1680" s="26" t="n">
        <x:f>IF(U1680="Open",Lookups!$B$2-B1680,X1680)</x:f>
        <x:v>42</x:v>
      </x:c>
      <x:c r="Z1680" t="str">
        <x:f>IF(AND(U1680="Open",Y1680&gt;30),"STALE","OK")</x:f>
        <x:v>STALE</x:v>
      </x:c>
      <x:c r="AA1680" t="str">
        <x:f>TEXT(B1680,"yyyy-mm")</x:f>
        <x:v>2026-07</x:v>
      </x:c>
      <x:c r="AB1680" t="str">
        <x:f>IF(K1680="","",TEXT(K1680,"yyyy-mm"))</x:f>
      </x:c>
      <x:c r="AC1680" t="str">
        <x:f>"Q"&amp;ROUNDUP(MONTH(B1680)/3,0)&amp;"-"&amp;YEAR(B1680)</x:f>
        <x:v>Q3-2026</x:v>
      </x:c>
      <x:c r="AD1680" s="26" t="n">
        <x:f>MIN(100,IF(H1680="Enterprise",30,IF(H1680="Mid-Market",22,14))+IF(T1680="Enterprise",25,IF(T1680="Mid-Market",18,10))+IF(Q1680="Referral",25,IF(Q1680="Organic Search",20,IF(Q1680="Email",18,14)))+IF(G1680="Technology",10,5))</x:f>
        <x:v>43</x:v>
      </x:c>
      <x:c r="AE1680" t="str">
        <x:f>IF(U1680&lt;&gt;"Open",U1680,IF(N1680&gt;=0.8,"Commit",IF(N1680&gt;=0.5,"Best Case","Pipeline")))</x:f>
        <x:v>Pipeline</x:v>
      </x:c>
    </x:row>
    <x:row r="1681">
      <x:c r="A1681" t="str">
        <x:v>L01680</x:v>
      </x:c>
      <x:c r="B1681" s="10" t="n">
        <x:v>45723</x:v>
      </x:c>
      <x:c r="C1681" t="str">
        <x:v>Quynh Vu</x:v>
      </x:c>
      <x:c r="D1681" t="str">
        <x:v>North</x:v>
      </x:c>
      <x:c r="E1681" t="str">
        <x:v>Google Ads</x:v>
      </x:c>
      <x:c r="F1681" t="str">
        <x:v>CRM-PRO</x:v>
      </x:c>
      <x:c r="G1681" t="str">
        <x:v>Manufacturing</x:v>
      </x:c>
      <x:c r="H1681" t="str">
        <x:v>SMB</x:v>
      </x:c>
      <x:c r="I1681" t="str">
        <x:v>Closed Won</x:v>
      </x:c>
      <x:c r="J1681" s="10" t="n">
        <x:v>45809</x:v>
      </x:c>
      <x:c r="K1681" s="10" t="n">
        <x:v>45809</x:v>
      </x:c>
      <x:c r="L1681" s="22" t="n">
        <x:v>21200</x:v>
      </x:c>
      <x:c r="M1681" s="24" t="n">
        <x:v>0.12</x:v>
      </x:c>
      <x:c r="N1681" s="24" t="n">
        <x:v>1</x:v>
      </x:c>
      <x:c r="O1681" t="str"/>
      <x:c r="P1681" t="n">
        <x:v>6</x:v>
      </x:c>
      <x:c r="Q1681" t="str">
        <x:f>IFERROR(XLOOKUP(E1681,Lookups!$A$5:$A$24,Lookups!$B$5:$B$24),"Other")</x:f>
        <x:v>Paid Search</x:v>
      </x:c>
      <x:c r="R1681" t="str">
        <x:f>IFERROR(XLOOKUP(F1681,Lookups!$D$5:$D$10,Lookups!$E$5:$E$10),"Unknown Product")</x:f>
        <x:v>NexaCRM Pro</x:v>
      </x:c>
      <x:c r="S1681" t="str">
        <x:f>IFERROR(XLOOKUP(F1681,Lookups!$D$5:$D$10,Lookups!$F$5:$F$10),"Unknown")</x:f>
        <x:v>CRM</x:v>
      </x:c>
      <x:c r="T1681" t="str">
        <x:f>IF(L1681&gt;=50000,"Enterprise",IF(L1681&gt;=20000,"Mid-Market","SMB"))</x:f>
        <x:v>Mid-Market</x:v>
      </x:c>
      <x:c r="U1681" t="str">
        <x:f>IF(I1681="Closed Won","Won",IF(I1681="Closed Lost","Lost","Open"))</x:f>
        <x:v>Won</x:v>
      </x:c>
      <x:c r="V1681" s="22" t="n">
        <x:f>IF(U1681="Won",L1681*(1-M1681),0)</x:f>
        <x:v>18656</x:v>
      </x:c>
      <x:c r="W1681" s="22" t="n">
        <x:f>IF(U1681="Open",L1681*N1681,0)</x:f>
        <x:v>0</x:v>
      </x:c>
      <x:c r="X1681" s="26" t="n">
        <x:f>IF(U1681="Open","",IFERROR(K1681-B1681,""))</x:f>
        <x:v>86</x:v>
      </x:c>
      <x:c r="Y1681" s="26" t="n">
        <x:f>IF(U1681="Open",Lookups!$B$2-B1681,X1681)</x:f>
        <x:v>86</x:v>
      </x:c>
      <x:c r="Z1681" t="str">
        <x:f>IF(AND(U1681="Open",Y1681&gt;30),"STALE","OK")</x:f>
        <x:v>OK</x:v>
      </x:c>
      <x:c r="AA1681" t="str">
        <x:f>TEXT(B1681,"yyyy-mm")</x:f>
        <x:v>2025-03</x:v>
      </x:c>
      <x:c r="AB1681" t="str">
        <x:f>IF(K1681="","",TEXT(K1681,"yyyy-mm"))</x:f>
        <x:v>2025-06</x:v>
      </x:c>
      <x:c r="AC1681" t="str">
        <x:f>"Q"&amp;ROUNDUP(MONTH(B1681)/3,0)&amp;"-"&amp;YEAR(B1681)</x:f>
        <x:v>Q1-2025</x:v>
      </x:c>
      <x:c r="AD1681" s="26" t="n">
        <x:f>MIN(100,IF(H1681="Enterprise",30,IF(H1681="Mid-Market",22,14))+IF(T1681="Enterprise",25,IF(T1681="Mid-Market",18,10))+IF(Q1681="Referral",25,IF(Q1681="Organic Search",20,IF(Q1681="Email",18,14)))+IF(G1681="Technology",10,5))</x:f>
        <x:v>51</x:v>
      </x:c>
      <x:c r="AE1681" t="str">
        <x:f>IF(U1681&lt;&gt;"Open",U1681,IF(N1681&gt;=0.8,"Commit",IF(N1681&gt;=0.5,"Best Case","Pipeline")))</x:f>
        <x:v>Won</x:v>
      </x:c>
    </x:row>
    <x:row r="1682">
      <x:c r="A1682" t="str">
        <x:v>L01681</x:v>
      </x:c>
      <x:c r="B1682" s="10" t="n">
        <x:v>45871</x:v>
      </x:c>
      <x:c r="C1682" t="str">
        <x:v>Bao Tran</x:v>
      </x:c>
      <x:c r="D1682" t="str">
        <x:v>South</x:v>
      </x:c>
      <x:c r="E1682" t="str">
        <x:v>SEO</x:v>
      </x:c>
      <x:c r="F1682" t="str">
        <x:v>MKT-AUTO</x:v>
      </x:c>
      <x:c r="G1682" t="str">
        <x:v>Technology</x:v>
      </x:c>
      <x:c r="H1682" t="str">
        <x:v>Mid-Market</x:v>
      </x:c>
      <x:c r="I1682" t="str">
        <x:v>Closed Lost</x:v>
      </x:c>
      <x:c r="J1682" s="10" t="n">
        <x:v>45931</x:v>
      </x:c>
      <x:c r="K1682" s="10" t="n">
        <x:v>45931</x:v>
      </x:c>
      <x:c r="L1682" s="22" t="n">
        <x:v>35600</x:v>
      </x:c>
      <x:c r="M1682" s="24" t="n">
        <x:v>0</x:v>
      </x:c>
      <x:c r="N1682" s="24" t="n">
        <x:v>0</x:v>
      </x:c>
      <x:c r="O1682" t="str">
        <x:v>Competitor</x:v>
      </x:c>
      <x:c r="P1682" t="n">
        <x:v>2</x:v>
      </x:c>
      <x:c r="Q1682" t="str">
        <x:f>IFERROR(XLOOKUP(E1682,Lookups!$A$5:$A$24,Lookups!$B$5:$B$24),"Other")</x:f>
        <x:v>Organic Search</x:v>
      </x:c>
      <x:c r="R1682" t="str">
        <x:f>IFERROR(XLOOKUP(F1682,Lookups!$D$5:$D$10,Lookups!$E$5:$E$10),"Unknown Product")</x:f>
        <x:v>Marketing Automation</x:v>
      </x:c>
      <x:c r="S1682" t="str">
        <x:f>IFERROR(XLOOKUP(F1682,Lookups!$D$5:$D$10,Lookups!$F$5:$F$10),"Unknown")</x:f>
        <x:v>Marketing</x:v>
      </x:c>
      <x:c r="T1682" t="str">
        <x:f>IF(L1682&gt;=50000,"Enterprise",IF(L1682&gt;=20000,"Mid-Market","SMB"))</x:f>
        <x:v>Mid-Market</x:v>
      </x:c>
      <x:c r="U1682" t="str">
        <x:f>IF(I1682="Closed Won","Won",IF(I1682="Closed Lost","Lost","Open"))</x:f>
        <x:v>Lost</x:v>
      </x:c>
      <x:c r="V1682" s="22" t="n">
        <x:f>IF(U1682="Won",L1682*(1-M1682),0)</x:f>
        <x:v>0</x:v>
      </x:c>
      <x:c r="W1682" s="22" t="n">
        <x:f>IF(U1682="Open",L1682*N1682,0)</x:f>
        <x:v>0</x:v>
      </x:c>
      <x:c r="X1682" s="26" t="n">
        <x:f>IF(U1682="Open","",IFERROR(K1682-B1682,""))</x:f>
        <x:v>60</x:v>
      </x:c>
      <x:c r="Y1682" s="26" t="n">
        <x:f>IF(U1682="Open",Lookups!$B$2-B1682,X1682)</x:f>
        <x:v>60</x:v>
      </x:c>
      <x:c r="Z1682" t="str">
        <x:f>IF(AND(U1682="Open",Y1682&gt;30),"STALE","OK")</x:f>
        <x:v>OK</x:v>
      </x:c>
      <x:c r="AA1682" t="str">
        <x:f>TEXT(B1682,"yyyy-mm")</x:f>
        <x:v>2025-08</x:v>
      </x:c>
      <x:c r="AB1682" t="str">
        <x:f>IF(K1682="","",TEXT(K1682,"yyyy-mm"))</x:f>
        <x:v>2025-10</x:v>
      </x:c>
      <x:c r="AC1682" t="str">
        <x:f>"Q"&amp;ROUNDUP(MONTH(B1682)/3,0)&amp;"-"&amp;YEAR(B1682)</x:f>
        <x:v>Q3-2025</x:v>
      </x:c>
      <x:c r="AD1682" s="26" t="n">
        <x:f>MIN(100,IF(H1682="Enterprise",30,IF(H1682="Mid-Market",22,14))+IF(T1682="Enterprise",25,IF(T1682="Mid-Market",18,10))+IF(Q1682="Referral",25,IF(Q1682="Organic Search",20,IF(Q1682="Email",18,14)))+IF(G1682="Technology",10,5))</x:f>
        <x:v>70</x:v>
      </x:c>
      <x:c r="AE1682" t="str">
        <x:f>IF(U1682&lt;&gt;"Open",U1682,IF(N1682&gt;=0.8,"Commit",IF(N1682&gt;=0.5,"Best Case","Pipeline")))</x:f>
        <x:v>Lost</x:v>
      </x:c>
    </x:row>
    <x:row r="1683">
      <x:c r="A1683" t="str">
        <x:v>L01682</x:v>
      </x:c>
      <x:c r="B1683" s="10" t="n">
        <x:v>45880</x:v>
      </x:c>
      <x:c r="C1683" t="str">
        <x:v>Bao Tran</x:v>
      </x:c>
      <x:c r="D1683" t="str">
        <x:v>South</x:v>
      </x:c>
      <x:c r="E1683" t="str">
        <x:v>Cold Email</x:v>
      </x:c>
      <x:c r="F1683" t="str">
        <x:v>CRM-CORE</x:v>
      </x:c>
      <x:c r="G1683" t="str">
        <x:v>Healthcare</x:v>
      </x:c>
      <x:c r="H1683" t="str">
        <x:v>Mid-Market</x:v>
      </x:c>
      <x:c r="I1683" t="str">
        <x:v>Negotiation</x:v>
      </x:c>
      <x:c r="J1683" s="10" t="n">
        <x:v>46040</x:v>
      </x:c>
      <x:c r="K1683" s="10"/>
      <x:c r="L1683" s="22" t="n">
        <x:v>16900</x:v>
      </x:c>
      <x:c r="M1683" s="24" t="n">
        <x:v>0.03</x:v>
      </x:c>
      <x:c r="N1683" s="24" t="n">
        <x:v>0.85</x:v>
      </x:c>
      <x:c r="O1683" t="str"/>
      <x:c r="P1683" t="n">
        <x:v>5</x:v>
      </x:c>
      <x:c r="Q1683" t="str">
        <x:f>IFERROR(XLOOKUP(E1683,Lookups!$A$5:$A$24,Lookups!$B$5:$B$24),"Other")</x:f>
        <x:v>Outbound</x:v>
      </x:c>
      <x:c r="R1683" t="str">
        <x:f>IFERROR(XLOOKUP(F1683,Lookups!$D$5:$D$10,Lookups!$E$5:$E$10),"Unknown Product")</x:f>
        <x:v>NexaCRM Core</x:v>
      </x:c>
      <x:c r="S1683" t="str">
        <x:f>IFERROR(XLOOKUP(F1683,Lookups!$D$5:$D$10,Lookups!$F$5:$F$10),"Unknown")</x:f>
        <x:v>CRM</x:v>
      </x:c>
      <x:c r="T1683" t="str">
        <x:f>IF(L1683&gt;=50000,"Enterprise",IF(L1683&gt;=20000,"Mid-Market","SMB"))</x:f>
        <x:v>SMB</x:v>
      </x:c>
      <x:c r="U1683" t="str">
        <x:f>IF(I1683="Closed Won","Won",IF(I1683="Closed Lost","Lost","Open"))</x:f>
        <x:v>Open</x:v>
      </x:c>
      <x:c r="V1683" s="22" t="n">
        <x:f>IF(U1683="Won",L1683*(1-M1683),0)</x:f>
        <x:v>0</x:v>
      </x:c>
      <x:c r="W1683" s="22" t="n">
        <x:f>IF(U1683="Open",L1683*N1683,0)</x:f>
        <x:v>14365</x:v>
      </x:c>
      <x:c r="X1683" s="26" t="str">
        <x:f>IF(U1683="Open","",IFERROR(K1683-B1683,""))</x:f>
      </x:c>
      <x:c r="Y1683" s="26" t="n">
        <x:f>IF(U1683="Open",Lookups!$B$2-B1683,X1683)</x:f>
        <x:v>386</x:v>
      </x:c>
      <x:c r="Z1683" t="str">
        <x:f>IF(AND(U1683="Open",Y1683&gt;30),"STALE","OK")</x:f>
        <x:v>STALE</x:v>
      </x:c>
      <x:c r="AA1683" t="str">
        <x:f>TEXT(B1683,"yyyy-mm")</x:f>
        <x:v>2025-08</x:v>
      </x:c>
      <x:c r="AB1683" t="str">
        <x:f>IF(K1683="","",TEXT(K1683,"yyyy-mm"))</x:f>
      </x:c>
      <x:c r="AC1683" t="str">
        <x:f>"Q"&amp;ROUNDUP(MONTH(B1683)/3,0)&amp;"-"&amp;YEAR(B1683)</x:f>
        <x:v>Q3-2025</x:v>
      </x:c>
      <x:c r="AD1683" s="26" t="n">
        <x:f>MIN(100,IF(H1683="Enterprise",30,IF(H1683="Mid-Market",22,14))+IF(T1683="Enterprise",25,IF(T1683="Mid-Market",18,10))+IF(Q1683="Referral",25,IF(Q1683="Organic Search",20,IF(Q1683="Email",18,14)))+IF(G1683="Technology",10,5))</x:f>
        <x:v>51</x:v>
      </x:c>
      <x:c r="AE1683" t="str">
        <x:f>IF(U1683&lt;&gt;"Open",U1683,IF(N1683&gt;=0.8,"Commit",IF(N1683&gt;=0.5,"Best Case","Pipeline")))</x:f>
        <x:v>Commit</x:v>
      </x:c>
    </x:row>
    <x:row r="1684">
      <x:c r="A1684" t="str">
        <x:v>L01683</x:v>
      </x:c>
      <x:c r="B1684" s="10" t="n">
        <x:v>45959</x:v>
      </x:c>
      <x:c r="C1684" t="str">
        <x:v>Chi Le</x:v>
      </x:c>
      <x:c r="D1684" t="str">
        <x:v>South</x:v>
      </x:c>
      <x:c r="E1684" t="str">
        <x:v>organic search</x:v>
      </x:c>
      <x:c r="F1684" t="str">
        <x:v>MKT-AUTO</x:v>
      </x:c>
      <x:c r="G1684" t="str">
        <x:v>Education</x:v>
      </x:c>
      <x:c r="H1684" t="str">
        <x:v>SMB</x:v>
      </x:c>
      <x:c r="I1684" t="str">
        <x:v>Closed Lost</x:v>
      </x:c>
      <x:c r="J1684" s="10" t="n">
        <x:v>45974</x:v>
      </x:c>
      <x:c r="K1684" s="10" t="n">
        <x:v>45974</x:v>
      </x:c>
      <x:c r="L1684" s="22" t="n">
        <x:v>9300</x:v>
      </x:c>
      <x:c r="M1684" s="24" t="n">
        <x:v>0</x:v>
      </x:c>
      <x:c r="N1684" s="24" t="n">
        <x:v>0</x:v>
      </x:c>
      <x:c r="O1684" t="str">
        <x:v>Timing</x:v>
      </x:c>
      <x:c r="P1684" t="n">
        <x:v>2</x:v>
      </x:c>
      <x:c r="Q1684" t="str">
        <x:f>IFERROR(XLOOKUP(E1684,Lookups!$A$5:$A$24,Lookups!$B$5:$B$24),"Other")</x:f>
        <x:v>Organic Search</x:v>
      </x:c>
      <x:c r="R1684" t="str">
        <x:f>IFERROR(XLOOKUP(F1684,Lookups!$D$5:$D$10,Lookups!$E$5:$E$10),"Unknown Product")</x:f>
        <x:v>Marketing Automation</x:v>
      </x:c>
      <x:c r="S1684" t="str">
        <x:f>IFERROR(XLOOKUP(F1684,Lookups!$D$5:$D$10,Lookups!$F$5:$F$10),"Unknown")</x:f>
        <x:v>Marketing</x:v>
      </x:c>
      <x:c r="T1684" t="str">
        <x:f>IF(L1684&gt;=50000,"Enterprise",IF(L1684&gt;=20000,"Mid-Market","SMB"))</x:f>
        <x:v>SMB</x:v>
      </x:c>
      <x:c r="U1684" t="str">
        <x:f>IF(I1684="Closed Won","Won",IF(I1684="Closed Lost","Lost","Open"))</x:f>
        <x:v>Lost</x:v>
      </x:c>
      <x:c r="V1684" s="22" t="n">
        <x:f>IF(U1684="Won",L1684*(1-M1684),0)</x:f>
        <x:v>0</x:v>
      </x:c>
      <x:c r="W1684" s="22" t="n">
        <x:f>IF(U1684="Open",L1684*N1684,0)</x:f>
        <x:v>0</x:v>
      </x:c>
      <x:c r="X1684" s="26" t="n">
        <x:f>IF(U1684="Open","",IFERROR(K1684-B1684,""))</x:f>
        <x:v>15</x:v>
      </x:c>
      <x:c r="Y1684" s="26" t="n">
        <x:f>IF(U1684="Open",Lookups!$B$2-B1684,X1684)</x:f>
        <x:v>15</x:v>
      </x:c>
      <x:c r="Z1684" t="str">
        <x:f>IF(AND(U1684="Open",Y1684&gt;30),"STALE","OK")</x:f>
        <x:v>OK</x:v>
      </x:c>
      <x:c r="AA1684" t="str">
        <x:f>TEXT(B1684,"yyyy-mm")</x:f>
        <x:v>2025-10</x:v>
      </x:c>
      <x:c r="AB1684" t="str">
        <x:f>IF(K1684="","",TEXT(K1684,"yyyy-mm"))</x:f>
        <x:v>2025-11</x:v>
      </x:c>
      <x:c r="AC1684" t="str">
        <x:f>"Q"&amp;ROUNDUP(MONTH(B1684)/3,0)&amp;"-"&amp;YEAR(B1684)</x:f>
        <x:v>Q4-2025</x:v>
      </x:c>
      <x:c r="AD1684" s="26" t="n">
        <x:f>MIN(100,IF(H1684="Enterprise",30,IF(H1684="Mid-Market",22,14))+IF(T1684="Enterprise",25,IF(T1684="Mid-Market",18,10))+IF(Q1684="Referral",25,IF(Q1684="Organic Search",20,IF(Q1684="Email",18,14)))+IF(G1684="Technology",10,5))</x:f>
        <x:v>49</x:v>
      </x:c>
      <x:c r="AE1684" t="str">
        <x:f>IF(U1684&lt;&gt;"Open",U1684,IF(N1684&gt;=0.8,"Commit",IF(N1684&gt;=0.5,"Best Case","Pipeline")))</x:f>
        <x:v>Lost</x:v>
      </x:c>
    </x:row>
    <x:row r="1685">
      <x:c r="A1685" t="str">
        <x:v>L01684</x:v>
      </x:c>
      <x:c r="B1685" s="10" t="n">
        <x:v>46248</x:v>
      </x:c>
      <x:c r="C1685" t="str">
        <x:v>Tuan Bui</x:v>
      </x:c>
      <x:c r="D1685" t="str">
        <x:v>Central</x:v>
      </x:c>
      <x:c r="E1685" t="str">
        <x:v>Google Organic</x:v>
      </x:c>
      <x:c r="F1685" t="str">
        <x:v>CRM-PRO</x:v>
      </x:c>
      <x:c r="G1685" t="str">
        <x:v>Education</x:v>
      </x:c>
      <x:c r="H1685" t="str">
        <x:v>Enterprise</x:v>
      </x:c>
      <x:c r="I1685" t="str">
        <x:v>New</x:v>
      </x:c>
      <x:c r="J1685" s="10" t="n">
        <x:v>46256</x:v>
      </x:c>
      <x:c r="K1685" s="10"/>
      <x:c r="L1685" s="22" t="n">
        <x:v>69400</x:v>
      </x:c>
      <x:c r="M1685" s="24" t="n">
        <x:v>0.05</x:v>
      </x:c>
      <x:c r="N1685" s="24" t="n">
        <x:v>0.05</x:v>
      </x:c>
      <x:c r="O1685" t="str"/>
      <x:c r="P1685" t="n">
        <x:v>1</x:v>
      </x:c>
      <x:c r="Q1685" t="str">
        <x:f>IFERROR(XLOOKUP(E1685,Lookups!$A$5:$A$24,Lookups!$B$5:$B$24),"Other")</x:f>
        <x:v>Organic Search</x:v>
      </x:c>
      <x:c r="R1685" t="str">
        <x:f>IFERROR(XLOOKUP(F1685,Lookups!$D$5:$D$10,Lookups!$E$5:$E$10),"Unknown Product")</x:f>
        <x:v>NexaCRM Pro</x:v>
      </x:c>
      <x:c r="S1685" t="str">
        <x:f>IFERROR(XLOOKUP(F1685,Lookups!$D$5:$D$10,Lookups!$F$5:$F$10),"Unknown")</x:f>
        <x:v>CRM</x:v>
      </x:c>
      <x:c r="T1685" t="str">
        <x:f>IF(L1685&gt;=50000,"Enterprise",IF(L1685&gt;=20000,"Mid-Market","SMB"))</x:f>
        <x:v>Enterprise</x:v>
      </x:c>
      <x:c r="U1685" t="str">
        <x:f>IF(I1685="Closed Won","Won",IF(I1685="Closed Lost","Lost","Open"))</x:f>
        <x:v>Open</x:v>
      </x:c>
      <x:c r="V1685" s="22" t="n">
        <x:f>IF(U1685="Won",L1685*(1-M1685),0)</x:f>
        <x:v>0</x:v>
      </x:c>
      <x:c r="W1685" s="22" t="n">
        <x:f>IF(U1685="Open",L1685*N1685,0)</x:f>
        <x:v>3470</x:v>
      </x:c>
      <x:c r="X1685" s="26" t="str">
        <x:f>IF(U1685="Open","",IFERROR(K1685-B1685,""))</x:f>
      </x:c>
      <x:c r="Y1685" s="26" t="n">
        <x:f>IF(U1685="Open",Lookups!$B$2-B1685,X1685)</x:f>
        <x:v>18</x:v>
      </x:c>
      <x:c r="Z1685" t="str">
        <x:f>IF(AND(U1685="Open",Y1685&gt;30),"STALE","OK")</x:f>
        <x:v>OK</x:v>
      </x:c>
      <x:c r="AA1685" t="str">
        <x:f>TEXT(B1685,"yyyy-mm")</x:f>
        <x:v>2026-08</x:v>
      </x:c>
      <x:c r="AB1685" t="str">
        <x:f>IF(K1685="","",TEXT(K1685,"yyyy-mm"))</x:f>
      </x:c>
      <x:c r="AC1685" t="str">
        <x:f>"Q"&amp;ROUNDUP(MONTH(B1685)/3,0)&amp;"-"&amp;YEAR(B1685)</x:f>
        <x:v>Q3-2026</x:v>
      </x:c>
      <x:c r="AD1685" s="26" t="n">
        <x:f>MIN(100,IF(H1685="Enterprise",30,IF(H1685="Mid-Market",22,14))+IF(T1685="Enterprise",25,IF(T1685="Mid-Market",18,10))+IF(Q1685="Referral",25,IF(Q1685="Organic Search",20,IF(Q1685="Email",18,14)))+IF(G1685="Technology",10,5))</x:f>
        <x:v>80</x:v>
      </x:c>
      <x:c r="AE1685" t="str">
        <x:f>IF(U1685&lt;&gt;"Open",U1685,IF(N1685&gt;=0.8,"Commit",IF(N1685&gt;=0.5,"Best Case","Pipeline")))</x:f>
        <x:v>Pipeline</x:v>
      </x:c>
    </x:row>
    <x:row r="1686">
      <x:c r="A1686" t="str">
        <x:v>L01685</x:v>
      </x:c>
      <x:c r="B1686" s="10" t="n">
        <x:v>45726</x:v>
      </x:c>
      <x:c r="C1686" t="str">
        <x:v>Bao Tran</x:v>
      </x:c>
      <x:c r="D1686" t="str">
        <x:v>South</x:v>
      </x:c>
      <x:c r="E1686" t="str">
        <x:v>organic search</x:v>
      </x:c>
      <x:c r="F1686" t="str">
        <x:v>CS-CLOUD</x:v>
      </x:c>
      <x:c r="G1686" t="str">
        <x:v>Retail</x:v>
      </x:c>
      <x:c r="H1686" t="str">
        <x:v>Mid-Market</x:v>
      </x:c>
      <x:c r="I1686" t="str">
        <x:v>Closed Lost</x:v>
      </x:c>
      <x:c r="J1686" s="10" t="n">
        <x:v>45764</x:v>
      </x:c>
      <x:c r="K1686" s="10" t="n">
        <x:v>45764</x:v>
      </x:c>
      <x:c r="L1686" s="22" t="n">
        <x:v>25200</x:v>
      </x:c>
      <x:c r="M1686" s="24" t="n">
        <x:v>0</x:v>
      </x:c>
      <x:c r="N1686" s="24" t="n">
        <x:v>0</x:v>
      </x:c>
      <x:c r="O1686" t="str">
        <x:v>Budget</x:v>
      </x:c>
      <x:c r="P1686" t="n">
        <x:v>3</x:v>
      </x:c>
      <x:c r="Q1686" t="str">
        <x:f>IFERROR(XLOOKUP(E1686,Lookups!$A$5:$A$24,Lookups!$B$5:$B$24),"Other")</x:f>
        <x:v>Organic Search</x:v>
      </x:c>
      <x:c r="R1686" t="str">
        <x:f>IFERROR(XLOOKUP(F1686,Lookups!$D$5:$D$10,Lookups!$E$5:$E$10),"Unknown Product")</x:f>
        <x:v>Service Cloud</x:v>
      </x:c>
      <x:c r="S1686" t="str">
        <x:f>IFERROR(XLOOKUP(F1686,Lookups!$D$5:$D$10,Lookups!$F$5:$F$10),"Unknown")</x:f>
        <x:v>Customer Service</x:v>
      </x:c>
      <x:c r="T1686" t="str">
        <x:f>IF(L1686&gt;=50000,"Enterprise",IF(L1686&gt;=20000,"Mid-Market","SMB"))</x:f>
        <x:v>Mid-Market</x:v>
      </x:c>
      <x:c r="U1686" t="str">
        <x:f>IF(I1686="Closed Won","Won",IF(I1686="Closed Lost","Lost","Open"))</x:f>
        <x:v>Lost</x:v>
      </x:c>
      <x:c r="V1686" s="22" t="n">
        <x:f>IF(U1686="Won",L1686*(1-M1686),0)</x:f>
        <x:v>0</x:v>
      </x:c>
      <x:c r="W1686" s="22" t="n">
        <x:f>IF(U1686="Open",L1686*N1686,0)</x:f>
        <x:v>0</x:v>
      </x:c>
      <x:c r="X1686" s="26" t="n">
        <x:f>IF(U1686="Open","",IFERROR(K1686-B1686,""))</x:f>
        <x:v>38</x:v>
      </x:c>
      <x:c r="Y1686" s="26" t="n">
        <x:f>IF(U1686="Open",Lookups!$B$2-B1686,X1686)</x:f>
        <x:v>38</x:v>
      </x:c>
      <x:c r="Z1686" t="str">
        <x:f>IF(AND(U1686="Open",Y1686&gt;30),"STALE","OK")</x:f>
        <x:v>OK</x:v>
      </x:c>
      <x:c r="AA1686" t="str">
        <x:f>TEXT(B1686,"yyyy-mm")</x:f>
        <x:v>2025-03</x:v>
      </x:c>
      <x:c r="AB1686" t="str">
        <x:f>IF(K1686="","",TEXT(K1686,"yyyy-mm"))</x:f>
        <x:v>2025-04</x:v>
      </x:c>
      <x:c r="AC1686" t="str">
        <x:f>"Q"&amp;ROUNDUP(MONTH(B1686)/3,0)&amp;"-"&amp;YEAR(B1686)</x:f>
        <x:v>Q1-2025</x:v>
      </x:c>
      <x:c r="AD1686" s="26" t="n">
        <x:f>MIN(100,IF(H1686="Enterprise",30,IF(H1686="Mid-Market",22,14))+IF(T1686="Enterprise",25,IF(T1686="Mid-Market",18,10))+IF(Q1686="Referral",25,IF(Q1686="Organic Search",20,IF(Q1686="Email",18,14)))+IF(G1686="Technology",10,5))</x:f>
        <x:v>65</x:v>
      </x:c>
      <x:c r="AE1686" t="str">
        <x:f>IF(U1686&lt;&gt;"Open",U1686,IF(N1686&gt;=0.8,"Commit",IF(N1686&gt;=0.5,"Best Case","Pipeline")))</x:f>
        <x:v>Lost</x:v>
      </x:c>
    </x:row>
    <x:row r="1687">
      <x:c r="A1687" t="str">
        <x:v>L01686</x:v>
      </x:c>
      <x:c r="B1687" s="10" t="n">
        <x:v>46024</x:v>
      </x:c>
      <x:c r="C1687" t="str">
        <x:v>An Nguyen</x:v>
      </x:c>
      <x:c r="D1687" t="str">
        <x:v>South</x:v>
      </x:c>
      <x:c r="E1687" t="str">
        <x:v>Partner Referral</x:v>
      </x:c>
      <x:c r="F1687" t="str">
        <x:v>CS-CLOUD</x:v>
      </x:c>
      <x:c r="G1687" t="str">
        <x:v>Professional Services</x:v>
      </x:c>
      <x:c r="H1687" t="str">
        <x:v>Mid-Market</x:v>
      </x:c>
      <x:c r="I1687" t="str">
        <x:v>Closed Lost</x:v>
      </x:c>
      <x:c r="J1687" s="10" t="n">
        <x:v>46061</x:v>
      </x:c>
      <x:c r="K1687" s="10" t="n">
        <x:v>46061</x:v>
      </x:c>
      <x:c r="L1687" s="22" t="n">
        <x:v>40300</x:v>
      </x:c>
      <x:c r="M1687" s="24" t="n">
        <x:v>0</x:v>
      </x:c>
      <x:c r="N1687" s="24" t="n">
        <x:v>0</x:v>
      </x:c>
      <x:c r="O1687" t="str">
        <x:v>Price</x:v>
      </x:c>
      <x:c r="P1687" t="n">
        <x:v>2</x:v>
      </x:c>
      <x:c r="Q1687" t="str">
        <x:f>IFERROR(XLOOKUP(E1687,Lookups!$A$5:$A$24,Lookups!$B$5:$B$24),"Other")</x:f>
        <x:v>Referral</x:v>
      </x:c>
      <x:c r="R1687" t="str">
        <x:f>IFERROR(XLOOKUP(F1687,Lookups!$D$5:$D$10,Lookups!$E$5:$E$10),"Unknown Product")</x:f>
        <x:v>Service Cloud</x:v>
      </x:c>
      <x:c r="S1687" t="str">
        <x:f>IFERROR(XLOOKUP(F1687,Lookups!$D$5:$D$10,Lookups!$F$5:$F$10),"Unknown")</x:f>
        <x:v>Customer Service</x:v>
      </x:c>
      <x:c r="T1687" t="str">
        <x:f>IF(L1687&gt;=50000,"Enterprise",IF(L1687&gt;=20000,"Mid-Market","SMB"))</x:f>
        <x:v>Mid-Market</x:v>
      </x:c>
      <x:c r="U1687" t="str">
        <x:f>IF(I1687="Closed Won","Won",IF(I1687="Closed Lost","Lost","Open"))</x:f>
        <x:v>Lost</x:v>
      </x:c>
      <x:c r="V1687" s="22" t="n">
        <x:f>IF(U1687="Won",L1687*(1-M1687),0)</x:f>
        <x:v>0</x:v>
      </x:c>
      <x:c r="W1687" s="22" t="n">
        <x:f>IF(U1687="Open",L1687*N1687,0)</x:f>
        <x:v>0</x:v>
      </x:c>
      <x:c r="X1687" s="26" t="n">
        <x:f>IF(U1687="Open","",IFERROR(K1687-B1687,""))</x:f>
        <x:v>37</x:v>
      </x:c>
      <x:c r="Y1687" s="26" t="n">
        <x:f>IF(U1687="Open",Lookups!$B$2-B1687,X1687)</x:f>
        <x:v>37</x:v>
      </x:c>
      <x:c r="Z1687" t="str">
        <x:f>IF(AND(U1687="Open",Y1687&gt;30),"STALE","OK")</x:f>
        <x:v>OK</x:v>
      </x:c>
      <x:c r="AA1687" t="str">
        <x:f>TEXT(B1687,"yyyy-mm")</x:f>
        <x:v>2026-01</x:v>
      </x:c>
      <x:c r="AB1687" t="str">
        <x:f>IF(K1687="","",TEXT(K1687,"yyyy-mm"))</x:f>
        <x:v>2026-02</x:v>
      </x:c>
      <x:c r="AC1687" t="str">
        <x:f>"Q"&amp;ROUNDUP(MONTH(B1687)/3,0)&amp;"-"&amp;YEAR(B1687)</x:f>
        <x:v>Q1-2026</x:v>
      </x:c>
      <x:c r="AD1687" s="26" t="n">
        <x:f>MIN(100,IF(H1687="Enterprise",30,IF(H1687="Mid-Market",22,14))+IF(T1687="Enterprise",25,IF(T1687="Mid-Market",18,10))+IF(Q1687="Referral",25,IF(Q1687="Organic Search",20,IF(Q1687="Email",18,14)))+IF(G1687="Technology",10,5))</x:f>
        <x:v>70</x:v>
      </x:c>
      <x:c r="AE1687" t="str">
        <x:f>IF(U1687&lt;&gt;"Open",U1687,IF(N1687&gt;=0.8,"Commit",IF(N1687&gt;=0.5,"Best Case","Pipeline")))</x:f>
        <x:v>Lost</x:v>
      </x:c>
    </x:row>
    <x:row r="1688">
      <x:c r="A1688" t="str">
        <x:v>L01687</x:v>
      </x:c>
      <x:c r="B1688" s="10" t="n">
        <x:v>45701</x:v>
      </x:c>
      <x:c r="C1688" t="str">
        <x:v>An Nguyen</x:v>
      </x:c>
      <x:c r="D1688" t="str">
        <x:v>South</x:v>
      </x:c>
      <x:c r="E1688" t="str">
        <x:v>customer referral</x:v>
      </x:c>
      <x:c r="F1688" t="str">
        <x:v>CRM-PRO</x:v>
      </x:c>
      <x:c r="G1688" t="str">
        <x:v>Professional Services</x:v>
      </x:c>
      <x:c r="H1688" t="str">
        <x:v>Mid-Market</x:v>
      </x:c>
      <x:c r="I1688" t="str">
        <x:v>Closed Lost</x:v>
      </x:c>
      <x:c r="J1688" s="10" t="n">
        <x:v>45743</x:v>
      </x:c>
      <x:c r="K1688" s="10" t="n">
        <x:v>45743</x:v>
      </x:c>
      <x:c r="L1688" s="22" t="n">
        <x:v>23100</x:v>
      </x:c>
      <x:c r="M1688" s="24" t="n">
        <x:v>0</x:v>
      </x:c>
      <x:c r="N1688" s="24" t="n">
        <x:v>0</x:v>
      </x:c>
      <x:c r="O1688" t="str">
        <x:v>Budget</x:v>
      </x:c>
      <x:c r="P1688" t="n">
        <x:v>2</x:v>
      </x:c>
      <x:c r="Q1688" t="str">
        <x:f>IFERROR(XLOOKUP(E1688,Lookups!$A$5:$A$24,Lookups!$B$5:$B$24),"Other")</x:f>
        <x:v>Referral</x:v>
      </x:c>
      <x:c r="R1688" t="str">
        <x:f>IFERROR(XLOOKUP(F1688,Lookups!$D$5:$D$10,Lookups!$E$5:$E$10),"Unknown Product")</x:f>
        <x:v>NexaCRM Pro</x:v>
      </x:c>
      <x:c r="S1688" t="str">
        <x:f>IFERROR(XLOOKUP(F1688,Lookups!$D$5:$D$10,Lookups!$F$5:$F$10),"Unknown")</x:f>
        <x:v>CRM</x:v>
      </x:c>
      <x:c r="T1688" t="str">
        <x:f>IF(L1688&gt;=50000,"Enterprise",IF(L1688&gt;=20000,"Mid-Market","SMB"))</x:f>
        <x:v>Mid-Market</x:v>
      </x:c>
      <x:c r="U1688" t="str">
        <x:f>IF(I1688="Closed Won","Won",IF(I1688="Closed Lost","Lost","Open"))</x:f>
        <x:v>Lost</x:v>
      </x:c>
      <x:c r="V1688" s="22" t="n">
        <x:f>IF(U1688="Won",L1688*(1-M1688),0)</x:f>
        <x:v>0</x:v>
      </x:c>
      <x:c r="W1688" s="22" t="n">
        <x:f>IF(U1688="Open",L1688*N1688,0)</x:f>
        <x:v>0</x:v>
      </x:c>
      <x:c r="X1688" s="26" t="n">
        <x:f>IF(U1688="Open","",IFERROR(K1688-B1688,""))</x:f>
        <x:v>42</x:v>
      </x:c>
      <x:c r="Y1688" s="26" t="n">
        <x:f>IF(U1688="Open",Lookups!$B$2-B1688,X1688)</x:f>
        <x:v>42</x:v>
      </x:c>
      <x:c r="Z1688" t="str">
        <x:f>IF(AND(U1688="Open",Y1688&gt;30),"STALE","OK")</x:f>
        <x:v>OK</x:v>
      </x:c>
      <x:c r="AA1688" t="str">
        <x:f>TEXT(B1688,"yyyy-mm")</x:f>
        <x:v>2025-02</x:v>
      </x:c>
      <x:c r="AB1688" t="str">
        <x:f>IF(K1688="","",TEXT(K1688,"yyyy-mm"))</x:f>
        <x:v>2025-03</x:v>
      </x:c>
      <x:c r="AC1688" t="str">
        <x:f>"Q"&amp;ROUNDUP(MONTH(B1688)/3,0)&amp;"-"&amp;YEAR(B1688)</x:f>
        <x:v>Q1-2025</x:v>
      </x:c>
      <x:c r="AD1688" s="26" t="n">
        <x:f>MIN(100,IF(H1688="Enterprise",30,IF(H1688="Mid-Market",22,14))+IF(T1688="Enterprise",25,IF(T1688="Mid-Market",18,10))+IF(Q1688="Referral",25,IF(Q1688="Organic Search",20,IF(Q1688="Email",18,14)))+IF(G1688="Technology",10,5))</x:f>
        <x:v>70</x:v>
      </x:c>
      <x:c r="AE1688" t="str">
        <x:f>IF(U1688&lt;&gt;"Open",U1688,IF(N1688&gt;=0.8,"Commit",IF(N1688&gt;=0.5,"Best Case","Pipeline")))</x:f>
        <x:v>Lost</x:v>
      </x:c>
    </x:row>
    <x:row r="1689">
      <x:c r="A1689" t="str">
        <x:v>L01688</x:v>
      </x:c>
      <x:c r="B1689" s="10" t="n">
        <x:v>46211</x:v>
      </x:c>
      <x:c r="C1689" t="str">
        <x:v>Duy Pham</x:v>
      </x:c>
      <x:c r="D1689" t="str">
        <x:v>South</x:v>
      </x:c>
      <x:c r="E1689" t="str">
        <x:v>SEO</x:v>
      </x:c>
      <x:c r="F1689" t="str">
        <x:v>REV-OPS</x:v>
      </x:c>
      <x:c r="G1689" t="str">
        <x:v>Financial Services</x:v>
      </x:c>
      <x:c r="H1689" t="str">
        <x:v>Mid-Market</x:v>
      </x:c>
      <x:c r="I1689" t="str">
        <x:v>Qualified</x:v>
      </x:c>
      <x:c r="J1689" s="10" t="n">
        <x:v>46233</x:v>
      </x:c>
      <x:c r="K1689" s="10"/>
      <x:c r="L1689" s="22" t="n">
        <x:v>65700</x:v>
      </x:c>
      <x:c r="M1689" s="24" t="n">
        <x:v>0</x:v>
      </x:c>
      <x:c r="N1689" s="24" t="n">
        <x:v>0.2</x:v>
      </x:c>
      <x:c r="O1689" t="str"/>
      <x:c r="P1689" t="n">
        <x:v>2</x:v>
      </x:c>
      <x:c r="Q1689" t="str">
        <x:f>IFERROR(XLOOKUP(E1689,Lookups!$A$5:$A$24,Lookups!$B$5:$B$24),"Other")</x:f>
        <x:v>Organic Search</x:v>
      </x:c>
      <x:c r="R1689" t="str">
        <x:f>IFERROR(XLOOKUP(F1689,Lookups!$D$5:$D$10,Lookups!$E$5:$E$10),"Unknown Product")</x:f>
        <x:v>Revenue Operations Suite</x:v>
      </x:c>
      <x:c r="S1689" t="str">
        <x:f>IFERROR(XLOOKUP(F1689,Lookups!$D$5:$D$10,Lookups!$F$5:$F$10),"Unknown")</x:f>
        <x:v>Revenue Ops</x:v>
      </x:c>
      <x:c r="T1689" t="str">
        <x:f>IF(L1689&gt;=50000,"Enterprise",IF(L1689&gt;=20000,"Mid-Market","SMB"))</x:f>
        <x:v>Enterprise</x:v>
      </x:c>
      <x:c r="U1689" t="str">
        <x:f>IF(I1689="Closed Won","Won",IF(I1689="Closed Lost","Lost","Open"))</x:f>
        <x:v>Open</x:v>
      </x:c>
      <x:c r="V1689" s="22" t="n">
        <x:f>IF(U1689="Won",L1689*(1-M1689),0)</x:f>
        <x:v>0</x:v>
      </x:c>
      <x:c r="W1689" s="22" t="n">
        <x:f>IF(U1689="Open",L1689*N1689,0)</x:f>
        <x:v>13140</x:v>
      </x:c>
      <x:c r="X1689" s="26" t="str">
        <x:f>IF(U1689="Open","",IFERROR(K1689-B1689,""))</x:f>
      </x:c>
      <x:c r="Y1689" s="26" t="n">
        <x:f>IF(U1689="Open",Lookups!$B$2-B1689,X1689)</x:f>
        <x:v>55</x:v>
      </x:c>
      <x:c r="Z1689" t="str">
        <x:f>IF(AND(U1689="Open",Y1689&gt;30),"STALE","OK")</x:f>
        <x:v>STALE</x:v>
      </x:c>
      <x:c r="AA1689" t="str">
        <x:f>TEXT(B1689,"yyyy-mm")</x:f>
        <x:v>2026-07</x:v>
      </x:c>
      <x:c r="AB1689" t="str">
        <x:f>IF(K1689="","",TEXT(K1689,"yyyy-mm"))</x:f>
      </x:c>
      <x:c r="AC1689" t="str">
        <x:f>"Q"&amp;ROUNDUP(MONTH(B1689)/3,0)&amp;"-"&amp;YEAR(B1689)</x:f>
        <x:v>Q3-2026</x:v>
      </x:c>
      <x:c r="AD1689" s="26" t="n">
        <x:f>MIN(100,IF(H1689="Enterprise",30,IF(H1689="Mid-Market",22,14))+IF(T1689="Enterprise",25,IF(T1689="Mid-Market",18,10))+IF(Q1689="Referral",25,IF(Q1689="Organic Search",20,IF(Q1689="Email",18,14)))+IF(G1689="Technology",10,5))</x:f>
        <x:v>72</x:v>
      </x:c>
      <x:c r="AE1689" t="str">
        <x:f>IF(U1689&lt;&gt;"Open",U1689,IF(N1689&gt;=0.8,"Commit",IF(N1689&gt;=0.5,"Best Case","Pipeline")))</x:f>
        <x:v>Pipeline</x:v>
      </x:c>
    </x:row>
    <x:row r="1690">
      <x:c r="A1690" t="str">
        <x:v>L01689</x:v>
      </x:c>
      <x:c r="B1690" s="10" t="n">
        <x:v>46193</x:v>
      </x:c>
      <x:c r="C1690" t="str">
        <x:v>Tuan Bui</x:v>
      </x:c>
      <x:c r="D1690" t="str">
        <x:v>Central</x:v>
      </x:c>
      <x:c r="E1690" t="str">
        <x:v>Partner Referral</x:v>
      </x:c>
      <x:c r="F1690" t="str">
        <x:v>REV-OPS</x:v>
      </x:c>
      <x:c r="G1690" t="str">
        <x:v>Manufacturing</x:v>
      </x:c>
      <x:c r="H1690" t="str">
        <x:v>SMB</x:v>
      </x:c>
      <x:c r="I1690" t="str">
        <x:v>Closed Lost</x:v>
      </x:c>
      <x:c r="J1690" s="10" t="n">
        <x:v>46248</x:v>
      </x:c>
      <x:c r="K1690" s="10" t="n">
        <x:v>46248</x:v>
      </x:c>
      <x:c r="L1690" s="22" t="n">
        <x:v>29100</x:v>
      </x:c>
      <x:c r="M1690" s="24" t="n">
        <x:v>0</x:v>
      </x:c>
      <x:c r="N1690" s="24" t="n">
        <x:v>0</x:v>
      </x:c>
      <x:c r="O1690" t="str">
        <x:v>Timing</x:v>
      </x:c>
      <x:c r="P1690" t="n">
        <x:v>4</x:v>
      </x:c>
      <x:c r="Q1690" t="str">
        <x:f>IFERROR(XLOOKUP(E1690,Lookups!$A$5:$A$24,Lookups!$B$5:$B$24),"Other")</x:f>
        <x:v>Referral</x:v>
      </x:c>
      <x:c r="R1690" t="str">
        <x:f>IFERROR(XLOOKUP(F1690,Lookups!$D$5:$D$10,Lookups!$E$5:$E$10),"Unknown Product")</x:f>
        <x:v>Revenue Operations Suite</x:v>
      </x:c>
      <x:c r="S1690" t="str">
        <x:f>IFERROR(XLOOKUP(F1690,Lookups!$D$5:$D$10,Lookups!$F$5:$F$10),"Unknown")</x:f>
        <x:v>Revenue Ops</x:v>
      </x:c>
      <x:c r="T1690" t="str">
        <x:f>IF(L1690&gt;=50000,"Enterprise",IF(L1690&gt;=20000,"Mid-Market","SMB"))</x:f>
        <x:v>Mid-Market</x:v>
      </x:c>
      <x:c r="U1690" t="str">
        <x:f>IF(I1690="Closed Won","Won",IF(I1690="Closed Lost","Lost","Open"))</x:f>
        <x:v>Lost</x:v>
      </x:c>
      <x:c r="V1690" s="22" t="n">
        <x:f>IF(U1690="Won",L1690*(1-M1690),0)</x:f>
        <x:v>0</x:v>
      </x:c>
      <x:c r="W1690" s="22" t="n">
        <x:f>IF(U1690="Open",L1690*N1690,0)</x:f>
        <x:v>0</x:v>
      </x:c>
      <x:c r="X1690" s="26" t="n">
        <x:f>IF(U1690="Open","",IFERROR(K1690-B1690,""))</x:f>
        <x:v>55</x:v>
      </x:c>
      <x:c r="Y1690" s="26" t="n">
        <x:f>IF(U1690="Open",Lookups!$B$2-B1690,X1690)</x:f>
        <x:v>55</x:v>
      </x:c>
      <x:c r="Z1690" t="str">
        <x:f>IF(AND(U1690="Open",Y1690&gt;30),"STALE","OK")</x:f>
        <x:v>OK</x:v>
      </x:c>
      <x:c r="AA1690" t="str">
        <x:f>TEXT(B1690,"yyyy-mm")</x:f>
        <x:v>2026-06</x:v>
      </x:c>
      <x:c r="AB1690" t="str">
        <x:f>IF(K1690="","",TEXT(K1690,"yyyy-mm"))</x:f>
        <x:v>2026-08</x:v>
      </x:c>
      <x:c r="AC1690" t="str">
        <x:f>"Q"&amp;ROUNDUP(MONTH(B1690)/3,0)&amp;"-"&amp;YEAR(B1690)</x:f>
        <x:v>Q2-2026</x:v>
      </x:c>
      <x:c r="AD1690" s="26" t="n">
        <x:f>MIN(100,IF(H1690="Enterprise",30,IF(H1690="Mid-Market",22,14))+IF(T1690="Enterprise",25,IF(T1690="Mid-Market",18,10))+IF(Q1690="Referral",25,IF(Q1690="Organic Search",20,IF(Q1690="Email",18,14)))+IF(G1690="Technology",10,5))</x:f>
        <x:v>62</x:v>
      </x:c>
      <x:c r="AE1690" t="str">
        <x:f>IF(U1690&lt;&gt;"Open",U1690,IF(N1690&gt;=0.8,"Commit",IF(N1690&gt;=0.5,"Best Case","Pipeline")))</x:f>
        <x:v>Lost</x:v>
      </x:c>
    </x:row>
    <x:row r="1691">
      <x:c r="A1691" t="str">
        <x:v>L01690</x:v>
      </x:c>
      <x:c r="B1691" s="10" t="n">
        <x:v>46026</x:v>
      </x:c>
      <x:c r="C1691" t="str">
        <x:v>Chi Le</x:v>
      </x:c>
      <x:c r="D1691" t="str">
        <x:v>South</x:v>
      </x:c>
      <x:c r="E1691" t="str">
        <x:v>virtual event</x:v>
      </x:c>
      <x:c r="F1691" t="str">
        <x:v>BI-PLUS</x:v>
      </x:c>
      <x:c r="G1691" t="str">
        <x:v>Professional Services</x:v>
      </x:c>
      <x:c r="H1691" t="str">
        <x:v>Mid-Market</x:v>
      </x:c>
      <x:c r="I1691" t="str">
        <x:v>Closed Won</x:v>
      </x:c>
      <x:c r="J1691" s="10" t="n">
        <x:v>46119</x:v>
      </x:c>
      <x:c r="K1691" s="10" t="n">
        <x:v>46119</x:v>
      </x:c>
      <x:c r="L1691" s="22" t="n">
        <x:v>28300</x:v>
      </x:c>
      <x:c r="M1691" s="24" t="n">
        <x:v>0.08</x:v>
      </x:c>
      <x:c r="N1691" s="24" t="n">
        <x:v>1</x:v>
      </x:c>
      <x:c r="O1691" t="str"/>
      <x:c r="P1691" t="n">
        <x:v>6</x:v>
      </x:c>
      <x:c r="Q1691" t="str">
        <x:f>IFERROR(XLOOKUP(E1691,Lookups!$A$5:$A$24,Lookups!$B$5:$B$24),"Other")</x:f>
        <x:v>Webinar</x:v>
      </x:c>
      <x:c r="R1691" t="str">
        <x:f>IFERROR(XLOOKUP(F1691,Lookups!$D$5:$D$10,Lookups!$E$5:$E$10),"Unknown Product")</x:f>
        <x:v>Analytics Plus</x:v>
      </x:c>
      <x:c r="S1691" t="str">
        <x:f>IFERROR(XLOOKUP(F1691,Lookups!$D$5:$D$10,Lookups!$F$5:$F$10),"Unknown")</x:f>
        <x:v>Analytics</x:v>
      </x:c>
      <x:c r="T1691" t="str">
        <x:f>IF(L1691&gt;=50000,"Enterprise",IF(L1691&gt;=20000,"Mid-Market","SMB"))</x:f>
        <x:v>Mid-Market</x:v>
      </x:c>
      <x:c r="U1691" t="str">
        <x:f>IF(I1691="Closed Won","Won",IF(I1691="Closed Lost","Lost","Open"))</x:f>
        <x:v>Won</x:v>
      </x:c>
      <x:c r="V1691" s="22" t="n">
        <x:f>IF(U1691="Won",L1691*(1-M1691),0)</x:f>
        <x:v>26036</x:v>
      </x:c>
      <x:c r="W1691" s="22" t="n">
        <x:f>IF(U1691="Open",L1691*N1691,0)</x:f>
        <x:v>0</x:v>
      </x:c>
      <x:c r="X1691" s="26" t="n">
        <x:f>IF(U1691="Open","",IFERROR(K1691-B1691,""))</x:f>
        <x:v>93</x:v>
      </x:c>
      <x:c r="Y1691" s="26" t="n">
        <x:f>IF(U1691="Open",Lookups!$B$2-B1691,X1691)</x:f>
        <x:v>93</x:v>
      </x:c>
      <x:c r="Z1691" t="str">
        <x:f>IF(AND(U1691="Open",Y1691&gt;30),"STALE","OK")</x:f>
        <x:v>OK</x:v>
      </x:c>
      <x:c r="AA1691" t="str">
        <x:f>TEXT(B1691,"yyyy-mm")</x:f>
        <x:v>2026-01</x:v>
      </x:c>
      <x:c r="AB1691" t="str">
        <x:f>IF(K1691="","",TEXT(K1691,"yyyy-mm"))</x:f>
        <x:v>2026-04</x:v>
      </x:c>
      <x:c r="AC1691" t="str">
        <x:f>"Q"&amp;ROUNDUP(MONTH(B1691)/3,0)&amp;"-"&amp;YEAR(B1691)</x:f>
        <x:v>Q1-2026</x:v>
      </x:c>
      <x:c r="AD1691" s="26" t="n">
        <x:f>MIN(100,IF(H1691="Enterprise",30,IF(H1691="Mid-Market",22,14))+IF(T1691="Enterprise",25,IF(T1691="Mid-Market",18,10))+IF(Q1691="Referral",25,IF(Q1691="Organic Search",20,IF(Q1691="Email",18,14)))+IF(G1691="Technology",10,5))</x:f>
        <x:v>59</x:v>
      </x:c>
      <x:c r="AE1691" t="str">
        <x:f>IF(U1691&lt;&gt;"Open",U1691,IF(N1691&gt;=0.8,"Commit",IF(N1691&gt;=0.5,"Best Case","Pipeline")))</x:f>
        <x:v>Won</x:v>
      </x:c>
    </x:row>
    <x:row r="1692">
      <x:c r="A1692" t="str">
        <x:v>L01691</x:v>
      </x:c>
      <x:c r="B1692" s="10" t="n">
        <x:v>45804</x:v>
      </x:c>
      <x:c r="C1692" t="str">
        <x:v>Ha Vo</x:v>
      </x:c>
      <x:c r="D1692" t="str">
        <x:v>North</x:v>
      </x:c>
      <x:c r="E1692" t="str">
        <x:v>Email Campaign</x:v>
      </x:c>
      <x:c r="F1692" t="str">
        <x:v>CRM-CORE</x:v>
      </x:c>
      <x:c r="G1692" t="str">
        <x:v>Education</x:v>
      </x:c>
      <x:c r="H1692" t="str">
        <x:v>SMB</x:v>
      </x:c>
      <x:c r="I1692" t="str">
        <x:v>Closed Lost</x:v>
      </x:c>
      <x:c r="J1692" s="10" t="n">
        <x:v>45841</x:v>
      </x:c>
      <x:c r="K1692" s="10" t="n">
        <x:v>45841</x:v>
      </x:c>
      <x:c r="L1692" s="22" t="n">
        <x:v>8000</x:v>
      </x:c>
      <x:c r="M1692" s="24" t="n">
        <x:v>0</x:v>
      </x:c>
      <x:c r="N1692" s="24" t="n">
        <x:v>0</x:v>
      </x:c>
      <x:c r="O1692" t="str">
        <x:v>Price</x:v>
      </x:c>
      <x:c r="P1692" t="n">
        <x:v>2</x:v>
      </x:c>
      <x:c r="Q1692" t="str">
        <x:f>IFERROR(XLOOKUP(E1692,Lookups!$A$5:$A$24,Lookups!$B$5:$B$24),"Other")</x:f>
        <x:v>Email</x:v>
      </x:c>
      <x:c r="R1692" t="str">
        <x:f>IFERROR(XLOOKUP(F1692,Lookups!$D$5:$D$10,Lookups!$E$5:$E$10),"Unknown Product")</x:f>
        <x:v>NexaCRM Core</x:v>
      </x:c>
      <x:c r="S1692" t="str">
        <x:f>IFERROR(XLOOKUP(F1692,Lookups!$D$5:$D$10,Lookups!$F$5:$F$10),"Unknown")</x:f>
        <x:v>CRM</x:v>
      </x:c>
      <x:c r="T1692" t="str">
        <x:f>IF(L1692&gt;=50000,"Enterprise",IF(L1692&gt;=20000,"Mid-Market","SMB"))</x:f>
        <x:v>SMB</x:v>
      </x:c>
      <x:c r="U1692" t="str">
        <x:f>IF(I1692="Closed Won","Won",IF(I1692="Closed Lost","Lost","Open"))</x:f>
        <x:v>Lost</x:v>
      </x:c>
      <x:c r="V1692" s="22" t="n">
        <x:f>IF(U1692="Won",L1692*(1-M1692),0)</x:f>
        <x:v>0</x:v>
      </x:c>
      <x:c r="W1692" s="22" t="n">
        <x:f>IF(U1692="Open",L1692*N1692,0)</x:f>
        <x:v>0</x:v>
      </x:c>
      <x:c r="X1692" s="26" t="n">
        <x:f>IF(U1692="Open","",IFERROR(K1692-B1692,""))</x:f>
        <x:v>37</x:v>
      </x:c>
      <x:c r="Y1692" s="26" t="n">
        <x:f>IF(U1692="Open",Lookups!$B$2-B1692,X1692)</x:f>
        <x:v>37</x:v>
      </x:c>
      <x:c r="Z1692" t="str">
        <x:f>IF(AND(U1692="Open",Y1692&gt;30),"STALE","OK")</x:f>
        <x:v>OK</x:v>
      </x:c>
      <x:c r="AA1692" t="str">
        <x:f>TEXT(B1692,"yyyy-mm")</x:f>
        <x:v>2025-05</x:v>
      </x:c>
      <x:c r="AB1692" t="str">
        <x:f>IF(K1692="","",TEXT(K1692,"yyyy-mm"))</x:f>
        <x:v>2025-07</x:v>
      </x:c>
      <x:c r="AC1692" t="str">
        <x:f>"Q"&amp;ROUNDUP(MONTH(B1692)/3,0)&amp;"-"&amp;YEAR(B1692)</x:f>
        <x:v>Q2-2025</x:v>
      </x:c>
      <x:c r="AD1692" s="26" t="n">
        <x:f>MIN(100,IF(H1692="Enterprise",30,IF(H1692="Mid-Market",22,14))+IF(T1692="Enterprise",25,IF(T1692="Mid-Market",18,10))+IF(Q1692="Referral",25,IF(Q1692="Organic Search",20,IF(Q1692="Email",18,14)))+IF(G1692="Technology",10,5))</x:f>
        <x:v>47</x:v>
      </x:c>
      <x:c r="AE1692" t="str">
        <x:f>IF(U1692&lt;&gt;"Open",U1692,IF(N1692&gt;=0.8,"Commit",IF(N1692&gt;=0.5,"Best Case","Pipeline")))</x:f>
        <x:v>Lost</x:v>
      </x:c>
    </x:row>
    <x:row r="1693">
      <x:c r="A1693" t="str">
        <x:v>L01692</x:v>
      </x:c>
      <x:c r="B1693" s="10" t="n">
        <x:v>45832</x:v>
      </x:c>
      <x:c r="C1693" t="str">
        <x:v>Ha Vo</x:v>
      </x:c>
      <x:c r="D1693" t="str">
        <x:v>North</x:v>
      </x:c>
      <x:c r="E1693" t="str">
        <x:v>SEO</x:v>
      </x:c>
      <x:c r="F1693" t="str">
        <x:v>REV-OPS</x:v>
      </x:c>
      <x:c r="G1693" t="str">
        <x:v>Education</x:v>
      </x:c>
      <x:c r="H1693" t="str">
        <x:v>Enterprise</x:v>
      </x:c>
      <x:c r="I1693" t="str">
        <x:v>Closed Lost</x:v>
      </x:c>
      <x:c r="J1693" s="10" t="n">
        <x:v>45895</x:v>
      </x:c>
      <x:c r="K1693" s="10" t="n">
        <x:v>45895</x:v>
      </x:c>
      <x:c r="L1693" s="22" t="n">
        <x:v>159700</x:v>
      </x:c>
      <x:c r="M1693" s="24" t="n">
        <x:v>0</x:v>
      </x:c>
      <x:c r="N1693" s="24" t="n">
        <x:v>0</x:v>
      </x:c>
      <x:c r="O1693" t="str">
        <x:v>No Decision</x:v>
      </x:c>
      <x:c r="P1693" t="n">
        <x:v>5</x:v>
      </x:c>
      <x:c r="Q1693" t="str">
        <x:f>IFERROR(XLOOKUP(E1693,Lookups!$A$5:$A$24,Lookups!$B$5:$B$24),"Other")</x:f>
        <x:v>Organic Search</x:v>
      </x:c>
      <x:c r="R1693" t="str">
        <x:f>IFERROR(XLOOKUP(F1693,Lookups!$D$5:$D$10,Lookups!$E$5:$E$10),"Unknown Product")</x:f>
        <x:v>Revenue Operations Suite</x:v>
      </x:c>
      <x:c r="S1693" t="str">
        <x:f>IFERROR(XLOOKUP(F1693,Lookups!$D$5:$D$10,Lookups!$F$5:$F$10),"Unknown")</x:f>
        <x:v>Revenue Ops</x:v>
      </x:c>
      <x:c r="T1693" t="str">
        <x:f>IF(L1693&gt;=50000,"Enterprise",IF(L1693&gt;=20000,"Mid-Market","SMB"))</x:f>
        <x:v>Enterprise</x:v>
      </x:c>
      <x:c r="U1693" t="str">
        <x:f>IF(I1693="Closed Won","Won",IF(I1693="Closed Lost","Lost","Open"))</x:f>
        <x:v>Lost</x:v>
      </x:c>
      <x:c r="V1693" s="22" t="n">
        <x:f>IF(U1693="Won",L1693*(1-M1693),0)</x:f>
        <x:v>0</x:v>
      </x:c>
      <x:c r="W1693" s="22" t="n">
        <x:f>IF(U1693="Open",L1693*N1693,0)</x:f>
        <x:v>0</x:v>
      </x:c>
      <x:c r="X1693" s="26" t="n">
        <x:f>IF(U1693="Open","",IFERROR(K1693-B1693,""))</x:f>
        <x:v>63</x:v>
      </x:c>
      <x:c r="Y1693" s="26" t="n">
        <x:f>IF(U1693="Open",Lookups!$B$2-B1693,X1693)</x:f>
        <x:v>63</x:v>
      </x:c>
      <x:c r="Z1693" t="str">
        <x:f>IF(AND(U1693="Open",Y1693&gt;30),"STALE","OK")</x:f>
        <x:v>OK</x:v>
      </x:c>
      <x:c r="AA1693" t="str">
        <x:f>TEXT(B1693,"yyyy-mm")</x:f>
        <x:v>2025-06</x:v>
      </x:c>
      <x:c r="AB1693" t="str">
        <x:f>IF(K1693="","",TEXT(K1693,"yyyy-mm"))</x:f>
        <x:v>2025-08</x:v>
      </x:c>
      <x:c r="AC1693" t="str">
        <x:f>"Q"&amp;ROUNDUP(MONTH(B1693)/3,0)&amp;"-"&amp;YEAR(B1693)</x:f>
        <x:v>Q2-2025</x:v>
      </x:c>
      <x:c r="AD1693" s="26" t="n">
        <x:f>MIN(100,IF(H1693="Enterprise",30,IF(H1693="Mid-Market",22,14))+IF(T1693="Enterprise",25,IF(T1693="Mid-Market",18,10))+IF(Q1693="Referral",25,IF(Q1693="Organic Search",20,IF(Q1693="Email",18,14)))+IF(G1693="Technology",10,5))</x:f>
        <x:v>80</x:v>
      </x:c>
      <x:c r="AE1693" t="str">
        <x:f>IF(U1693&lt;&gt;"Open",U1693,IF(N1693&gt;=0.8,"Commit",IF(N1693&gt;=0.5,"Best Case","Pipeline")))</x:f>
        <x:v>Lost</x:v>
      </x:c>
    </x:row>
    <x:row r="1694">
      <x:c r="A1694" t="str">
        <x:v>L01693</x:v>
      </x:c>
      <x:c r="B1694" s="10" t="n">
        <x:v>45998</x:v>
      </x:c>
      <x:c r="C1694" t="str">
        <x:v>An Nguyen</x:v>
      </x:c>
      <x:c r="D1694" t="str">
        <x:v>South</x:v>
      </x:c>
      <x:c r="E1694" t="str">
        <x:v>Google Ads</x:v>
      </x:c>
      <x:c r="F1694" t="str">
        <x:v>CRM-CORE</x:v>
      </x:c>
      <x:c r="G1694" t="str">
        <x:v>Financial Services</x:v>
      </x:c>
      <x:c r="H1694" t="str">
        <x:v>Enterprise</x:v>
      </x:c>
      <x:c r="I1694" t="str">
        <x:v>Closed Lost</x:v>
      </x:c>
      <x:c r="J1694" s="10" t="n">
        <x:v>46015</x:v>
      </x:c>
      <x:c r="K1694" s="10" t="n">
        <x:v>46015</x:v>
      </x:c>
      <x:c r="L1694" s="22" t="n">
        <x:v>29300</x:v>
      </x:c>
      <x:c r="M1694" s="24" t="n">
        <x:v>0</x:v>
      </x:c>
      <x:c r="N1694" s="24" t="n">
        <x:v>0</x:v>
      </x:c>
      <x:c r="O1694" t="str">
        <x:v>Budget</x:v>
      </x:c>
      <x:c r="P1694" t="n">
        <x:v>3</x:v>
      </x:c>
      <x:c r="Q1694" t="str">
        <x:f>IFERROR(XLOOKUP(E1694,Lookups!$A$5:$A$24,Lookups!$B$5:$B$24),"Other")</x:f>
        <x:v>Paid Search</x:v>
      </x:c>
      <x:c r="R1694" t="str">
        <x:f>IFERROR(XLOOKUP(F1694,Lookups!$D$5:$D$10,Lookups!$E$5:$E$10),"Unknown Product")</x:f>
        <x:v>NexaCRM Core</x:v>
      </x:c>
      <x:c r="S1694" t="str">
        <x:f>IFERROR(XLOOKUP(F1694,Lookups!$D$5:$D$10,Lookups!$F$5:$F$10),"Unknown")</x:f>
        <x:v>CRM</x:v>
      </x:c>
      <x:c r="T1694" t="str">
        <x:f>IF(L1694&gt;=50000,"Enterprise",IF(L1694&gt;=20000,"Mid-Market","SMB"))</x:f>
        <x:v>Mid-Market</x:v>
      </x:c>
      <x:c r="U1694" t="str">
        <x:f>IF(I1694="Closed Won","Won",IF(I1694="Closed Lost","Lost","Open"))</x:f>
        <x:v>Lost</x:v>
      </x:c>
      <x:c r="V1694" s="22" t="n">
        <x:f>IF(U1694="Won",L1694*(1-M1694),0)</x:f>
        <x:v>0</x:v>
      </x:c>
      <x:c r="W1694" s="22" t="n">
        <x:f>IF(U1694="Open",L1694*N1694,0)</x:f>
        <x:v>0</x:v>
      </x:c>
      <x:c r="X1694" s="26" t="n">
        <x:f>IF(U1694="Open","",IFERROR(K1694-B1694,""))</x:f>
        <x:v>17</x:v>
      </x:c>
      <x:c r="Y1694" s="26" t="n">
        <x:f>IF(U1694="Open",Lookups!$B$2-B1694,X1694)</x:f>
        <x:v>17</x:v>
      </x:c>
      <x:c r="Z1694" t="str">
        <x:f>IF(AND(U1694="Open",Y1694&gt;30),"STALE","OK")</x:f>
        <x:v>OK</x:v>
      </x:c>
      <x:c r="AA1694" t="str">
        <x:f>TEXT(B1694,"yyyy-mm")</x:f>
        <x:v>2025-12</x:v>
      </x:c>
      <x:c r="AB1694" t="str">
        <x:f>IF(K1694="","",TEXT(K1694,"yyyy-mm"))</x:f>
        <x:v>2025-12</x:v>
      </x:c>
      <x:c r="AC1694" t="str">
        <x:f>"Q"&amp;ROUNDUP(MONTH(B1694)/3,0)&amp;"-"&amp;YEAR(B1694)</x:f>
        <x:v>Q4-2025</x:v>
      </x:c>
      <x:c r="AD1694" s="26" t="n">
        <x:f>MIN(100,IF(H1694="Enterprise",30,IF(H1694="Mid-Market",22,14))+IF(T1694="Enterprise",25,IF(T1694="Mid-Market",18,10))+IF(Q1694="Referral",25,IF(Q1694="Organic Search",20,IF(Q1694="Email",18,14)))+IF(G1694="Technology",10,5))</x:f>
        <x:v>67</x:v>
      </x:c>
      <x:c r="AE1694" t="str">
        <x:f>IF(U1694&lt;&gt;"Open",U1694,IF(N1694&gt;=0.8,"Commit",IF(N1694&gt;=0.5,"Best Case","Pipeline")))</x:f>
        <x:v>Lost</x:v>
      </x:c>
    </x:row>
    <x:row r="1695">
      <x:c r="A1695" t="str">
        <x:v>L01694</x:v>
      </x:c>
      <x:c r="B1695" s="10" t="n">
        <x:v>45756</x:v>
      </x:c>
      <x:c r="C1695" t="str">
        <x:v>Quynh Vu</x:v>
      </x:c>
      <x:c r="D1695" t="str">
        <x:v>North</x:v>
      </x:c>
      <x:c r="E1695" t="str">
        <x:v>email nurture</x:v>
      </x:c>
      <x:c r="F1695" t="str">
        <x:v>MKT-AUTO</x:v>
      </x:c>
      <x:c r="G1695" t="str">
        <x:v>Manufacturing</x:v>
      </x:c>
      <x:c r="H1695" t="str">
        <x:v>SMB</x:v>
      </x:c>
      <x:c r="I1695" t="str">
        <x:v>Closed Lost</x:v>
      </x:c>
      <x:c r="J1695" s="10" t="n">
        <x:v>45770</x:v>
      </x:c>
      <x:c r="K1695" s="10" t="n">
        <x:v>45770</x:v>
      </x:c>
      <x:c r="L1695" s="22" t="n">
        <x:v>17900</x:v>
      </x:c>
      <x:c r="M1695" s="24" t="n">
        <x:v>0</x:v>
      </x:c>
      <x:c r="N1695" s="24" t="n">
        <x:v>0</x:v>
      </x:c>
      <x:c r="O1695" t="str">
        <x:v>Timing</x:v>
      </x:c>
      <x:c r="P1695" t="n">
        <x:v>2</x:v>
      </x:c>
      <x:c r="Q1695" t="str">
        <x:f>IFERROR(XLOOKUP(E1695,Lookups!$A$5:$A$24,Lookups!$B$5:$B$24),"Other")</x:f>
        <x:v>Email</x:v>
      </x:c>
      <x:c r="R1695" t="str">
        <x:f>IFERROR(XLOOKUP(F1695,Lookups!$D$5:$D$10,Lookups!$E$5:$E$10),"Unknown Product")</x:f>
        <x:v>Marketing Automation</x:v>
      </x:c>
      <x:c r="S1695" t="str">
        <x:f>IFERROR(XLOOKUP(F1695,Lookups!$D$5:$D$10,Lookups!$F$5:$F$10),"Unknown")</x:f>
        <x:v>Marketing</x:v>
      </x:c>
      <x:c r="T1695" t="str">
        <x:f>IF(L1695&gt;=50000,"Enterprise",IF(L1695&gt;=20000,"Mid-Market","SMB"))</x:f>
        <x:v>SMB</x:v>
      </x:c>
      <x:c r="U1695" t="str">
        <x:f>IF(I1695="Closed Won","Won",IF(I1695="Closed Lost","Lost","Open"))</x:f>
        <x:v>Lost</x:v>
      </x:c>
      <x:c r="V1695" s="22" t="n">
        <x:f>IF(U1695="Won",L1695*(1-M1695),0)</x:f>
        <x:v>0</x:v>
      </x:c>
      <x:c r="W1695" s="22" t="n">
        <x:f>IF(U1695="Open",L1695*N1695,0)</x:f>
        <x:v>0</x:v>
      </x:c>
      <x:c r="X1695" s="26" t="n">
        <x:f>IF(U1695="Open","",IFERROR(K1695-B1695,""))</x:f>
        <x:v>14</x:v>
      </x:c>
      <x:c r="Y1695" s="26" t="n">
        <x:f>IF(U1695="Open",Lookups!$B$2-B1695,X1695)</x:f>
        <x:v>14</x:v>
      </x:c>
      <x:c r="Z1695" t="str">
        <x:f>IF(AND(U1695="Open",Y1695&gt;30),"STALE","OK")</x:f>
        <x:v>OK</x:v>
      </x:c>
      <x:c r="AA1695" t="str">
        <x:f>TEXT(B1695,"yyyy-mm")</x:f>
        <x:v>2025-04</x:v>
      </x:c>
      <x:c r="AB1695" t="str">
        <x:f>IF(K1695="","",TEXT(K1695,"yyyy-mm"))</x:f>
        <x:v>2025-04</x:v>
      </x:c>
      <x:c r="AC1695" t="str">
        <x:f>"Q"&amp;ROUNDUP(MONTH(B1695)/3,0)&amp;"-"&amp;YEAR(B1695)</x:f>
        <x:v>Q2-2025</x:v>
      </x:c>
      <x:c r="AD1695" s="26" t="n">
        <x:f>MIN(100,IF(H1695="Enterprise",30,IF(H1695="Mid-Market",22,14))+IF(T1695="Enterprise",25,IF(T1695="Mid-Market",18,10))+IF(Q1695="Referral",25,IF(Q1695="Organic Search",20,IF(Q1695="Email",18,14)))+IF(G1695="Technology",10,5))</x:f>
        <x:v>47</x:v>
      </x:c>
      <x:c r="AE1695" t="str">
        <x:f>IF(U1695&lt;&gt;"Open",U1695,IF(N1695&gt;=0.8,"Commit",IF(N1695&gt;=0.5,"Best Case","Pipeline")))</x:f>
        <x:v>Lost</x:v>
      </x:c>
    </x:row>
    <x:row r="1696">
      <x:c r="A1696" t="str">
        <x:v>L01695</x:v>
      </x:c>
      <x:c r="B1696" s="10" t="n">
        <x:v>46242</x:v>
      </x:c>
      <x:c r="C1696" t="str">
        <x:v>Duy Pham</x:v>
      </x:c>
      <x:c r="D1696" t="str">
        <x:v>South</x:v>
      </x:c>
      <x:c r="E1696" t="str">
        <x:v>linkedin</x:v>
      </x:c>
      <x:c r="F1696" t="str">
        <x:v>CS-CLOUD</x:v>
      </x:c>
      <x:c r="G1696" t="str">
        <x:v>Manufacturing</x:v>
      </x:c>
      <x:c r="H1696" t="str">
        <x:v>Mid-Market</x:v>
      </x:c>
      <x:c r="I1696" t="str">
        <x:v>Closed Won</x:v>
      </x:c>
      <x:c r="J1696" s="10" t="n">
        <x:v>46266</x:v>
      </x:c>
      <x:c r="K1696" s="10" t="n">
        <x:v>46266</x:v>
      </x:c>
      <x:c r="L1696" s="22" t="n">
        <x:v>41600</x:v>
      </x:c>
      <x:c r="M1696" s="24" t="n">
        <x:v>0</x:v>
      </x:c>
      <x:c r="N1696" s="24" t="n">
        <x:v>1</x:v>
      </x:c>
      <x:c r="O1696" t="str"/>
      <x:c r="P1696" t="n">
        <x:v>6</x:v>
      </x:c>
      <x:c r="Q1696" t="str">
        <x:f>IFERROR(XLOOKUP(E1696,Lookups!$A$5:$A$24,Lookups!$B$5:$B$24),"Other")</x:f>
        <x:v>LinkedIn</x:v>
      </x:c>
      <x:c r="R1696" t="str">
        <x:f>IFERROR(XLOOKUP(F1696,Lookups!$D$5:$D$10,Lookups!$E$5:$E$10),"Unknown Product")</x:f>
        <x:v>Service Cloud</x:v>
      </x:c>
      <x:c r="S1696" t="str">
        <x:f>IFERROR(XLOOKUP(F1696,Lookups!$D$5:$D$10,Lookups!$F$5:$F$10),"Unknown")</x:f>
        <x:v>Customer Service</x:v>
      </x:c>
      <x:c r="T1696" t="str">
        <x:f>IF(L1696&gt;=50000,"Enterprise",IF(L1696&gt;=20000,"Mid-Market","SMB"))</x:f>
        <x:v>Mid-Market</x:v>
      </x:c>
      <x:c r="U1696" t="str">
        <x:f>IF(I1696="Closed Won","Won",IF(I1696="Closed Lost","Lost","Open"))</x:f>
        <x:v>Won</x:v>
      </x:c>
      <x:c r="V1696" s="22" t="n">
        <x:f>IF(U1696="Won",L1696*(1-M1696),0)</x:f>
        <x:v>41600</x:v>
      </x:c>
      <x:c r="W1696" s="22" t="n">
        <x:f>IF(U1696="Open",L1696*N1696,0)</x:f>
        <x:v>0</x:v>
      </x:c>
      <x:c r="X1696" s="26" t="n">
        <x:f>IF(U1696="Open","",IFERROR(K1696-B1696,""))</x:f>
        <x:v>24</x:v>
      </x:c>
      <x:c r="Y1696" s="26" t="n">
        <x:f>IF(U1696="Open",Lookups!$B$2-B1696,X1696)</x:f>
        <x:v>24</x:v>
      </x:c>
      <x:c r="Z1696" t="str">
        <x:f>IF(AND(U1696="Open",Y1696&gt;30),"STALE","OK")</x:f>
        <x:v>OK</x:v>
      </x:c>
      <x:c r="AA1696" t="str">
        <x:f>TEXT(B1696,"yyyy-mm")</x:f>
        <x:v>2026-08</x:v>
      </x:c>
      <x:c r="AB1696" t="str">
        <x:f>IF(K1696="","",TEXT(K1696,"yyyy-mm"))</x:f>
        <x:v>2026-09</x:v>
      </x:c>
      <x:c r="AC1696" t="str">
        <x:f>"Q"&amp;ROUNDUP(MONTH(B1696)/3,0)&amp;"-"&amp;YEAR(B1696)</x:f>
        <x:v>Q3-2026</x:v>
      </x:c>
      <x:c r="AD1696" s="26" t="n">
        <x:f>MIN(100,IF(H1696="Enterprise",30,IF(H1696="Mid-Market",22,14))+IF(T1696="Enterprise",25,IF(T1696="Mid-Market",18,10))+IF(Q1696="Referral",25,IF(Q1696="Organic Search",20,IF(Q1696="Email",18,14)))+IF(G1696="Technology",10,5))</x:f>
        <x:v>59</x:v>
      </x:c>
      <x:c r="AE1696" t="str">
        <x:f>IF(U1696&lt;&gt;"Open",U1696,IF(N1696&gt;=0.8,"Commit",IF(N1696&gt;=0.5,"Best Case","Pipeline")))</x:f>
        <x:v>Won</x:v>
      </x:c>
    </x:row>
    <x:row r="1697">
      <x:c r="A1697" t="str">
        <x:v>L01696</x:v>
      </x:c>
      <x:c r="B1697" s="10" t="n">
        <x:v>45865</x:v>
      </x:c>
      <x:c r="C1697" t="str">
        <x:v>Duy Pham</x:v>
      </x:c>
      <x:c r="D1697" t="str">
        <x:v>South</x:v>
      </x:c>
      <x:c r="E1697" t="str">
        <x:v>linkedin</x:v>
      </x:c>
      <x:c r="F1697" t="str">
        <x:v>CS-CLOUD</x:v>
      </x:c>
      <x:c r="G1697" t="str">
        <x:v>Financial Services</x:v>
      </x:c>
      <x:c r="H1697" t="str">
        <x:v>SMB</x:v>
      </x:c>
      <x:c r="I1697" t="str">
        <x:v>Negotiation</x:v>
      </x:c>
      <x:c r="J1697" s="10" t="n">
        <x:v>46177</x:v>
      </x:c>
      <x:c r="K1697" s="10"/>
      <x:c r="L1697" s="22" t="n">
        <x:v>16700</x:v>
      </x:c>
      <x:c r="M1697" s="24" t="n">
        <x:v>0</x:v>
      </x:c>
      <x:c r="N1697" s="24" t="n">
        <x:v>0.85</x:v>
      </x:c>
      <x:c r="O1697" t="str"/>
      <x:c r="P1697" t="n">
        <x:v>5</x:v>
      </x:c>
      <x:c r="Q1697" t="str">
        <x:f>IFERROR(XLOOKUP(E1697,Lookups!$A$5:$A$24,Lookups!$B$5:$B$24),"Other")</x:f>
        <x:v>LinkedIn</x:v>
      </x:c>
      <x:c r="R1697" t="str">
        <x:f>IFERROR(XLOOKUP(F1697,Lookups!$D$5:$D$10,Lookups!$E$5:$E$10),"Unknown Product")</x:f>
        <x:v>Service Cloud</x:v>
      </x:c>
      <x:c r="S1697" t="str">
        <x:f>IFERROR(XLOOKUP(F1697,Lookups!$D$5:$D$10,Lookups!$F$5:$F$10),"Unknown")</x:f>
        <x:v>Customer Service</x:v>
      </x:c>
      <x:c r="T1697" t="str">
        <x:f>IF(L1697&gt;=50000,"Enterprise",IF(L1697&gt;=20000,"Mid-Market","SMB"))</x:f>
        <x:v>SMB</x:v>
      </x:c>
      <x:c r="U1697" t="str">
        <x:f>IF(I1697="Closed Won","Won",IF(I1697="Closed Lost","Lost","Open"))</x:f>
        <x:v>Open</x:v>
      </x:c>
      <x:c r="V1697" s="22" t="n">
        <x:f>IF(U1697="Won",L1697*(1-M1697),0)</x:f>
        <x:v>0</x:v>
      </x:c>
      <x:c r="W1697" s="22" t="n">
        <x:f>IF(U1697="Open",L1697*N1697,0)</x:f>
        <x:v>14195</x:v>
      </x:c>
      <x:c r="X1697" s="26" t="str">
        <x:f>IF(U1697="Open","",IFERROR(K1697-B1697,""))</x:f>
      </x:c>
      <x:c r="Y1697" s="26" t="n">
        <x:f>IF(U1697="Open",Lookups!$B$2-B1697,X1697)</x:f>
        <x:v>401</x:v>
      </x:c>
      <x:c r="Z1697" t="str">
        <x:f>IF(AND(U1697="Open",Y1697&gt;30),"STALE","OK")</x:f>
        <x:v>STALE</x:v>
      </x:c>
      <x:c r="AA1697" t="str">
        <x:f>TEXT(B1697,"yyyy-mm")</x:f>
        <x:v>2025-07</x:v>
      </x:c>
      <x:c r="AB1697" t="str">
        <x:f>IF(K1697="","",TEXT(K1697,"yyyy-mm"))</x:f>
      </x:c>
      <x:c r="AC1697" t="str">
        <x:f>"Q"&amp;ROUNDUP(MONTH(B1697)/3,0)&amp;"-"&amp;YEAR(B1697)</x:f>
        <x:v>Q3-2025</x:v>
      </x:c>
      <x:c r="AD1697" s="26" t="n">
        <x:f>MIN(100,IF(H1697="Enterprise",30,IF(H1697="Mid-Market",22,14))+IF(T1697="Enterprise",25,IF(T1697="Mid-Market",18,10))+IF(Q1697="Referral",25,IF(Q1697="Organic Search",20,IF(Q1697="Email",18,14)))+IF(G1697="Technology",10,5))</x:f>
        <x:v>43</x:v>
      </x:c>
      <x:c r="AE1697" t="str">
        <x:f>IF(U1697&lt;&gt;"Open",U1697,IF(N1697&gt;=0.8,"Commit",IF(N1697&gt;=0.5,"Best Case","Pipeline")))</x:f>
        <x:v>Commit</x:v>
      </x:c>
    </x:row>
    <x:row r="1698">
      <x:c r="A1698" t="str">
        <x:v>L01697</x:v>
      </x:c>
      <x:c r="B1698" s="10" t="n">
        <x:v>45882</x:v>
      </x:c>
      <x:c r="C1698" t="str">
        <x:v>Chi Le</x:v>
      </x:c>
      <x:c r="D1698" t="str">
        <x:v>South</x:v>
      </x:c>
      <x:c r="E1698" t="str">
        <x:v>Email Campaign</x:v>
      </x:c>
      <x:c r="F1698" t="str">
        <x:v>MKT-AUTO</x:v>
      </x:c>
      <x:c r="G1698" t="str">
        <x:v>Professional Services</x:v>
      </x:c>
      <x:c r="H1698" t="str">
        <x:v>SMB</x:v>
      </x:c>
      <x:c r="I1698" t="str">
        <x:v>Closed Lost</x:v>
      </x:c>
      <x:c r="J1698" s="10" t="n">
        <x:v>45952</x:v>
      </x:c>
      <x:c r="K1698" s="10" t="n">
        <x:v>45952</x:v>
      </x:c>
      <x:c r="L1698" s="22" t="n">
        <x:v>10200</x:v>
      </x:c>
      <x:c r="M1698" s="24" t="n">
        <x:v>0</x:v>
      </x:c>
      <x:c r="N1698" s="24" t="n">
        <x:v>0</x:v>
      </x:c>
      <x:c r="O1698" t="str">
        <x:v>Competitor</x:v>
      </x:c>
      <x:c r="P1698" t="n">
        <x:v>4</x:v>
      </x:c>
      <x:c r="Q1698" t="str">
        <x:f>IFERROR(XLOOKUP(E1698,Lookups!$A$5:$A$24,Lookups!$B$5:$B$24),"Other")</x:f>
        <x:v>Email</x:v>
      </x:c>
      <x:c r="R1698" t="str">
        <x:f>IFERROR(XLOOKUP(F1698,Lookups!$D$5:$D$10,Lookups!$E$5:$E$10),"Unknown Product")</x:f>
        <x:v>Marketing Automation</x:v>
      </x:c>
      <x:c r="S1698" t="str">
        <x:f>IFERROR(XLOOKUP(F1698,Lookups!$D$5:$D$10,Lookups!$F$5:$F$10),"Unknown")</x:f>
        <x:v>Marketing</x:v>
      </x:c>
      <x:c r="T1698" t="str">
        <x:f>IF(L1698&gt;=50000,"Enterprise",IF(L1698&gt;=20000,"Mid-Market","SMB"))</x:f>
        <x:v>SMB</x:v>
      </x:c>
      <x:c r="U1698" t="str">
        <x:f>IF(I1698="Closed Won","Won",IF(I1698="Closed Lost","Lost","Open"))</x:f>
        <x:v>Lost</x:v>
      </x:c>
      <x:c r="V1698" s="22" t="n">
        <x:f>IF(U1698="Won",L1698*(1-M1698),0)</x:f>
        <x:v>0</x:v>
      </x:c>
      <x:c r="W1698" s="22" t="n">
        <x:f>IF(U1698="Open",L1698*N1698,0)</x:f>
        <x:v>0</x:v>
      </x:c>
      <x:c r="X1698" s="26" t="n">
        <x:f>IF(U1698="Open","",IFERROR(K1698-B1698,""))</x:f>
        <x:v>70</x:v>
      </x:c>
      <x:c r="Y1698" s="26" t="n">
        <x:f>IF(U1698="Open",Lookups!$B$2-B1698,X1698)</x:f>
        <x:v>70</x:v>
      </x:c>
      <x:c r="Z1698" t="str">
        <x:f>IF(AND(U1698="Open",Y1698&gt;30),"STALE","OK")</x:f>
        <x:v>OK</x:v>
      </x:c>
      <x:c r="AA1698" t="str">
        <x:f>TEXT(B1698,"yyyy-mm")</x:f>
        <x:v>2025-08</x:v>
      </x:c>
      <x:c r="AB1698" t="str">
        <x:f>IF(K1698="","",TEXT(K1698,"yyyy-mm"))</x:f>
        <x:v>2025-10</x:v>
      </x:c>
      <x:c r="AC1698" t="str">
        <x:f>"Q"&amp;ROUNDUP(MONTH(B1698)/3,0)&amp;"-"&amp;YEAR(B1698)</x:f>
        <x:v>Q3-2025</x:v>
      </x:c>
      <x:c r="AD1698" s="26" t="n">
        <x:f>MIN(100,IF(H1698="Enterprise",30,IF(H1698="Mid-Market",22,14))+IF(T1698="Enterprise",25,IF(T1698="Mid-Market",18,10))+IF(Q1698="Referral",25,IF(Q1698="Organic Search",20,IF(Q1698="Email",18,14)))+IF(G1698="Technology",10,5))</x:f>
        <x:v>47</x:v>
      </x:c>
      <x:c r="AE1698" t="str">
        <x:f>IF(U1698&lt;&gt;"Open",U1698,IF(N1698&gt;=0.8,"Commit",IF(N1698&gt;=0.5,"Best Case","Pipeline")))</x:f>
        <x:v>Lost</x:v>
      </x:c>
    </x:row>
    <x:row r="1699">
      <x:c r="A1699" t="str">
        <x:v>L01698</x:v>
      </x:c>
      <x:c r="B1699" s="10" t="n">
        <x:v>46092</x:v>
      </x:c>
      <x:c r="C1699" t="str">
        <x:v>An Nguyen</x:v>
      </x:c>
      <x:c r="D1699" t="str">
        <x:v>South</x:v>
      </x:c>
      <x:c r="E1699" t="str">
        <x:v>Email Campaign</x:v>
      </x:c>
      <x:c r="F1699" t="str">
        <x:v>CRM-CORE</x:v>
      </x:c>
      <x:c r="G1699" t="str">
        <x:v>Retail</x:v>
      </x:c>
      <x:c r="H1699" t="str">
        <x:v>SMB</x:v>
      </x:c>
      <x:c r="I1699" t="str">
        <x:v>Negotiation</x:v>
      </x:c>
      <x:c r="J1699" s="10" t="n">
        <x:v>46161</x:v>
      </x:c>
      <x:c r="K1699" s="10"/>
      <x:c r="L1699" s="22" t="n">
        <x:v>9000</x:v>
      </x:c>
      <x:c r="M1699" s="24" t="n">
        <x:v>0</x:v>
      </x:c>
      <x:c r="N1699" s="24" t="n">
        <x:v>0.85</x:v>
      </x:c>
      <x:c r="O1699" t="str"/>
      <x:c r="P1699" t="n">
        <x:v>5</x:v>
      </x:c>
      <x:c r="Q1699" t="str">
        <x:f>IFERROR(XLOOKUP(E1699,Lookups!$A$5:$A$24,Lookups!$B$5:$B$24),"Other")</x:f>
        <x:v>Email</x:v>
      </x:c>
      <x:c r="R1699" t="str">
        <x:f>IFERROR(XLOOKUP(F1699,Lookups!$D$5:$D$10,Lookups!$E$5:$E$10),"Unknown Product")</x:f>
        <x:v>NexaCRM Core</x:v>
      </x:c>
      <x:c r="S1699" t="str">
        <x:f>IFERROR(XLOOKUP(F1699,Lookups!$D$5:$D$10,Lookups!$F$5:$F$10),"Unknown")</x:f>
        <x:v>CRM</x:v>
      </x:c>
      <x:c r="T1699" t="str">
        <x:f>IF(L1699&gt;=50000,"Enterprise",IF(L1699&gt;=20000,"Mid-Market","SMB"))</x:f>
        <x:v>SMB</x:v>
      </x:c>
      <x:c r="U1699" t="str">
        <x:f>IF(I1699="Closed Won","Won",IF(I1699="Closed Lost","Lost","Open"))</x:f>
        <x:v>Open</x:v>
      </x:c>
      <x:c r="V1699" s="22" t="n">
        <x:f>IF(U1699="Won",L1699*(1-M1699),0)</x:f>
        <x:v>0</x:v>
      </x:c>
      <x:c r="W1699" s="22" t="n">
        <x:f>IF(U1699="Open",L1699*N1699,0)</x:f>
        <x:v>7650</x:v>
      </x:c>
      <x:c r="X1699" s="26" t="str">
        <x:f>IF(U1699="Open","",IFERROR(K1699-B1699,""))</x:f>
      </x:c>
      <x:c r="Y1699" s="26" t="n">
        <x:f>IF(U1699="Open",Lookups!$B$2-B1699,X1699)</x:f>
        <x:v>174</x:v>
      </x:c>
      <x:c r="Z1699" t="str">
        <x:f>IF(AND(U1699="Open",Y1699&gt;30),"STALE","OK")</x:f>
        <x:v>STALE</x:v>
      </x:c>
      <x:c r="AA1699" t="str">
        <x:f>TEXT(B1699,"yyyy-mm")</x:f>
        <x:v>2026-03</x:v>
      </x:c>
      <x:c r="AB1699" t="str">
        <x:f>IF(K1699="","",TEXT(K1699,"yyyy-mm"))</x:f>
      </x:c>
      <x:c r="AC1699" t="str">
        <x:f>"Q"&amp;ROUNDUP(MONTH(B1699)/3,0)&amp;"-"&amp;YEAR(B1699)</x:f>
        <x:v>Q1-2026</x:v>
      </x:c>
      <x:c r="AD1699" s="26" t="n">
        <x:f>MIN(100,IF(H1699="Enterprise",30,IF(H1699="Mid-Market",22,14))+IF(T1699="Enterprise",25,IF(T1699="Mid-Market",18,10))+IF(Q1699="Referral",25,IF(Q1699="Organic Search",20,IF(Q1699="Email",18,14)))+IF(G1699="Technology",10,5))</x:f>
        <x:v>47</x:v>
      </x:c>
      <x:c r="AE1699" t="str">
        <x:f>IF(U1699&lt;&gt;"Open",U1699,IF(N1699&gt;=0.8,"Commit",IF(N1699&gt;=0.5,"Best Case","Pipeline")))</x:f>
        <x:v>Commit</x:v>
      </x:c>
    </x:row>
    <x:row r="1700">
      <x:c r="A1700" t="str">
        <x:v>L01699</x:v>
      </x:c>
      <x:c r="B1700" s="10" t="n">
        <x:v>45980</x:v>
      </x:c>
      <x:c r="C1700" t="str">
        <x:v>Minh Do</x:v>
      </x:c>
      <x:c r="D1700" t="str">
        <x:v>North</x:v>
      </x:c>
      <x:c r="E1700" t="str">
        <x:v>newsletter</x:v>
      </x:c>
      <x:c r="F1700" t="str">
        <x:v>MKT-AUTO</x:v>
      </x:c>
      <x:c r="G1700" t="str">
        <x:v>Technology</x:v>
      </x:c>
      <x:c r="H1700" t="str">
        <x:v>Enterprise</x:v>
      </x:c>
      <x:c r="I1700" t="str">
        <x:v>Closed Lost</x:v>
      </x:c>
      <x:c r="J1700" s="10" t="n">
        <x:v>46023</x:v>
      </x:c>
      <x:c r="K1700" s="10" t="n">
        <x:v>46023</x:v>
      </x:c>
      <x:c r="L1700" s="22" t="n">
        <x:v>52500</x:v>
      </x:c>
      <x:c r="M1700" s="24" t="n">
        <x:v>0</x:v>
      </x:c>
      <x:c r="N1700" s="24" t="n">
        <x:v>0</x:v>
      </x:c>
      <x:c r="O1700" t="str">
        <x:v>Competitor</x:v>
      </x:c>
      <x:c r="P1700" t="n">
        <x:v>4</x:v>
      </x:c>
      <x:c r="Q1700" t="str">
        <x:f>IFERROR(XLOOKUP(E1700,Lookups!$A$5:$A$24,Lookups!$B$5:$B$24),"Other")</x:f>
        <x:v>Email</x:v>
      </x:c>
      <x:c r="R1700" t="str">
        <x:f>IFERROR(XLOOKUP(F1700,Lookups!$D$5:$D$10,Lookups!$E$5:$E$10),"Unknown Product")</x:f>
        <x:v>Marketing Automation</x:v>
      </x:c>
      <x:c r="S1700" t="str">
        <x:f>IFERROR(XLOOKUP(F1700,Lookups!$D$5:$D$10,Lookups!$F$5:$F$10),"Unknown")</x:f>
        <x:v>Marketing</x:v>
      </x:c>
      <x:c r="T1700" t="str">
        <x:f>IF(L1700&gt;=50000,"Enterprise",IF(L1700&gt;=20000,"Mid-Market","SMB"))</x:f>
        <x:v>Enterprise</x:v>
      </x:c>
      <x:c r="U1700" t="str">
        <x:f>IF(I1700="Closed Won","Won",IF(I1700="Closed Lost","Lost","Open"))</x:f>
        <x:v>Lost</x:v>
      </x:c>
      <x:c r="V1700" s="22" t="n">
        <x:f>IF(U1700="Won",L1700*(1-M1700),0)</x:f>
        <x:v>0</x:v>
      </x:c>
      <x:c r="W1700" s="22" t="n">
        <x:f>IF(U1700="Open",L1700*N1700,0)</x:f>
        <x:v>0</x:v>
      </x:c>
      <x:c r="X1700" s="26" t="n">
        <x:f>IF(U1700="Open","",IFERROR(K1700-B1700,""))</x:f>
        <x:v>43</x:v>
      </x:c>
      <x:c r="Y1700" s="26" t="n">
        <x:f>IF(U1700="Open",Lookups!$B$2-B1700,X1700)</x:f>
        <x:v>43</x:v>
      </x:c>
      <x:c r="Z1700" t="str">
        <x:f>IF(AND(U1700="Open",Y1700&gt;30),"STALE","OK")</x:f>
        <x:v>OK</x:v>
      </x:c>
      <x:c r="AA1700" t="str">
        <x:f>TEXT(B1700,"yyyy-mm")</x:f>
        <x:v>2025-11</x:v>
      </x:c>
      <x:c r="AB1700" t="str">
        <x:f>IF(K1700="","",TEXT(K1700,"yyyy-mm"))</x:f>
        <x:v>2026-01</x:v>
      </x:c>
      <x:c r="AC1700" t="str">
        <x:f>"Q"&amp;ROUNDUP(MONTH(B1700)/3,0)&amp;"-"&amp;YEAR(B1700)</x:f>
        <x:v>Q4-2025</x:v>
      </x:c>
      <x:c r="AD1700" s="26" t="n">
        <x:f>MIN(100,IF(H1700="Enterprise",30,IF(H1700="Mid-Market",22,14))+IF(T1700="Enterprise",25,IF(T1700="Mid-Market",18,10))+IF(Q1700="Referral",25,IF(Q1700="Organic Search",20,IF(Q1700="Email",18,14)))+IF(G1700="Technology",10,5))</x:f>
        <x:v>83</x:v>
      </x:c>
      <x:c r="AE1700" t="str">
        <x:f>IF(U1700&lt;&gt;"Open",U1700,IF(N1700&gt;=0.8,"Commit",IF(N1700&gt;=0.5,"Best Case","Pipeline")))</x:f>
        <x:v>Lost</x:v>
      </x:c>
    </x:row>
    <x:row r="1701">
      <x:c r="A1701" t="str">
        <x:v>L01700</x:v>
      </x:c>
      <x:c r="B1701" s="10" t="n">
        <x:v>46132</x:v>
      </x:c>
      <x:c r="C1701" t="str">
        <x:v>Ha Vo</x:v>
      </x:c>
      <x:c r="D1701" t="str">
        <x:v>North</x:v>
      </x:c>
      <x:c r="E1701" t="str">
        <x:v>google cpc</x:v>
      </x:c>
      <x:c r="F1701" t="str">
        <x:v>CRM-PRO</x:v>
      </x:c>
      <x:c r="G1701" t="str">
        <x:v>Financial Services</x:v>
      </x:c>
      <x:c r="H1701" t="str">
        <x:v>Mid-Market</x:v>
      </x:c>
      <x:c r="I1701" t="str">
        <x:v>Closed Won</x:v>
      </x:c>
      <x:c r="J1701" s="10" t="n">
        <x:v>46183</x:v>
      </x:c>
      <x:c r="K1701" s="10" t="n">
        <x:v>46183</x:v>
      </x:c>
      <x:c r="L1701" s="22" t="n">
        <x:v>35100</x:v>
      </x:c>
      <x:c r="M1701" s="24" t="n">
        <x:v>0.12</x:v>
      </x:c>
      <x:c r="N1701" s="24" t="n">
        <x:v>1</x:v>
      </x:c>
      <x:c r="O1701" t="str"/>
      <x:c r="P1701" t="n">
        <x:v>6</x:v>
      </x:c>
      <x:c r="Q1701" t="str">
        <x:f>IFERROR(XLOOKUP(E1701,Lookups!$A$5:$A$24,Lookups!$B$5:$B$24),"Other")</x:f>
        <x:v>Paid Search</x:v>
      </x:c>
      <x:c r="R1701" t="str">
        <x:f>IFERROR(XLOOKUP(F1701,Lookups!$D$5:$D$10,Lookups!$E$5:$E$10),"Unknown Product")</x:f>
        <x:v>NexaCRM Pro</x:v>
      </x:c>
      <x:c r="S1701" t="str">
        <x:f>IFERROR(XLOOKUP(F1701,Lookups!$D$5:$D$10,Lookups!$F$5:$F$10),"Unknown")</x:f>
        <x:v>CRM</x:v>
      </x:c>
      <x:c r="T1701" t="str">
        <x:f>IF(L1701&gt;=50000,"Enterprise",IF(L1701&gt;=20000,"Mid-Market","SMB"))</x:f>
        <x:v>Mid-Market</x:v>
      </x:c>
      <x:c r="U1701" t="str">
        <x:f>IF(I1701="Closed Won","Won",IF(I1701="Closed Lost","Lost","Open"))</x:f>
        <x:v>Won</x:v>
      </x:c>
      <x:c r="V1701" s="22" t="n">
        <x:f>IF(U1701="Won",L1701*(1-M1701),0)</x:f>
        <x:v>30888</x:v>
      </x:c>
      <x:c r="W1701" s="22" t="n">
        <x:f>IF(U1701="Open",L1701*N1701,0)</x:f>
        <x:v>0</x:v>
      </x:c>
      <x:c r="X1701" s="26" t="n">
        <x:f>IF(U1701="Open","",IFERROR(K1701-B1701,""))</x:f>
        <x:v>51</x:v>
      </x:c>
      <x:c r="Y1701" s="26" t="n">
        <x:f>IF(U1701="Open",Lookups!$B$2-B1701,X1701)</x:f>
        <x:v>51</x:v>
      </x:c>
      <x:c r="Z1701" t="str">
        <x:f>IF(AND(U1701="Open",Y1701&gt;30),"STALE","OK")</x:f>
        <x:v>OK</x:v>
      </x:c>
      <x:c r="AA1701" t="str">
        <x:f>TEXT(B1701,"yyyy-mm")</x:f>
        <x:v>2026-04</x:v>
      </x:c>
      <x:c r="AB1701" t="str">
        <x:f>IF(K1701="","",TEXT(K1701,"yyyy-mm"))</x:f>
        <x:v>2026-06</x:v>
      </x:c>
      <x:c r="AC1701" t="str">
        <x:f>"Q"&amp;ROUNDUP(MONTH(B1701)/3,0)&amp;"-"&amp;YEAR(B1701)</x:f>
        <x:v>Q2-2026</x:v>
      </x:c>
      <x:c r="AD1701" s="26" t="n">
        <x:f>MIN(100,IF(H1701="Enterprise",30,IF(H1701="Mid-Market",22,14))+IF(T1701="Enterprise",25,IF(T1701="Mid-Market",18,10))+IF(Q1701="Referral",25,IF(Q1701="Organic Search",20,IF(Q1701="Email",18,14)))+IF(G1701="Technology",10,5))</x:f>
        <x:v>59</x:v>
      </x:c>
      <x:c r="AE1701" t="str">
        <x:f>IF(U1701&lt;&gt;"Open",U1701,IF(N1701&gt;=0.8,"Commit",IF(N1701&gt;=0.5,"Best Case","Pipeline")))</x:f>
        <x:v>Won</x:v>
      </x:c>
    </x:row>
    <x:row r="1702">
      <x:c r="A1702" t="str">
        <x:v>L01701</x:v>
      </x:c>
      <x:c r="B1702" s="10" t="n">
        <x:v>46165</x:v>
      </x:c>
      <x:c r="C1702" t="str">
        <x:v>Chi Le</x:v>
      </x:c>
      <x:c r="D1702" t="str">
        <x:v>South</x:v>
      </x:c>
      <x:c r="E1702" t="str">
        <x:v>google cpc</x:v>
      </x:c>
      <x:c r="F1702" t="str">
        <x:v>CRM-CORE</x:v>
      </x:c>
      <x:c r="G1702" t="str">
        <x:v>Technology</x:v>
      </x:c>
      <x:c r="H1702" t="str">
        <x:v>Mid-Market</x:v>
      </x:c>
      <x:c r="I1702" t="str">
        <x:v>Closed Lost</x:v>
      </x:c>
      <x:c r="J1702" s="10" t="n">
        <x:v>46196</x:v>
      </x:c>
      <x:c r="K1702" s="10" t="n">
        <x:v>46196</x:v>
      </x:c>
      <x:c r="L1702" s="22" t="n">
        <x:v>9100</x:v>
      </x:c>
      <x:c r="M1702" s="24" t="n">
        <x:v>0</x:v>
      </x:c>
      <x:c r="N1702" s="24" t="n">
        <x:v>0</x:v>
      </x:c>
      <x:c r="O1702" t="str">
        <x:v>Budget</x:v>
      </x:c>
      <x:c r="P1702" t="n">
        <x:v>5</x:v>
      </x:c>
      <x:c r="Q1702" t="str">
        <x:f>IFERROR(XLOOKUP(E1702,Lookups!$A$5:$A$24,Lookups!$B$5:$B$24),"Other")</x:f>
        <x:v>Paid Search</x:v>
      </x:c>
      <x:c r="R1702" t="str">
        <x:f>IFERROR(XLOOKUP(F1702,Lookups!$D$5:$D$10,Lookups!$E$5:$E$10),"Unknown Product")</x:f>
        <x:v>NexaCRM Core</x:v>
      </x:c>
      <x:c r="S1702" t="str">
        <x:f>IFERROR(XLOOKUP(F1702,Lookups!$D$5:$D$10,Lookups!$F$5:$F$10),"Unknown")</x:f>
        <x:v>CRM</x:v>
      </x:c>
      <x:c r="T1702" t="str">
        <x:f>IF(L1702&gt;=50000,"Enterprise",IF(L1702&gt;=20000,"Mid-Market","SMB"))</x:f>
        <x:v>SMB</x:v>
      </x:c>
      <x:c r="U1702" t="str">
        <x:f>IF(I1702="Closed Won","Won",IF(I1702="Closed Lost","Lost","Open"))</x:f>
        <x:v>Lost</x:v>
      </x:c>
      <x:c r="V1702" s="22" t="n">
        <x:f>IF(U1702="Won",L1702*(1-M1702),0)</x:f>
        <x:v>0</x:v>
      </x:c>
      <x:c r="W1702" s="22" t="n">
        <x:f>IF(U1702="Open",L1702*N1702,0)</x:f>
        <x:v>0</x:v>
      </x:c>
      <x:c r="X1702" s="26" t="n">
        <x:f>IF(U1702="Open","",IFERROR(K1702-B1702,""))</x:f>
        <x:v>31</x:v>
      </x:c>
      <x:c r="Y1702" s="26" t="n">
        <x:f>IF(U1702="Open",Lookups!$B$2-B1702,X1702)</x:f>
        <x:v>31</x:v>
      </x:c>
      <x:c r="Z1702" t="str">
        <x:f>IF(AND(U1702="Open",Y1702&gt;30),"STALE","OK")</x:f>
        <x:v>OK</x:v>
      </x:c>
      <x:c r="AA1702" t="str">
        <x:f>TEXT(B1702,"yyyy-mm")</x:f>
        <x:v>2026-05</x:v>
      </x:c>
      <x:c r="AB1702" t="str">
        <x:f>IF(K1702="","",TEXT(K1702,"yyyy-mm"))</x:f>
        <x:v>2026-06</x:v>
      </x:c>
      <x:c r="AC1702" t="str">
        <x:f>"Q"&amp;ROUNDUP(MONTH(B1702)/3,0)&amp;"-"&amp;YEAR(B1702)</x:f>
        <x:v>Q2-2026</x:v>
      </x:c>
      <x:c r="AD1702" s="26" t="n">
        <x:f>MIN(100,IF(H1702="Enterprise",30,IF(H1702="Mid-Market",22,14))+IF(T1702="Enterprise",25,IF(T1702="Mid-Market",18,10))+IF(Q1702="Referral",25,IF(Q1702="Organic Search",20,IF(Q1702="Email",18,14)))+IF(G1702="Technology",10,5))</x:f>
        <x:v>56</x:v>
      </x:c>
      <x:c r="AE1702" t="str">
        <x:f>IF(U1702&lt;&gt;"Open",U1702,IF(N1702&gt;=0.8,"Commit",IF(N1702&gt;=0.5,"Best Case","Pipeline")))</x:f>
        <x:v>Lost</x:v>
      </x:c>
    </x:row>
    <x:row r="1703">
      <x:c r="A1703" t="str">
        <x:v>L01702</x:v>
      </x:c>
      <x:c r="B1703" s="10" t="n">
        <x:v>46100</x:v>
      </x:c>
      <x:c r="C1703" t="str">
        <x:v>Tuan Bui</x:v>
      </x:c>
      <x:c r="D1703" t="str">
        <x:v>Central</x:v>
      </x:c>
      <x:c r="E1703" t="str">
        <x:v>newsletter</x:v>
      </x:c>
      <x:c r="F1703" t="str">
        <x:v>MKT-AUTO</x:v>
      </x:c>
      <x:c r="G1703" t="str">
        <x:v>Healthcare</x:v>
      </x:c>
      <x:c r="H1703" t="str">
        <x:v>Mid-Market</x:v>
      </x:c>
      <x:c r="I1703" t="str">
        <x:v>Closed Lost</x:v>
      </x:c>
      <x:c r="J1703" s="10" t="n">
        <x:v>46150</x:v>
      </x:c>
      <x:c r="K1703" s="10" t="n">
        <x:v>46150</x:v>
      </x:c>
      <x:c r="L1703" s="22" t="n">
        <x:v>30400</x:v>
      </x:c>
      <x:c r="M1703" s="24" t="n">
        <x:v>0</x:v>
      </x:c>
      <x:c r="N1703" s="24" t="n">
        <x:v>0</x:v>
      </x:c>
      <x:c r="O1703" t="str">
        <x:v>Price</x:v>
      </x:c>
      <x:c r="P1703" t="n">
        <x:v>4</x:v>
      </x:c>
      <x:c r="Q1703" t="str">
        <x:f>IFERROR(XLOOKUP(E1703,Lookups!$A$5:$A$24,Lookups!$B$5:$B$24),"Other")</x:f>
        <x:v>Email</x:v>
      </x:c>
      <x:c r="R1703" t="str">
        <x:f>IFERROR(XLOOKUP(F1703,Lookups!$D$5:$D$10,Lookups!$E$5:$E$10),"Unknown Product")</x:f>
        <x:v>Marketing Automation</x:v>
      </x:c>
      <x:c r="S1703" t="str">
        <x:f>IFERROR(XLOOKUP(F1703,Lookups!$D$5:$D$10,Lookups!$F$5:$F$10),"Unknown")</x:f>
        <x:v>Marketing</x:v>
      </x:c>
      <x:c r="T1703" t="str">
        <x:f>IF(L1703&gt;=50000,"Enterprise",IF(L1703&gt;=20000,"Mid-Market","SMB"))</x:f>
        <x:v>Mid-Market</x:v>
      </x:c>
      <x:c r="U1703" t="str">
        <x:f>IF(I1703="Closed Won","Won",IF(I1703="Closed Lost","Lost","Open"))</x:f>
        <x:v>Lost</x:v>
      </x:c>
      <x:c r="V1703" s="22" t="n">
        <x:f>IF(U1703="Won",L1703*(1-M1703),0)</x:f>
        <x:v>0</x:v>
      </x:c>
      <x:c r="W1703" s="22" t="n">
        <x:f>IF(U1703="Open",L1703*N1703,0)</x:f>
        <x:v>0</x:v>
      </x:c>
      <x:c r="X1703" s="26" t="n">
        <x:f>IF(U1703="Open","",IFERROR(K1703-B1703,""))</x:f>
        <x:v>50</x:v>
      </x:c>
      <x:c r="Y1703" s="26" t="n">
        <x:f>IF(U1703="Open",Lookups!$B$2-B1703,X1703)</x:f>
        <x:v>50</x:v>
      </x:c>
      <x:c r="Z1703" t="str">
        <x:f>IF(AND(U1703="Open",Y1703&gt;30),"STALE","OK")</x:f>
        <x:v>OK</x:v>
      </x:c>
      <x:c r="AA1703" t="str">
        <x:f>TEXT(B1703,"yyyy-mm")</x:f>
        <x:v>2026-03</x:v>
      </x:c>
      <x:c r="AB1703" t="str">
        <x:f>IF(K1703="","",TEXT(K1703,"yyyy-mm"))</x:f>
        <x:v>2026-05</x:v>
      </x:c>
      <x:c r="AC1703" t="str">
        <x:f>"Q"&amp;ROUNDUP(MONTH(B1703)/3,0)&amp;"-"&amp;YEAR(B1703)</x:f>
        <x:v>Q1-2026</x:v>
      </x:c>
      <x:c r="AD1703" s="26" t="n">
        <x:f>MIN(100,IF(H1703="Enterprise",30,IF(H1703="Mid-Market",22,14))+IF(T1703="Enterprise",25,IF(T1703="Mid-Market",18,10))+IF(Q1703="Referral",25,IF(Q1703="Organic Search",20,IF(Q1703="Email",18,14)))+IF(G1703="Technology",10,5))</x:f>
        <x:v>63</x:v>
      </x:c>
      <x:c r="AE1703" t="str">
        <x:f>IF(U1703&lt;&gt;"Open",U1703,IF(N1703&gt;=0.8,"Commit",IF(N1703&gt;=0.5,"Best Case","Pipeline")))</x:f>
        <x:v>Lost</x:v>
      </x:c>
    </x:row>
    <x:row r="1704">
      <x:c r="A1704" t="str">
        <x:v>L01703</x:v>
      </x:c>
      <x:c r="B1704" s="10" t="n">
        <x:v>45704</x:v>
      </x:c>
      <x:c r="C1704" t="str">
        <x:v>Tuan Bui</x:v>
      </x:c>
      <x:c r="D1704" t="str">
        <x:v>Central</x:v>
      </x:c>
      <x:c r="E1704" t="str">
        <x:v>google cpc</x:v>
      </x:c>
      <x:c r="F1704" t="str">
        <x:v>REV-OPS</x:v>
      </x:c>
      <x:c r="G1704" t="str">
        <x:v>Financial Services</x:v>
      </x:c>
      <x:c r="H1704" t="str">
        <x:v>SMB</x:v>
      </x:c>
      <x:c r="I1704" t="str">
        <x:v>Closed Lost</x:v>
      </x:c>
      <x:c r="J1704" s="10" t="n">
        <x:v>45757</x:v>
      </x:c>
      <x:c r="K1704" s="10" t="n">
        <x:v>45757</x:v>
      </x:c>
      <x:c r="L1704" s="22" t="n">
        <x:v>25000</x:v>
      </x:c>
      <x:c r="M1704" s="24" t="n">
        <x:v>0</x:v>
      </x:c>
      <x:c r="N1704" s="24" t="n">
        <x:v>0</x:v>
      </x:c>
      <x:c r="O1704" t="str">
        <x:v>Price</x:v>
      </x:c>
      <x:c r="P1704" t="n">
        <x:v>4</x:v>
      </x:c>
      <x:c r="Q1704" t="str">
        <x:f>IFERROR(XLOOKUP(E1704,Lookups!$A$5:$A$24,Lookups!$B$5:$B$24),"Other")</x:f>
        <x:v>Paid Search</x:v>
      </x:c>
      <x:c r="R1704" t="str">
        <x:f>IFERROR(XLOOKUP(F1704,Lookups!$D$5:$D$10,Lookups!$E$5:$E$10),"Unknown Product")</x:f>
        <x:v>Revenue Operations Suite</x:v>
      </x:c>
      <x:c r="S1704" t="str">
        <x:f>IFERROR(XLOOKUP(F1704,Lookups!$D$5:$D$10,Lookups!$F$5:$F$10),"Unknown")</x:f>
        <x:v>Revenue Ops</x:v>
      </x:c>
      <x:c r="T1704" t="str">
        <x:f>IF(L1704&gt;=50000,"Enterprise",IF(L1704&gt;=20000,"Mid-Market","SMB"))</x:f>
        <x:v>Mid-Market</x:v>
      </x:c>
      <x:c r="U1704" t="str">
        <x:f>IF(I1704="Closed Won","Won",IF(I1704="Closed Lost","Lost","Open"))</x:f>
        <x:v>Lost</x:v>
      </x:c>
      <x:c r="V1704" s="22" t="n">
        <x:f>IF(U1704="Won",L1704*(1-M1704),0)</x:f>
        <x:v>0</x:v>
      </x:c>
      <x:c r="W1704" s="22" t="n">
        <x:f>IF(U1704="Open",L1704*N1704,0)</x:f>
        <x:v>0</x:v>
      </x:c>
      <x:c r="X1704" s="26" t="n">
        <x:f>IF(U1704="Open","",IFERROR(K1704-B1704,""))</x:f>
        <x:v>53</x:v>
      </x:c>
      <x:c r="Y1704" s="26" t="n">
        <x:f>IF(U1704="Open",Lookups!$B$2-B1704,X1704)</x:f>
        <x:v>53</x:v>
      </x:c>
      <x:c r="Z1704" t="str">
        <x:f>IF(AND(U1704="Open",Y1704&gt;30),"STALE","OK")</x:f>
        <x:v>OK</x:v>
      </x:c>
      <x:c r="AA1704" t="str">
        <x:f>TEXT(B1704,"yyyy-mm")</x:f>
        <x:v>2025-02</x:v>
      </x:c>
      <x:c r="AB1704" t="str">
        <x:f>IF(K1704="","",TEXT(K1704,"yyyy-mm"))</x:f>
        <x:v>2025-04</x:v>
      </x:c>
      <x:c r="AC1704" t="str">
        <x:f>"Q"&amp;ROUNDUP(MONTH(B1704)/3,0)&amp;"-"&amp;YEAR(B1704)</x:f>
        <x:v>Q1-2025</x:v>
      </x:c>
      <x:c r="AD1704" s="26" t="n">
        <x:f>MIN(100,IF(H1704="Enterprise",30,IF(H1704="Mid-Market",22,14))+IF(T1704="Enterprise",25,IF(T1704="Mid-Market",18,10))+IF(Q1704="Referral",25,IF(Q1704="Organic Search",20,IF(Q1704="Email",18,14)))+IF(G1704="Technology",10,5))</x:f>
        <x:v>51</x:v>
      </x:c>
      <x:c r="AE1704" t="str">
        <x:f>IF(U1704&lt;&gt;"Open",U1704,IF(N1704&gt;=0.8,"Commit",IF(N1704&gt;=0.5,"Best Case","Pipeline")))</x:f>
        <x:v>Lost</x:v>
      </x:c>
    </x:row>
    <x:row r="1705">
      <x:c r="A1705" t="str">
        <x:v>L01704</x:v>
      </x:c>
      <x:c r="B1705" s="10" t="n">
        <x:v>45977</x:v>
      </x:c>
      <x:c r="C1705" t="str">
        <x:v>Ha Vo</x:v>
      </x:c>
      <x:c r="D1705" t="str">
        <x:v>North</x:v>
      </x:c>
      <x:c r="E1705" t="str">
        <x:v>customer referral</x:v>
      </x:c>
      <x:c r="F1705" t="str">
        <x:v>CRM-CORE</x:v>
      </x:c>
      <x:c r="G1705" t="str">
        <x:v>Financial Services</x:v>
      </x:c>
      <x:c r="H1705" t="str">
        <x:v>SMB</x:v>
      </x:c>
      <x:c r="I1705" t="str">
        <x:v>Closed Lost</x:v>
      </x:c>
      <x:c r="J1705" s="10" t="n">
        <x:v>46020</x:v>
      </x:c>
      <x:c r="K1705" s="10" t="n">
        <x:v>46020</x:v>
      </x:c>
      <x:c r="L1705" s="22" t="n">
        <x:v>10100</x:v>
      </x:c>
      <x:c r="M1705" s="24" t="n">
        <x:v>0</x:v>
      </x:c>
      <x:c r="N1705" s="24" t="n">
        <x:v>0</x:v>
      </x:c>
      <x:c r="O1705" t="str">
        <x:v>Price</x:v>
      </x:c>
      <x:c r="P1705" t="n">
        <x:v>3</x:v>
      </x:c>
      <x:c r="Q1705" t="str">
        <x:f>IFERROR(XLOOKUP(E1705,Lookups!$A$5:$A$24,Lookups!$B$5:$B$24),"Other")</x:f>
        <x:v>Referral</x:v>
      </x:c>
      <x:c r="R1705" t="str">
        <x:f>IFERROR(XLOOKUP(F1705,Lookups!$D$5:$D$10,Lookups!$E$5:$E$10),"Unknown Product")</x:f>
        <x:v>NexaCRM Core</x:v>
      </x:c>
      <x:c r="S1705" t="str">
        <x:f>IFERROR(XLOOKUP(F1705,Lookups!$D$5:$D$10,Lookups!$F$5:$F$10),"Unknown")</x:f>
        <x:v>CRM</x:v>
      </x:c>
      <x:c r="T1705" t="str">
        <x:f>IF(L1705&gt;=50000,"Enterprise",IF(L1705&gt;=20000,"Mid-Market","SMB"))</x:f>
        <x:v>SMB</x:v>
      </x:c>
      <x:c r="U1705" t="str">
        <x:f>IF(I1705="Closed Won","Won",IF(I1705="Closed Lost","Lost","Open"))</x:f>
        <x:v>Lost</x:v>
      </x:c>
      <x:c r="V1705" s="22" t="n">
        <x:f>IF(U1705="Won",L1705*(1-M1705),0)</x:f>
        <x:v>0</x:v>
      </x:c>
      <x:c r="W1705" s="22" t="n">
        <x:f>IF(U1705="Open",L1705*N1705,0)</x:f>
        <x:v>0</x:v>
      </x:c>
      <x:c r="X1705" s="26" t="n">
        <x:f>IF(U1705="Open","",IFERROR(K1705-B1705,""))</x:f>
        <x:v>43</x:v>
      </x:c>
      <x:c r="Y1705" s="26" t="n">
        <x:f>IF(U1705="Open",Lookups!$B$2-B1705,X1705)</x:f>
        <x:v>43</x:v>
      </x:c>
      <x:c r="Z1705" t="str">
        <x:f>IF(AND(U1705="Open",Y1705&gt;30),"STALE","OK")</x:f>
        <x:v>OK</x:v>
      </x:c>
      <x:c r="AA1705" t="str">
        <x:f>TEXT(B1705,"yyyy-mm")</x:f>
        <x:v>2025-11</x:v>
      </x:c>
      <x:c r="AB1705" t="str">
        <x:f>IF(K1705="","",TEXT(K1705,"yyyy-mm"))</x:f>
        <x:v>2025-12</x:v>
      </x:c>
      <x:c r="AC1705" t="str">
        <x:f>"Q"&amp;ROUNDUP(MONTH(B1705)/3,0)&amp;"-"&amp;YEAR(B1705)</x:f>
        <x:v>Q4-2025</x:v>
      </x:c>
      <x:c r="AD1705" s="26" t="n">
        <x:f>MIN(100,IF(H1705="Enterprise",30,IF(H1705="Mid-Market",22,14))+IF(T1705="Enterprise",25,IF(T1705="Mid-Market",18,10))+IF(Q1705="Referral",25,IF(Q1705="Organic Search",20,IF(Q1705="Email",18,14)))+IF(G1705="Technology",10,5))</x:f>
        <x:v>54</x:v>
      </x:c>
      <x:c r="AE1705" t="str">
        <x:f>IF(U1705&lt;&gt;"Open",U1705,IF(N1705&gt;=0.8,"Commit",IF(N1705&gt;=0.5,"Best Case","Pipeline")))</x:f>
        <x:v>Lost</x:v>
      </x:c>
    </x:row>
    <x:row r="1706">
      <x:c r="A1706" t="str">
        <x:v>L01705</x:v>
      </x:c>
      <x:c r="B1706" s="10" t="n">
        <x:v>46034</x:v>
      </x:c>
      <x:c r="C1706" t="str">
        <x:v>Quynh Vu</x:v>
      </x:c>
      <x:c r="D1706" t="str">
        <x:v>North</x:v>
      </x:c>
      <x:c r="E1706" t="str">
        <x:v>Cold Email</x:v>
      </x:c>
      <x:c r="F1706" t="str">
        <x:v>CRM-CORE</x:v>
      </x:c>
      <x:c r="G1706" t="str">
        <x:v>Technology</x:v>
      </x:c>
      <x:c r="H1706" t="str">
        <x:v>SMB</x:v>
      </x:c>
      <x:c r="I1706" t="str">
        <x:v>Closed Lost</x:v>
      </x:c>
      <x:c r="J1706" s="10" t="n">
        <x:v>46050</x:v>
      </x:c>
      <x:c r="K1706" s="10" t="n">
        <x:v>46050</x:v>
      </x:c>
      <x:c r="L1706" s="22" t="n">
        <x:v>5400</x:v>
      </x:c>
      <x:c r="M1706" s="24" t="n">
        <x:v>0</x:v>
      </x:c>
      <x:c r="N1706" s="24" t="n">
        <x:v>0</x:v>
      </x:c>
      <x:c r="O1706" t="str">
        <x:v>Competitor</x:v>
      </x:c>
      <x:c r="P1706" t="n">
        <x:v>5</x:v>
      </x:c>
      <x:c r="Q1706" t="str">
        <x:f>IFERROR(XLOOKUP(E1706,Lookups!$A$5:$A$24,Lookups!$B$5:$B$24),"Other")</x:f>
        <x:v>Outbound</x:v>
      </x:c>
      <x:c r="R1706" t="str">
        <x:f>IFERROR(XLOOKUP(F1706,Lookups!$D$5:$D$10,Lookups!$E$5:$E$10),"Unknown Product")</x:f>
        <x:v>NexaCRM Core</x:v>
      </x:c>
      <x:c r="S1706" t="str">
        <x:f>IFERROR(XLOOKUP(F1706,Lookups!$D$5:$D$10,Lookups!$F$5:$F$10),"Unknown")</x:f>
        <x:v>CRM</x:v>
      </x:c>
      <x:c r="T1706" t="str">
        <x:f>IF(L1706&gt;=50000,"Enterprise",IF(L1706&gt;=20000,"Mid-Market","SMB"))</x:f>
        <x:v>SMB</x:v>
      </x:c>
      <x:c r="U1706" t="str">
        <x:f>IF(I1706="Closed Won","Won",IF(I1706="Closed Lost","Lost","Open"))</x:f>
        <x:v>Lost</x:v>
      </x:c>
      <x:c r="V1706" s="22" t="n">
        <x:f>IF(U1706="Won",L1706*(1-M1706),0)</x:f>
        <x:v>0</x:v>
      </x:c>
      <x:c r="W1706" s="22" t="n">
        <x:f>IF(U1706="Open",L1706*N1706,0)</x:f>
        <x:v>0</x:v>
      </x:c>
      <x:c r="X1706" s="26" t="n">
        <x:f>IF(U1706="Open","",IFERROR(K1706-B1706,""))</x:f>
        <x:v>16</x:v>
      </x:c>
      <x:c r="Y1706" s="26" t="n">
        <x:f>IF(U1706="Open",Lookups!$B$2-B1706,X1706)</x:f>
        <x:v>16</x:v>
      </x:c>
      <x:c r="Z1706" t="str">
        <x:f>IF(AND(U1706="Open",Y1706&gt;30),"STALE","OK")</x:f>
        <x:v>OK</x:v>
      </x:c>
      <x:c r="AA1706" t="str">
        <x:f>TEXT(B1706,"yyyy-mm")</x:f>
        <x:v>2026-01</x:v>
      </x:c>
      <x:c r="AB1706" t="str">
        <x:f>IF(K1706="","",TEXT(K1706,"yyyy-mm"))</x:f>
        <x:v>2026-01</x:v>
      </x:c>
      <x:c r="AC1706" t="str">
        <x:f>"Q"&amp;ROUNDUP(MONTH(B1706)/3,0)&amp;"-"&amp;YEAR(B1706)</x:f>
        <x:v>Q1-2026</x:v>
      </x:c>
      <x:c r="AD1706" s="26" t="n">
        <x:f>MIN(100,IF(H1706="Enterprise",30,IF(H1706="Mid-Market",22,14))+IF(T1706="Enterprise",25,IF(T1706="Mid-Market",18,10))+IF(Q1706="Referral",25,IF(Q1706="Organic Search",20,IF(Q1706="Email",18,14)))+IF(G1706="Technology",10,5))</x:f>
        <x:v>48</x:v>
      </x:c>
      <x:c r="AE1706" t="str">
        <x:f>IF(U1706&lt;&gt;"Open",U1706,IF(N1706&gt;=0.8,"Commit",IF(N1706&gt;=0.5,"Best Case","Pipeline")))</x:f>
        <x:v>Lost</x:v>
      </x:c>
    </x:row>
    <x:row r="1707">
      <x:c r="A1707" t="str">
        <x:v>L01706</x:v>
      </x:c>
      <x:c r="B1707" s="10" t="n">
        <x:v>46231</x:v>
      </x:c>
      <x:c r="C1707" t="str">
        <x:v>Ha Vo</x:v>
      </x:c>
      <x:c r="D1707" t="str">
        <x:v>North</x:v>
      </x:c>
      <x:c r="E1707" t="str">
        <x:v>Cold Email</x:v>
      </x:c>
      <x:c r="F1707" t="str">
        <x:v>CRM-CORE</x:v>
      </x:c>
      <x:c r="G1707" t="str">
        <x:v>Professional Services</x:v>
      </x:c>
      <x:c r="H1707" t="str">
        <x:v>SMB</x:v>
      </x:c>
      <x:c r="I1707" t="str">
        <x:v>Qualified</x:v>
      </x:c>
      <x:c r="J1707" s="10" t="n">
        <x:v>46258</x:v>
      </x:c>
      <x:c r="K1707" s="10"/>
      <x:c r="L1707" s="22" t="n">
        <x:v>4700</x:v>
      </x:c>
      <x:c r="M1707" s="24" t="n">
        <x:v>0</x:v>
      </x:c>
      <x:c r="N1707" s="24" t="n">
        <x:v>0.2</x:v>
      </x:c>
      <x:c r="O1707" t="str"/>
      <x:c r="P1707" t="n">
        <x:v>2</x:v>
      </x:c>
      <x:c r="Q1707" t="str">
        <x:f>IFERROR(XLOOKUP(E1707,Lookups!$A$5:$A$24,Lookups!$B$5:$B$24),"Other")</x:f>
        <x:v>Outbound</x:v>
      </x:c>
      <x:c r="R1707" t="str">
        <x:f>IFERROR(XLOOKUP(F1707,Lookups!$D$5:$D$10,Lookups!$E$5:$E$10),"Unknown Product")</x:f>
        <x:v>NexaCRM Core</x:v>
      </x:c>
      <x:c r="S1707" t="str">
        <x:f>IFERROR(XLOOKUP(F1707,Lookups!$D$5:$D$10,Lookups!$F$5:$F$10),"Unknown")</x:f>
        <x:v>CRM</x:v>
      </x:c>
      <x:c r="T1707" t="str">
        <x:f>IF(L1707&gt;=50000,"Enterprise",IF(L1707&gt;=20000,"Mid-Market","SMB"))</x:f>
        <x:v>SMB</x:v>
      </x:c>
      <x:c r="U1707" t="str">
        <x:f>IF(I1707="Closed Won","Won",IF(I1707="Closed Lost","Lost","Open"))</x:f>
        <x:v>Open</x:v>
      </x:c>
      <x:c r="V1707" s="22" t="n">
        <x:f>IF(U1707="Won",L1707*(1-M1707),0)</x:f>
        <x:v>0</x:v>
      </x:c>
      <x:c r="W1707" s="22" t="n">
        <x:f>IF(U1707="Open",L1707*N1707,0)</x:f>
        <x:v>940</x:v>
      </x:c>
      <x:c r="X1707" s="26" t="str">
        <x:f>IF(U1707="Open","",IFERROR(K1707-B1707,""))</x:f>
      </x:c>
      <x:c r="Y1707" s="26" t="n">
        <x:f>IF(U1707="Open",Lookups!$B$2-B1707,X1707)</x:f>
        <x:v>35</x:v>
      </x:c>
      <x:c r="Z1707" t="str">
        <x:f>IF(AND(U1707="Open",Y1707&gt;30),"STALE","OK")</x:f>
        <x:v>STALE</x:v>
      </x:c>
      <x:c r="AA1707" t="str">
        <x:f>TEXT(B1707,"yyyy-mm")</x:f>
        <x:v>2026-07</x:v>
      </x:c>
      <x:c r="AB1707" t="str">
        <x:f>IF(K1707="","",TEXT(K1707,"yyyy-mm"))</x:f>
      </x:c>
      <x:c r="AC1707" t="str">
        <x:f>"Q"&amp;ROUNDUP(MONTH(B1707)/3,0)&amp;"-"&amp;YEAR(B1707)</x:f>
        <x:v>Q3-2026</x:v>
      </x:c>
      <x:c r="AD1707" s="26" t="n">
        <x:f>MIN(100,IF(H1707="Enterprise",30,IF(H1707="Mid-Market",22,14))+IF(T1707="Enterprise",25,IF(T1707="Mid-Market",18,10))+IF(Q1707="Referral",25,IF(Q1707="Organic Search",20,IF(Q1707="Email",18,14)))+IF(G1707="Technology",10,5))</x:f>
        <x:v>43</x:v>
      </x:c>
      <x:c r="AE1707" t="str">
        <x:f>IF(U1707&lt;&gt;"Open",U1707,IF(N1707&gt;=0.8,"Commit",IF(N1707&gt;=0.5,"Best Case","Pipeline")))</x:f>
        <x:v>Pipeline</x:v>
      </x:c>
    </x:row>
    <x:row r="1708">
      <x:c r="A1708" t="str">
        <x:v>L01707</x:v>
      </x:c>
      <x:c r="B1708" s="10" t="n">
        <x:v>45850</x:v>
      </x:c>
      <x:c r="C1708" t="str">
        <x:v>Minh Do</x:v>
      </x:c>
      <x:c r="D1708" t="str">
        <x:v>North</x:v>
      </x:c>
      <x:c r="E1708" t="str">
        <x:v>LinkedIn Ads</x:v>
      </x:c>
      <x:c r="F1708" t="str">
        <x:v>REV-OPS</x:v>
      </x:c>
      <x:c r="G1708" t="str">
        <x:v>Technology</x:v>
      </x:c>
      <x:c r="H1708" t="str">
        <x:v>Mid-Market</x:v>
      </x:c>
      <x:c r="I1708" t="str">
        <x:v>Closed Lost</x:v>
      </x:c>
      <x:c r="J1708" s="10" t="n">
        <x:v>45877</x:v>
      </x:c>
      <x:c r="K1708" s="10" t="n">
        <x:v>45877</x:v>
      </x:c>
      <x:c r="L1708" s="22" t="n">
        <x:v>73500</x:v>
      </x:c>
      <x:c r="M1708" s="24" t="n">
        <x:v>0</x:v>
      </x:c>
      <x:c r="N1708" s="24" t="n">
        <x:v>0</x:v>
      </x:c>
      <x:c r="O1708" t="str">
        <x:v>No Decision</x:v>
      </x:c>
      <x:c r="P1708" t="n">
        <x:v>2</x:v>
      </x:c>
      <x:c r="Q1708" t="str">
        <x:f>IFERROR(XLOOKUP(E1708,Lookups!$A$5:$A$24,Lookups!$B$5:$B$24),"Other")</x:f>
        <x:v>LinkedIn</x:v>
      </x:c>
      <x:c r="R1708" t="str">
        <x:f>IFERROR(XLOOKUP(F1708,Lookups!$D$5:$D$10,Lookups!$E$5:$E$10),"Unknown Product")</x:f>
        <x:v>Revenue Operations Suite</x:v>
      </x:c>
      <x:c r="S1708" t="str">
        <x:f>IFERROR(XLOOKUP(F1708,Lookups!$D$5:$D$10,Lookups!$F$5:$F$10),"Unknown")</x:f>
        <x:v>Revenue Ops</x:v>
      </x:c>
      <x:c r="T1708" t="str">
        <x:f>IF(L1708&gt;=50000,"Enterprise",IF(L1708&gt;=20000,"Mid-Market","SMB"))</x:f>
        <x:v>Enterprise</x:v>
      </x:c>
      <x:c r="U1708" t="str">
        <x:f>IF(I1708="Closed Won","Won",IF(I1708="Closed Lost","Lost","Open"))</x:f>
        <x:v>Lost</x:v>
      </x:c>
      <x:c r="V1708" s="22" t="n">
        <x:f>IF(U1708="Won",L1708*(1-M1708),0)</x:f>
        <x:v>0</x:v>
      </x:c>
      <x:c r="W1708" s="22" t="n">
        <x:f>IF(U1708="Open",L1708*N1708,0)</x:f>
        <x:v>0</x:v>
      </x:c>
      <x:c r="X1708" s="26" t="n">
        <x:f>IF(U1708="Open","",IFERROR(K1708-B1708,""))</x:f>
        <x:v>27</x:v>
      </x:c>
      <x:c r="Y1708" s="26" t="n">
        <x:f>IF(U1708="Open",Lookups!$B$2-B1708,X1708)</x:f>
        <x:v>27</x:v>
      </x:c>
      <x:c r="Z1708" t="str">
        <x:f>IF(AND(U1708="Open",Y1708&gt;30),"STALE","OK")</x:f>
        <x:v>OK</x:v>
      </x:c>
      <x:c r="AA1708" t="str">
        <x:f>TEXT(B1708,"yyyy-mm")</x:f>
        <x:v>2025-07</x:v>
      </x:c>
      <x:c r="AB1708" t="str">
        <x:f>IF(K1708="","",TEXT(K1708,"yyyy-mm"))</x:f>
        <x:v>2025-08</x:v>
      </x:c>
      <x:c r="AC1708" t="str">
        <x:f>"Q"&amp;ROUNDUP(MONTH(B1708)/3,0)&amp;"-"&amp;YEAR(B1708)</x:f>
        <x:v>Q3-2025</x:v>
      </x:c>
      <x:c r="AD1708" s="26" t="n">
        <x:f>MIN(100,IF(H1708="Enterprise",30,IF(H1708="Mid-Market",22,14))+IF(T1708="Enterprise",25,IF(T1708="Mid-Market",18,10))+IF(Q1708="Referral",25,IF(Q1708="Organic Search",20,IF(Q1708="Email",18,14)))+IF(G1708="Technology",10,5))</x:f>
        <x:v>71</x:v>
      </x:c>
      <x:c r="AE1708" t="str">
        <x:f>IF(U1708&lt;&gt;"Open",U1708,IF(N1708&gt;=0.8,"Commit",IF(N1708&gt;=0.5,"Best Case","Pipeline")))</x:f>
        <x:v>Lost</x:v>
      </x:c>
    </x:row>
    <x:row r="1709">
      <x:c r="A1709" t="str">
        <x:v>L01708</x:v>
      </x:c>
      <x:c r="B1709" s="10" t="n">
        <x:v>46060</x:v>
      </x:c>
      <x:c r="C1709" t="str">
        <x:v>Chi Le</x:v>
      </x:c>
      <x:c r="D1709" t="str">
        <x:v>South</x:v>
      </x:c>
      <x:c r="E1709" t="str">
        <x:v>LI Ads</x:v>
      </x:c>
      <x:c r="F1709" t="str">
        <x:v>REV-OPS</x:v>
      </x:c>
      <x:c r="G1709" t="str">
        <x:v>Retail</x:v>
      </x:c>
      <x:c r="H1709" t="str">
        <x:v>Mid-Market</x:v>
      </x:c>
      <x:c r="I1709" t="str">
        <x:v>Negotiation</x:v>
      </x:c>
      <x:c r="J1709" s="10" t="n">
        <x:v>46219</x:v>
      </x:c>
      <x:c r="K1709" s="10"/>
      <x:c r="L1709" s="22" t="n">
        <x:v>69100</x:v>
      </x:c>
      <x:c r="M1709" s="24" t="n">
        <x:v>0.03</x:v>
      </x:c>
      <x:c r="N1709" s="24" t="n">
        <x:v>0.85</x:v>
      </x:c>
      <x:c r="O1709" t="str"/>
      <x:c r="P1709" t="n">
        <x:v>5</x:v>
      </x:c>
      <x:c r="Q1709" t="str">
        <x:f>IFERROR(XLOOKUP(E1709,Lookups!$A$5:$A$24,Lookups!$B$5:$B$24),"Other")</x:f>
        <x:v>LinkedIn</x:v>
      </x:c>
      <x:c r="R1709" t="str">
        <x:f>IFERROR(XLOOKUP(F1709,Lookups!$D$5:$D$10,Lookups!$E$5:$E$10),"Unknown Product")</x:f>
        <x:v>Revenue Operations Suite</x:v>
      </x:c>
      <x:c r="S1709" t="str">
        <x:f>IFERROR(XLOOKUP(F1709,Lookups!$D$5:$D$10,Lookups!$F$5:$F$10),"Unknown")</x:f>
        <x:v>Revenue Ops</x:v>
      </x:c>
      <x:c r="T1709" t="str">
        <x:f>IF(L1709&gt;=50000,"Enterprise",IF(L1709&gt;=20000,"Mid-Market","SMB"))</x:f>
        <x:v>Enterprise</x:v>
      </x:c>
      <x:c r="U1709" t="str">
        <x:f>IF(I1709="Closed Won","Won",IF(I1709="Closed Lost","Lost","Open"))</x:f>
        <x:v>Open</x:v>
      </x:c>
      <x:c r="V1709" s="22" t="n">
        <x:f>IF(U1709="Won",L1709*(1-M1709),0)</x:f>
        <x:v>0</x:v>
      </x:c>
      <x:c r="W1709" s="22" t="n">
        <x:f>IF(U1709="Open",L1709*N1709,0)</x:f>
        <x:v>58735</x:v>
      </x:c>
      <x:c r="X1709" s="26" t="str">
        <x:f>IF(U1709="Open","",IFERROR(K1709-B1709,""))</x:f>
      </x:c>
      <x:c r="Y1709" s="26" t="n">
        <x:f>IF(U1709="Open",Lookups!$B$2-B1709,X1709)</x:f>
        <x:v>206</x:v>
      </x:c>
      <x:c r="Z1709" t="str">
        <x:f>IF(AND(U1709="Open",Y1709&gt;30),"STALE","OK")</x:f>
        <x:v>STALE</x:v>
      </x:c>
      <x:c r="AA1709" t="str">
        <x:f>TEXT(B1709,"yyyy-mm")</x:f>
        <x:v>2026-02</x:v>
      </x:c>
      <x:c r="AB1709" t="str">
        <x:f>IF(K1709="","",TEXT(K1709,"yyyy-mm"))</x:f>
      </x:c>
      <x:c r="AC1709" t="str">
        <x:f>"Q"&amp;ROUNDUP(MONTH(B1709)/3,0)&amp;"-"&amp;YEAR(B1709)</x:f>
        <x:v>Q1-2026</x:v>
      </x:c>
      <x:c r="AD1709" s="26" t="n">
        <x:f>MIN(100,IF(H1709="Enterprise",30,IF(H1709="Mid-Market",22,14))+IF(T1709="Enterprise",25,IF(T1709="Mid-Market",18,10))+IF(Q1709="Referral",25,IF(Q1709="Organic Search",20,IF(Q1709="Email",18,14)))+IF(G1709="Technology",10,5))</x:f>
        <x:v>66</x:v>
      </x:c>
      <x:c r="AE1709" t="str">
        <x:f>IF(U1709&lt;&gt;"Open",U1709,IF(N1709&gt;=0.8,"Commit",IF(N1709&gt;=0.5,"Best Case","Pipeline")))</x:f>
        <x:v>Commit</x:v>
      </x:c>
    </x:row>
    <x:row r="1710">
      <x:c r="A1710" t="str">
        <x:v>L01709</x:v>
      </x:c>
      <x:c r="B1710" s="10" t="n">
        <x:v>45846</x:v>
      </x:c>
      <x:c r="C1710" t="str">
        <x:v>Ha Vo</x:v>
      </x:c>
      <x:c r="D1710" t="str">
        <x:v>North</x:v>
      </x:c>
      <x:c r="E1710" t="str">
        <x:v>newsletter</x:v>
      </x:c>
      <x:c r="F1710" t="str">
        <x:v>BI-PLUS</x:v>
      </x:c>
      <x:c r="G1710" t="str">
        <x:v>Technology</x:v>
      </x:c>
      <x:c r="H1710" t="str">
        <x:v>Enterprise</x:v>
      </x:c>
      <x:c r="I1710" t="str">
        <x:v>Closed Won</x:v>
      </x:c>
      <x:c r="J1710" s="10" t="n">
        <x:v>45909</x:v>
      </x:c>
      <x:c r="K1710" s="10" t="n">
        <x:v>45909</x:v>
      </x:c>
      <x:c r="L1710" s="22" t="n">
        <x:v>48700</x:v>
      </x:c>
      <x:c r="M1710" s="24" t="n">
        <x:v>0.08</x:v>
      </x:c>
      <x:c r="N1710" s="24" t="n">
        <x:v>1</x:v>
      </x:c>
      <x:c r="O1710" t="str"/>
      <x:c r="P1710" t="n">
        <x:v>6</x:v>
      </x:c>
      <x:c r="Q1710" t="str">
        <x:f>IFERROR(XLOOKUP(E1710,Lookups!$A$5:$A$24,Lookups!$B$5:$B$24),"Other")</x:f>
        <x:v>Email</x:v>
      </x:c>
      <x:c r="R1710" t="str">
        <x:f>IFERROR(XLOOKUP(F1710,Lookups!$D$5:$D$10,Lookups!$E$5:$E$10),"Unknown Product")</x:f>
        <x:v>Analytics Plus</x:v>
      </x:c>
      <x:c r="S1710" t="str">
        <x:f>IFERROR(XLOOKUP(F1710,Lookups!$D$5:$D$10,Lookups!$F$5:$F$10),"Unknown")</x:f>
        <x:v>Analytics</x:v>
      </x:c>
      <x:c r="T1710" t="str">
        <x:f>IF(L1710&gt;=50000,"Enterprise",IF(L1710&gt;=20000,"Mid-Market","SMB"))</x:f>
        <x:v>Mid-Market</x:v>
      </x:c>
      <x:c r="U1710" t="str">
        <x:f>IF(I1710="Closed Won","Won",IF(I1710="Closed Lost","Lost","Open"))</x:f>
        <x:v>Won</x:v>
      </x:c>
      <x:c r="V1710" s="22" t="n">
        <x:f>IF(U1710="Won",L1710*(1-M1710),0)</x:f>
        <x:v>44804</x:v>
      </x:c>
      <x:c r="W1710" s="22" t="n">
        <x:f>IF(U1710="Open",L1710*N1710,0)</x:f>
        <x:v>0</x:v>
      </x:c>
      <x:c r="X1710" s="26" t="n">
        <x:f>IF(U1710="Open","",IFERROR(K1710-B1710,""))</x:f>
        <x:v>63</x:v>
      </x:c>
      <x:c r="Y1710" s="26" t="n">
        <x:f>IF(U1710="Open",Lookups!$B$2-B1710,X1710)</x:f>
        <x:v>63</x:v>
      </x:c>
      <x:c r="Z1710" t="str">
        <x:f>IF(AND(U1710="Open",Y1710&gt;30),"STALE","OK")</x:f>
        <x:v>OK</x:v>
      </x:c>
      <x:c r="AA1710" t="str">
        <x:f>TEXT(B1710,"yyyy-mm")</x:f>
        <x:v>2025-07</x:v>
      </x:c>
      <x:c r="AB1710" t="str">
        <x:f>IF(K1710="","",TEXT(K1710,"yyyy-mm"))</x:f>
        <x:v>2025-09</x:v>
      </x:c>
      <x:c r="AC1710" t="str">
        <x:f>"Q"&amp;ROUNDUP(MONTH(B1710)/3,0)&amp;"-"&amp;YEAR(B1710)</x:f>
        <x:v>Q3-2025</x:v>
      </x:c>
      <x:c r="AD1710" s="26" t="n">
        <x:f>MIN(100,IF(H1710="Enterprise",30,IF(H1710="Mid-Market",22,14))+IF(T1710="Enterprise",25,IF(T1710="Mid-Market",18,10))+IF(Q1710="Referral",25,IF(Q1710="Organic Search",20,IF(Q1710="Email",18,14)))+IF(G1710="Technology",10,5))</x:f>
        <x:v>76</x:v>
      </x:c>
      <x:c r="AE1710" t="str">
        <x:f>IF(U1710&lt;&gt;"Open",U1710,IF(N1710&gt;=0.8,"Commit",IF(N1710&gt;=0.5,"Best Case","Pipeline")))</x:f>
        <x:v>Won</x:v>
      </x:c>
    </x:row>
    <x:row r="1711">
      <x:c r="A1711" t="str">
        <x:v>L01710</x:v>
      </x:c>
      <x:c r="B1711" s="10" t="n">
        <x:v>45897</x:v>
      </x:c>
      <x:c r="C1711" t="str">
        <x:v>Tuan Bui</x:v>
      </x:c>
      <x:c r="D1711" t="str">
        <x:v>Central</x:v>
      </x:c>
      <x:c r="E1711" t="str">
        <x:v>Outbound</x:v>
      </x:c>
      <x:c r="F1711" t="str">
        <x:v>BI-PLUS</x:v>
      </x:c>
      <x:c r="G1711" t="str">
        <x:v>Retail</x:v>
      </x:c>
      <x:c r="H1711" t="str">
        <x:v>Enterprise</x:v>
      </x:c>
      <x:c r="I1711" t="str">
        <x:v>Closed Lost</x:v>
      </x:c>
      <x:c r="J1711" s="10" t="n">
        <x:v>45967</x:v>
      </x:c>
      <x:c r="K1711" s="10" t="n">
        <x:v>45967</x:v>
      </x:c>
      <x:c r="L1711" s="22" t="n">
        <x:v>75600</x:v>
      </x:c>
      <x:c r="M1711" s="24" t="n">
        <x:v>0</x:v>
      </x:c>
      <x:c r="N1711" s="24" t="n">
        <x:v>0</x:v>
      </x:c>
      <x:c r="O1711" t="str">
        <x:v>Timing</x:v>
      </x:c>
      <x:c r="P1711" t="n">
        <x:v>5</x:v>
      </x:c>
      <x:c r="Q1711" t="str">
        <x:f>IFERROR(XLOOKUP(E1711,Lookups!$A$5:$A$24,Lookups!$B$5:$B$24),"Other")</x:f>
        <x:v>Outbound</x:v>
      </x:c>
      <x:c r="R1711" t="str">
        <x:f>IFERROR(XLOOKUP(F1711,Lookups!$D$5:$D$10,Lookups!$E$5:$E$10),"Unknown Product")</x:f>
        <x:v>Analytics Plus</x:v>
      </x:c>
      <x:c r="S1711" t="str">
        <x:f>IFERROR(XLOOKUP(F1711,Lookups!$D$5:$D$10,Lookups!$F$5:$F$10),"Unknown")</x:f>
        <x:v>Analytics</x:v>
      </x:c>
      <x:c r="T1711" t="str">
        <x:f>IF(L1711&gt;=50000,"Enterprise",IF(L1711&gt;=20000,"Mid-Market","SMB"))</x:f>
        <x:v>Enterprise</x:v>
      </x:c>
      <x:c r="U1711" t="str">
        <x:f>IF(I1711="Closed Won","Won",IF(I1711="Closed Lost","Lost","Open"))</x:f>
        <x:v>Lost</x:v>
      </x:c>
      <x:c r="V1711" s="22" t="n">
        <x:f>IF(U1711="Won",L1711*(1-M1711),0)</x:f>
        <x:v>0</x:v>
      </x:c>
      <x:c r="W1711" s="22" t="n">
        <x:f>IF(U1711="Open",L1711*N1711,0)</x:f>
        <x:v>0</x:v>
      </x:c>
      <x:c r="X1711" s="26" t="n">
        <x:f>IF(U1711="Open","",IFERROR(K1711-B1711,""))</x:f>
        <x:v>70</x:v>
      </x:c>
      <x:c r="Y1711" s="26" t="n">
        <x:f>IF(U1711="Open",Lookups!$B$2-B1711,X1711)</x:f>
        <x:v>70</x:v>
      </x:c>
      <x:c r="Z1711" t="str">
        <x:f>IF(AND(U1711="Open",Y1711&gt;30),"STALE","OK")</x:f>
        <x:v>OK</x:v>
      </x:c>
      <x:c r="AA1711" t="str">
        <x:f>TEXT(B1711,"yyyy-mm")</x:f>
        <x:v>2025-08</x:v>
      </x:c>
      <x:c r="AB1711" t="str">
        <x:f>IF(K1711="","",TEXT(K1711,"yyyy-mm"))</x:f>
        <x:v>2025-11</x:v>
      </x:c>
      <x:c r="AC1711" t="str">
        <x:f>"Q"&amp;ROUNDUP(MONTH(B1711)/3,0)&amp;"-"&amp;YEAR(B1711)</x:f>
        <x:v>Q3-2025</x:v>
      </x:c>
      <x:c r="AD1711" s="26" t="n">
        <x:f>MIN(100,IF(H1711="Enterprise",30,IF(H1711="Mid-Market",22,14))+IF(T1711="Enterprise",25,IF(T1711="Mid-Market",18,10))+IF(Q1711="Referral",25,IF(Q1711="Organic Search",20,IF(Q1711="Email",18,14)))+IF(G1711="Technology",10,5))</x:f>
        <x:v>74</x:v>
      </x:c>
      <x:c r="AE1711" t="str">
        <x:f>IF(U1711&lt;&gt;"Open",U1711,IF(N1711&gt;=0.8,"Commit",IF(N1711&gt;=0.5,"Best Case","Pipeline")))</x:f>
        <x:v>Lost</x:v>
      </x:c>
    </x:row>
    <x:row r="1712">
      <x:c r="A1712" t="str">
        <x:v>L01711</x:v>
      </x:c>
      <x:c r="B1712" s="10" t="n">
        <x:v>46194</x:v>
      </x:c>
      <x:c r="C1712" t="str">
        <x:v>Chi Le</x:v>
      </x:c>
      <x:c r="D1712" t="str">
        <x:v>South</x:v>
      </x:c>
      <x:c r="E1712" t="str">
        <x:v>SEM - Google</x:v>
      </x:c>
      <x:c r="F1712" t="str">
        <x:v>CRM-CORE</x:v>
      </x:c>
      <x:c r="G1712" t="str">
        <x:v>Manufacturing</x:v>
      </x:c>
      <x:c r="H1712" t="str">
        <x:v>Enterprise</x:v>
      </x:c>
      <x:c r="I1712" t="str">
        <x:v>Closed Lost</x:v>
      </x:c>
      <x:c r="J1712" s="10" t="n">
        <x:v>46202</x:v>
      </x:c>
      <x:c r="K1712" s="10" t="n">
        <x:v>46202</x:v>
      </x:c>
      <x:c r="L1712" s="22" t="n">
        <x:v>22000</x:v>
      </x:c>
      <x:c r="M1712" s="24" t="n">
        <x:v>0</x:v>
      </x:c>
      <x:c r="N1712" s="24" t="n">
        <x:v>0</x:v>
      </x:c>
      <x:c r="O1712" t="str">
        <x:v>No Decision</x:v>
      </x:c>
      <x:c r="P1712" t="n">
        <x:v>2</x:v>
      </x:c>
      <x:c r="Q1712" t="str">
        <x:f>IFERROR(XLOOKUP(E1712,Lookups!$A$5:$A$24,Lookups!$B$5:$B$24),"Other")</x:f>
        <x:v>Paid Search</x:v>
      </x:c>
      <x:c r="R1712" t="str">
        <x:f>IFERROR(XLOOKUP(F1712,Lookups!$D$5:$D$10,Lookups!$E$5:$E$10),"Unknown Product")</x:f>
        <x:v>NexaCRM Core</x:v>
      </x:c>
      <x:c r="S1712" t="str">
        <x:f>IFERROR(XLOOKUP(F1712,Lookups!$D$5:$D$10,Lookups!$F$5:$F$10),"Unknown")</x:f>
        <x:v>CRM</x:v>
      </x:c>
      <x:c r="T1712" t="str">
        <x:f>IF(L1712&gt;=50000,"Enterprise",IF(L1712&gt;=20000,"Mid-Market","SMB"))</x:f>
        <x:v>Mid-Market</x:v>
      </x:c>
      <x:c r="U1712" t="str">
        <x:f>IF(I1712="Closed Won","Won",IF(I1712="Closed Lost","Lost","Open"))</x:f>
        <x:v>Lost</x:v>
      </x:c>
      <x:c r="V1712" s="22" t="n">
        <x:f>IF(U1712="Won",L1712*(1-M1712),0)</x:f>
        <x:v>0</x:v>
      </x:c>
      <x:c r="W1712" s="22" t="n">
        <x:f>IF(U1712="Open",L1712*N1712,0)</x:f>
        <x:v>0</x:v>
      </x:c>
      <x:c r="X1712" s="26" t="n">
        <x:f>IF(U1712="Open","",IFERROR(K1712-B1712,""))</x:f>
        <x:v>8</x:v>
      </x:c>
      <x:c r="Y1712" s="26" t="n">
        <x:f>IF(U1712="Open",Lookups!$B$2-B1712,X1712)</x:f>
        <x:v>8</x:v>
      </x:c>
      <x:c r="Z1712" t="str">
        <x:f>IF(AND(U1712="Open",Y1712&gt;30),"STALE","OK")</x:f>
        <x:v>OK</x:v>
      </x:c>
      <x:c r="AA1712" t="str">
        <x:f>TEXT(B1712,"yyyy-mm")</x:f>
        <x:v>2026-06</x:v>
      </x:c>
      <x:c r="AB1712" t="str">
        <x:f>IF(K1712="","",TEXT(K1712,"yyyy-mm"))</x:f>
        <x:v>2026-06</x:v>
      </x:c>
      <x:c r="AC1712" t="str">
        <x:f>"Q"&amp;ROUNDUP(MONTH(B1712)/3,0)&amp;"-"&amp;YEAR(B1712)</x:f>
        <x:v>Q2-2026</x:v>
      </x:c>
      <x:c r="AD1712" s="26" t="n">
        <x:f>MIN(100,IF(H1712="Enterprise",30,IF(H1712="Mid-Market",22,14))+IF(T1712="Enterprise",25,IF(T1712="Mid-Market",18,10))+IF(Q1712="Referral",25,IF(Q1712="Organic Search",20,IF(Q1712="Email",18,14)))+IF(G1712="Technology",10,5))</x:f>
        <x:v>67</x:v>
      </x:c>
      <x:c r="AE1712" t="str">
        <x:f>IF(U1712&lt;&gt;"Open",U1712,IF(N1712&gt;=0.8,"Commit",IF(N1712&gt;=0.5,"Best Case","Pipeline")))</x:f>
        <x:v>Lost</x:v>
      </x:c>
    </x:row>
    <x:row r="1713">
      <x:c r="A1713" t="str">
        <x:v>L01712</x:v>
      </x:c>
      <x:c r="B1713" s="10" t="n">
        <x:v>45743</x:v>
      </x:c>
      <x:c r="C1713" t="str">
        <x:v>An Nguyen</x:v>
      </x:c>
      <x:c r="D1713" t="str">
        <x:v>South</x:v>
      </x:c>
      <x:c r="E1713" t="str">
        <x:v>SEM - Google</x:v>
      </x:c>
      <x:c r="F1713" t="str">
        <x:v>CS-CLOUD</x:v>
      </x:c>
      <x:c r="G1713" t="str">
        <x:v>Education</x:v>
      </x:c>
      <x:c r="H1713" t="str">
        <x:v>Mid-Market</x:v>
      </x:c>
      <x:c r="I1713" t="str">
        <x:v>Closed Lost</x:v>
      </x:c>
      <x:c r="J1713" s="10" t="n">
        <x:v>45769</x:v>
      </x:c>
      <x:c r="K1713" s="10" t="n">
        <x:v>45769</x:v>
      </x:c>
      <x:c r="L1713" s="22" t="n">
        <x:v>28700</x:v>
      </x:c>
      <x:c r="M1713" s="24" t="n">
        <x:v>0</x:v>
      </x:c>
      <x:c r="N1713" s="24" t="n">
        <x:v>0</x:v>
      </x:c>
      <x:c r="O1713" t="str">
        <x:v>Price</x:v>
      </x:c>
      <x:c r="P1713" t="n">
        <x:v>5</x:v>
      </x:c>
      <x:c r="Q1713" t="str">
        <x:f>IFERROR(XLOOKUP(E1713,Lookups!$A$5:$A$24,Lookups!$B$5:$B$24),"Other")</x:f>
        <x:v>Paid Search</x:v>
      </x:c>
      <x:c r="R1713" t="str">
        <x:f>IFERROR(XLOOKUP(F1713,Lookups!$D$5:$D$10,Lookups!$E$5:$E$10),"Unknown Product")</x:f>
        <x:v>Service Cloud</x:v>
      </x:c>
      <x:c r="S1713" t="str">
        <x:f>IFERROR(XLOOKUP(F1713,Lookups!$D$5:$D$10,Lookups!$F$5:$F$10),"Unknown")</x:f>
        <x:v>Customer Service</x:v>
      </x:c>
      <x:c r="T1713" t="str">
        <x:f>IF(L1713&gt;=50000,"Enterprise",IF(L1713&gt;=20000,"Mid-Market","SMB"))</x:f>
        <x:v>Mid-Market</x:v>
      </x:c>
      <x:c r="U1713" t="str">
        <x:f>IF(I1713="Closed Won","Won",IF(I1713="Closed Lost","Lost","Open"))</x:f>
        <x:v>Lost</x:v>
      </x:c>
      <x:c r="V1713" s="22" t="n">
        <x:f>IF(U1713="Won",L1713*(1-M1713),0)</x:f>
        <x:v>0</x:v>
      </x:c>
      <x:c r="W1713" s="22" t="n">
        <x:f>IF(U1713="Open",L1713*N1713,0)</x:f>
        <x:v>0</x:v>
      </x:c>
      <x:c r="X1713" s="26" t="n">
        <x:f>IF(U1713="Open","",IFERROR(K1713-B1713,""))</x:f>
        <x:v>26</x:v>
      </x:c>
      <x:c r="Y1713" s="26" t="n">
        <x:f>IF(U1713="Open",Lookups!$B$2-B1713,X1713)</x:f>
        <x:v>26</x:v>
      </x:c>
      <x:c r="Z1713" t="str">
        <x:f>IF(AND(U1713="Open",Y1713&gt;30),"STALE","OK")</x:f>
        <x:v>OK</x:v>
      </x:c>
      <x:c r="AA1713" t="str">
        <x:f>TEXT(B1713,"yyyy-mm")</x:f>
        <x:v>2025-03</x:v>
      </x:c>
      <x:c r="AB1713" t="str">
        <x:f>IF(K1713="","",TEXT(K1713,"yyyy-mm"))</x:f>
        <x:v>2025-04</x:v>
      </x:c>
      <x:c r="AC1713" t="str">
        <x:f>"Q"&amp;ROUNDUP(MONTH(B1713)/3,0)&amp;"-"&amp;YEAR(B1713)</x:f>
        <x:v>Q1-2025</x:v>
      </x:c>
      <x:c r="AD1713" s="26" t="n">
        <x:f>MIN(100,IF(H1713="Enterprise",30,IF(H1713="Mid-Market",22,14))+IF(T1713="Enterprise",25,IF(T1713="Mid-Market",18,10))+IF(Q1713="Referral",25,IF(Q1713="Organic Search",20,IF(Q1713="Email",18,14)))+IF(G1713="Technology",10,5))</x:f>
        <x:v>59</x:v>
      </x:c>
      <x:c r="AE1713" t="str">
        <x:f>IF(U1713&lt;&gt;"Open",U1713,IF(N1713&gt;=0.8,"Commit",IF(N1713&gt;=0.5,"Best Case","Pipeline")))</x:f>
        <x:v>Lost</x:v>
      </x:c>
    </x:row>
    <x:row r="1714">
      <x:c r="A1714" t="str">
        <x:v>L01713</x:v>
      </x:c>
      <x:c r="B1714" s="10" t="n">
        <x:v>45841</x:v>
      </x:c>
      <x:c r="C1714" t="str">
        <x:v>Minh Do</x:v>
      </x:c>
      <x:c r="D1714" t="str">
        <x:v>North</x:v>
      </x:c>
      <x:c r="E1714" t="str">
        <x:v>Partner Referral</x:v>
      </x:c>
      <x:c r="F1714" t="str">
        <x:v>CRM-CORE</x:v>
      </x:c>
      <x:c r="G1714" t="str">
        <x:v>Retail</x:v>
      </x:c>
      <x:c r="H1714" t="str">
        <x:v>Mid-Market</x:v>
      </x:c>
      <x:c r="I1714" t="str">
        <x:v>Closed Lost</x:v>
      </x:c>
      <x:c r="J1714" s="10" t="n">
        <x:v>45875</x:v>
      </x:c>
      <x:c r="K1714" s="10" t="n">
        <x:v>45875</x:v>
      </x:c>
      <x:c r="L1714" s="22" t="n">
        <x:v>15300</x:v>
      </x:c>
      <x:c r="M1714" s="24" t="n">
        <x:v>0</x:v>
      </x:c>
      <x:c r="N1714" s="24" t="n">
        <x:v>0</x:v>
      </x:c>
      <x:c r="O1714" t="str">
        <x:v>Budget</x:v>
      </x:c>
      <x:c r="P1714" t="n">
        <x:v>5</x:v>
      </x:c>
      <x:c r="Q1714" t="str">
        <x:f>IFERROR(XLOOKUP(E1714,Lookups!$A$5:$A$24,Lookups!$B$5:$B$24),"Other")</x:f>
        <x:v>Referral</x:v>
      </x:c>
      <x:c r="R1714" t="str">
        <x:f>IFERROR(XLOOKUP(F1714,Lookups!$D$5:$D$10,Lookups!$E$5:$E$10),"Unknown Product")</x:f>
        <x:v>NexaCRM Core</x:v>
      </x:c>
      <x:c r="S1714" t="str">
        <x:f>IFERROR(XLOOKUP(F1714,Lookups!$D$5:$D$10,Lookups!$F$5:$F$10),"Unknown")</x:f>
        <x:v>CRM</x:v>
      </x:c>
      <x:c r="T1714" t="str">
        <x:f>IF(L1714&gt;=50000,"Enterprise",IF(L1714&gt;=20000,"Mid-Market","SMB"))</x:f>
        <x:v>SMB</x:v>
      </x:c>
      <x:c r="U1714" t="str">
        <x:f>IF(I1714="Closed Won","Won",IF(I1714="Closed Lost","Lost","Open"))</x:f>
        <x:v>Lost</x:v>
      </x:c>
      <x:c r="V1714" s="22" t="n">
        <x:f>IF(U1714="Won",L1714*(1-M1714),0)</x:f>
        <x:v>0</x:v>
      </x:c>
      <x:c r="W1714" s="22" t="n">
        <x:f>IF(U1714="Open",L1714*N1714,0)</x:f>
        <x:v>0</x:v>
      </x:c>
      <x:c r="X1714" s="26" t="n">
        <x:f>IF(U1714="Open","",IFERROR(K1714-B1714,""))</x:f>
        <x:v>34</x:v>
      </x:c>
      <x:c r="Y1714" s="26" t="n">
        <x:f>IF(U1714="Open",Lookups!$B$2-B1714,X1714)</x:f>
        <x:v>34</x:v>
      </x:c>
      <x:c r="Z1714" t="str">
        <x:f>IF(AND(U1714="Open",Y1714&gt;30),"STALE","OK")</x:f>
        <x:v>OK</x:v>
      </x:c>
      <x:c r="AA1714" t="str">
        <x:f>TEXT(B1714,"yyyy-mm")</x:f>
        <x:v>2025-07</x:v>
      </x:c>
      <x:c r="AB1714" t="str">
        <x:f>IF(K1714="","",TEXT(K1714,"yyyy-mm"))</x:f>
        <x:v>2025-08</x:v>
      </x:c>
      <x:c r="AC1714" t="str">
        <x:f>"Q"&amp;ROUNDUP(MONTH(B1714)/3,0)&amp;"-"&amp;YEAR(B1714)</x:f>
        <x:v>Q3-2025</x:v>
      </x:c>
      <x:c r="AD1714" s="26" t="n">
        <x:f>MIN(100,IF(H1714="Enterprise",30,IF(H1714="Mid-Market",22,14))+IF(T1714="Enterprise",25,IF(T1714="Mid-Market",18,10))+IF(Q1714="Referral",25,IF(Q1714="Organic Search",20,IF(Q1714="Email",18,14)))+IF(G1714="Technology",10,5))</x:f>
        <x:v>62</x:v>
      </x:c>
      <x:c r="AE1714" t="str">
        <x:f>IF(U1714&lt;&gt;"Open",U1714,IF(N1714&gt;=0.8,"Commit",IF(N1714&gt;=0.5,"Best Case","Pipeline")))</x:f>
        <x:v>Lost</x:v>
      </x:c>
    </x:row>
    <x:row r="1715">
      <x:c r="A1715" t="str">
        <x:v>L01714</x:v>
      </x:c>
      <x:c r="B1715" s="10" t="n">
        <x:v>46178</x:v>
      </x:c>
      <x:c r="C1715" t="str">
        <x:v>Minh Do</x:v>
      </x:c>
      <x:c r="D1715" t="str">
        <x:v>North</x:v>
      </x:c>
      <x:c r="E1715" t="str">
        <x:v>google cpc</x:v>
      </x:c>
      <x:c r="F1715" t="str">
        <x:v>CRM-CORE</x:v>
      </x:c>
      <x:c r="G1715" t="str">
        <x:v>Manufacturing</x:v>
      </x:c>
      <x:c r="H1715" t="str">
        <x:v>SMB</x:v>
      </x:c>
      <x:c r="I1715" t="str">
        <x:v>Closed Lost</x:v>
      </x:c>
      <x:c r="J1715" s="10" t="n">
        <x:v>46228</x:v>
      </x:c>
      <x:c r="K1715" s="10" t="n">
        <x:v>46228</x:v>
      </x:c>
      <x:c r="L1715" s="22" t="n">
        <x:v>10000</x:v>
      </x:c>
      <x:c r="M1715" s="24" t="n">
        <x:v>0</x:v>
      </x:c>
      <x:c r="N1715" s="24" t="n">
        <x:v>0</x:v>
      </x:c>
      <x:c r="O1715" t="str">
        <x:v>Feature Gap</x:v>
      </x:c>
      <x:c r="P1715" t="n">
        <x:v>5</x:v>
      </x:c>
      <x:c r="Q1715" t="str">
        <x:f>IFERROR(XLOOKUP(E1715,Lookups!$A$5:$A$24,Lookups!$B$5:$B$24),"Other")</x:f>
        <x:v>Paid Search</x:v>
      </x:c>
      <x:c r="R1715" t="str">
        <x:f>IFERROR(XLOOKUP(F1715,Lookups!$D$5:$D$10,Lookups!$E$5:$E$10),"Unknown Product")</x:f>
        <x:v>NexaCRM Core</x:v>
      </x:c>
      <x:c r="S1715" t="str">
        <x:f>IFERROR(XLOOKUP(F1715,Lookups!$D$5:$D$10,Lookups!$F$5:$F$10),"Unknown")</x:f>
        <x:v>CRM</x:v>
      </x:c>
      <x:c r="T1715" t="str">
        <x:f>IF(L1715&gt;=50000,"Enterprise",IF(L1715&gt;=20000,"Mid-Market","SMB"))</x:f>
        <x:v>SMB</x:v>
      </x:c>
      <x:c r="U1715" t="str">
        <x:f>IF(I1715="Closed Won","Won",IF(I1715="Closed Lost","Lost","Open"))</x:f>
        <x:v>Lost</x:v>
      </x:c>
      <x:c r="V1715" s="22" t="n">
        <x:f>IF(U1715="Won",L1715*(1-M1715),0)</x:f>
        <x:v>0</x:v>
      </x:c>
      <x:c r="W1715" s="22" t="n">
        <x:f>IF(U1715="Open",L1715*N1715,0)</x:f>
        <x:v>0</x:v>
      </x:c>
      <x:c r="X1715" s="26" t="n">
        <x:f>IF(U1715="Open","",IFERROR(K1715-B1715,""))</x:f>
        <x:v>50</x:v>
      </x:c>
      <x:c r="Y1715" s="26" t="n">
        <x:f>IF(U1715="Open",Lookups!$B$2-B1715,X1715)</x:f>
        <x:v>50</x:v>
      </x:c>
      <x:c r="Z1715" t="str">
        <x:f>IF(AND(U1715="Open",Y1715&gt;30),"STALE","OK")</x:f>
        <x:v>OK</x:v>
      </x:c>
      <x:c r="AA1715" t="str">
        <x:f>TEXT(B1715,"yyyy-mm")</x:f>
        <x:v>2026-06</x:v>
      </x:c>
      <x:c r="AB1715" t="str">
        <x:f>IF(K1715="","",TEXT(K1715,"yyyy-mm"))</x:f>
        <x:v>2026-07</x:v>
      </x:c>
      <x:c r="AC1715" t="str">
        <x:f>"Q"&amp;ROUNDUP(MONTH(B1715)/3,0)&amp;"-"&amp;YEAR(B1715)</x:f>
        <x:v>Q2-2026</x:v>
      </x:c>
      <x:c r="AD1715" s="26" t="n">
        <x:f>MIN(100,IF(H1715="Enterprise",30,IF(H1715="Mid-Market",22,14))+IF(T1715="Enterprise",25,IF(T1715="Mid-Market",18,10))+IF(Q1715="Referral",25,IF(Q1715="Organic Search",20,IF(Q1715="Email",18,14)))+IF(G1715="Technology",10,5))</x:f>
        <x:v>43</x:v>
      </x:c>
      <x:c r="AE1715" t="str">
        <x:f>IF(U1715&lt;&gt;"Open",U1715,IF(N1715&gt;=0.8,"Commit",IF(N1715&gt;=0.5,"Best Case","Pipeline")))</x:f>
        <x:v>Lost</x:v>
      </x:c>
    </x:row>
    <x:row r="1716">
      <x:c r="A1716" t="str">
        <x:v>L01715</x:v>
      </x:c>
      <x:c r="B1716" s="10" t="n">
        <x:v>45843</x:v>
      </x:c>
      <x:c r="C1716" t="str">
        <x:v>Tuan Bui</x:v>
      </x:c>
      <x:c r="D1716" t="str">
        <x:v>Central</x:v>
      </x:c>
      <x:c r="E1716" t="str">
        <x:v>Google Organic</x:v>
      </x:c>
      <x:c r="F1716" t="str">
        <x:v>MKT-AUTO</x:v>
      </x:c>
      <x:c r="G1716" t="str">
        <x:v>Professional Services</x:v>
      </x:c>
      <x:c r="H1716" t="str">
        <x:v>SMB</x:v>
      </x:c>
      <x:c r="I1716" t="str">
        <x:v>Closed Lost</x:v>
      </x:c>
      <x:c r="J1716" s="10" t="n">
        <x:v>45881</x:v>
      </x:c>
      <x:c r="K1716" s="10" t="n">
        <x:v>45881</x:v>
      </x:c>
      <x:c r="L1716" s="22" t="n">
        <x:v>18500</x:v>
      </x:c>
      <x:c r="M1716" s="24" t="n">
        <x:v>0</x:v>
      </x:c>
      <x:c r="N1716" s="24" t="n">
        <x:v>0</x:v>
      </x:c>
      <x:c r="O1716" t="str">
        <x:v>Price</x:v>
      </x:c>
      <x:c r="P1716" t="n">
        <x:v>2</x:v>
      </x:c>
      <x:c r="Q1716" t="str">
        <x:f>IFERROR(XLOOKUP(E1716,Lookups!$A$5:$A$24,Lookups!$B$5:$B$24),"Other")</x:f>
        <x:v>Organic Search</x:v>
      </x:c>
      <x:c r="R1716" t="str">
        <x:f>IFERROR(XLOOKUP(F1716,Lookups!$D$5:$D$10,Lookups!$E$5:$E$10),"Unknown Product")</x:f>
        <x:v>Marketing Automation</x:v>
      </x:c>
      <x:c r="S1716" t="str">
        <x:f>IFERROR(XLOOKUP(F1716,Lookups!$D$5:$D$10,Lookups!$F$5:$F$10),"Unknown")</x:f>
        <x:v>Marketing</x:v>
      </x:c>
      <x:c r="T1716" t="str">
        <x:f>IF(L1716&gt;=50000,"Enterprise",IF(L1716&gt;=20000,"Mid-Market","SMB"))</x:f>
        <x:v>SMB</x:v>
      </x:c>
      <x:c r="U1716" t="str">
        <x:f>IF(I1716="Closed Won","Won",IF(I1716="Closed Lost","Lost","Open"))</x:f>
        <x:v>Lost</x:v>
      </x:c>
      <x:c r="V1716" s="22" t="n">
        <x:f>IF(U1716="Won",L1716*(1-M1716),0)</x:f>
        <x:v>0</x:v>
      </x:c>
      <x:c r="W1716" s="22" t="n">
        <x:f>IF(U1716="Open",L1716*N1716,0)</x:f>
        <x:v>0</x:v>
      </x:c>
      <x:c r="X1716" s="26" t="n">
        <x:f>IF(U1716="Open","",IFERROR(K1716-B1716,""))</x:f>
        <x:v>38</x:v>
      </x:c>
      <x:c r="Y1716" s="26" t="n">
        <x:f>IF(U1716="Open",Lookups!$B$2-B1716,X1716)</x:f>
        <x:v>38</x:v>
      </x:c>
      <x:c r="Z1716" t="str">
        <x:f>IF(AND(U1716="Open",Y1716&gt;30),"STALE","OK")</x:f>
        <x:v>OK</x:v>
      </x:c>
      <x:c r="AA1716" t="str">
        <x:f>TEXT(B1716,"yyyy-mm")</x:f>
        <x:v>2025-07</x:v>
      </x:c>
      <x:c r="AB1716" t="str">
        <x:f>IF(K1716="","",TEXT(K1716,"yyyy-mm"))</x:f>
        <x:v>2025-08</x:v>
      </x:c>
      <x:c r="AC1716" t="str">
        <x:f>"Q"&amp;ROUNDUP(MONTH(B1716)/3,0)&amp;"-"&amp;YEAR(B1716)</x:f>
        <x:v>Q3-2025</x:v>
      </x:c>
      <x:c r="AD1716" s="26" t="n">
        <x:f>MIN(100,IF(H1716="Enterprise",30,IF(H1716="Mid-Market",22,14))+IF(T1716="Enterprise",25,IF(T1716="Mid-Market",18,10))+IF(Q1716="Referral",25,IF(Q1716="Organic Search",20,IF(Q1716="Email",18,14)))+IF(G1716="Technology",10,5))</x:f>
        <x:v>49</x:v>
      </x:c>
      <x:c r="AE1716" t="str">
        <x:f>IF(U1716&lt;&gt;"Open",U1716,IF(N1716&gt;=0.8,"Commit",IF(N1716&gt;=0.5,"Best Case","Pipeline")))</x:f>
        <x:v>Lost</x:v>
      </x:c>
    </x:row>
    <x:row r="1717">
      <x:c r="A1717" t="str">
        <x:v>L01716</x:v>
      </x:c>
      <x:c r="B1717" s="10" t="n">
        <x:v>46201</x:v>
      </x:c>
      <x:c r="C1717" t="str">
        <x:v>Minh Do</x:v>
      </x:c>
      <x:c r="D1717" t="str">
        <x:v>North</x:v>
      </x:c>
      <x:c r="E1717" t="str">
        <x:v>LI Ads</x:v>
      </x:c>
      <x:c r="F1717" t="str">
        <x:v>CRM-CORE</x:v>
      </x:c>
      <x:c r="G1717" t="str">
        <x:v>Technology</x:v>
      </x:c>
      <x:c r="H1717" t="str">
        <x:v>SMB</x:v>
      </x:c>
      <x:c r="I1717" t="str">
        <x:v>Demo / Meeting</x:v>
      </x:c>
      <x:c r="J1717" s="10" t="n">
        <x:v>46242</x:v>
      </x:c>
      <x:c r="K1717" s="10"/>
      <x:c r="L1717" s="22" t="n">
        <x:v>9900</x:v>
      </x:c>
      <x:c r="M1717" s="24" t="n">
        <x:v>0.03</x:v>
      </x:c>
      <x:c r="N1717" s="24" t="n">
        <x:v>0.4</x:v>
      </x:c>
      <x:c r="O1717" t="str"/>
      <x:c r="P1717" t="n">
        <x:v>3</x:v>
      </x:c>
      <x:c r="Q1717" t="str">
        <x:f>IFERROR(XLOOKUP(E1717,Lookups!$A$5:$A$24,Lookups!$B$5:$B$24),"Other")</x:f>
        <x:v>LinkedIn</x:v>
      </x:c>
      <x:c r="R1717" t="str">
        <x:f>IFERROR(XLOOKUP(F1717,Lookups!$D$5:$D$10,Lookups!$E$5:$E$10),"Unknown Product")</x:f>
        <x:v>NexaCRM Core</x:v>
      </x:c>
      <x:c r="S1717" t="str">
        <x:f>IFERROR(XLOOKUP(F1717,Lookups!$D$5:$D$10,Lookups!$F$5:$F$10),"Unknown")</x:f>
        <x:v>CRM</x:v>
      </x:c>
      <x:c r="T1717" t="str">
        <x:f>IF(L1717&gt;=50000,"Enterprise",IF(L1717&gt;=20000,"Mid-Market","SMB"))</x:f>
        <x:v>SMB</x:v>
      </x:c>
      <x:c r="U1717" t="str">
        <x:f>IF(I1717="Closed Won","Won",IF(I1717="Closed Lost","Lost","Open"))</x:f>
        <x:v>Open</x:v>
      </x:c>
      <x:c r="V1717" s="22" t="n">
        <x:f>IF(U1717="Won",L1717*(1-M1717),0)</x:f>
        <x:v>0</x:v>
      </x:c>
      <x:c r="W1717" s="22" t="n">
        <x:f>IF(U1717="Open",L1717*N1717,0)</x:f>
        <x:v>3960</x:v>
      </x:c>
      <x:c r="X1717" s="26" t="str">
        <x:f>IF(U1717="Open","",IFERROR(K1717-B1717,""))</x:f>
      </x:c>
      <x:c r="Y1717" s="26" t="n">
        <x:f>IF(U1717="Open",Lookups!$B$2-B1717,X1717)</x:f>
        <x:v>65</x:v>
      </x:c>
      <x:c r="Z1717" t="str">
        <x:f>IF(AND(U1717="Open",Y1717&gt;30),"STALE","OK")</x:f>
        <x:v>STALE</x:v>
      </x:c>
      <x:c r="AA1717" t="str">
        <x:f>TEXT(B1717,"yyyy-mm")</x:f>
        <x:v>2026-06</x:v>
      </x:c>
      <x:c r="AB1717" t="str">
        <x:f>IF(K1717="","",TEXT(K1717,"yyyy-mm"))</x:f>
      </x:c>
      <x:c r="AC1717" t="str">
        <x:f>"Q"&amp;ROUNDUP(MONTH(B1717)/3,0)&amp;"-"&amp;YEAR(B1717)</x:f>
        <x:v>Q2-2026</x:v>
      </x:c>
      <x:c r="AD1717" s="26" t="n">
        <x:f>MIN(100,IF(H1717="Enterprise",30,IF(H1717="Mid-Market",22,14))+IF(T1717="Enterprise",25,IF(T1717="Mid-Market",18,10))+IF(Q1717="Referral",25,IF(Q1717="Organic Search",20,IF(Q1717="Email",18,14)))+IF(G1717="Technology",10,5))</x:f>
        <x:v>48</x:v>
      </x:c>
      <x:c r="AE1717" t="str">
        <x:f>IF(U1717&lt;&gt;"Open",U1717,IF(N1717&gt;=0.8,"Commit",IF(N1717&gt;=0.5,"Best Case","Pipeline")))</x:f>
        <x:v>Pipeline</x:v>
      </x:c>
    </x:row>
    <x:row r="1718">
      <x:c r="A1718" t="str">
        <x:v>L01717</x:v>
      </x:c>
      <x:c r="B1718" s="10" t="n">
        <x:v>45709</x:v>
      </x:c>
      <x:c r="C1718" t="str">
        <x:v>Minh Do</x:v>
      </x:c>
      <x:c r="D1718" t="str">
        <x:v>North</x:v>
      </x:c>
      <x:c r="E1718" t="str">
        <x:v>Webinar</x:v>
      </x:c>
      <x:c r="F1718" t="str">
        <x:v>CRM-CORE</x:v>
      </x:c>
      <x:c r="G1718" t="str">
        <x:v>Retail</x:v>
      </x:c>
      <x:c r="H1718" t="str">
        <x:v>Enterprise</x:v>
      </x:c>
      <x:c r="I1718" t="str">
        <x:v>Closed Lost</x:v>
      </x:c>
      <x:c r="J1718" s="10" t="n">
        <x:v>45752</x:v>
      </x:c>
      <x:c r="K1718" s="10" t="n">
        <x:v>45752</x:v>
      </x:c>
      <x:c r="L1718" s="22" t="n">
        <x:v>22500</x:v>
      </x:c>
      <x:c r="M1718" s="24" t="n">
        <x:v>0</x:v>
      </x:c>
      <x:c r="N1718" s="24" t="n">
        <x:v>0</x:v>
      </x:c>
      <x:c r="O1718" t="str">
        <x:v>Budget</x:v>
      </x:c>
      <x:c r="P1718" t="n">
        <x:v>4</x:v>
      </x:c>
      <x:c r="Q1718" t="str">
        <x:f>IFERROR(XLOOKUP(E1718,Lookups!$A$5:$A$24,Lookups!$B$5:$B$24),"Other")</x:f>
        <x:v>Webinar</x:v>
      </x:c>
      <x:c r="R1718" t="str">
        <x:f>IFERROR(XLOOKUP(F1718,Lookups!$D$5:$D$10,Lookups!$E$5:$E$10),"Unknown Product")</x:f>
        <x:v>NexaCRM Core</x:v>
      </x:c>
      <x:c r="S1718" t="str">
        <x:f>IFERROR(XLOOKUP(F1718,Lookups!$D$5:$D$10,Lookups!$F$5:$F$10),"Unknown")</x:f>
        <x:v>CRM</x:v>
      </x:c>
      <x:c r="T1718" t="str">
        <x:f>IF(L1718&gt;=50000,"Enterprise",IF(L1718&gt;=20000,"Mid-Market","SMB"))</x:f>
        <x:v>Mid-Market</x:v>
      </x:c>
      <x:c r="U1718" t="str">
        <x:f>IF(I1718="Closed Won","Won",IF(I1718="Closed Lost","Lost","Open"))</x:f>
        <x:v>Lost</x:v>
      </x:c>
      <x:c r="V1718" s="22" t="n">
        <x:f>IF(U1718="Won",L1718*(1-M1718),0)</x:f>
        <x:v>0</x:v>
      </x:c>
      <x:c r="W1718" s="22" t="n">
        <x:f>IF(U1718="Open",L1718*N1718,0)</x:f>
        <x:v>0</x:v>
      </x:c>
      <x:c r="X1718" s="26" t="n">
        <x:f>IF(U1718="Open","",IFERROR(K1718-B1718,""))</x:f>
        <x:v>43</x:v>
      </x:c>
      <x:c r="Y1718" s="26" t="n">
        <x:f>IF(U1718="Open",Lookups!$B$2-B1718,X1718)</x:f>
        <x:v>43</x:v>
      </x:c>
      <x:c r="Z1718" t="str">
        <x:f>IF(AND(U1718="Open",Y1718&gt;30),"STALE","OK")</x:f>
        <x:v>OK</x:v>
      </x:c>
      <x:c r="AA1718" t="str">
        <x:f>TEXT(B1718,"yyyy-mm")</x:f>
        <x:v>2025-02</x:v>
      </x:c>
      <x:c r="AB1718" t="str">
        <x:f>IF(K1718="","",TEXT(K1718,"yyyy-mm"))</x:f>
        <x:v>2025-04</x:v>
      </x:c>
      <x:c r="AC1718" t="str">
        <x:f>"Q"&amp;ROUNDUP(MONTH(B1718)/3,0)&amp;"-"&amp;YEAR(B1718)</x:f>
        <x:v>Q1-2025</x:v>
      </x:c>
      <x:c r="AD1718" s="26" t="n">
        <x:f>MIN(100,IF(H1718="Enterprise",30,IF(H1718="Mid-Market",22,14))+IF(T1718="Enterprise",25,IF(T1718="Mid-Market",18,10))+IF(Q1718="Referral",25,IF(Q1718="Organic Search",20,IF(Q1718="Email",18,14)))+IF(G1718="Technology",10,5))</x:f>
        <x:v>67</x:v>
      </x:c>
      <x:c r="AE1718" t="str">
        <x:f>IF(U1718&lt;&gt;"Open",U1718,IF(N1718&gt;=0.8,"Commit",IF(N1718&gt;=0.5,"Best Case","Pipeline")))</x:f>
        <x:v>Lost</x:v>
      </x:c>
    </x:row>
    <x:row r="1719">
      <x:c r="A1719" t="str">
        <x:v>L01718</x:v>
      </x:c>
      <x:c r="B1719" s="10" t="n">
        <x:v>46050</x:v>
      </x:c>
      <x:c r="C1719" t="str">
        <x:v>Chi Le</x:v>
      </x:c>
      <x:c r="D1719" t="str">
        <x:v>South</x:v>
      </x:c>
      <x:c r="E1719" t="str">
        <x:v>Cold Email</x:v>
      </x:c>
      <x:c r="F1719" t="str">
        <x:v>CRM-CORE</x:v>
      </x:c>
      <x:c r="G1719" t="str">
        <x:v>Manufacturing</x:v>
      </x:c>
      <x:c r="H1719" t="str">
        <x:v>Mid-Market</x:v>
      </x:c>
      <x:c r="I1719" t="str">
        <x:v>Closed Lost</x:v>
      </x:c>
      <x:c r="J1719" s="10" t="n">
        <x:v>46120</x:v>
      </x:c>
      <x:c r="K1719" s="10" t="n">
        <x:v>46120</x:v>
      </x:c>
      <x:c r="L1719" s="22" t="n">
        <x:v>17100</x:v>
      </x:c>
      <x:c r="M1719" s="24" t="n">
        <x:v>0</x:v>
      </x:c>
      <x:c r="N1719" s="24" t="n">
        <x:v>0</x:v>
      </x:c>
      <x:c r="O1719" t="str">
        <x:v>Price</x:v>
      </x:c>
      <x:c r="P1719" t="n">
        <x:v>2</x:v>
      </x:c>
      <x:c r="Q1719" t="str">
        <x:f>IFERROR(XLOOKUP(E1719,Lookups!$A$5:$A$24,Lookups!$B$5:$B$24),"Other")</x:f>
        <x:v>Outbound</x:v>
      </x:c>
      <x:c r="R1719" t="str">
        <x:f>IFERROR(XLOOKUP(F1719,Lookups!$D$5:$D$10,Lookups!$E$5:$E$10),"Unknown Product")</x:f>
        <x:v>NexaCRM Core</x:v>
      </x:c>
      <x:c r="S1719" t="str">
        <x:f>IFERROR(XLOOKUP(F1719,Lookups!$D$5:$D$10,Lookups!$F$5:$F$10),"Unknown")</x:f>
        <x:v>CRM</x:v>
      </x:c>
      <x:c r="T1719" t="str">
        <x:f>IF(L1719&gt;=50000,"Enterprise",IF(L1719&gt;=20000,"Mid-Market","SMB"))</x:f>
        <x:v>SMB</x:v>
      </x:c>
      <x:c r="U1719" t="str">
        <x:f>IF(I1719="Closed Won","Won",IF(I1719="Closed Lost","Lost","Open"))</x:f>
        <x:v>Lost</x:v>
      </x:c>
      <x:c r="V1719" s="22" t="n">
        <x:f>IF(U1719="Won",L1719*(1-M1719),0)</x:f>
        <x:v>0</x:v>
      </x:c>
      <x:c r="W1719" s="22" t="n">
        <x:f>IF(U1719="Open",L1719*N1719,0)</x:f>
        <x:v>0</x:v>
      </x:c>
      <x:c r="X1719" s="26" t="n">
        <x:f>IF(U1719="Open","",IFERROR(K1719-B1719,""))</x:f>
        <x:v>70</x:v>
      </x:c>
      <x:c r="Y1719" s="26" t="n">
        <x:f>IF(U1719="Open",Lookups!$B$2-B1719,X1719)</x:f>
        <x:v>70</x:v>
      </x:c>
      <x:c r="Z1719" t="str">
        <x:f>IF(AND(U1719="Open",Y1719&gt;30),"STALE","OK")</x:f>
        <x:v>OK</x:v>
      </x:c>
      <x:c r="AA1719" t="str">
        <x:f>TEXT(B1719,"yyyy-mm")</x:f>
        <x:v>2026-01</x:v>
      </x:c>
      <x:c r="AB1719" t="str">
        <x:f>IF(K1719="","",TEXT(K1719,"yyyy-mm"))</x:f>
        <x:v>2026-04</x:v>
      </x:c>
      <x:c r="AC1719" t="str">
        <x:f>"Q"&amp;ROUNDUP(MONTH(B1719)/3,0)&amp;"-"&amp;YEAR(B1719)</x:f>
        <x:v>Q1-2026</x:v>
      </x:c>
      <x:c r="AD1719" s="26" t="n">
        <x:f>MIN(100,IF(H1719="Enterprise",30,IF(H1719="Mid-Market",22,14))+IF(T1719="Enterprise",25,IF(T1719="Mid-Market",18,10))+IF(Q1719="Referral",25,IF(Q1719="Organic Search",20,IF(Q1719="Email",18,14)))+IF(G1719="Technology",10,5))</x:f>
        <x:v>51</x:v>
      </x:c>
      <x:c r="AE1719" t="str">
        <x:f>IF(U1719&lt;&gt;"Open",U1719,IF(N1719&gt;=0.8,"Commit",IF(N1719&gt;=0.5,"Best Case","Pipeline")))</x:f>
        <x:v>Lost</x:v>
      </x:c>
    </x:row>
    <x:row r="1720">
      <x:c r="A1720" t="str">
        <x:v>L01719</x:v>
      </x:c>
      <x:c r="B1720" s="10" t="n">
        <x:v>45861</x:v>
      </x:c>
      <x:c r="C1720" t="str">
        <x:v>Tuan Bui</x:v>
      </x:c>
      <x:c r="D1720" t="str">
        <x:v>Central</x:v>
      </x:c>
      <x:c r="E1720" t="str">
        <x:v>organic search</x:v>
      </x:c>
      <x:c r="F1720" t="str">
        <x:v>CRM-PRO</x:v>
      </x:c>
      <x:c r="G1720" t="str">
        <x:v>Manufacturing</x:v>
      </x:c>
      <x:c r="H1720" t="str">
        <x:v>Mid-Market</x:v>
      </x:c>
      <x:c r="I1720" t="str">
        <x:v>Closed Lost</x:v>
      </x:c>
      <x:c r="J1720" s="10" t="n">
        <x:v>45923</x:v>
      </x:c>
      <x:c r="K1720" s="10" t="n">
        <x:v>45923</x:v>
      </x:c>
      <x:c r="L1720" s="22" t="n">
        <x:v>35900</x:v>
      </x:c>
      <x:c r="M1720" s="24" t="n">
        <x:v>0</x:v>
      </x:c>
      <x:c r="N1720" s="24" t="n">
        <x:v>0</x:v>
      </x:c>
      <x:c r="O1720" t="str">
        <x:v>No Decision</x:v>
      </x:c>
      <x:c r="P1720" t="n">
        <x:v>5</x:v>
      </x:c>
      <x:c r="Q1720" t="str">
        <x:f>IFERROR(XLOOKUP(E1720,Lookups!$A$5:$A$24,Lookups!$B$5:$B$24),"Other")</x:f>
        <x:v>Organic Search</x:v>
      </x:c>
      <x:c r="R1720" t="str">
        <x:f>IFERROR(XLOOKUP(F1720,Lookups!$D$5:$D$10,Lookups!$E$5:$E$10),"Unknown Product")</x:f>
        <x:v>NexaCRM Pro</x:v>
      </x:c>
      <x:c r="S1720" t="str">
        <x:f>IFERROR(XLOOKUP(F1720,Lookups!$D$5:$D$10,Lookups!$F$5:$F$10),"Unknown")</x:f>
        <x:v>CRM</x:v>
      </x:c>
      <x:c r="T1720" t="str">
        <x:f>IF(L1720&gt;=50000,"Enterprise",IF(L1720&gt;=20000,"Mid-Market","SMB"))</x:f>
        <x:v>Mid-Market</x:v>
      </x:c>
      <x:c r="U1720" t="str">
        <x:f>IF(I1720="Closed Won","Won",IF(I1720="Closed Lost","Lost","Open"))</x:f>
        <x:v>Lost</x:v>
      </x:c>
      <x:c r="V1720" s="22" t="n">
        <x:f>IF(U1720="Won",L1720*(1-M1720),0)</x:f>
        <x:v>0</x:v>
      </x:c>
      <x:c r="W1720" s="22" t="n">
        <x:f>IF(U1720="Open",L1720*N1720,0)</x:f>
        <x:v>0</x:v>
      </x:c>
      <x:c r="X1720" s="26" t="n">
        <x:f>IF(U1720="Open","",IFERROR(K1720-B1720,""))</x:f>
        <x:v>62</x:v>
      </x:c>
      <x:c r="Y1720" s="26" t="n">
        <x:f>IF(U1720="Open",Lookups!$B$2-B1720,X1720)</x:f>
        <x:v>62</x:v>
      </x:c>
      <x:c r="Z1720" t="str">
        <x:f>IF(AND(U1720="Open",Y1720&gt;30),"STALE","OK")</x:f>
        <x:v>OK</x:v>
      </x:c>
      <x:c r="AA1720" t="str">
        <x:f>TEXT(B1720,"yyyy-mm")</x:f>
        <x:v>2025-07</x:v>
      </x:c>
      <x:c r="AB1720" t="str">
        <x:f>IF(K1720="","",TEXT(K1720,"yyyy-mm"))</x:f>
        <x:v>2025-09</x:v>
      </x:c>
      <x:c r="AC1720" t="str">
        <x:f>"Q"&amp;ROUNDUP(MONTH(B1720)/3,0)&amp;"-"&amp;YEAR(B1720)</x:f>
        <x:v>Q3-2025</x:v>
      </x:c>
      <x:c r="AD1720" s="26" t="n">
        <x:f>MIN(100,IF(H1720="Enterprise",30,IF(H1720="Mid-Market",22,14))+IF(T1720="Enterprise",25,IF(T1720="Mid-Market",18,10))+IF(Q1720="Referral",25,IF(Q1720="Organic Search",20,IF(Q1720="Email",18,14)))+IF(G1720="Technology",10,5))</x:f>
        <x:v>65</x:v>
      </x:c>
      <x:c r="AE1720" t="str">
        <x:f>IF(U1720&lt;&gt;"Open",U1720,IF(N1720&gt;=0.8,"Commit",IF(N1720&gt;=0.5,"Best Case","Pipeline")))</x:f>
        <x:v>Lost</x:v>
      </x:c>
    </x:row>
    <x:row r="1721">
      <x:c r="A1721" t="str">
        <x:v>L01720</x:v>
      </x:c>
      <x:c r="B1721" s="10" t="n">
        <x:v>46019</x:v>
      </x:c>
      <x:c r="C1721" t="str">
        <x:v>An Nguyen</x:v>
      </x:c>
      <x:c r="D1721" t="str">
        <x:v>South</x:v>
      </x:c>
      <x:c r="E1721" t="str">
        <x:v>google cpc</x:v>
      </x:c>
      <x:c r="F1721" t="str">
        <x:v>CS-CLOUD</x:v>
      </x:c>
      <x:c r="G1721" t="str">
        <x:v>Healthcare</x:v>
      </x:c>
      <x:c r="H1721" t="str">
        <x:v>Mid-Market</x:v>
      </x:c>
      <x:c r="I1721" t="str">
        <x:v>Closed Lost</x:v>
      </x:c>
      <x:c r="J1721" s="10" t="n">
        <x:v>46063</x:v>
      </x:c>
      <x:c r="K1721" s="10" t="n">
        <x:v>46063</x:v>
      </x:c>
      <x:c r="L1721" s="22" t="n">
        <x:v>44500</x:v>
      </x:c>
      <x:c r="M1721" s="24" t="n">
        <x:v>0</x:v>
      </x:c>
      <x:c r="N1721" s="24" t="n">
        <x:v>0</x:v>
      </x:c>
      <x:c r="O1721" t="str">
        <x:v>Budget</x:v>
      </x:c>
      <x:c r="P1721" t="n">
        <x:v>5</x:v>
      </x:c>
      <x:c r="Q1721" t="str">
        <x:f>IFERROR(XLOOKUP(E1721,Lookups!$A$5:$A$24,Lookups!$B$5:$B$24),"Other")</x:f>
        <x:v>Paid Search</x:v>
      </x:c>
      <x:c r="R1721" t="str">
        <x:f>IFERROR(XLOOKUP(F1721,Lookups!$D$5:$D$10,Lookups!$E$5:$E$10),"Unknown Product")</x:f>
        <x:v>Service Cloud</x:v>
      </x:c>
      <x:c r="S1721" t="str">
        <x:f>IFERROR(XLOOKUP(F1721,Lookups!$D$5:$D$10,Lookups!$F$5:$F$10),"Unknown")</x:f>
        <x:v>Customer Service</x:v>
      </x:c>
      <x:c r="T1721" t="str">
        <x:f>IF(L1721&gt;=50000,"Enterprise",IF(L1721&gt;=20000,"Mid-Market","SMB"))</x:f>
        <x:v>Mid-Market</x:v>
      </x:c>
      <x:c r="U1721" t="str">
        <x:f>IF(I1721="Closed Won","Won",IF(I1721="Closed Lost","Lost","Open"))</x:f>
        <x:v>Lost</x:v>
      </x:c>
      <x:c r="V1721" s="22" t="n">
        <x:f>IF(U1721="Won",L1721*(1-M1721),0)</x:f>
        <x:v>0</x:v>
      </x:c>
      <x:c r="W1721" s="22" t="n">
        <x:f>IF(U1721="Open",L1721*N1721,0)</x:f>
        <x:v>0</x:v>
      </x:c>
      <x:c r="X1721" s="26" t="n">
        <x:f>IF(U1721="Open","",IFERROR(K1721-B1721,""))</x:f>
        <x:v>44</x:v>
      </x:c>
      <x:c r="Y1721" s="26" t="n">
        <x:f>IF(U1721="Open",Lookups!$B$2-B1721,X1721)</x:f>
        <x:v>44</x:v>
      </x:c>
      <x:c r="Z1721" t="str">
        <x:f>IF(AND(U1721="Open",Y1721&gt;30),"STALE","OK")</x:f>
        <x:v>OK</x:v>
      </x:c>
      <x:c r="AA1721" t="str">
        <x:f>TEXT(B1721,"yyyy-mm")</x:f>
        <x:v>2025-12</x:v>
      </x:c>
      <x:c r="AB1721" t="str">
        <x:f>IF(K1721="","",TEXT(K1721,"yyyy-mm"))</x:f>
        <x:v>2026-02</x:v>
      </x:c>
      <x:c r="AC1721" t="str">
        <x:f>"Q"&amp;ROUNDUP(MONTH(B1721)/3,0)&amp;"-"&amp;YEAR(B1721)</x:f>
        <x:v>Q4-2025</x:v>
      </x:c>
      <x:c r="AD1721" s="26" t="n">
        <x:f>MIN(100,IF(H1721="Enterprise",30,IF(H1721="Mid-Market",22,14))+IF(T1721="Enterprise",25,IF(T1721="Mid-Market",18,10))+IF(Q1721="Referral",25,IF(Q1721="Organic Search",20,IF(Q1721="Email",18,14)))+IF(G1721="Technology",10,5))</x:f>
        <x:v>59</x:v>
      </x:c>
      <x:c r="AE1721" t="str">
        <x:f>IF(U1721&lt;&gt;"Open",U1721,IF(N1721&gt;=0.8,"Commit",IF(N1721&gt;=0.5,"Best Case","Pipeline")))</x:f>
        <x:v>Lost</x:v>
      </x:c>
    </x:row>
    <x:row r="1722">
      <x:c r="A1722" t="str">
        <x:v>L01721</x:v>
      </x:c>
      <x:c r="B1722" s="10" t="n">
        <x:v>46019</x:v>
      </x:c>
      <x:c r="C1722" t="str">
        <x:v>Quynh Vu</x:v>
      </x:c>
      <x:c r="D1722" t="str">
        <x:v>North</x:v>
      </x:c>
      <x:c r="E1722" t="str">
        <x:v>organic search</x:v>
      </x:c>
      <x:c r="F1722" t="str">
        <x:v>CRM-CORE</x:v>
      </x:c>
      <x:c r="G1722" t="str">
        <x:v>Technology</x:v>
      </x:c>
      <x:c r="H1722" t="str">
        <x:v>Mid-Market</x:v>
      </x:c>
      <x:c r="I1722" t="str">
        <x:v>Closed Lost</x:v>
      </x:c>
      <x:c r="J1722" s="10" t="n">
        <x:v>46055</x:v>
      </x:c>
      <x:c r="K1722" s="10" t="n">
        <x:v>46055</x:v>
      </x:c>
      <x:c r="L1722" s="22" t="n">
        <x:v>18400</x:v>
      </x:c>
      <x:c r="M1722" s="24" t="n">
        <x:v>0</x:v>
      </x:c>
      <x:c r="N1722" s="24" t="n">
        <x:v>0</x:v>
      </x:c>
      <x:c r="O1722" t="str">
        <x:v>Price</x:v>
      </x:c>
      <x:c r="P1722" t="n">
        <x:v>3</x:v>
      </x:c>
      <x:c r="Q1722" t="str">
        <x:f>IFERROR(XLOOKUP(E1722,Lookups!$A$5:$A$24,Lookups!$B$5:$B$24),"Other")</x:f>
        <x:v>Organic Search</x:v>
      </x:c>
      <x:c r="R1722" t="str">
        <x:f>IFERROR(XLOOKUP(F1722,Lookups!$D$5:$D$10,Lookups!$E$5:$E$10),"Unknown Product")</x:f>
        <x:v>NexaCRM Core</x:v>
      </x:c>
      <x:c r="S1722" t="str">
        <x:f>IFERROR(XLOOKUP(F1722,Lookups!$D$5:$D$10,Lookups!$F$5:$F$10),"Unknown")</x:f>
        <x:v>CRM</x:v>
      </x:c>
      <x:c r="T1722" t="str">
        <x:f>IF(L1722&gt;=50000,"Enterprise",IF(L1722&gt;=20000,"Mid-Market","SMB"))</x:f>
        <x:v>SMB</x:v>
      </x:c>
      <x:c r="U1722" t="str">
        <x:f>IF(I1722="Closed Won","Won",IF(I1722="Closed Lost","Lost","Open"))</x:f>
        <x:v>Lost</x:v>
      </x:c>
      <x:c r="V1722" s="22" t="n">
        <x:f>IF(U1722="Won",L1722*(1-M1722),0)</x:f>
        <x:v>0</x:v>
      </x:c>
      <x:c r="W1722" s="22" t="n">
        <x:f>IF(U1722="Open",L1722*N1722,0)</x:f>
        <x:v>0</x:v>
      </x:c>
      <x:c r="X1722" s="26" t="n">
        <x:f>IF(U1722="Open","",IFERROR(K1722-B1722,""))</x:f>
        <x:v>36</x:v>
      </x:c>
      <x:c r="Y1722" s="26" t="n">
        <x:f>IF(U1722="Open",Lookups!$B$2-B1722,X1722)</x:f>
        <x:v>36</x:v>
      </x:c>
      <x:c r="Z1722" t="str">
        <x:f>IF(AND(U1722="Open",Y1722&gt;30),"STALE","OK")</x:f>
        <x:v>OK</x:v>
      </x:c>
      <x:c r="AA1722" t="str">
        <x:f>TEXT(B1722,"yyyy-mm")</x:f>
        <x:v>2025-12</x:v>
      </x:c>
      <x:c r="AB1722" t="str">
        <x:f>IF(K1722="","",TEXT(K1722,"yyyy-mm"))</x:f>
        <x:v>2026-02</x:v>
      </x:c>
      <x:c r="AC1722" t="str">
        <x:f>"Q"&amp;ROUNDUP(MONTH(B1722)/3,0)&amp;"-"&amp;YEAR(B1722)</x:f>
        <x:v>Q4-2025</x:v>
      </x:c>
      <x:c r="AD1722" s="26" t="n">
        <x:f>MIN(100,IF(H1722="Enterprise",30,IF(H1722="Mid-Market",22,14))+IF(T1722="Enterprise",25,IF(T1722="Mid-Market",18,10))+IF(Q1722="Referral",25,IF(Q1722="Organic Search",20,IF(Q1722="Email",18,14)))+IF(G1722="Technology",10,5))</x:f>
        <x:v>62</x:v>
      </x:c>
      <x:c r="AE1722" t="str">
        <x:f>IF(U1722&lt;&gt;"Open",U1722,IF(N1722&gt;=0.8,"Commit",IF(N1722&gt;=0.5,"Best Case","Pipeline")))</x:f>
        <x:v>Lost</x:v>
      </x:c>
    </x:row>
    <x:row r="1723">
      <x:c r="A1723" t="str">
        <x:v>L01722</x:v>
      </x:c>
      <x:c r="B1723" s="10" t="n">
        <x:v>45747</x:v>
      </x:c>
      <x:c r="C1723" t="str">
        <x:v>Quynh Vu</x:v>
      </x:c>
      <x:c r="D1723" t="str">
        <x:v>North</x:v>
      </x:c>
      <x:c r="E1723" t="str">
        <x:v>Email Campaign</x:v>
      </x:c>
      <x:c r="F1723" t="str">
        <x:v>CS-CLOUD</x:v>
      </x:c>
      <x:c r="G1723" t="str">
        <x:v>Manufacturing</x:v>
      </x:c>
      <x:c r="H1723" t="str">
        <x:v>SMB</x:v>
      </x:c>
      <x:c r="I1723" t="str">
        <x:v>Closed Won</x:v>
      </x:c>
      <x:c r="J1723" s="10" t="n">
        <x:v>45778</x:v>
      </x:c>
      <x:c r="K1723" s="10" t="n">
        <x:v>45778</x:v>
      </x:c>
      <x:c r="L1723" s="22" t="n">
        <x:v>25900</x:v>
      </x:c>
      <x:c r="M1723" s="24" t="n">
        <x:v>0.08</x:v>
      </x:c>
      <x:c r="N1723" s="24" t="n">
        <x:v>1</x:v>
      </x:c>
      <x:c r="O1723" t="str"/>
      <x:c r="P1723" t="n">
        <x:v>6</x:v>
      </x:c>
      <x:c r="Q1723" t="str">
        <x:f>IFERROR(XLOOKUP(E1723,Lookups!$A$5:$A$24,Lookups!$B$5:$B$24),"Other")</x:f>
        <x:v>Email</x:v>
      </x:c>
      <x:c r="R1723" t="str">
        <x:f>IFERROR(XLOOKUP(F1723,Lookups!$D$5:$D$10,Lookups!$E$5:$E$10),"Unknown Product")</x:f>
        <x:v>Service Cloud</x:v>
      </x:c>
      <x:c r="S1723" t="str">
        <x:f>IFERROR(XLOOKUP(F1723,Lookups!$D$5:$D$10,Lookups!$F$5:$F$10),"Unknown")</x:f>
        <x:v>Customer Service</x:v>
      </x:c>
      <x:c r="T1723" t="str">
        <x:f>IF(L1723&gt;=50000,"Enterprise",IF(L1723&gt;=20000,"Mid-Market","SMB"))</x:f>
        <x:v>Mid-Market</x:v>
      </x:c>
      <x:c r="U1723" t="str">
        <x:f>IF(I1723="Closed Won","Won",IF(I1723="Closed Lost","Lost","Open"))</x:f>
        <x:v>Won</x:v>
      </x:c>
      <x:c r="V1723" s="22" t="n">
        <x:f>IF(U1723="Won",L1723*(1-M1723),0)</x:f>
        <x:v>23828</x:v>
      </x:c>
      <x:c r="W1723" s="22" t="n">
        <x:f>IF(U1723="Open",L1723*N1723,0)</x:f>
        <x:v>0</x:v>
      </x:c>
      <x:c r="X1723" s="26" t="n">
        <x:f>IF(U1723="Open","",IFERROR(K1723-B1723,""))</x:f>
        <x:v>31</x:v>
      </x:c>
      <x:c r="Y1723" s="26" t="n">
        <x:f>IF(U1723="Open",Lookups!$B$2-B1723,X1723)</x:f>
        <x:v>31</x:v>
      </x:c>
      <x:c r="Z1723" t="str">
        <x:f>IF(AND(U1723="Open",Y1723&gt;30),"STALE","OK")</x:f>
        <x:v>OK</x:v>
      </x:c>
      <x:c r="AA1723" t="str">
        <x:f>TEXT(B1723,"yyyy-mm")</x:f>
        <x:v>2025-03</x:v>
      </x:c>
      <x:c r="AB1723" t="str">
        <x:f>IF(K1723="","",TEXT(K1723,"yyyy-mm"))</x:f>
        <x:v>2025-05</x:v>
      </x:c>
      <x:c r="AC1723" t="str">
        <x:f>"Q"&amp;ROUNDUP(MONTH(B1723)/3,0)&amp;"-"&amp;YEAR(B1723)</x:f>
        <x:v>Q1-2025</x:v>
      </x:c>
      <x:c r="AD1723" s="26" t="n">
        <x:f>MIN(100,IF(H1723="Enterprise",30,IF(H1723="Mid-Market",22,14))+IF(T1723="Enterprise",25,IF(T1723="Mid-Market",18,10))+IF(Q1723="Referral",25,IF(Q1723="Organic Search",20,IF(Q1723="Email",18,14)))+IF(G1723="Technology",10,5))</x:f>
        <x:v>55</x:v>
      </x:c>
      <x:c r="AE1723" t="str">
        <x:f>IF(U1723&lt;&gt;"Open",U1723,IF(N1723&gt;=0.8,"Commit",IF(N1723&gt;=0.5,"Best Case","Pipeline")))</x:f>
        <x:v>Won</x:v>
      </x:c>
    </x:row>
    <x:row r="1724">
      <x:c r="A1724" t="str">
        <x:v>L01723</x:v>
      </x:c>
      <x:c r="B1724" s="10" t="n">
        <x:v>45839</x:v>
      </x:c>
      <x:c r="C1724" t="str">
        <x:v>Minh Do</x:v>
      </x:c>
      <x:c r="D1724" t="str">
        <x:v>North</x:v>
      </x:c>
      <x:c r="E1724" t="str">
        <x:v>LinkedIn Ads</x:v>
      </x:c>
      <x:c r="F1724" t="str">
        <x:v>CRM-PRO</x:v>
      </x:c>
      <x:c r="G1724" t="str">
        <x:v>Financial Services</x:v>
      </x:c>
      <x:c r="H1724" t="str">
        <x:v>Mid-Market</x:v>
      </x:c>
      <x:c r="I1724" t="str">
        <x:v>Closed Lost</x:v>
      </x:c>
      <x:c r="J1724" s="10" t="n">
        <x:v>45888</x:v>
      </x:c>
      <x:c r="K1724" s="10" t="n">
        <x:v>45888</x:v>
      </x:c>
      <x:c r="L1724" s="22" t="n">
        <x:v>34700</x:v>
      </x:c>
      <x:c r="M1724" s="24" t="n">
        <x:v>0</x:v>
      </x:c>
      <x:c r="N1724" s="24" t="n">
        <x:v>0</x:v>
      </x:c>
      <x:c r="O1724" t="str">
        <x:v>Timing</x:v>
      </x:c>
      <x:c r="P1724" t="n">
        <x:v>4</x:v>
      </x:c>
      <x:c r="Q1724" t="str">
        <x:f>IFERROR(XLOOKUP(E1724,Lookups!$A$5:$A$24,Lookups!$B$5:$B$24),"Other")</x:f>
        <x:v>LinkedIn</x:v>
      </x:c>
      <x:c r="R1724" t="str">
        <x:f>IFERROR(XLOOKUP(F1724,Lookups!$D$5:$D$10,Lookups!$E$5:$E$10),"Unknown Product")</x:f>
        <x:v>NexaCRM Pro</x:v>
      </x:c>
      <x:c r="S1724" t="str">
        <x:f>IFERROR(XLOOKUP(F1724,Lookups!$D$5:$D$10,Lookups!$F$5:$F$10),"Unknown")</x:f>
        <x:v>CRM</x:v>
      </x:c>
      <x:c r="T1724" t="str">
        <x:f>IF(L1724&gt;=50000,"Enterprise",IF(L1724&gt;=20000,"Mid-Market","SMB"))</x:f>
        <x:v>Mid-Market</x:v>
      </x:c>
      <x:c r="U1724" t="str">
        <x:f>IF(I1724="Closed Won","Won",IF(I1724="Closed Lost","Lost","Open"))</x:f>
        <x:v>Lost</x:v>
      </x:c>
      <x:c r="V1724" s="22" t="n">
        <x:f>IF(U1724="Won",L1724*(1-M1724),0)</x:f>
        <x:v>0</x:v>
      </x:c>
      <x:c r="W1724" s="22" t="n">
        <x:f>IF(U1724="Open",L1724*N1724,0)</x:f>
        <x:v>0</x:v>
      </x:c>
      <x:c r="X1724" s="26" t="n">
        <x:f>IF(U1724="Open","",IFERROR(K1724-B1724,""))</x:f>
        <x:v>49</x:v>
      </x:c>
      <x:c r="Y1724" s="26" t="n">
        <x:f>IF(U1724="Open",Lookups!$B$2-B1724,X1724)</x:f>
        <x:v>49</x:v>
      </x:c>
      <x:c r="Z1724" t="str">
        <x:f>IF(AND(U1724="Open",Y1724&gt;30),"STALE","OK")</x:f>
        <x:v>OK</x:v>
      </x:c>
      <x:c r="AA1724" t="str">
        <x:f>TEXT(B1724,"yyyy-mm")</x:f>
        <x:v>2025-07</x:v>
      </x:c>
      <x:c r="AB1724" t="str">
        <x:f>IF(K1724="","",TEXT(K1724,"yyyy-mm"))</x:f>
        <x:v>2025-08</x:v>
      </x:c>
      <x:c r="AC1724" t="str">
        <x:f>"Q"&amp;ROUNDUP(MONTH(B1724)/3,0)&amp;"-"&amp;YEAR(B1724)</x:f>
        <x:v>Q3-2025</x:v>
      </x:c>
      <x:c r="AD1724" s="26" t="n">
        <x:f>MIN(100,IF(H1724="Enterprise",30,IF(H1724="Mid-Market",22,14))+IF(T1724="Enterprise",25,IF(T1724="Mid-Market",18,10))+IF(Q1724="Referral",25,IF(Q1724="Organic Search",20,IF(Q1724="Email",18,14)))+IF(G1724="Technology",10,5))</x:f>
        <x:v>59</x:v>
      </x:c>
      <x:c r="AE1724" t="str">
        <x:f>IF(U1724&lt;&gt;"Open",U1724,IF(N1724&gt;=0.8,"Commit",IF(N1724&gt;=0.5,"Best Case","Pipeline")))</x:f>
        <x:v>Lost</x:v>
      </x:c>
    </x:row>
    <x:row r="1725">
      <x:c r="A1725" t="str">
        <x:v>L01724</x:v>
      </x:c>
      <x:c r="B1725" s="10" t="n">
        <x:v>46230</x:v>
      </x:c>
      <x:c r="C1725" t="str">
        <x:v>Quynh Vu</x:v>
      </x:c>
      <x:c r="D1725" t="str">
        <x:v>North</x:v>
      </x:c>
      <x:c r="E1725" t="str">
        <x:v>Partner Referral</x:v>
      </x:c>
      <x:c r="F1725" t="str">
        <x:v>CRM-PRO</x:v>
      </x:c>
      <x:c r="G1725" t="str">
        <x:v>Financial Services</x:v>
      </x:c>
      <x:c r="H1725" t="str">
        <x:v>Mid-Market</x:v>
      </x:c>
      <x:c r="I1725" t="str">
        <x:v>Demo / Meeting</x:v>
      </x:c>
      <x:c r="J1725" s="10" t="n">
        <x:v>46253</x:v>
      </x:c>
      <x:c r="K1725" s="10"/>
      <x:c r="L1725" s="22" t="n">
        <x:v>30000</x:v>
      </x:c>
      <x:c r="M1725" s="24" t="n">
        <x:v>0</x:v>
      </x:c>
      <x:c r="N1725" s="24" t="n">
        <x:v>0.4</x:v>
      </x:c>
      <x:c r="O1725" t="str"/>
      <x:c r="P1725" t="n">
        <x:v>3</x:v>
      </x:c>
      <x:c r="Q1725" t="str">
        <x:f>IFERROR(XLOOKUP(E1725,Lookups!$A$5:$A$24,Lookups!$B$5:$B$24),"Other")</x:f>
        <x:v>Referral</x:v>
      </x:c>
      <x:c r="R1725" t="str">
        <x:f>IFERROR(XLOOKUP(F1725,Lookups!$D$5:$D$10,Lookups!$E$5:$E$10),"Unknown Product")</x:f>
        <x:v>NexaCRM Pro</x:v>
      </x:c>
      <x:c r="S1725" t="str">
        <x:f>IFERROR(XLOOKUP(F1725,Lookups!$D$5:$D$10,Lookups!$F$5:$F$10),"Unknown")</x:f>
        <x:v>CRM</x:v>
      </x:c>
      <x:c r="T1725" t="str">
        <x:f>IF(L1725&gt;=50000,"Enterprise",IF(L1725&gt;=20000,"Mid-Market","SMB"))</x:f>
        <x:v>Mid-Market</x:v>
      </x:c>
      <x:c r="U1725" t="str">
        <x:f>IF(I1725="Closed Won","Won",IF(I1725="Closed Lost","Lost","Open"))</x:f>
        <x:v>Open</x:v>
      </x:c>
      <x:c r="V1725" s="22" t="n">
        <x:f>IF(U1725="Won",L1725*(1-M1725),0)</x:f>
        <x:v>0</x:v>
      </x:c>
      <x:c r="W1725" s="22" t="n">
        <x:f>IF(U1725="Open",L1725*N1725,0)</x:f>
        <x:v>12000</x:v>
      </x:c>
      <x:c r="X1725" s="26" t="str">
        <x:f>IF(U1725="Open","",IFERROR(K1725-B1725,""))</x:f>
      </x:c>
      <x:c r="Y1725" s="26" t="n">
        <x:f>IF(U1725="Open",Lookups!$B$2-B1725,X1725)</x:f>
        <x:v>36</x:v>
      </x:c>
      <x:c r="Z1725" t="str">
        <x:f>IF(AND(U1725="Open",Y1725&gt;30),"STALE","OK")</x:f>
        <x:v>STALE</x:v>
      </x:c>
      <x:c r="AA1725" t="str">
        <x:f>TEXT(B1725,"yyyy-mm")</x:f>
        <x:v>2026-07</x:v>
      </x:c>
      <x:c r="AB1725" t="str">
        <x:f>IF(K1725="","",TEXT(K1725,"yyyy-mm"))</x:f>
      </x:c>
      <x:c r="AC1725" t="str">
        <x:f>"Q"&amp;ROUNDUP(MONTH(B1725)/3,0)&amp;"-"&amp;YEAR(B1725)</x:f>
        <x:v>Q3-2026</x:v>
      </x:c>
      <x:c r="AD1725" s="26" t="n">
        <x:f>MIN(100,IF(H1725="Enterprise",30,IF(H1725="Mid-Market",22,14))+IF(T1725="Enterprise",25,IF(T1725="Mid-Market",18,10))+IF(Q1725="Referral",25,IF(Q1725="Organic Search",20,IF(Q1725="Email",18,14)))+IF(G1725="Technology",10,5))</x:f>
        <x:v>70</x:v>
      </x:c>
      <x:c r="AE1725" t="str">
        <x:f>IF(U1725&lt;&gt;"Open",U1725,IF(N1725&gt;=0.8,"Commit",IF(N1725&gt;=0.5,"Best Case","Pipeline")))</x:f>
        <x:v>Pipeline</x:v>
      </x:c>
    </x:row>
    <x:row r="1726">
      <x:c r="A1726" t="str">
        <x:v>L01725</x:v>
      </x:c>
      <x:c r="B1726" s="10" t="n">
        <x:v>45739</x:v>
      </x:c>
      <x:c r="C1726" t="str">
        <x:v>An Nguyen</x:v>
      </x:c>
      <x:c r="D1726" t="str">
        <x:v>South</x:v>
      </x:c>
      <x:c r="E1726" t="str">
        <x:v>SEO</x:v>
      </x:c>
      <x:c r="F1726" t="str">
        <x:v>CRM-CORE</x:v>
      </x:c>
      <x:c r="G1726" t="str">
        <x:v>Retail</x:v>
      </x:c>
      <x:c r="H1726" t="str">
        <x:v>SMB</x:v>
      </x:c>
      <x:c r="I1726" t="str">
        <x:v>Closed Lost</x:v>
      </x:c>
      <x:c r="J1726" s="10" t="n">
        <x:v>45767</x:v>
      </x:c>
      <x:c r="K1726" s="10" t="n">
        <x:v>45767</x:v>
      </x:c>
      <x:c r="L1726" s="22" t="n">
        <x:v>8700</x:v>
      </x:c>
      <x:c r="M1726" s="24" t="n">
        <x:v>0</x:v>
      </x:c>
      <x:c r="N1726" s="24" t="n">
        <x:v>0</x:v>
      </x:c>
      <x:c r="O1726" t="str">
        <x:v>Timing</x:v>
      </x:c>
      <x:c r="P1726" t="n">
        <x:v>4</x:v>
      </x:c>
      <x:c r="Q1726" t="str">
        <x:f>IFERROR(XLOOKUP(E1726,Lookups!$A$5:$A$24,Lookups!$B$5:$B$24),"Other")</x:f>
        <x:v>Organic Search</x:v>
      </x:c>
      <x:c r="R1726" t="str">
        <x:f>IFERROR(XLOOKUP(F1726,Lookups!$D$5:$D$10,Lookups!$E$5:$E$10),"Unknown Product")</x:f>
        <x:v>NexaCRM Core</x:v>
      </x:c>
      <x:c r="S1726" t="str">
        <x:f>IFERROR(XLOOKUP(F1726,Lookups!$D$5:$D$10,Lookups!$F$5:$F$10),"Unknown")</x:f>
        <x:v>CRM</x:v>
      </x:c>
      <x:c r="T1726" t="str">
        <x:f>IF(L1726&gt;=50000,"Enterprise",IF(L1726&gt;=20000,"Mid-Market","SMB"))</x:f>
        <x:v>SMB</x:v>
      </x:c>
      <x:c r="U1726" t="str">
        <x:f>IF(I1726="Closed Won","Won",IF(I1726="Closed Lost","Lost","Open"))</x:f>
        <x:v>Lost</x:v>
      </x:c>
      <x:c r="V1726" s="22" t="n">
        <x:f>IF(U1726="Won",L1726*(1-M1726),0)</x:f>
        <x:v>0</x:v>
      </x:c>
      <x:c r="W1726" s="22" t="n">
        <x:f>IF(U1726="Open",L1726*N1726,0)</x:f>
        <x:v>0</x:v>
      </x:c>
      <x:c r="X1726" s="26" t="n">
        <x:f>IF(U1726="Open","",IFERROR(K1726-B1726,""))</x:f>
        <x:v>28</x:v>
      </x:c>
      <x:c r="Y1726" s="26" t="n">
        <x:f>IF(U1726="Open",Lookups!$B$2-B1726,X1726)</x:f>
        <x:v>28</x:v>
      </x:c>
      <x:c r="Z1726" t="str">
        <x:f>IF(AND(U1726="Open",Y1726&gt;30),"STALE","OK")</x:f>
        <x:v>OK</x:v>
      </x:c>
      <x:c r="AA1726" t="str">
        <x:f>TEXT(B1726,"yyyy-mm")</x:f>
        <x:v>2025-03</x:v>
      </x:c>
      <x:c r="AB1726" t="str">
        <x:f>IF(K1726="","",TEXT(K1726,"yyyy-mm"))</x:f>
        <x:v>2025-04</x:v>
      </x:c>
      <x:c r="AC1726" t="str">
        <x:f>"Q"&amp;ROUNDUP(MONTH(B1726)/3,0)&amp;"-"&amp;YEAR(B1726)</x:f>
        <x:v>Q1-2025</x:v>
      </x:c>
      <x:c r="AD1726" s="26" t="n">
        <x:f>MIN(100,IF(H1726="Enterprise",30,IF(H1726="Mid-Market",22,14))+IF(T1726="Enterprise",25,IF(T1726="Mid-Market",18,10))+IF(Q1726="Referral",25,IF(Q1726="Organic Search",20,IF(Q1726="Email",18,14)))+IF(G1726="Technology",10,5))</x:f>
        <x:v>49</x:v>
      </x:c>
      <x:c r="AE1726" t="str">
        <x:f>IF(U1726&lt;&gt;"Open",U1726,IF(N1726&gt;=0.8,"Commit",IF(N1726&gt;=0.5,"Best Case","Pipeline")))</x:f>
        <x:v>Lost</x:v>
      </x:c>
    </x:row>
    <x:row r="1727">
      <x:c r="A1727" t="str">
        <x:v>L01726</x:v>
      </x:c>
      <x:c r="B1727" s="10" t="n">
        <x:v>46157</x:v>
      </x:c>
      <x:c r="C1727" t="str">
        <x:v>Bao Tran</x:v>
      </x:c>
      <x:c r="D1727" t="str">
        <x:v>South</x:v>
      </x:c>
      <x:c r="E1727" t="str">
        <x:v>virtual event</x:v>
      </x:c>
      <x:c r="F1727" t="str">
        <x:v>CRM-PRO</x:v>
      </x:c>
      <x:c r="G1727" t="str">
        <x:v>Retail</x:v>
      </x:c>
      <x:c r="H1727" t="str">
        <x:v>Mid-Market</x:v>
      </x:c>
      <x:c r="I1727" t="str">
        <x:v>Proposal</x:v>
      </x:c>
      <x:c r="J1727" s="10" t="n">
        <x:v>46206</x:v>
      </x:c>
      <x:c r="K1727" s="10"/>
      <x:c r="L1727" s="22" t="n">
        <x:v>35700</x:v>
      </x:c>
      <x:c r="M1727" s="24" t="n">
        <x:v>0</x:v>
      </x:c>
      <x:c r="N1727" s="24" t="n">
        <x:v>0.65</x:v>
      </x:c>
      <x:c r="O1727" t="str"/>
      <x:c r="P1727" t="n">
        <x:v>4</x:v>
      </x:c>
      <x:c r="Q1727" t="str">
        <x:f>IFERROR(XLOOKUP(E1727,Lookups!$A$5:$A$24,Lookups!$B$5:$B$24),"Other")</x:f>
        <x:v>Webinar</x:v>
      </x:c>
      <x:c r="R1727" t="str">
        <x:f>IFERROR(XLOOKUP(F1727,Lookups!$D$5:$D$10,Lookups!$E$5:$E$10),"Unknown Product")</x:f>
        <x:v>NexaCRM Pro</x:v>
      </x:c>
      <x:c r="S1727" t="str">
        <x:f>IFERROR(XLOOKUP(F1727,Lookups!$D$5:$D$10,Lookups!$F$5:$F$10),"Unknown")</x:f>
        <x:v>CRM</x:v>
      </x:c>
      <x:c r="T1727" t="str">
        <x:f>IF(L1727&gt;=50000,"Enterprise",IF(L1727&gt;=20000,"Mid-Market","SMB"))</x:f>
        <x:v>Mid-Market</x:v>
      </x:c>
      <x:c r="U1727" t="str">
        <x:f>IF(I1727="Closed Won","Won",IF(I1727="Closed Lost","Lost","Open"))</x:f>
        <x:v>Open</x:v>
      </x:c>
      <x:c r="V1727" s="22" t="n">
        <x:f>IF(U1727="Won",L1727*(1-M1727),0)</x:f>
        <x:v>0</x:v>
      </x:c>
      <x:c r="W1727" s="22" t="n">
        <x:f>IF(U1727="Open",L1727*N1727,0)</x:f>
        <x:v>23205</x:v>
      </x:c>
      <x:c r="X1727" s="26" t="str">
        <x:f>IF(U1727="Open","",IFERROR(K1727-B1727,""))</x:f>
      </x:c>
      <x:c r="Y1727" s="26" t="n">
        <x:f>IF(U1727="Open",Lookups!$B$2-B1727,X1727)</x:f>
        <x:v>109</x:v>
      </x:c>
      <x:c r="Z1727" t="str">
        <x:f>IF(AND(U1727="Open",Y1727&gt;30),"STALE","OK")</x:f>
        <x:v>STALE</x:v>
      </x:c>
      <x:c r="AA1727" t="str">
        <x:f>TEXT(B1727,"yyyy-mm")</x:f>
        <x:v>2026-05</x:v>
      </x:c>
      <x:c r="AB1727" t="str">
        <x:f>IF(K1727="","",TEXT(K1727,"yyyy-mm"))</x:f>
      </x:c>
      <x:c r="AC1727" t="str">
        <x:f>"Q"&amp;ROUNDUP(MONTH(B1727)/3,0)&amp;"-"&amp;YEAR(B1727)</x:f>
        <x:v>Q2-2026</x:v>
      </x:c>
      <x:c r="AD1727" s="26" t="n">
        <x:f>MIN(100,IF(H1727="Enterprise",30,IF(H1727="Mid-Market",22,14))+IF(T1727="Enterprise",25,IF(T1727="Mid-Market",18,10))+IF(Q1727="Referral",25,IF(Q1727="Organic Search",20,IF(Q1727="Email",18,14)))+IF(G1727="Technology",10,5))</x:f>
        <x:v>59</x:v>
      </x:c>
      <x:c r="AE1727" t="str">
        <x:f>IF(U1727&lt;&gt;"Open",U1727,IF(N1727&gt;=0.8,"Commit",IF(N1727&gt;=0.5,"Best Case","Pipeline")))</x:f>
        <x:v>Best Case</x:v>
      </x:c>
    </x:row>
    <x:row r="1728">
      <x:c r="A1728" t="str">
        <x:v>L01727</x:v>
      </x:c>
      <x:c r="B1728" s="10" t="n">
        <x:v>46232</x:v>
      </x:c>
      <x:c r="C1728" t="str">
        <x:v>Quynh Vu</x:v>
      </x:c>
      <x:c r="D1728" t="str">
        <x:v>North</x:v>
      </x:c>
      <x:c r="E1728" t="str">
        <x:v>Email Campaign</x:v>
      </x:c>
      <x:c r="F1728" t="str">
        <x:v>BI-PLUS</x:v>
      </x:c>
      <x:c r="G1728" t="str">
        <x:v>Healthcare</x:v>
      </x:c>
      <x:c r="H1728" t="str">
        <x:v>Enterprise</x:v>
      </x:c>
      <x:c r="I1728" t="str">
        <x:v>Closed Won</x:v>
      </x:c>
      <x:c r="J1728" s="10" t="n">
        <x:v>46266</x:v>
      </x:c>
      <x:c r="K1728" s="10" t="n">
        <x:v>46266</x:v>
      </x:c>
      <x:c r="L1728" s="22" t="n">
        <x:v>95200</x:v>
      </x:c>
      <x:c r="M1728" s="24" t="n">
        <x:v>0.1</x:v>
      </x:c>
      <x:c r="N1728" s="24" t="n">
        <x:v>1</x:v>
      </x:c>
      <x:c r="O1728" t="str"/>
      <x:c r="P1728" t="n">
        <x:v>6</x:v>
      </x:c>
      <x:c r="Q1728" t="str">
        <x:f>IFERROR(XLOOKUP(E1728,Lookups!$A$5:$A$24,Lookups!$B$5:$B$24),"Other")</x:f>
        <x:v>Email</x:v>
      </x:c>
      <x:c r="R1728" t="str">
        <x:f>IFERROR(XLOOKUP(F1728,Lookups!$D$5:$D$10,Lookups!$E$5:$E$10),"Unknown Product")</x:f>
        <x:v>Analytics Plus</x:v>
      </x:c>
      <x:c r="S1728" t="str">
        <x:f>IFERROR(XLOOKUP(F1728,Lookups!$D$5:$D$10,Lookups!$F$5:$F$10),"Unknown")</x:f>
        <x:v>Analytics</x:v>
      </x:c>
      <x:c r="T1728" t="str">
        <x:f>IF(L1728&gt;=50000,"Enterprise",IF(L1728&gt;=20000,"Mid-Market","SMB"))</x:f>
        <x:v>Enterprise</x:v>
      </x:c>
      <x:c r="U1728" t="str">
        <x:f>IF(I1728="Closed Won","Won",IF(I1728="Closed Lost","Lost","Open"))</x:f>
        <x:v>Won</x:v>
      </x:c>
      <x:c r="V1728" s="22" t="n">
        <x:f>IF(U1728="Won",L1728*(1-M1728),0)</x:f>
        <x:v>85680</x:v>
      </x:c>
      <x:c r="W1728" s="22" t="n">
        <x:f>IF(U1728="Open",L1728*N1728,0)</x:f>
        <x:v>0</x:v>
      </x:c>
      <x:c r="X1728" s="26" t="n">
        <x:f>IF(U1728="Open","",IFERROR(K1728-B1728,""))</x:f>
        <x:v>34</x:v>
      </x:c>
      <x:c r="Y1728" s="26" t="n">
        <x:f>IF(U1728="Open",Lookups!$B$2-B1728,X1728)</x:f>
        <x:v>34</x:v>
      </x:c>
      <x:c r="Z1728" t="str">
        <x:f>IF(AND(U1728="Open",Y1728&gt;30),"STALE","OK")</x:f>
        <x:v>OK</x:v>
      </x:c>
      <x:c r="AA1728" t="str">
        <x:f>TEXT(B1728,"yyyy-mm")</x:f>
        <x:v>2026-07</x:v>
      </x:c>
      <x:c r="AB1728" t="str">
        <x:f>IF(K1728="","",TEXT(K1728,"yyyy-mm"))</x:f>
        <x:v>2026-09</x:v>
      </x:c>
      <x:c r="AC1728" t="str">
        <x:f>"Q"&amp;ROUNDUP(MONTH(B1728)/3,0)&amp;"-"&amp;YEAR(B1728)</x:f>
        <x:v>Q3-2026</x:v>
      </x:c>
      <x:c r="AD1728" s="26" t="n">
        <x:f>MIN(100,IF(H1728="Enterprise",30,IF(H1728="Mid-Market",22,14))+IF(T1728="Enterprise",25,IF(T1728="Mid-Market",18,10))+IF(Q1728="Referral",25,IF(Q1728="Organic Search",20,IF(Q1728="Email",18,14)))+IF(G1728="Technology",10,5))</x:f>
        <x:v>78</x:v>
      </x:c>
      <x:c r="AE1728" t="str">
        <x:f>IF(U1728&lt;&gt;"Open",U1728,IF(N1728&gt;=0.8,"Commit",IF(N1728&gt;=0.5,"Best Case","Pipeline")))</x:f>
        <x:v>Won</x:v>
      </x:c>
    </x:row>
    <x:row r="1729">
      <x:c r="A1729" t="str">
        <x:v>L01728</x:v>
      </x:c>
      <x:c r="B1729" s="10" t="n">
        <x:v>45784</x:v>
      </x:c>
      <x:c r="C1729" t="str">
        <x:v>Chi Le</x:v>
      </x:c>
      <x:c r="D1729" t="str">
        <x:v>South</x:v>
      </x:c>
      <x:c r="E1729" t="str">
        <x:v>SEM - Google</x:v>
      </x:c>
      <x:c r="F1729" t="str">
        <x:v>CS-CLOUD</x:v>
      </x:c>
      <x:c r="G1729" t="str">
        <x:v>Financial Services</x:v>
      </x:c>
      <x:c r="H1729" t="str">
        <x:v>SMB</x:v>
      </x:c>
      <x:c r="I1729" t="str">
        <x:v>Closed Lost</x:v>
      </x:c>
      <x:c r="J1729" s="10" t="n">
        <x:v>45843</x:v>
      </x:c>
      <x:c r="K1729" s="10" t="n">
        <x:v>45843</x:v>
      </x:c>
      <x:c r="L1729" s="22" t="n">
        <x:v>26800</x:v>
      </x:c>
      <x:c r="M1729" s="24" t="n">
        <x:v>0</x:v>
      </x:c>
      <x:c r="N1729" s="24" t="n">
        <x:v>0</x:v>
      </x:c>
      <x:c r="O1729" t="str">
        <x:v>No Decision</x:v>
      </x:c>
      <x:c r="P1729" t="n">
        <x:v>4</x:v>
      </x:c>
      <x:c r="Q1729" t="str">
        <x:f>IFERROR(XLOOKUP(E1729,Lookups!$A$5:$A$24,Lookups!$B$5:$B$24),"Other")</x:f>
        <x:v>Paid Search</x:v>
      </x:c>
      <x:c r="R1729" t="str">
        <x:f>IFERROR(XLOOKUP(F1729,Lookups!$D$5:$D$10,Lookups!$E$5:$E$10),"Unknown Product")</x:f>
        <x:v>Service Cloud</x:v>
      </x:c>
      <x:c r="S1729" t="str">
        <x:f>IFERROR(XLOOKUP(F1729,Lookups!$D$5:$D$10,Lookups!$F$5:$F$10),"Unknown")</x:f>
        <x:v>Customer Service</x:v>
      </x:c>
      <x:c r="T1729" t="str">
        <x:f>IF(L1729&gt;=50000,"Enterprise",IF(L1729&gt;=20000,"Mid-Market","SMB"))</x:f>
        <x:v>Mid-Market</x:v>
      </x:c>
      <x:c r="U1729" t="str">
        <x:f>IF(I1729="Closed Won","Won",IF(I1729="Closed Lost","Lost","Open"))</x:f>
        <x:v>Lost</x:v>
      </x:c>
      <x:c r="V1729" s="22" t="n">
        <x:f>IF(U1729="Won",L1729*(1-M1729),0)</x:f>
        <x:v>0</x:v>
      </x:c>
      <x:c r="W1729" s="22" t="n">
        <x:f>IF(U1729="Open",L1729*N1729,0)</x:f>
        <x:v>0</x:v>
      </x:c>
      <x:c r="X1729" s="26" t="n">
        <x:f>IF(U1729="Open","",IFERROR(K1729-B1729,""))</x:f>
        <x:v>59</x:v>
      </x:c>
      <x:c r="Y1729" s="26" t="n">
        <x:f>IF(U1729="Open",Lookups!$B$2-B1729,X1729)</x:f>
        <x:v>59</x:v>
      </x:c>
      <x:c r="Z1729" t="str">
        <x:f>IF(AND(U1729="Open",Y1729&gt;30),"STALE","OK")</x:f>
        <x:v>OK</x:v>
      </x:c>
      <x:c r="AA1729" t="str">
        <x:f>TEXT(B1729,"yyyy-mm")</x:f>
        <x:v>2025-05</x:v>
      </x:c>
      <x:c r="AB1729" t="str">
        <x:f>IF(K1729="","",TEXT(K1729,"yyyy-mm"))</x:f>
        <x:v>2025-07</x:v>
      </x:c>
      <x:c r="AC1729" t="str">
        <x:f>"Q"&amp;ROUNDUP(MONTH(B1729)/3,0)&amp;"-"&amp;YEAR(B1729)</x:f>
        <x:v>Q2-2025</x:v>
      </x:c>
      <x:c r="AD1729" s="26" t="n">
        <x:f>MIN(100,IF(H1729="Enterprise",30,IF(H1729="Mid-Market",22,14))+IF(T1729="Enterprise",25,IF(T1729="Mid-Market",18,10))+IF(Q1729="Referral",25,IF(Q1729="Organic Search",20,IF(Q1729="Email",18,14)))+IF(G1729="Technology",10,5))</x:f>
        <x:v>51</x:v>
      </x:c>
      <x:c r="AE1729" t="str">
        <x:f>IF(U1729&lt;&gt;"Open",U1729,IF(N1729&gt;=0.8,"Commit",IF(N1729&gt;=0.5,"Best Case","Pipeline")))</x:f>
        <x:v>Lost</x:v>
      </x:c>
    </x:row>
    <x:row r="1730">
      <x:c r="A1730" t="str">
        <x:v>L01729</x:v>
      </x:c>
      <x:c r="B1730" s="10" t="n">
        <x:v>46106</x:v>
      </x:c>
      <x:c r="C1730" t="str">
        <x:v>Duy Pham</x:v>
      </x:c>
      <x:c r="D1730" t="str">
        <x:v>South</x:v>
      </x:c>
      <x:c r="E1730" t="str">
        <x:v>Unknown Event</x:v>
      </x:c>
      <x:c r="F1730" t="str">
        <x:v>MKT-AUTO</x:v>
      </x:c>
      <x:c r="G1730" t="str">
        <x:v>Healthcare</x:v>
      </x:c>
      <x:c r="H1730" t="str">
        <x:v>SMB</x:v>
      </x:c>
      <x:c r="I1730" t="str">
        <x:v>Closed Won</x:v>
      </x:c>
      <x:c r="J1730" s="10" t="n">
        <x:v>46152</x:v>
      </x:c>
      <x:c r="K1730" s="10" t="n">
        <x:v>46152</x:v>
      </x:c>
      <x:c r="L1730" s="22" t="n">
        <x:v>16300</x:v>
      </x:c>
      <x:c r="M1730" s="24" t="n">
        <x:v>0.08</x:v>
      </x:c>
      <x:c r="N1730" s="24" t="n">
        <x:v>1</x:v>
      </x:c>
      <x:c r="O1730" t="str"/>
      <x:c r="P1730" t="n">
        <x:v>6</x:v>
      </x:c>
      <x:c r="Q1730" t="str">
        <x:f>IFERROR(XLOOKUP(E1730,Lookups!$A$5:$A$24,Lookups!$B$5:$B$24),"Other")</x:f>
        <x:v>Other</x:v>
      </x:c>
      <x:c r="R1730" t="str">
        <x:f>IFERROR(XLOOKUP(F1730,Lookups!$D$5:$D$10,Lookups!$E$5:$E$10),"Unknown Product")</x:f>
        <x:v>Marketing Automation</x:v>
      </x:c>
      <x:c r="S1730" t="str">
        <x:f>IFERROR(XLOOKUP(F1730,Lookups!$D$5:$D$10,Lookups!$F$5:$F$10),"Unknown")</x:f>
        <x:v>Marketing</x:v>
      </x:c>
      <x:c r="T1730" t="str">
        <x:f>IF(L1730&gt;=50000,"Enterprise",IF(L1730&gt;=20000,"Mid-Market","SMB"))</x:f>
        <x:v>SMB</x:v>
      </x:c>
      <x:c r="U1730" t="str">
        <x:f>IF(I1730="Closed Won","Won",IF(I1730="Closed Lost","Lost","Open"))</x:f>
        <x:v>Won</x:v>
      </x:c>
      <x:c r="V1730" s="22" t="n">
        <x:f>IF(U1730="Won",L1730*(1-M1730),0)</x:f>
        <x:v>14996</x:v>
      </x:c>
      <x:c r="W1730" s="22" t="n">
        <x:f>IF(U1730="Open",L1730*N1730,0)</x:f>
        <x:v>0</x:v>
      </x:c>
      <x:c r="X1730" s="26" t="n">
        <x:f>IF(U1730="Open","",IFERROR(K1730-B1730,""))</x:f>
        <x:v>46</x:v>
      </x:c>
      <x:c r="Y1730" s="26" t="n">
        <x:f>IF(U1730="Open",Lookups!$B$2-B1730,X1730)</x:f>
        <x:v>46</x:v>
      </x:c>
      <x:c r="Z1730" t="str">
        <x:f>IF(AND(U1730="Open",Y1730&gt;30),"STALE","OK")</x:f>
        <x:v>OK</x:v>
      </x:c>
      <x:c r="AA1730" t="str">
        <x:f>TEXT(B1730,"yyyy-mm")</x:f>
        <x:v>2026-03</x:v>
      </x:c>
      <x:c r="AB1730" t="str">
        <x:f>IF(K1730="","",TEXT(K1730,"yyyy-mm"))</x:f>
        <x:v>2026-05</x:v>
      </x:c>
      <x:c r="AC1730" t="str">
        <x:f>"Q"&amp;ROUNDUP(MONTH(B1730)/3,0)&amp;"-"&amp;YEAR(B1730)</x:f>
        <x:v>Q1-2026</x:v>
      </x:c>
      <x:c r="AD1730" s="26" t="n">
        <x:f>MIN(100,IF(H1730="Enterprise",30,IF(H1730="Mid-Market",22,14))+IF(T1730="Enterprise",25,IF(T1730="Mid-Market",18,10))+IF(Q1730="Referral",25,IF(Q1730="Organic Search",20,IF(Q1730="Email",18,14)))+IF(G1730="Technology",10,5))</x:f>
        <x:v>43</x:v>
      </x:c>
      <x:c r="AE1730" t="str">
        <x:f>IF(U1730&lt;&gt;"Open",U1730,IF(N1730&gt;=0.8,"Commit",IF(N1730&gt;=0.5,"Best Case","Pipeline")))</x:f>
        <x:v>Won</x:v>
      </x:c>
    </x:row>
    <x:row r="1731">
      <x:c r="A1731" t="str">
        <x:v>L01730</x:v>
      </x:c>
      <x:c r="B1731" s="10" t="n">
        <x:v>46064</x:v>
      </x:c>
      <x:c r="C1731" t="str">
        <x:v>Chi Le</x:v>
      </x:c>
      <x:c r="D1731" t="str">
        <x:v>South</x:v>
      </x:c>
      <x:c r="E1731" t="str">
        <x:v>newsletter</x:v>
      </x:c>
      <x:c r="F1731" t="str">
        <x:v>REV-OPS</x:v>
      </x:c>
      <x:c r="G1731" t="str">
        <x:v>Financial Services</x:v>
      </x:c>
      <x:c r="H1731" t="str">
        <x:v>Mid-Market</x:v>
      </x:c>
      <x:c r="I1731" t="str">
        <x:v>Negotiation</x:v>
      </x:c>
      <x:c r="J1731" s="10" t="n">
        <x:v>46187</x:v>
      </x:c>
      <x:c r="K1731" s="10"/>
      <x:c r="L1731" s="22" t="n">
        <x:v>85900</x:v>
      </x:c>
      <x:c r="M1731" s="24" t="n">
        <x:v>0.05</x:v>
      </x:c>
      <x:c r="N1731" s="24" t="n">
        <x:v>0.85</x:v>
      </x:c>
      <x:c r="O1731" t="str"/>
      <x:c r="P1731" t="n">
        <x:v>5</x:v>
      </x:c>
      <x:c r="Q1731" t="str">
        <x:f>IFERROR(XLOOKUP(E1731,Lookups!$A$5:$A$24,Lookups!$B$5:$B$24),"Other")</x:f>
        <x:v>Email</x:v>
      </x:c>
      <x:c r="R1731" t="str">
        <x:f>IFERROR(XLOOKUP(F1731,Lookups!$D$5:$D$10,Lookups!$E$5:$E$10),"Unknown Product")</x:f>
        <x:v>Revenue Operations Suite</x:v>
      </x:c>
      <x:c r="S1731" t="str">
        <x:f>IFERROR(XLOOKUP(F1731,Lookups!$D$5:$D$10,Lookups!$F$5:$F$10),"Unknown")</x:f>
        <x:v>Revenue Ops</x:v>
      </x:c>
      <x:c r="T1731" t="str">
        <x:f>IF(L1731&gt;=50000,"Enterprise",IF(L1731&gt;=20000,"Mid-Market","SMB"))</x:f>
        <x:v>Enterprise</x:v>
      </x:c>
      <x:c r="U1731" t="str">
        <x:f>IF(I1731="Closed Won","Won",IF(I1731="Closed Lost","Lost","Open"))</x:f>
        <x:v>Open</x:v>
      </x:c>
      <x:c r="V1731" s="22" t="n">
        <x:f>IF(U1731="Won",L1731*(1-M1731),0)</x:f>
        <x:v>0</x:v>
      </x:c>
      <x:c r="W1731" s="22" t="n">
        <x:f>IF(U1731="Open",L1731*N1731,0)</x:f>
        <x:v>73015</x:v>
      </x:c>
      <x:c r="X1731" s="26" t="str">
        <x:f>IF(U1731="Open","",IFERROR(K1731-B1731,""))</x:f>
      </x:c>
      <x:c r="Y1731" s="26" t="n">
        <x:f>IF(U1731="Open",Lookups!$B$2-B1731,X1731)</x:f>
        <x:v>202</x:v>
      </x:c>
      <x:c r="Z1731" t="str">
        <x:f>IF(AND(U1731="Open",Y1731&gt;30),"STALE","OK")</x:f>
        <x:v>STALE</x:v>
      </x:c>
      <x:c r="AA1731" t="str">
        <x:f>TEXT(B1731,"yyyy-mm")</x:f>
        <x:v>2026-02</x:v>
      </x:c>
      <x:c r="AB1731" t="str">
        <x:f>IF(K1731="","",TEXT(K1731,"yyyy-mm"))</x:f>
      </x:c>
      <x:c r="AC1731" t="str">
        <x:f>"Q"&amp;ROUNDUP(MONTH(B1731)/3,0)&amp;"-"&amp;YEAR(B1731)</x:f>
        <x:v>Q1-2026</x:v>
      </x:c>
      <x:c r="AD1731" s="26" t="n">
        <x:f>MIN(100,IF(H1731="Enterprise",30,IF(H1731="Mid-Market",22,14))+IF(T1731="Enterprise",25,IF(T1731="Mid-Market",18,10))+IF(Q1731="Referral",25,IF(Q1731="Organic Search",20,IF(Q1731="Email",18,14)))+IF(G1731="Technology",10,5))</x:f>
        <x:v>70</x:v>
      </x:c>
      <x:c r="AE1731" t="str">
        <x:f>IF(U1731&lt;&gt;"Open",U1731,IF(N1731&gt;=0.8,"Commit",IF(N1731&gt;=0.5,"Best Case","Pipeline")))</x:f>
        <x:v>Commit</x:v>
      </x:c>
    </x:row>
    <x:row r="1732">
      <x:c r="A1732" t="str">
        <x:v>L01731</x:v>
      </x:c>
      <x:c r="B1732" s="10" t="n">
        <x:v>45884</x:v>
      </x:c>
      <x:c r="C1732" t="str">
        <x:v>Minh Do</x:v>
      </x:c>
      <x:c r="D1732" t="str">
        <x:v>North</x:v>
      </x:c>
      <x:c r="E1732" t="str">
        <x:v>Email Campaign</x:v>
      </x:c>
      <x:c r="F1732" t="str">
        <x:v>REV-OPS</x:v>
      </x:c>
      <x:c r="G1732" t="str">
        <x:v>Financial Services</x:v>
      </x:c>
      <x:c r="H1732" t="str">
        <x:v>SMB</x:v>
      </x:c>
      <x:c r="I1732" t="str">
        <x:v>Closed Lost</x:v>
      </x:c>
      <x:c r="J1732" s="10" t="n">
        <x:v>45928</x:v>
      </x:c>
      <x:c r="K1732" s="10" t="n">
        <x:v>45928</x:v>
      </x:c>
      <x:c r="L1732" s="22" t="n">
        <x:v>23300</x:v>
      </x:c>
      <x:c r="M1732" s="24" t="n">
        <x:v>0</x:v>
      </x:c>
      <x:c r="N1732" s="24" t="n">
        <x:v>0</x:v>
      </x:c>
      <x:c r="O1732" t="str">
        <x:v>Feature Gap</x:v>
      </x:c>
      <x:c r="P1732" t="n">
        <x:v>3</x:v>
      </x:c>
      <x:c r="Q1732" t="str">
        <x:f>IFERROR(XLOOKUP(E1732,Lookups!$A$5:$A$24,Lookups!$B$5:$B$24),"Other")</x:f>
        <x:v>Email</x:v>
      </x:c>
      <x:c r="R1732" t="str">
        <x:f>IFERROR(XLOOKUP(F1732,Lookups!$D$5:$D$10,Lookups!$E$5:$E$10),"Unknown Product")</x:f>
        <x:v>Revenue Operations Suite</x:v>
      </x:c>
      <x:c r="S1732" t="str">
        <x:f>IFERROR(XLOOKUP(F1732,Lookups!$D$5:$D$10,Lookups!$F$5:$F$10),"Unknown")</x:f>
        <x:v>Revenue Ops</x:v>
      </x:c>
      <x:c r="T1732" t="str">
        <x:f>IF(L1732&gt;=50000,"Enterprise",IF(L1732&gt;=20000,"Mid-Market","SMB"))</x:f>
        <x:v>Mid-Market</x:v>
      </x:c>
      <x:c r="U1732" t="str">
        <x:f>IF(I1732="Closed Won","Won",IF(I1732="Closed Lost","Lost","Open"))</x:f>
        <x:v>Lost</x:v>
      </x:c>
      <x:c r="V1732" s="22" t="n">
        <x:f>IF(U1732="Won",L1732*(1-M1732),0)</x:f>
        <x:v>0</x:v>
      </x:c>
      <x:c r="W1732" s="22" t="n">
        <x:f>IF(U1732="Open",L1732*N1732,0)</x:f>
        <x:v>0</x:v>
      </x:c>
      <x:c r="X1732" s="26" t="n">
        <x:f>IF(U1732="Open","",IFERROR(K1732-B1732,""))</x:f>
        <x:v>44</x:v>
      </x:c>
      <x:c r="Y1732" s="26" t="n">
        <x:f>IF(U1732="Open",Lookups!$B$2-B1732,X1732)</x:f>
        <x:v>44</x:v>
      </x:c>
      <x:c r="Z1732" t="str">
        <x:f>IF(AND(U1732="Open",Y1732&gt;30),"STALE","OK")</x:f>
        <x:v>OK</x:v>
      </x:c>
      <x:c r="AA1732" t="str">
        <x:f>TEXT(B1732,"yyyy-mm")</x:f>
        <x:v>2025-08</x:v>
      </x:c>
      <x:c r="AB1732" t="str">
        <x:f>IF(K1732="","",TEXT(K1732,"yyyy-mm"))</x:f>
        <x:v>2025-09</x:v>
      </x:c>
      <x:c r="AC1732" t="str">
        <x:f>"Q"&amp;ROUNDUP(MONTH(B1732)/3,0)&amp;"-"&amp;YEAR(B1732)</x:f>
        <x:v>Q3-2025</x:v>
      </x:c>
      <x:c r="AD1732" s="26" t="n">
        <x:f>MIN(100,IF(H1732="Enterprise",30,IF(H1732="Mid-Market",22,14))+IF(T1732="Enterprise",25,IF(T1732="Mid-Market",18,10))+IF(Q1732="Referral",25,IF(Q1732="Organic Search",20,IF(Q1732="Email",18,14)))+IF(G1732="Technology",10,5))</x:f>
        <x:v>55</x:v>
      </x:c>
      <x:c r="AE1732" t="str">
        <x:f>IF(U1732&lt;&gt;"Open",U1732,IF(N1732&gt;=0.8,"Commit",IF(N1732&gt;=0.5,"Best Case","Pipeline")))</x:f>
        <x:v>Lost</x:v>
      </x:c>
    </x:row>
    <x:row r="1733">
      <x:c r="A1733" t="str">
        <x:v>L01732</x:v>
      </x:c>
      <x:c r="B1733" s="10" t="n">
        <x:v>45922</x:v>
      </x:c>
      <x:c r="C1733" t="str">
        <x:v>Minh Do</x:v>
      </x:c>
      <x:c r="D1733" t="str">
        <x:v>North</x:v>
      </x:c>
      <x:c r="E1733" t="str">
        <x:v>Google Ads</x:v>
      </x:c>
      <x:c r="F1733" t="str">
        <x:v>REV-OPS</x:v>
      </x:c>
      <x:c r="G1733" t="str">
        <x:v>Manufacturing</x:v>
      </x:c>
      <x:c r="H1733" t="str">
        <x:v>Mid-Market</x:v>
      </x:c>
      <x:c r="I1733" t="str">
        <x:v>Closed Lost</x:v>
      </x:c>
      <x:c r="J1733" s="10" t="n">
        <x:v>45960</x:v>
      </x:c>
      <x:c r="K1733" s="10" t="n">
        <x:v>45960</x:v>
      </x:c>
      <x:c r="L1733" s="22" t="n">
        <x:v>43600</x:v>
      </x:c>
      <x:c r="M1733" s="24" t="n">
        <x:v>0</x:v>
      </x:c>
      <x:c r="N1733" s="24" t="n">
        <x:v>0</x:v>
      </x:c>
      <x:c r="O1733" t="str">
        <x:v>Budget</x:v>
      </x:c>
      <x:c r="P1733" t="n">
        <x:v>3</x:v>
      </x:c>
      <x:c r="Q1733" t="str">
        <x:f>IFERROR(XLOOKUP(E1733,Lookups!$A$5:$A$24,Lookups!$B$5:$B$24),"Other")</x:f>
        <x:v>Paid Search</x:v>
      </x:c>
      <x:c r="R1733" t="str">
        <x:f>IFERROR(XLOOKUP(F1733,Lookups!$D$5:$D$10,Lookups!$E$5:$E$10),"Unknown Product")</x:f>
        <x:v>Revenue Operations Suite</x:v>
      </x:c>
      <x:c r="S1733" t="str">
        <x:f>IFERROR(XLOOKUP(F1733,Lookups!$D$5:$D$10,Lookups!$F$5:$F$10),"Unknown")</x:f>
        <x:v>Revenue Ops</x:v>
      </x:c>
      <x:c r="T1733" t="str">
        <x:f>IF(L1733&gt;=50000,"Enterprise",IF(L1733&gt;=20000,"Mid-Market","SMB"))</x:f>
        <x:v>Mid-Market</x:v>
      </x:c>
      <x:c r="U1733" t="str">
        <x:f>IF(I1733="Closed Won","Won",IF(I1733="Closed Lost","Lost","Open"))</x:f>
        <x:v>Lost</x:v>
      </x:c>
      <x:c r="V1733" s="22" t="n">
        <x:f>IF(U1733="Won",L1733*(1-M1733),0)</x:f>
        <x:v>0</x:v>
      </x:c>
      <x:c r="W1733" s="22" t="n">
        <x:f>IF(U1733="Open",L1733*N1733,0)</x:f>
        <x:v>0</x:v>
      </x:c>
      <x:c r="X1733" s="26" t="n">
        <x:f>IF(U1733="Open","",IFERROR(K1733-B1733,""))</x:f>
        <x:v>38</x:v>
      </x:c>
      <x:c r="Y1733" s="26" t="n">
        <x:f>IF(U1733="Open",Lookups!$B$2-B1733,X1733)</x:f>
        <x:v>38</x:v>
      </x:c>
      <x:c r="Z1733" t="str">
        <x:f>IF(AND(U1733="Open",Y1733&gt;30),"STALE","OK")</x:f>
        <x:v>OK</x:v>
      </x:c>
      <x:c r="AA1733" t="str">
        <x:f>TEXT(B1733,"yyyy-mm")</x:f>
        <x:v>2025-09</x:v>
      </x:c>
      <x:c r="AB1733" t="str">
        <x:f>IF(K1733="","",TEXT(K1733,"yyyy-mm"))</x:f>
        <x:v>2025-10</x:v>
      </x:c>
      <x:c r="AC1733" t="str">
        <x:f>"Q"&amp;ROUNDUP(MONTH(B1733)/3,0)&amp;"-"&amp;YEAR(B1733)</x:f>
        <x:v>Q3-2025</x:v>
      </x:c>
      <x:c r="AD1733" s="26" t="n">
        <x:f>MIN(100,IF(H1733="Enterprise",30,IF(H1733="Mid-Market",22,14))+IF(T1733="Enterprise",25,IF(T1733="Mid-Market",18,10))+IF(Q1733="Referral",25,IF(Q1733="Organic Search",20,IF(Q1733="Email",18,14)))+IF(G1733="Technology",10,5))</x:f>
        <x:v>59</x:v>
      </x:c>
      <x:c r="AE1733" t="str">
        <x:f>IF(U1733&lt;&gt;"Open",U1733,IF(N1733&gt;=0.8,"Commit",IF(N1733&gt;=0.5,"Best Case","Pipeline")))</x:f>
        <x:v>Lost</x:v>
      </x:c>
    </x:row>
    <x:row r="1734">
      <x:c r="A1734" t="str">
        <x:v>L01733</x:v>
      </x:c>
      <x:c r="B1734" s="10" t="n">
        <x:v>46067</x:v>
      </x:c>
      <x:c r="C1734" t="str">
        <x:v>Quynh Vu</x:v>
      </x:c>
      <x:c r="D1734" t="str">
        <x:v>North</x:v>
      </x:c>
      <x:c r="E1734" t="str">
        <x:v>google cpc</x:v>
      </x:c>
      <x:c r="F1734" t="str">
        <x:v>CRM-CORE</x:v>
      </x:c>
      <x:c r="G1734" t="str">
        <x:v>Financial Services</x:v>
      </x:c>
      <x:c r="H1734" t="str">
        <x:v>Mid-Market</x:v>
      </x:c>
      <x:c r="I1734" t="str">
        <x:v>Negotiation</x:v>
      </x:c>
      <x:c r="J1734" s="10" t="n">
        <x:v>46171</x:v>
      </x:c>
      <x:c r="K1734" s="10"/>
      <x:c r="L1734" s="22" t="n">
        <x:v>8000</x:v>
      </x:c>
      <x:c r="M1734" s="24" t="n">
        <x:v>0.03</x:v>
      </x:c>
      <x:c r="N1734" s="24" t="n">
        <x:v>0.85</x:v>
      </x:c>
      <x:c r="O1734" t="str"/>
      <x:c r="P1734" t="n">
        <x:v>5</x:v>
      </x:c>
      <x:c r="Q1734" t="str">
        <x:f>IFERROR(XLOOKUP(E1734,Lookups!$A$5:$A$24,Lookups!$B$5:$B$24),"Other")</x:f>
        <x:v>Paid Search</x:v>
      </x:c>
      <x:c r="R1734" t="str">
        <x:f>IFERROR(XLOOKUP(F1734,Lookups!$D$5:$D$10,Lookups!$E$5:$E$10),"Unknown Product")</x:f>
        <x:v>NexaCRM Core</x:v>
      </x:c>
      <x:c r="S1734" t="str">
        <x:f>IFERROR(XLOOKUP(F1734,Lookups!$D$5:$D$10,Lookups!$F$5:$F$10),"Unknown")</x:f>
        <x:v>CRM</x:v>
      </x:c>
      <x:c r="T1734" t="str">
        <x:f>IF(L1734&gt;=50000,"Enterprise",IF(L1734&gt;=20000,"Mid-Market","SMB"))</x:f>
        <x:v>SMB</x:v>
      </x:c>
      <x:c r="U1734" t="str">
        <x:f>IF(I1734="Closed Won","Won",IF(I1734="Closed Lost","Lost","Open"))</x:f>
        <x:v>Open</x:v>
      </x:c>
      <x:c r="V1734" s="22" t="n">
        <x:f>IF(U1734="Won",L1734*(1-M1734),0)</x:f>
        <x:v>0</x:v>
      </x:c>
      <x:c r="W1734" s="22" t="n">
        <x:f>IF(U1734="Open",L1734*N1734,0)</x:f>
        <x:v>6800</x:v>
      </x:c>
      <x:c r="X1734" s="26" t="str">
        <x:f>IF(U1734="Open","",IFERROR(K1734-B1734,""))</x:f>
      </x:c>
      <x:c r="Y1734" s="26" t="n">
        <x:f>IF(U1734="Open",Lookups!$B$2-B1734,X1734)</x:f>
        <x:v>199</x:v>
      </x:c>
      <x:c r="Z1734" t="str">
        <x:f>IF(AND(U1734="Open",Y1734&gt;30),"STALE","OK")</x:f>
        <x:v>STALE</x:v>
      </x:c>
      <x:c r="AA1734" t="str">
        <x:f>TEXT(B1734,"yyyy-mm")</x:f>
        <x:v>2026-02</x:v>
      </x:c>
      <x:c r="AB1734" t="str">
        <x:f>IF(K1734="","",TEXT(K1734,"yyyy-mm"))</x:f>
      </x:c>
      <x:c r="AC1734" t="str">
        <x:f>"Q"&amp;ROUNDUP(MONTH(B1734)/3,0)&amp;"-"&amp;YEAR(B1734)</x:f>
        <x:v>Q1-2026</x:v>
      </x:c>
      <x:c r="AD1734" s="26" t="n">
        <x:f>MIN(100,IF(H1734="Enterprise",30,IF(H1734="Mid-Market",22,14))+IF(T1734="Enterprise",25,IF(T1734="Mid-Market",18,10))+IF(Q1734="Referral",25,IF(Q1734="Organic Search",20,IF(Q1734="Email",18,14)))+IF(G1734="Technology",10,5))</x:f>
        <x:v>51</x:v>
      </x:c>
      <x:c r="AE1734" t="str">
        <x:f>IF(U1734&lt;&gt;"Open",U1734,IF(N1734&gt;=0.8,"Commit",IF(N1734&gt;=0.5,"Best Case","Pipeline")))</x:f>
        <x:v>Commit</x:v>
      </x:c>
    </x:row>
    <x:row r="1735">
      <x:c r="A1735" t="str">
        <x:v>L01734</x:v>
      </x:c>
      <x:c r="B1735" s="10" t="n">
        <x:v>45903</x:v>
      </x:c>
      <x:c r="C1735" t="str">
        <x:v>Duy Pham</x:v>
      </x:c>
      <x:c r="D1735" t="str">
        <x:v>South</x:v>
      </x:c>
      <x:c r="E1735" t="str">
        <x:v>email nurture</x:v>
      </x:c>
      <x:c r="F1735" t="str">
        <x:v>CS-CLOUD</x:v>
      </x:c>
      <x:c r="G1735" t="str">
        <x:v>Healthcare</x:v>
      </x:c>
      <x:c r="H1735" t="str">
        <x:v>Enterprise</x:v>
      </x:c>
      <x:c r="I1735" t="str">
        <x:v>Closed Lost</x:v>
      </x:c>
      <x:c r="J1735" s="10" t="n">
        <x:v>45938</x:v>
      </x:c>
      <x:c r="K1735" s="10" t="n">
        <x:v>45938</x:v>
      </x:c>
      <x:c r="L1735" s="22" t="n">
        <x:v>46600</x:v>
      </x:c>
      <x:c r="M1735" s="24" t="n">
        <x:v>0</x:v>
      </x:c>
      <x:c r="N1735" s="24" t="n">
        <x:v>0</x:v>
      </x:c>
      <x:c r="O1735" t="str">
        <x:v>Price</x:v>
      </x:c>
      <x:c r="P1735" t="n">
        <x:v>5</x:v>
      </x:c>
      <x:c r="Q1735" t="str">
        <x:f>IFERROR(XLOOKUP(E1735,Lookups!$A$5:$A$24,Lookups!$B$5:$B$24),"Other")</x:f>
        <x:v>Email</x:v>
      </x:c>
      <x:c r="R1735" t="str">
        <x:f>IFERROR(XLOOKUP(F1735,Lookups!$D$5:$D$10,Lookups!$E$5:$E$10),"Unknown Product")</x:f>
        <x:v>Service Cloud</x:v>
      </x:c>
      <x:c r="S1735" t="str">
        <x:f>IFERROR(XLOOKUP(F1735,Lookups!$D$5:$D$10,Lookups!$F$5:$F$10),"Unknown")</x:f>
        <x:v>Customer Service</x:v>
      </x:c>
      <x:c r="T1735" t="str">
        <x:f>IF(L1735&gt;=50000,"Enterprise",IF(L1735&gt;=20000,"Mid-Market","SMB"))</x:f>
        <x:v>Mid-Market</x:v>
      </x:c>
      <x:c r="U1735" t="str">
        <x:f>IF(I1735="Closed Won","Won",IF(I1735="Closed Lost","Lost","Open"))</x:f>
        <x:v>Lost</x:v>
      </x:c>
      <x:c r="V1735" s="22" t="n">
        <x:f>IF(U1735="Won",L1735*(1-M1735),0)</x:f>
        <x:v>0</x:v>
      </x:c>
      <x:c r="W1735" s="22" t="n">
        <x:f>IF(U1735="Open",L1735*N1735,0)</x:f>
        <x:v>0</x:v>
      </x:c>
      <x:c r="X1735" s="26" t="n">
        <x:f>IF(U1735="Open","",IFERROR(K1735-B1735,""))</x:f>
        <x:v>35</x:v>
      </x:c>
      <x:c r="Y1735" s="26" t="n">
        <x:f>IF(U1735="Open",Lookups!$B$2-B1735,X1735)</x:f>
        <x:v>35</x:v>
      </x:c>
      <x:c r="Z1735" t="str">
        <x:f>IF(AND(U1735="Open",Y1735&gt;30),"STALE","OK")</x:f>
        <x:v>OK</x:v>
      </x:c>
      <x:c r="AA1735" t="str">
        <x:f>TEXT(B1735,"yyyy-mm")</x:f>
        <x:v>2025-09</x:v>
      </x:c>
      <x:c r="AB1735" t="str">
        <x:f>IF(K1735="","",TEXT(K1735,"yyyy-mm"))</x:f>
        <x:v>2025-10</x:v>
      </x:c>
      <x:c r="AC1735" t="str">
        <x:f>"Q"&amp;ROUNDUP(MONTH(B1735)/3,0)&amp;"-"&amp;YEAR(B1735)</x:f>
        <x:v>Q3-2025</x:v>
      </x:c>
      <x:c r="AD1735" s="26" t="n">
        <x:f>MIN(100,IF(H1735="Enterprise",30,IF(H1735="Mid-Market",22,14))+IF(T1735="Enterprise",25,IF(T1735="Mid-Market",18,10))+IF(Q1735="Referral",25,IF(Q1735="Organic Search",20,IF(Q1735="Email",18,14)))+IF(G1735="Technology",10,5))</x:f>
        <x:v>71</x:v>
      </x:c>
      <x:c r="AE1735" t="str">
        <x:f>IF(U1735&lt;&gt;"Open",U1735,IF(N1735&gt;=0.8,"Commit",IF(N1735&gt;=0.5,"Best Case","Pipeline")))</x:f>
        <x:v>Lost</x:v>
      </x:c>
    </x:row>
    <x:row r="1736">
      <x:c r="A1736" t="str">
        <x:v>L01735</x:v>
      </x:c>
      <x:c r="B1736" s="10" t="n">
        <x:v>46218</x:v>
      </x:c>
      <x:c r="C1736" t="str">
        <x:v>Ha Vo</x:v>
      </x:c>
      <x:c r="D1736" t="str">
        <x:v>North</x:v>
      </x:c>
      <x:c r="E1736" t="str">
        <x:v>linkedin</x:v>
      </x:c>
      <x:c r="F1736" t="str">
        <x:v>CRM-CORE</x:v>
      </x:c>
      <x:c r="G1736" t="str">
        <x:v>Technology</x:v>
      </x:c>
      <x:c r="H1736" t="str">
        <x:v>Mid-Market</x:v>
      </x:c>
      <x:c r="I1736" t="str">
        <x:v>Closed Won</x:v>
      </x:c>
      <x:c r="J1736" s="10" t="n">
        <x:v>46266</x:v>
      </x:c>
      <x:c r="K1736" s="10" t="n">
        <x:v>46266</x:v>
      </x:c>
      <x:c r="L1736" s="22" t="n">
        <x:v>10400</x:v>
      </x:c>
      <x:c r="M1736" s="24" t="n">
        <x:v>0.1</x:v>
      </x:c>
      <x:c r="N1736" s="24" t="n">
        <x:v>1</x:v>
      </x:c>
      <x:c r="O1736" t="str"/>
      <x:c r="P1736" t="n">
        <x:v>6</x:v>
      </x:c>
      <x:c r="Q1736" t="str">
        <x:f>IFERROR(XLOOKUP(E1736,Lookups!$A$5:$A$24,Lookups!$B$5:$B$24),"Other")</x:f>
        <x:v>LinkedIn</x:v>
      </x:c>
      <x:c r="R1736" t="str">
        <x:f>IFERROR(XLOOKUP(F1736,Lookups!$D$5:$D$10,Lookups!$E$5:$E$10),"Unknown Product")</x:f>
        <x:v>NexaCRM Core</x:v>
      </x:c>
      <x:c r="S1736" t="str">
        <x:f>IFERROR(XLOOKUP(F1736,Lookups!$D$5:$D$10,Lookups!$F$5:$F$10),"Unknown")</x:f>
        <x:v>CRM</x:v>
      </x:c>
      <x:c r="T1736" t="str">
        <x:f>IF(L1736&gt;=50000,"Enterprise",IF(L1736&gt;=20000,"Mid-Market","SMB"))</x:f>
        <x:v>SMB</x:v>
      </x:c>
      <x:c r="U1736" t="str">
        <x:f>IF(I1736="Closed Won","Won",IF(I1736="Closed Lost","Lost","Open"))</x:f>
        <x:v>Won</x:v>
      </x:c>
      <x:c r="V1736" s="22" t="n">
        <x:f>IF(U1736="Won",L1736*(1-M1736),0)</x:f>
        <x:v>9360</x:v>
      </x:c>
      <x:c r="W1736" s="22" t="n">
        <x:f>IF(U1736="Open",L1736*N1736,0)</x:f>
        <x:v>0</x:v>
      </x:c>
      <x:c r="X1736" s="26" t="n">
        <x:f>IF(U1736="Open","",IFERROR(K1736-B1736,""))</x:f>
        <x:v>48</x:v>
      </x:c>
      <x:c r="Y1736" s="26" t="n">
        <x:f>IF(U1736="Open",Lookups!$B$2-B1736,X1736)</x:f>
        <x:v>48</x:v>
      </x:c>
      <x:c r="Z1736" t="str">
        <x:f>IF(AND(U1736="Open",Y1736&gt;30),"STALE","OK")</x:f>
        <x:v>OK</x:v>
      </x:c>
      <x:c r="AA1736" t="str">
        <x:f>TEXT(B1736,"yyyy-mm")</x:f>
        <x:v>2026-07</x:v>
      </x:c>
      <x:c r="AB1736" t="str">
        <x:f>IF(K1736="","",TEXT(K1736,"yyyy-mm"))</x:f>
        <x:v>2026-09</x:v>
      </x:c>
      <x:c r="AC1736" t="str">
        <x:f>"Q"&amp;ROUNDUP(MONTH(B1736)/3,0)&amp;"-"&amp;YEAR(B1736)</x:f>
        <x:v>Q3-2026</x:v>
      </x:c>
      <x:c r="AD1736" s="26" t="n">
        <x:f>MIN(100,IF(H1736="Enterprise",30,IF(H1736="Mid-Market",22,14))+IF(T1736="Enterprise",25,IF(T1736="Mid-Market",18,10))+IF(Q1736="Referral",25,IF(Q1736="Organic Search",20,IF(Q1736="Email",18,14)))+IF(G1736="Technology",10,5))</x:f>
        <x:v>56</x:v>
      </x:c>
      <x:c r="AE1736" t="str">
        <x:f>IF(U1736&lt;&gt;"Open",U1736,IF(N1736&gt;=0.8,"Commit",IF(N1736&gt;=0.5,"Best Case","Pipeline")))</x:f>
        <x:v>Won</x:v>
      </x:c>
    </x:row>
    <x:row r="1737">
      <x:c r="A1737" t="str">
        <x:v>L01736</x:v>
      </x:c>
      <x:c r="B1737" s="10" t="n">
        <x:v>45765</x:v>
      </x:c>
      <x:c r="C1737" t="str">
        <x:v>Quynh Vu</x:v>
      </x:c>
      <x:c r="D1737" t="str">
        <x:v>North</x:v>
      </x:c>
      <x:c r="E1737" t="str">
        <x:v>google cpc</x:v>
      </x:c>
      <x:c r="F1737" t="str">
        <x:v>REV-OPS</x:v>
      </x:c>
      <x:c r="G1737" t="str">
        <x:v>Manufacturing</x:v>
      </x:c>
      <x:c r="H1737" t="str">
        <x:v>Mid-Market</x:v>
      </x:c>
      <x:c r="I1737" t="str">
        <x:v>Closed Won</x:v>
      </x:c>
      <x:c r="J1737" s="10" t="n">
        <x:v>45867</x:v>
      </x:c>
      <x:c r="K1737" s="10" t="n">
        <x:v>45867</x:v>
      </x:c>
      <x:c r="L1737" s="22" t="n">
        <x:v>65100</x:v>
      </x:c>
      <x:c r="M1737" s="24" t="n">
        <x:v>0.08</x:v>
      </x:c>
      <x:c r="N1737" s="24" t="n">
        <x:v>1</x:v>
      </x:c>
      <x:c r="O1737" t="str"/>
      <x:c r="P1737" t="n">
        <x:v>6</x:v>
      </x:c>
      <x:c r="Q1737" t="str">
        <x:f>IFERROR(XLOOKUP(E1737,Lookups!$A$5:$A$24,Lookups!$B$5:$B$24),"Other")</x:f>
        <x:v>Paid Search</x:v>
      </x:c>
      <x:c r="R1737" t="str">
        <x:f>IFERROR(XLOOKUP(F1737,Lookups!$D$5:$D$10,Lookups!$E$5:$E$10),"Unknown Product")</x:f>
        <x:v>Revenue Operations Suite</x:v>
      </x:c>
      <x:c r="S1737" t="str">
        <x:f>IFERROR(XLOOKUP(F1737,Lookups!$D$5:$D$10,Lookups!$F$5:$F$10),"Unknown")</x:f>
        <x:v>Revenue Ops</x:v>
      </x:c>
      <x:c r="T1737" t="str">
        <x:f>IF(L1737&gt;=50000,"Enterprise",IF(L1737&gt;=20000,"Mid-Market","SMB"))</x:f>
        <x:v>Enterprise</x:v>
      </x:c>
      <x:c r="U1737" t="str">
        <x:f>IF(I1737="Closed Won","Won",IF(I1737="Closed Lost","Lost","Open"))</x:f>
        <x:v>Won</x:v>
      </x:c>
      <x:c r="V1737" s="22" t="n">
        <x:f>IF(U1737="Won",L1737*(1-M1737),0)</x:f>
        <x:v>59892</x:v>
      </x:c>
      <x:c r="W1737" s="22" t="n">
        <x:f>IF(U1737="Open",L1737*N1737,0)</x:f>
        <x:v>0</x:v>
      </x:c>
      <x:c r="X1737" s="26" t="n">
        <x:f>IF(U1737="Open","",IFERROR(K1737-B1737,""))</x:f>
        <x:v>102</x:v>
      </x:c>
      <x:c r="Y1737" s="26" t="n">
        <x:f>IF(U1737="Open",Lookups!$B$2-B1737,X1737)</x:f>
        <x:v>102</x:v>
      </x:c>
      <x:c r="Z1737" t="str">
        <x:f>IF(AND(U1737="Open",Y1737&gt;30),"STALE","OK")</x:f>
        <x:v>OK</x:v>
      </x:c>
      <x:c r="AA1737" t="str">
        <x:f>TEXT(B1737,"yyyy-mm")</x:f>
        <x:v>2025-04</x:v>
      </x:c>
      <x:c r="AB1737" t="str">
        <x:f>IF(K1737="","",TEXT(K1737,"yyyy-mm"))</x:f>
        <x:v>2025-07</x:v>
      </x:c>
      <x:c r="AC1737" t="str">
        <x:f>"Q"&amp;ROUNDUP(MONTH(B1737)/3,0)&amp;"-"&amp;YEAR(B1737)</x:f>
        <x:v>Q2-2025</x:v>
      </x:c>
      <x:c r="AD1737" s="26" t="n">
        <x:f>MIN(100,IF(H1737="Enterprise",30,IF(H1737="Mid-Market",22,14))+IF(T1737="Enterprise",25,IF(T1737="Mid-Market",18,10))+IF(Q1737="Referral",25,IF(Q1737="Organic Search",20,IF(Q1737="Email",18,14)))+IF(G1737="Technology",10,5))</x:f>
        <x:v>66</x:v>
      </x:c>
      <x:c r="AE1737" t="str">
        <x:f>IF(U1737&lt;&gt;"Open",U1737,IF(N1737&gt;=0.8,"Commit",IF(N1737&gt;=0.5,"Best Case","Pipeline")))</x:f>
        <x:v>Won</x:v>
      </x:c>
    </x:row>
    <x:row r="1738">
      <x:c r="A1738" t="str">
        <x:v>L01737</x:v>
      </x:c>
      <x:c r="B1738" s="10" t="n">
        <x:v>45980</x:v>
      </x:c>
      <x:c r="C1738" t="str">
        <x:v>Ha Vo</x:v>
      </x:c>
      <x:c r="D1738" t="str">
        <x:v>North</x:v>
      </x:c>
      <x:c r="E1738" t="str">
        <x:v>SEM - Google</x:v>
      </x:c>
      <x:c r="F1738" t="str">
        <x:v>CRM-CORE</x:v>
      </x:c>
      <x:c r="G1738" t="str">
        <x:v>Healthcare</x:v>
      </x:c>
      <x:c r="H1738" t="str">
        <x:v>SMB</x:v>
      </x:c>
      <x:c r="I1738" t="str">
        <x:v>Closed Lost</x:v>
      </x:c>
      <x:c r="J1738" s="10" t="n">
        <x:v>45997</x:v>
      </x:c>
      <x:c r="K1738" s="10" t="n">
        <x:v>45997</x:v>
      </x:c>
      <x:c r="L1738" s="22" t="n">
        <x:v>5700</x:v>
      </x:c>
      <x:c r="M1738" s="24" t="n">
        <x:v>0</x:v>
      </x:c>
      <x:c r="N1738" s="24" t="n">
        <x:v>0</x:v>
      </x:c>
      <x:c r="O1738" t="str">
        <x:v>Timing</x:v>
      </x:c>
      <x:c r="P1738" t="n">
        <x:v>4</x:v>
      </x:c>
      <x:c r="Q1738" t="str">
        <x:f>IFERROR(XLOOKUP(E1738,Lookups!$A$5:$A$24,Lookups!$B$5:$B$24),"Other")</x:f>
        <x:v>Paid Search</x:v>
      </x:c>
      <x:c r="R1738" t="str">
        <x:f>IFERROR(XLOOKUP(F1738,Lookups!$D$5:$D$10,Lookups!$E$5:$E$10),"Unknown Product")</x:f>
        <x:v>NexaCRM Core</x:v>
      </x:c>
      <x:c r="S1738" t="str">
        <x:f>IFERROR(XLOOKUP(F1738,Lookups!$D$5:$D$10,Lookups!$F$5:$F$10),"Unknown")</x:f>
        <x:v>CRM</x:v>
      </x:c>
      <x:c r="T1738" t="str">
        <x:f>IF(L1738&gt;=50000,"Enterprise",IF(L1738&gt;=20000,"Mid-Market","SMB"))</x:f>
        <x:v>SMB</x:v>
      </x:c>
      <x:c r="U1738" t="str">
        <x:f>IF(I1738="Closed Won","Won",IF(I1738="Closed Lost","Lost","Open"))</x:f>
        <x:v>Lost</x:v>
      </x:c>
      <x:c r="V1738" s="22" t="n">
        <x:f>IF(U1738="Won",L1738*(1-M1738),0)</x:f>
        <x:v>0</x:v>
      </x:c>
      <x:c r="W1738" s="22" t="n">
        <x:f>IF(U1738="Open",L1738*N1738,0)</x:f>
        <x:v>0</x:v>
      </x:c>
      <x:c r="X1738" s="26" t="n">
        <x:f>IF(U1738="Open","",IFERROR(K1738-B1738,""))</x:f>
        <x:v>17</x:v>
      </x:c>
      <x:c r="Y1738" s="26" t="n">
        <x:f>IF(U1738="Open",Lookups!$B$2-B1738,X1738)</x:f>
        <x:v>17</x:v>
      </x:c>
      <x:c r="Z1738" t="str">
        <x:f>IF(AND(U1738="Open",Y1738&gt;30),"STALE","OK")</x:f>
        <x:v>OK</x:v>
      </x:c>
      <x:c r="AA1738" t="str">
        <x:f>TEXT(B1738,"yyyy-mm")</x:f>
        <x:v>2025-11</x:v>
      </x:c>
      <x:c r="AB1738" t="str">
        <x:f>IF(K1738="","",TEXT(K1738,"yyyy-mm"))</x:f>
        <x:v>2025-12</x:v>
      </x:c>
      <x:c r="AC1738" t="str">
        <x:f>"Q"&amp;ROUNDUP(MONTH(B1738)/3,0)&amp;"-"&amp;YEAR(B1738)</x:f>
        <x:v>Q4-2025</x:v>
      </x:c>
      <x:c r="AD1738" s="26" t="n">
        <x:f>MIN(100,IF(H1738="Enterprise",30,IF(H1738="Mid-Market",22,14))+IF(T1738="Enterprise",25,IF(T1738="Mid-Market",18,10))+IF(Q1738="Referral",25,IF(Q1738="Organic Search",20,IF(Q1738="Email",18,14)))+IF(G1738="Technology",10,5))</x:f>
        <x:v>43</x:v>
      </x:c>
      <x:c r="AE1738" t="str">
        <x:f>IF(U1738&lt;&gt;"Open",U1738,IF(N1738&gt;=0.8,"Commit",IF(N1738&gt;=0.5,"Best Case","Pipeline")))</x:f>
        <x:v>Lost</x:v>
      </x:c>
    </x:row>
    <x:row r="1739">
      <x:c r="A1739" t="str">
        <x:v>L01738</x:v>
      </x:c>
      <x:c r="B1739" s="10" t="n">
        <x:v>45917</x:v>
      </x:c>
      <x:c r="C1739" t="str">
        <x:v>Quynh Vu</x:v>
      </x:c>
      <x:c r="D1739" t="str">
        <x:v>North</x:v>
      </x:c>
      <x:c r="E1739" t="str">
        <x:v>virtual event</x:v>
      </x:c>
      <x:c r="F1739" t="str">
        <x:v>MKT-AUTO</x:v>
      </x:c>
      <x:c r="G1739" t="str">
        <x:v>Technology</x:v>
      </x:c>
      <x:c r="H1739" t="str">
        <x:v>SMB</x:v>
      </x:c>
      <x:c r="I1739" t="str">
        <x:v>Closed Lost</x:v>
      </x:c>
      <x:c r="J1739" s="10" t="n">
        <x:v>45939</x:v>
      </x:c>
      <x:c r="K1739" s="10" t="n">
        <x:v>45939</x:v>
      </x:c>
      <x:c r="L1739" s="22" t="n">
        <x:v>14500</x:v>
      </x:c>
      <x:c r="M1739" s="24" t="n">
        <x:v>0</x:v>
      </x:c>
      <x:c r="N1739" s="24" t="n">
        <x:v>0</x:v>
      </x:c>
      <x:c r="O1739" t="str">
        <x:v>No Decision</x:v>
      </x:c>
      <x:c r="P1739" t="n">
        <x:v>3</x:v>
      </x:c>
      <x:c r="Q1739" t="str">
        <x:f>IFERROR(XLOOKUP(E1739,Lookups!$A$5:$A$24,Lookups!$B$5:$B$24),"Other")</x:f>
        <x:v>Webinar</x:v>
      </x:c>
      <x:c r="R1739" t="str">
        <x:f>IFERROR(XLOOKUP(F1739,Lookups!$D$5:$D$10,Lookups!$E$5:$E$10),"Unknown Product")</x:f>
        <x:v>Marketing Automation</x:v>
      </x:c>
      <x:c r="S1739" t="str">
        <x:f>IFERROR(XLOOKUP(F1739,Lookups!$D$5:$D$10,Lookups!$F$5:$F$10),"Unknown")</x:f>
        <x:v>Marketing</x:v>
      </x:c>
      <x:c r="T1739" t="str">
        <x:f>IF(L1739&gt;=50000,"Enterprise",IF(L1739&gt;=20000,"Mid-Market","SMB"))</x:f>
        <x:v>SMB</x:v>
      </x:c>
      <x:c r="U1739" t="str">
        <x:f>IF(I1739="Closed Won","Won",IF(I1739="Closed Lost","Lost","Open"))</x:f>
        <x:v>Lost</x:v>
      </x:c>
      <x:c r="V1739" s="22" t="n">
        <x:f>IF(U1739="Won",L1739*(1-M1739),0)</x:f>
        <x:v>0</x:v>
      </x:c>
      <x:c r="W1739" s="22" t="n">
        <x:f>IF(U1739="Open",L1739*N1739,0)</x:f>
        <x:v>0</x:v>
      </x:c>
      <x:c r="X1739" s="26" t="n">
        <x:f>IF(U1739="Open","",IFERROR(K1739-B1739,""))</x:f>
        <x:v>22</x:v>
      </x:c>
      <x:c r="Y1739" s="26" t="n">
        <x:f>IF(U1739="Open",Lookups!$B$2-B1739,X1739)</x:f>
        <x:v>22</x:v>
      </x:c>
      <x:c r="Z1739" t="str">
        <x:f>IF(AND(U1739="Open",Y1739&gt;30),"STALE","OK")</x:f>
        <x:v>OK</x:v>
      </x:c>
      <x:c r="AA1739" t="str">
        <x:f>TEXT(B1739,"yyyy-mm")</x:f>
        <x:v>2025-09</x:v>
      </x:c>
      <x:c r="AB1739" t="str">
        <x:f>IF(K1739="","",TEXT(K1739,"yyyy-mm"))</x:f>
        <x:v>2025-10</x:v>
      </x:c>
      <x:c r="AC1739" t="str">
        <x:f>"Q"&amp;ROUNDUP(MONTH(B1739)/3,0)&amp;"-"&amp;YEAR(B1739)</x:f>
        <x:v>Q3-2025</x:v>
      </x:c>
      <x:c r="AD1739" s="26" t="n">
        <x:f>MIN(100,IF(H1739="Enterprise",30,IF(H1739="Mid-Market",22,14))+IF(T1739="Enterprise",25,IF(T1739="Mid-Market",18,10))+IF(Q1739="Referral",25,IF(Q1739="Organic Search",20,IF(Q1739="Email",18,14)))+IF(G1739="Technology",10,5))</x:f>
        <x:v>48</x:v>
      </x:c>
      <x:c r="AE1739" t="str">
        <x:f>IF(U1739&lt;&gt;"Open",U1739,IF(N1739&gt;=0.8,"Commit",IF(N1739&gt;=0.5,"Best Case","Pipeline")))</x:f>
        <x:v>Lost</x:v>
      </x:c>
    </x:row>
    <x:row r="1740">
      <x:c r="A1740" t="str">
        <x:v>L01739</x:v>
      </x:c>
      <x:c r="B1740" s="10" t="n">
        <x:v>45832</x:v>
      </x:c>
      <x:c r="C1740" t="str">
        <x:v>Tuan Bui</x:v>
      </x:c>
      <x:c r="D1740" t="str">
        <x:v>Central</x:v>
      </x:c>
      <x:c r="E1740" t="str">
        <x:v>Outbound</x:v>
      </x:c>
      <x:c r="F1740" t="str">
        <x:v>CS-CLOUD</x:v>
      </x:c>
      <x:c r="G1740" t="str">
        <x:v>Manufacturing</x:v>
      </x:c>
      <x:c r="H1740" t="str">
        <x:v>Enterprise</x:v>
      </x:c>
      <x:c r="I1740" t="str">
        <x:v>Closed Lost</x:v>
      </x:c>
      <x:c r="J1740" s="10" t="n">
        <x:v>45880</x:v>
      </x:c>
      <x:c r="K1740" s="10" t="n">
        <x:v>45880</x:v>
      </x:c>
      <x:c r="L1740" s="22" t="n">
        <x:v>78700</x:v>
      </x:c>
      <x:c r="M1740" s="24" t="n">
        <x:v>0</x:v>
      </x:c>
      <x:c r="N1740" s="24" t="n">
        <x:v>0</x:v>
      </x:c>
      <x:c r="O1740" t="str">
        <x:v>Price</x:v>
      </x:c>
      <x:c r="P1740" t="n">
        <x:v>3</x:v>
      </x:c>
      <x:c r="Q1740" t="str">
        <x:f>IFERROR(XLOOKUP(E1740,Lookups!$A$5:$A$24,Lookups!$B$5:$B$24),"Other")</x:f>
        <x:v>Outbound</x:v>
      </x:c>
      <x:c r="R1740" t="str">
        <x:f>IFERROR(XLOOKUP(F1740,Lookups!$D$5:$D$10,Lookups!$E$5:$E$10),"Unknown Product")</x:f>
        <x:v>Service Cloud</x:v>
      </x:c>
      <x:c r="S1740" t="str">
        <x:f>IFERROR(XLOOKUP(F1740,Lookups!$D$5:$D$10,Lookups!$F$5:$F$10),"Unknown")</x:f>
        <x:v>Customer Service</x:v>
      </x:c>
      <x:c r="T1740" t="str">
        <x:f>IF(L1740&gt;=50000,"Enterprise",IF(L1740&gt;=20000,"Mid-Market","SMB"))</x:f>
        <x:v>Enterprise</x:v>
      </x:c>
      <x:c r="U1740" t="str">
        <x:f>IF(I1740="Closed Won","Won",IF(I1740="Closed Lost","Lost","Open"))</x:f>
        <x:v>Lost</x:v>
      </x:c>
      <x:c r="V1740" s="22" t="n">
        <x:f>IF(U1740="Won",L1740*(1-M1740),0)</x:f>
        <x:v>0</x:v>
      </x:c>
      <x:c r="W1740" s="22" t="n">
        <x:f>IF(U1740="Open",L1740*N1740,0)</x:f>
        <x:v>0</x:v>
      </x:c>
      <x:c r="X1740" s="26" t="n">
        <x:f>IF(U1740="Open","",IFERROR(K1740-B1740,""))</x:f>
        <x:v>48</x:v>
      </x:c>
      <x:c r="Y1740" s="26" t="n">
        <x:f>IF(U1740="Open",Lookups!$B$2-B1740,X1740)</x:f>
        <x:v>48</x:v>
      </x:c>
      <x:c r="Z1740" t="str">
        <x:f>IF(AND(U1740="Open",Y1740&gt;30),"STALE","OK")</x:f>
        <x:v>OK</x:v>
      </x:c>
      <x:c r="AA1740" t="str">
        <x:f>TEXT(B1740,"yyyy-mm")</x:f>
        <x:v>2025-06</x:v>
      </x:c>
      <x:c r="AB1740" t="str">
        <x:f>IF(K1740="","",TEXT(K1740,"yyyy-mm"))</x:f>
        <x:v>2025-08</x:v>
      </x:c>
      <x:c r="AC1740" t="str">
        <x:f>"Q"&amp;ROUNDUP(MONTH(B1740)/3,0)&amp;"-"&amp;YEAR(B1740)</x:f>
        <x:v>Q2-2025</x:v>
      </x:c>
      <x:c r="AD1740" s="26" t="n">
        <x:f>MIN(100,IF(H1740="Enterprise",30,IF(H1740="Mid-Market",22,14))+IF(T1740="Enterprise",25,IF(T1740="Mid-Market",18,10))+IF(Q1740="Referral",25,IF(Q1740="Organic Search",20,IF(Q1740="Email",18,14)))+IF(G1740="Technology",10,5))</x:f>
        <x:v>74</x:v>
      </x:c>
      <x:c r="AE1740" t="str">
        <x:f>IF(U1740&lt;&gt;"Open",U1740,IF(N1740&gt;=0.8,"Commit",IF(N1740&gt;=0.5,"Best Case","Pipeline")))</x:f>
        <x:v>Lost</x:v>
      </x:c>
    </x:row>
    <x:row r="1741">
      <x:c r="A1741" t="str">
        <x:v>L01740</x:v>
      </x:c>
      <x:c r="B1741" s="10" t="n">
        <x:v>45962</x:v>
      </x:c>
      <x:c r="C1741" t="str">
        <x:v>An Nguyen</x:v>
      </x:c>
      <x:c r="D1741" t="str">
        <x:v>South</x:v>
      </x:c>
      <x:c r="E1741" t="str">
        <x:v>Email Campaign</x:v>
      </x:c>
      <x:c r="F1741" t="str">
        <x:v>BI-PLUS</x:v>
      </x:c>
      <x:c r="G1741" t="str">
        <x:v>Manufacturing</x:v>
      </x:c>
      <x:c r="H1741" t="str">
        <x:v>SMB</x:v>
      </x:c>
      <x:c r="I1741" t="str">
        <x:v>Closed Lost</x:v>
      </x:c>
      <x:c r="J1741" s="10" t="n">
        <x:v>46012</x:v>
      </x:c>
      <x:c r="K1741" s="10" t="n">
        <x:v>46012</x:v>
      </x:c>
      <x:c r="L1741" s="22" t="n">
        <x:v>24000</x:v>
      </x:c>
      <x:c r="M1741" s="24" t="n">
        <x:v>0</x:v>
      </x:c>
      <x:c r="N1741" s="24" t="n">
        <x:v>0</x:v>
      </x:c>
      <x:c r="O1741" t="str">
        <x:v>Price</x:v>
      </x:c>
      <x:c r="P1741" t="n">
        <x:v>5</x:v>
      </x:c>
      <x:c r="Q1741" t="str">
        <x:f>IFERROR(XLOOKUP(E1741,Lookups!$A$5:$A$24,Lookups!$B$5:$B$24),"Other")</x:f>
        <x:v>Email</x:v>
      </x:c>
      <x:c r="R1741" t="str">
        <x:f>IFERROR(XLOOKUP(F1741,Lookups!$D$5:$D$10,Lookups!$E$5:$E$10),"Unknown Product")</x:f>
        <x:v>Analytics Plus</x:v>
      </x:c>
      <x:c r="S1741" t="str">
        <x:f>IFERROR(XLOOKUP(F1741,Lookups!$D$5:$D$10,Lookups!$F$5:$F$10),"Unknown")</x:f>
        <x:v>Analytics</x:v>
      </x:c>
      <x:c r="T1741" t="str">
        <x:f>IF(L1741&gt;=50000,"Enterprise",IF(L1741&gt;=20000,"Mid-Market","SMB"))</x:f>
        <x:v>Mid-Market</x:v>
      </x:c>
      <x:c r="U1741" t="str">
        <x:f>IF(I1741="Closed Won","Won",IF(I1741="Closed Lost","Lost","Open"))</x:f>
        <x:v>Lost</x:v>
      </x:c>
      <x:c r="V1741" s="22" t="n">
        <x:f>IF(U1741="Won",L1741*(1-M1741),0)</x:f>
        <x:v>0</x:v>
      </x:c>
      <x:c r="W1741" s="22" t="n">
        <x:f>IF(U1741="Open",L1741*N1741,0)</x:f>
        <x:v>0</x:v>
      </x:c>
      <x:c r="X1741" s="26" t="n">
        <x:f>IF(U1741="Open","",IFERROR(K1741-B1741,""))</x:f>
        <x:v>50</x:v>
      </x:c>
      <x:c r="Y1741" s="26" t="n">
        <x:f>IF(U1741="Open",Lookups!$B$2-B1741,X1741)</x:f>
        <x:v>50</x:v>
      </x:c>
      <x:c r="Z1741" t="str">
        <x:f>IF(AND(U1741="Open",Y1741&gt;30),"STALE","OK")</x:f>
        <x:v>OK</x:v>
      </x:c>
      <x:c r="AA1741" t="str">
        <x:f>TEXT(B1741,"yyyy-mm")</x:f>
        <x:v>2025-11</x:v>
      </x:c>
      <x:c r="AB1741" t="str">
        <x:f>IF(K1741="","",TEXT(K1741,"yyyy-mm"))</x:f>
        <x:v>2025-12</x:v>
      </x:c>
      <x:c r="AC1741" t="str">
        <x:f>"Q"&amp;ROUNDUP(MONTH(B1741)/3,0)&amp;"-"&amp;YEAR(B1741)</x:f>
        <x:v>Q4-2025</x:v>
      </x:c>
      <x:c r="AD1741" s="26" t="n">
        <x:f>MIN(100,IF(H1741="Enterprise",30,IF(H1741="Mid-Market",22,14))+IF(T1741="Enterprise",25,IF(T1741="Mid-Market",18,10))+IF(Q1741="Referral",25,IF(Q1741="Organic Search",20,IF(Q1741="Email",18,14)))+IF(G1741="Technology",10,5))</x:f>
        <x:v>55</x:v>
      </x:c>
      <x:c r="AE1741" t="str">
        <x:f>IF(U1741&lt;&gt;"Open",U1741,IF(N1741&gt;=0.8,"Commit",IF(N1741&gt;=0.5,"Best Case","Pipeline")))</x:f>
        <x:v>Lost</x:v>
      </x:c>
    </x:row>
    <x:row r="1742">
      <x:c r="A1742" t="str">
        <x:v>L01741</x:v>
      </x:c>
      <x:c r="B1742" s="10" t="n">
        <x:v>45660</x:v>
      </x:c>
      <x:c r="C1742" t="str">
        <x:v>An Nguyen</x:v>
      </x:c>
      <x:c r="D1742" t="str">
        <x:v>South</x:v>
      </x:c>
      <x:c r="E1742" t="str">
        <x:v>Cold Email</x:v>
      </x:c>
      <x:c r="F1742" t="str">
        <x:v>CS-CLOUD</x:v>
      </x:c>
      <x:c r="G1742" t="str">
        <x:v>Retail</x:v>
      </x:c>
      <x:c r="H1742" t="str">
        <x:v>Enterprise</x:v>
      </x:c>
      <x:c r="I1742" t="str">
        <x:v>Closed Lost</x:v>
      </x:c>
      <x:c r="J1742" s="10" t="n">
        <x:v>45708</x:v>
      </x:c>
      <x:c r="K1742" s="10" t="n">
        <x:v>45708</x:v>
      </x:c>
      <x:c r="L1742" s="22" t="n">
        <x:v>63200</x:v>
      </x:c>
      <x:c r="M1742" s="24" t="n">
        <x:v>0</x:v>
      </x:c>
      <x:c r="N1742" s="24" t="n">
        <x:v>0</x:v>
      </x:c>
      <x:c r="O1742" t="str">
        <x:v>Competitor</x:v>
      </x:c>
      <x:c r="P1742" t="n">
        <x:v>5</x:v>
      </x:c>
      <x:c r="Q1742" t="str">
        <x:f>IFERROR(XLOOKUP(E1742,Lookups!$A$5:$A$24,Lookups!$B$5:$B$24),"Other")</x:f>
        <x:v>Outbound</x:v>
      </x:c>
      <x:c r="R1742" t="str">
        <x:f>IFERROR(XLOOKUP(F1742,Lookups!$D$5:$D$10,Lookups!$E$5:$E$10),"Unknown Product")</x:f>
        <x:v>Service Cloud</x:v>
      </x:c>
      <x:c r="S1742" t="str">
        <x:f>IFERROR(XLOOKUP(F1742,Lookups!$D$5:$D$10,Lookups!$F$5:$F$10),"Unknown")</x:f>
        <x:v>Customer Service</x:v>
      </x:c>
      <x:c r="T1742" t="str">
        <x:f>IF(L1742&gt;=50000,"Enterprise",IF(L1742&gt;=20000,"Mid-Market","SMB"))</x:f>
        <x:v>Enterprise</x:v>
      </x:c>
      <x:c r="U1742" t="str">
        <x:f>IF(I1742="Closed Won","Won",IF(I1742="Closed Lost","Lost","Open"))</x:f>
        <x:v>Lost</x:v>
      </x:c>
      <x:c r="V1742" s="22" t="n">
        <x:f>IF(U1742="Won",L1742*(1-M1742),0)</x:f>
        <x:v>0</x:v>
      </x:c>
      <x:c r="W1742" s="22" t="n">
        <x:f>IF(U1742="Open",L1742*N1742,0)</x:f>
        <x:v>0</x:v>
      </x:c>
      <x:c r="X1742" s="26" t="n">
        <x:f>IF(U1742="Open","",IFERROR(K1742-B1742,""))</x:f>
        <x:v>48</x:v>
      </x:c>
      <x:c r="Y1742" s="26" t="n">
        <x:f>IF(U1742="Open",Lookups!$B$2-B1742,X1742)</x:f>
        <x:v>48</x:v>
      </x:c>
      <x:c r="Z1742" t="str">
        <x:f>IF(AND(U1742="Open",Y1742&gt;30),"STALE","OK")</x:f>
        <x:v>OK</x:v>
      </x:c>
      <x:c r="AA1742" t="str">
        <x:f>TEXT(B1742,"yyyy-mm")</x:f>
        <x:v>2025-01</x:v>
      </x:c>
      <x:c r="AB1742" t="str">
        <x:f>IF(K1742="","",TEXT(K1742,"yyyy-mm"))</x:f>
        <x:v>2025-02</x:v>
      </x:c>
      <x:c r="AC1742" t="str">
        <x:f>"Q"&amp;ROUNDUP(MONTH(B1742)/3,0)&amp;"-"&amp;YEAR(B1742)</x:f>
        <x:v>Q1-2025</x:v>
      </x:c>
      <x:c r="AD1742" s="26" t="n">
        <x:f>MIN(100,IF(H1742="Enterprise",30,IF(H1742="Mid-Market",22,14))+IF(T1742="Enterprise",25,IF(T1742="Mid-Market",18,10))+IF(Q1742="Referral",25,IF(Q1742="Organic Search",20,IF(Q1742="Email",18,14)))+IF(G1742="Technology",10,5))</x:f>
        <x:v>74</x:v>
      </x:c>
      <x:c r="AE1742" t="str">
        <x:f>IF(U1742&lt;&gt;"Open",U1742,IF(N1742&gt;=0.8,"Commit",IF(N1742&gt;=0.5,"Best Case","Pipeline")))</x:f>
        <x:v>Lost</x:v>
      </x:c>
    </x:row>
    <x:row r="1743">
      <x:c r="A1743" t="str">
        <x:v>L01742</x:v>
      </x:c>
      <x:c r="B1743" s="10" t="n">
        <x:v>45768</x:v>
      </x:c>
      <x:c r="C1743" t="str">
        <x:v>Tuan Bui</x:v>
      </x:c>
      <x:c r="D1743" t="str">
        <x:v>Central</x:v>
      </x:c>
      <x:c r="E1743" t="str">
        <x:v>Conference Scan</x:v>
      </x:c>
      <x:c r="F1743" t="str">
        <x:v>CRM-CORE</x:v>
      </x:c>
      <x:c r="G1743" t="str">
        <x:v>Technology</x:v>
      </x:c>
      <x:c r="H1743" t="str">
        <x:v>Mid-Market</x:v>
      </x:c>
      <x:c r="I1743" t="str">
        <x:v>Negotiation</x:v>
      </x:c>
      <x:c r="J1743" s="10" t="n">
        <x:v>46136</x:v>
      </x:c>
      <x:c r="K1743" s="10"/>
      <x:c r="L1743" s="22" t="n">
        <x:v>16600</x:v>
      </x:c>
      <x:c r="M1743" s="24" t="n">
        <x:v>0.03</x:v>
      </x:c>
      <x:c r="N1743" s="24" t="n">
        <x:v>0.85</x:v>
      </x:c>
      <x:c r="O1743" t="str"/>
      <x:c r="P1743" t="n">
        <x:v>5</x:v>
      </x:c>
      <x:c r="Q1743" t="str">
        <x:f>IFERROR(XLOOKUP(E1743,Lookups!$A$5:$A$24,Lookups!$B$5:$B$24),"Other")</x:f>
        <x:v>Other</x:v>
      </x:c>
      <x:c r="R1743" t="str">
        <x:f>IFERROR(XLOOKUP(F1743,Lookups!$D$5:$D$10,Lookups!$E$5:$E$10),"Unknown Product")</x:f>
        <x:v>NexaCRM Core</x:v>
      </x:c>
      <x:c r="S1743" t="str">
        <x:f>IFERROR(XLOOKUP(F1743,Lookups!$D$5:$D$10,Lookups!$F$5:$F$10),"Unknown")</x:f>
        <x:v>CRM</x:v>
      </x:c>
      <x:c r="T1743" t="str">
        <x:f>IF(L1743&gt;=50000,"Enterprise",IF(L1743&gt;=20000,"Mid-Market","SMB"))</x:f>
        <x:v>SMB</x:v>
      </x:c>
      <x:c r="U1743" t="str">
        <x:f>IF(I1743="Closed Won","Won",IF(I1743="Closed Lost","Lost","Open"))</x:f>
        <x:v>Open</x:v>
      </x:c>
      <x:c r="V1743" s="22" t="n">
        <x:f>IF(U1743="Won",L1743*(1-M1743),0)</x:f>
        <x:v>0</x:v>
      </x:c>
      <x:c r="W1743" s="22" t="n">
        <x:f>IF(U1743="Open",L1743*N1743,0)</x:f>
        <x:v>14110</x:v>
      </x:c>
      <x:c r="X1743" s="26" t="str">
        <x:f>IF(U1743="Open","",IFERROR(K1743-B1743,""))</x:f>
      </x:c>
      <x:c r="Y1743" s="26" t="n">
        <x:f>IF(U1743="Open",Lookups!$B$2-B1743,X1743)</x:f>
        <x:v>498</x:v>
      </x:c>
      <x:c r="Z1743" t="str">
        <x:f>IF(AND(U1743="Open",Y1743&gt;30),"STALE","OK")</x:f>
        <x:v>STALE</x:v>
      </x:c>
      <x:c r="AA1743" t="str">
        <x:f>TEXT(B1743,"yyyy-mm")</x:f>
        <x:v>2025-04</x:v>
      </x:c>
      <x:c r="AB1743" t="str">
        <x:f>IF(K1743="","",TEXT(K1743,"yyyy-mm"))</x:f>
      </x:c>
      <x:c r="AC1743" t="str">
        <x:f>"Q"&amp;ROUNDUP(MONTH(B1743)/3,0)&amp;"-"&amp;YEAR(B1743)</x:f>
        <x:v>Q2-2025</x:v>
      </x:c>
      <x:c r="AD1743" s="26" t="n">
        <x:f>MIN(100,IF(H1743="Enterprise",30,IF(H1743="Mid-Market",22,14))+IF(T1743="Enterprise",25,IF(T1743="Mid-Market",18,10))+IF(Q1743="Referral",25,IF(Q1743="Organic Search",20,IF(Q1743="Email",18,14)))+IF(G1743="Technology",10,5))</x:f>
        <x:v>56</x:v>
      </x:c>
      <x:c r="AE1743" t="str">
        <x:f>IF(U1743&lt;&gt;"Open",U1743,IF(N1743&gt;=0.8,"Commit",IF(N1743&gt;=0.5,"Best Case","Pipeline")))</x:f>
        <x:v>Commit</x:v>
      </x:c>
    </x:row>
    <x:row r="1744">
      <x:c r="A1744" t="str">
        <x:v>L01743</x:v>
      </x:c>
      <x:c r="B1744" s="10" t="n">
        <x:v>46068</x:v>
      </x:c>
      <x:c r="C1744" t="str">
        <x:v>Bao Tran</x:v>
      </x:c>
      <x:c r="D1744" t="str">
        <x:v>South</x:v>
      </x:c>
      <x:c r="E1744" t="str">
        <x:v>Referral</x:v>
      </x:c>
      <x:c r="F1744" t="str">
        <x:v>CRM-CORE</x:v>
      </x:c>
      <x:c r="G1744" t="str">
        <x:v>Financial Services</x:v>
      </x:c>
      <x:c r="H1744" t="str">
        <x:v>SMB</x:v>
      </x:c>
      <x:c r="I1744" t="str">
        <x:v>Closed Lost</x:v>
      </x:c>
      <x:c r="J1744" s="10" t="n">
        <x:v>46121</x:v>
      </x:c>
      <x:c r="K1744" s="10" t="n">
        <x:v>46121</x:v>
      </x:c>
      <x:c r="L1744" s="22" t="n">
        <x:v>8300</x:v>
      </x:c>
      <x:c r="M1744" s="24" t="n">
        <x:v>0</x:v>
      </x:c>
      <x:c r="N1744" s="24" t="n">
        <x:v>0</x:v>
      </x:c>
      <x:c r="O1744" t="str">
        <x:v>Competitor</x:v>
      </x:c>
      <x:c r="P1744" t="n">
        <x:v>3</x:v>
      </x:c>
      <x:c r="Q1744" t="str">
        <x:f>IFERROR(XLOOKUP(E1744,Lookups!$A$5:$A$24,Lookups!$B$5:$B$24),"Other")</x:f>
        <x:v>Referral</x:v>
      </x:c>
      <x:c r="R1744" t="str">
        <x:f>IFERROR(XLOOKUP(F1744,Lookups!$D$5:$D$10,Lookups!$E$5:$E$10),"Unknown Product")</x:f>
        <x:v>NexaCRM Core</x:v>
      </x:c>
      <x:c r="S1744" t="str">
        <x:f>IFERROR(XLOOKUP(F1744,Lookups!$D$5:$D$10,Lookups!$F$5:$F$10),"Unknown")</x:f>
        <x:v>CRM</x:v>
      </x:c>
      <x:c r="T1744" t="str">
        <x:f>IF(L1744&gt;=50000,"Enterprise",IF(L1744&gt;=20000,"Mid-Market","SMB"))</x:f>
        <x:v>SMB</x:v>
      </x:c>
      <x:c r="U1744" t="str">
        <x:f>IF(I1744="Closed Won","Won",IF(I1744="Closed Lost","Lost","Open"))</x:f>
        <x:v>Lost</x:v>
      </x:c>
      <x:c r="V1744" s="22" t="n">
        <x:f>IF(U1744="Won",L1744*(1-M1744),0)</x:f>
        <x:v>0</x:v>
      </x:c>
      <x:c r="W1744" s="22" t="n">
        <x:f>IF(U1744="Open",L1744*N1744,0)</x:f>
        <x:v>0</x:v>
      </x:c>
      <x:c r="X1744" s="26" t="n">
        <x:f>IF(U1744="Open","",IFERROR(K1744-B1744,""))</x:f>
        <x:v>53</x:v>
      </x:c>
      <x:c r="Y1744" s="26" t="n">
        <x:f>IF(U1744="Open",Lookups!$B$2-B1744,X1744)</x:f>
        <x:v>53</x:v>
      </x:c>
      <x:c r="Z1744" t="str">
        <x:f>IF(AND(U1744="Open",Y1744&gt;30),"STALE","OK")</x:f>
        <x:v>OK</x:v>
      </x:c>
      <x:c r="AA1744" t="str">
        <x:f>TEXT(B1744,"yyyy-mm")</x:f>
        <x:v>2026-02</x:v>
      </x:c>
      <x:c r="AB1744" t="str">
        <x:f>IF(K1744="","",TEXT(K1744,"yyyy-mm"))</x:f>
        <x:v>2026-04</x:v>
      </x:c>
      <x:c r="AC1744" t="str">
        <x:f>"Q"&amp;ROUNDUP(MONTH(B1744)/3,0)&amp;"-"&amp;YEAR(B1744)</x:f>
        <x:v>Q1-2026</x:v>
      </x:c>
      <x:c r="AD1744" s="26" t="n">
        <x:f>MIN(100,IF(H1744="Enterprise",30,IF(H1744="Mid-Market",22,14))+IF(T1744="Enterprise",25,IF(T1744="Mid-Market",18,10))+IF(Q1744="Referral",25,IF(Q1744="Organic Search",20,IF(Q1744="Email",18,14)))+IF(G1744="Technology",10,5))</x:f>
        <x:v>54</x:v>
      </x:c>
      <x:c r="AE1744" t="str">
        <x:f>IF(U1744&lt;&gt;"Open",U1744,IF(N1744&gt;=0.8,"Commit",IF(N1744&gt;=0.5,"Best Case","Pipeline")))</x:f>
        <x:v>Lost</x:v>
      </x:c>
    </x:row>
    <x:row r="1745">
      <x:c r="A1745" t="str">
        <x:v>L01744</x:v>
      </x:c>
      <x:c r="B1745" s="10" t="n">
        <x:v>46021</x:v>
      </x:c>
      <x:c r="C1745" t="str">
        <x:v>Bao Tran</x:v>
      </x:c>
      <x:c r="D1745" t="str">
        <x:v>South</x:v>
      </x:c>
      <x:c r="E1745" t="str">
        <x:v>SDR Outreach</x:v>
      </x:c>
      <x:c r="F1745" t="str">
        <x:v>CRM-CORE</x:v>
      </x:c>
      <x:c r="G1745" t="str">
        <x:v>Technology</x:v>
      </x:c>
      <x:c r="H1745" t="str">
        <x:v>SMB</x:v>
      </x:c>
      <x:c r="I1745" t="str">
        <x:v>Negotiation</x:v>
      </x:c>
      <x:c r="J1745" s="10" t="n">
        <x:v>46144</x:v>
      </x:c>
      <x:c r="K1745" s="10"/>
      <x:c r="L1745" s="22" t="n">
        <x:v>5100</x:v>
      </x:c>
      <x:c r="M1745" s="24" t="n">
        <x:v>0</x:v>
      </x:c>
      <x:c r="N1745" s="24" t="n">
        <x:v>0.85</x:v>
      </x:c>
      <x:c r="O1745" t="str"/>
      <x:c r="P1745" t="n">
        <x:v>5</x:v>
      </x:c>
      <x:c r="Q1745" t="str">
        <x:f>IFERROR(XLOOKUP(E1745,Lookups!$A$5:$A$24,Lookups!$B$5:$B$24),"Other")</x:f>
        <x:v>Outbound</x:v>
      </x:c>
      <x:c r="R1745" t="str">
        <x:f>IFERROR(XLOOKUP(F1745,Lookups!$D$5:$D$10,Lookups!$E$5:$E$10),"Unknown Product")</x:f>
        <x:v>NexaCRM Core</x:v>
      </x:c>
      <x:c r="S1745" t="str">
        <x:f>IFERROR(XLOOKUP(F1745,Lookups!$D$5:$D$10,Lookups!$F$5:$F$10),"Unknown")</x:f>
        <x:v>CRM</x:v>
      </x:c>
      <x:c r="T1745" t="str">
        <x:f>IF(L1745&gt;=50000,"Enterprise",IF(L1745&gt;=20000,"Mid-Market","SMB"))</x:f>
        <x:v>SMB</x:v>
      </x:c>
      <x:c r="U1745" t="str">
        <x:f>IF(I1745="Closed Won","Won",IF(I1745="Closed Lost","Lost","Open"))</x:f>
        <x:v>Open</x:v>
      </x:c>
      <x:c r="V1745" s="22" t="n">
        <x:f>IF(U1745="Won",L1745*(1-M1745),0)</x:f>
        <x:v>0</x:v>
      </x:c>
      <x:c r="W1745" s="22" t="n">
        <x:f>IF(U1745="Open",L1745*N1745,0)</x:f>
        <x:v>4335</x:v>
      </x:c>
      <x:c r="X1745" s="26" t="str">
        <x:f>IF(U1745="Open","",IFERROR(K1745-B1745,""))</x:f>
      </x:c>
      <x:c r="Y1745" s="26" t="n">
        <x:f>IF(U1745="Open",Lookups!$B$2-B1745,X1745)</x:f>
        <x:v>245</x:v>
      </x:c>
      <x:c r="Z1745" t="str">
        <x:f>IF(AND(U1745="Open",Y1745&gt;30),"STALE","OK")</x:f>
        <x:v>STALE</x:v>
      </x:c>
      <x:c r="AA1745" t="str">
        <x:f>TEXT(B1745,"yyyy-mm")</x:f>
        <x:v>2025-12</x:v>
      </x:c>
      <x:c r="AB1745" t="str">
        <x:f>IF(K1745="","",TEXT(K1745,"yyyy-mm"))</x:f>
      </x:c>
      <x:c r="AC1745" t="str">
        <x:f>"Q"&amp;ROUNDUP(MONTH(B1745)/3,0)&amp;"-"&amp;YEAR(B1745)</x:f>
        <x:v>Q4-2025</x:v>
      </x:c>
      <x:c r="AD1745" s="26" t="n">
        <x:f>MIN(100,IF(H1745="Enterprise",30,IF(H1745="Mid-Market",22,14))+IF(T1745="Enterprise",25,IF(T1745="Mid-Market",18,10))+IF(Q1745="Referral",25,IF(Q1745="Organic Search",20,IF(Q1745="Email",18,14)))+IF(G1745="Technology",10,5))</x:f>
        <x:v>48</x:v>
      </x:c>
      <x:c r="AE1745" t="str">
        <x:f>IF(U1745&lt;&gt;"Open",U1745,IF(N1745&gt;=0.8,"Commit",IF(N1745&gt;=0.5,"Best Case","Pipeline")))</x:f>
        <x:v>Commit</x:v>
      </x:c>
    </x:row>
    <x:row r="1746">
      <x:c r="A1746" t="str">
        <x:v>L01745</x:v>
      </x:c>
      <x:c r="B1746" s="10" t="n">
        <x:v>45875</x:v>
      </x:c>
      <x:c r="C1746" t="str">
        <x:v>Bao Tran</x:v>
      </x:c>
      <x:c r="D1746" t="str">
        <x:v>South</x:v>
      </x:c>
      <x:c r="E1746" t="str">
        <x:v>SDR Outreach</x:v>
      </x:c>
      <x:c r="F1746" t="str">
        <x:v>CRM-PRO</x:v>
      </x:c>
      <x:c r="G1746" t="str">
        <x:v>Healthcare</x:v>
      </x:c>
      <x:c r="H1746" t="str">
        <x:v>SMB</x:v>
      </x:c>
      <x:c r="I1746" t="str">
        <x:v>Closed Lost</x:v>
      </x:c>
      <x:c r="J1746" s="10" t="n">
        <x:v>45911</x:v>
      </x:c>
      <x:c r="K1746" s="10" t="n">
        <x:v>45911</x:v>
      </x:c>
      <x:c r="L1746" s="22" t="n">
        <x:v>18700</x:v>
      </x:c>
      <x:c r="M1746" s="24" t="n">
        <x:v>0</x:v>
      </x:c>
      <x:c r="N1746" s="24" t="n">
        <x:v>0</x:v>
      </x:c>
      <x:c r="O1746" t="str">
        <x:v>Budget</x:v>
      </x:c>
      <x:c r="P1746" t="n">
        <x:v>3</x:v>
      </x:c>
      <x:c r="Q1746" t="str">
        <x:f>IFERROR(XLOOKUP(E1746,Lookups!$A$5:$A$24,Lookups!$B$5:$B$24),"Other")</x:f>
        <x:v>Outbound</x:v>
      </x:c>
      <x:c r="R1746" t="str">
        <x:f>IFERROR(XLOOKUP(F1746,Lookups!$D$5:$D$10,Lookups!$E$5:$E$10),"Unknown Product")</x:f>
        <x:v>NexaCRM Pro</x:v>
      </x:c>
      <x:c r="S1746" t="str">
        <x:f>IFERROR(XLOOKUP(F1746,Lookups!$D$5:$D$10,Lookups!$F$5:$F$10),"Unknown")</x:f>
        <x:v>CRM</x:v>
      </x:c>
      <x:c r="T1746" t="str">
        <x:f>IF(L1746&gt;=50000,"Enterprise",IF(L1746&gt;=20000,"Mid-Market","SMB"))</x:f>
        <x:v>SMB</x:v>
      </x:c>
      <x:c r="U1746" t="str">
        <x:f>IF(I1746="Closed Won","Won",IF(I1746="Closed Lost","Lost","Open"))</x:f>
        <x:v>Lost</x:v>
      </x:c>
      <x:c r="V1746" s="22" t="n">
        <x:f>IF(U1746="Won",L1746*(1-M1746),0)</x:f>
        <x:v>0</x:v>
      </x:c>
      <x:c r="W1746" s="22" t="n">
        <x:f>IF(U1746="Open",L1746*N1746,0)</x:f>
        <x:v>0</x:v>
      </x:c>
      <x:c r="X1746" s="26" t="n">
        <x:f>IF(U1746="Open","",IFERROR(K1746-B1746,""))</x:f>
        <x:v>36</x:v>
      </x:c>
      <x:c r="Y1746" s="26" t="n">
        <x:f>IF(U1746="Open",Lookups!$B$2-B1746,X1746)</x:f>
        <x:v>36</x:v>
      </x:c>
      <x:c r="Z1746" t="str">
        <x:f>IF(AND(U1746="Open",Y1746&gt;30),"STALE","OK")</x:f>
        <x:v>OK</x:v>
      </x:c>
      <x:c r="AA1746" t="str">
        <x:f>TEXT(B1746,"yyyy-mm")</x:f>
        <x:v>2025-08</x:v>
      </x:c>
      <x:c r="AB1746" t="str">
        <x:f>IF(K1746="","",TEXT(K1746,"yyyy-mm"))</x:f>
        <x:v>2025-09</x:v>
      </x:c>
      <x:c r="AC1746" t="str">
        <x:f>"Q"&amp;ROUNDUP(MONTH(B1746)/3,0)&amp;"-"&amp;YEAR(B1746)</x:f>
        <x:v>Q3-2025</x:v>
      </x:c>
      <x:c r="AD1746" s="26" t="n">
        <x:f>MIN(100,IF(H1746="Enterprise",30,IF(H1746="Mid-Market",22,14))+IF(T1746="Enterprise",25,IF(T1746="Mid-Market",18,10))+IF(Q1746="Referral",25,IF(Q1746="Organic Search",20,IF(Q1746="Email",18,14)))+IF(G1746="Technology",10,5))</x:f>
        <x:v>43</x:v>
      </x:c>
      <x:c r="AE1746" t="str">
        <x:f>IF(U1746&lt;&gt;"Open",U1746,IF(N1746&gt;=0.8,"Commit",IF(N1746&gt;=0.5,"Best Case","Pipeline")))</x:f>
        <x:v>Lost</x:v>
      </x:c>
    </x:row>
    <x:row r="1747">
      <x:c r="A1747" t="str">
        <x:v>L01746</x:v>
      </x:c>
      <x:c r="B1747" s="10" t="n">
        <x:v>45930</x:v>
      </x:c>
      <x:c r="C1747" t="str">
        <x:v>An Nguyen</x:v>
      </x:c>
      <x:c r="D1747" t="str">
        <x:v>South</x:v>
      </x:c>
      <x:c r="E1747" t="str">
        <x:v>google cpc</x:v>
      </x:c>
      <x:c r="F1747" t="str">
        <x:v>CRM-PRO</x:v>
      </x:c>
      <x:c r="G1747" t="str">
        <x:v>Financial Services</x:v>
      </x:c>
      <x:c r="H1747" t="str">
        <x:v>Enterprise</x:v>
      </x:c>
      <x:c r="I1747" t="str">
        <x:v>Closed Won</x:v>
      </x:c>
      <x:c r="J1747" s="10" t="n">
        <x:v>45968</x:v>
      </x:c>
      <x:c r="K1747" s="10" t="n">
        <x:v>45968</x:v>
      </x:c>
      <x:c r="L1747" s="22" t="n">
        <x:v>62000</x:v>
      </x:c>
      <x:c r="M1747" s="24" t="n">
        <x:v>0.05</x:v>
      </x:c>
      <x:c r="N1747" s="24" t="n">
        <x:v>1</x:v>
      </x:c>
      <x:c r="O1747" t="str"/>
      <x:c r="P1747" t="n">
        <x:v>6</x:v>
      </x:c>
      <x:c r="Q1747" t="str">
        <x:f>IFERROR(XLOOKUP(E1747,Lookups!$A$5:$A$24,Lookups!$B$5:$B$24),"Other")</x:f>
        <x:v>Paid Search</x:v>
      </x:c>
      <x:c r="R1747" t="str">
        <x:f>IFERROR(XLOOKUP(F1747,Lookups!$D$5:$D$10,Lookups!$E$5:$E$10),"Unknown Product")</x:f>
        <x:v>NexaCRM Pro</x:v>
      </x:c>
      <x:c r="S1747" t="str">
        <x:f>IFERROR(XLOOKUP(F1747,Lookups!$D$5:$D$10,Lookups!$F$5:$F$10),"Unknown")</x:f>
        <x:v>CRM</x:v>
      </x:c>
      <x:c r="T1747" t="str">
        <x:f>IF(L1747&gt;=50000,"Enterprise",IF(L1747&gt;=20000,"Mid-Market","SMB"))</x:f>
        <x:v>Enterprise</x:v>
      </x:c>
      <x:c r="U1747" t="str">
        <x:f>IF(I1747="Closed Won","Won",IF(I1747="Closed Lost","Lost","Open"))</x:f>
        <x:v>Won</x:v>
      </x:c>
      <x:c r="V1747" s="22" t="n">
        <x:f>IF(U1747="Won",L1747*(1-M1747),0)</x:f>
        <x:v>58900</x:v>
      </x:c>
      <x:c r="W1747" s="22" t="n">
        <x:f>IF(U1747="Open",L1747*N1747,0)</x:f>
        <x:v>0</x:v>
      </x:c>
      <x:c r="X1747" s="26" t="n">
        <x:f>IF(U1747="Open","",IFERROR(K1747-B1747,""))</x:f>
        <x:v>38</x:v>
      </x:c>
      <x:c r="Y1747" s="26" t="n">
        <x:f>IF(U1747="Open",Lookups!$B$2-B1747,X1747)</x:f>
        <x:v>38</x:v>
      </x:c>
      <x:c r="Z1747" t="str">
        <x:f>IF(AND(U1747="Open",Y1747&gt;30),"STALE","OK")</x:f>
        <x:v>OK</x:v>
      </x:c>
      <x:c r="AA1747" t="str">
        <x:f>TEXT(B1747,"yyyy-mm")</x:f>
        <x:v>2025-09</x:v>
      </x:c>
      <x:c r="AB1747" t="str">
        <x:f>IF(K1747="","",TEXT(K1747,"yyyy-mm"))</x:f>
        <x:v>2025-11</x:v>
      </x:c>
      <x:c r="AC1747" t="str">
        <x:f>"Q"&amp;ROUNDUP(MONTH(B1747)/3,0)&amp;"-"&amp;YEAR(B1747)</x:f>
        <x:v>Q3-2025</x:v>
      </x:c>
      <x:c r="AD1747" s="26" t="n">
        <x:f>MIN(100,IF(H1747="Enterprise",30,IF(H1747="Mid-Market",22,14))+IF(T1747="Enterprise",25,IF(T1747="Mid-Market",18,10))+IF(Q1747="Referral",25,IF(Q1747="Organic Search",20,IF(Q1747="Email",18,14)))+IF(G1747="Technology",10,5))</x:f>
        <x:v>74</x:v>
      </x:c>
      <x:c r="AE1747" t="str">
        <x:f>IF(U1747&lt;&gt;"Open",U1747,IF(N1747&gt;=0.8,"Commit",IF(N1747&gt;=0.5,"Best Case","Pipeline")))</x:f>
        <x:v>Won</x:v>
      </x:c>
    </x:row>
    <x:row r="1748">
      <x:c r="A1748" t="str">
        <x:v>L01747</x:v>
      </x:c>
      <x:c r="B1748" s="10" t="n">
        <x:v>45764</x:v>
      </x:c>
      <x:c r="C1748" t="str">
        <x:v>Duy Pham</x:v>
      </x:c>
      <x:c r="D1748" t="str">
        <x:v>South</x:v>
      </x:c>
      <x:c r="E1748" t="str">
        <x:v>organic search</x:v>
      </x:c>
      <x:c r="F1748" t="str">
        <x:v>MKT-AUTO</x:v>
      </x:c>
      <x:c r="G1748" t="str">
        <x:v>Financial Services</x:v>
      </x:c>
      <x:c r="H1748" t="str">
        <x:v>SMB</x:v>
      </x:c>
      <x:c r="I1748" t="str">
        <x:v>Closed Lost</x:v>
      </x:c>
      <x:c r="J1748" s="10" t="n">
        <x:v>45855</x:v>
      </x:c>
      <x:c r="K1748" s="10" t="n">
        <x:v>45855</x:v>
      </x:c>
      <x:c r="L1748" s="22" t="n">
        <x:v>12500</x:v>
      </x:c>
      <x:c r="M1748" s="24" t="n">
        <x:v>0</x:v>
      </x:c>
      <x:c r="N1748" s="24" t="n">
        <x:v>0</x:v>
      </x:c>
      <x:c r="O1748" t="str">
        <x:v>Competitor</x:v>
      </x:c>
      <x:c r="P1748" t="n">
        <x:v>4</x:v>
      </x:c>
      <x:c r="Q1748" t="str">
        <x:f>IFERROR(XLOOKUP(E1748,Lookups!$A$5:$A$24,Lookups!$B$5:$B$24),"Other")</x:f>
        <x:v>Organic Search</x:v>
      </x:c>
      <x:c r="R1748" t="str">
        <x:f>IFERROR(XLOOKUP(F1748,Lookups!$D$5:$D$10,Lookups!$E$5:$E$10),"Unknown Product")</x:f>
        <x:v>Marketing Automation</x:v>
      </x:c>
      <x:c r="S1748" t="str">
        <x:f>IFERROR(XLOOKUP(F1748,Lookups!$D$5:$D$10,Lookups!$F$5:$F$10),"Unknown")</x:f>
        <x:v>Marketing</x:v>
      </x:c>
      <x:c r="T1748" t="str">
        <x:f>IF(L1748&gt;=50000,"Enterprise",IF(L1748&gt;=20000,"Mid-Market","SMB"))</x:f>
        <x:v>SMB</x:v>
      </x:c>
      <x:c r="U1748" t="str">
        <x:f>IF(I1748="Closed Won","Won",IF(I1748="Closed Lost","Lost","Open"))</x:f>
        <x:v>Lost</x:v>
      </x:c>
      <x:c r="V1748" s="22" t="n">
        <x:f>IF(U1748="Won",L1748*(1-M1748),0)</x:f>
        <x:v>0</x:v>
      </x:c>
      <x:c r="W1748" s="22" t="n">
        <x:f>IF(U1748="Open",L1748*N1748,0)</x:f>
        <x:v>0</x:v>
      </x:c>
      <x:c r="X1748" s="26" t="n">
        <x:f>IF(U1748="Open","",IFERROR(K1748-B1748,""))</x:f>
        <x:v>91</x:v>
      </x:c>
      <x:c r="Y1748" s="26" t="n">
        <x:f>IF(U1748="Open",Lookups!$B$2-B1748,X1748)</x:f>
        <x:v>91</x:v>
      </x:c>
      <x:c r="Z1748" t="str">
        <x:f>IF(AND(U1748="Open",Y1748&gt;30),"STALE","OK")</x:f>
        <x:v>OK</x:v>
      </x:c>
      <x:c r="AA1748" t="str">
        <x:f>TEXT(B1748,"yyyy-mm")</x:f>
        <x:v>2025-04</x:v>
      </x:c>
      <x:c r="AB1748" t="str">
        <x:f>IF(K1748="","",TEXT(K1748,"yyyy-mm"))</x:f>
        <x:v>2025-07</x:v>
      </x:c>
      <x:c r="AC1748" t="str">
        <x:f>"Q"&amp;ROUNDUP(MONTH(B1748)/3,0)&amp;"-"&amp;YEAR(B1748)</x:f>
        <x:v>Q2-2025</x:v>
      </x:c>
      <x:c r="AD1748" s="26" t="n">
        <x:f>MIN(100,IF(H1748="Enterprise",30,IF(H1748="Mid-Market",22,14))+IF(T1748="Enterprise",25,IF(T1748="Mid-Market",18,10))+IF(Q1748="Referral",25,IF(Q1748="Organic Search",20,IF(Q1748="Email",18,14)))+IF(G1748="Technology",10,5))</x:f>
        <x:v>49</x:v>
      </x:c>
      <x:c r="AE1748" t="str">
        <x:f>IF(U1748&lt;&gt;"Open",U1748,IF(N1748&gt;=0.8,"Commit",IF(N1748&gt;=0.5,"Best Case","Pipeline")))</x:f>
        <x:v>Lost</x:v>
      </x:c>
    </x:row>
    <x:row r="1749">
      <x:c r="A1749" t="str">
        <x:v>L01748</x:v>
      </x:c>
      <x:c r="B1749" s="10" t="n">
        <x:v>45830</x:v>
      </x:c>
      <x:c r="C1749" t="str">
        <x:v>Chi Le</x:v>
      </x:c>
      <x:c r="D1749" t="str">
        <x:v>South</x:v>
      </x:c>
      <x:c r="E1749" t="str">
        <x:v>Cold Email</x:v>
      </x:c>
      <x:c r="F1749" t="str">
        <x:v>MKT-AUTO</x:v>
      </x:c>
      <x:c r="G1749" t="str">
        <x:v>Healthcare</x:v>
      </x:c>
      <x:c r="H1749" t="str">
        <x:v>Enterprise</x:v>
      </x:c>
      <x:c r="I1749" t="str">
        <x:v>Closed Lost</x:v>
      </x:c>
      <x:c r="J1749" s="10" t="n">
        <x:v>45865</x:v>
      </x:c>
      <x:c r="K1749" s="10" t="n">
        <x:v>45865</x:v>
      </x:c>
      <x:c r="L1749" s="22" t="n">
        <x:v>55900</x:v>
      </x:c>
      <x:c r="M1749" s="24" t="n">
        <x:v>0</x:v>
      </x:c>
      <x:c r="N1749" s="24" t="n">
        <x:v>0</x:v>
      </x:c>
      <x:c r="O1749" t="str">
        <x:v>Budget</x:v>
      </x:c>
      <x:c r="P1749" t="n">
        <x:v>2</x:v>
      </x:c>
      <x:c r="Q1749" t="str">
        <x:f>IFERROR(XLOOKUP(E1749,Lookups!$A$5:$A$24,Lookups!$B$5:$B$24),"Other")</x:f>
        <x:v>Outbound</x:v>
      </x:c>
      <x:c r="R1749" t="str">
        <x:f>IFERROR(XLOOKUP(F1749,Lookups!$D$5:$D$10,Lookups!$E$5:$E$10),"Unknown Product")</x:f>
        <x:v>Marketing Automation</x:v>
      </x:c>
      <x:c r="S1749" t="str">
        <x:f>IFERROR(XLOOKUP(F1749,Lookups!$D$5:$D$10,Lookups!$F$5:$F$10),"Unknown")</x:f>
        <x:v>Marketing</x:v>
      </x:c>
      <x:c r="T1749" t="str">
        <x:f>IF(L1749&gt;=50000,"Enterprise",IF(L1749&gt;=20000,"Mid-Market","SMB"))</x:f>
        <x:v>Enterprise</x:v>
      </x:c>
      <x:c r="U1749" t="str">
        <x:f>IF(I1749="Closed Won","Won",IF(I1749="Closed Lost","Lost","Open"))</x:f>
        <x:v>Lost</x:v>
      </x:c>
      <x:c r="V1749" s="22" t="n">
        <x:f>IF(U1749="Won",L1749*(1-M1749),0)</x:f>
        <x:v>0</x:v>
      </x:c>
      <x:c r="W1749" s="22" t="n">
        <x:f>IF(U1749="Open",L1749*N1749,0)</x:f>
        <x:v>0</x:v>
      </x:c>
      <x:c r="X1749" s="26" t="n">
        <x:f>IF(U1749="Open","",IFERROR(K1749-B1749,""))</x:f>
        <x:v>35</x:v>
      </x:c>
      <x:c r="Y1749" s="26" t="n">
        <x:f>IF(U1749="Open",Lookups!$B$2-B1749,X1749)</x:f>
        <x:v>35</x:v>
      </x:c>
      <x:c r="Z1749" t="str">
        <x:f>IF(AND(U1749="Open",Y1749&gt;30),"STALE","OK")</x:f>
        <x:v>OK</x:v>
      </x:c>
      <x:c r="AA1749" t="str">
        <x:f>TEXT(B1749,"yyyy-mm")</x:f>
        <x:v>2025-06</x:v>
      </x:c>
      <x:c r="AB1749" t="str">
        <x:f>IF(K1749="","",TEXT(K1749,"yyyy-mm"))</x:f>
        <x:v>2025-07</x:v>
      </x:c>
      <x:c r="AC1749" t="str">
        <x:f>"Q"&amp;ROUNDUP(MONTH(B1749)/3,0)&amp;"-"&amp;YEAR(B1749)</x:f>
        <x:v>Q2-2025</x:v>
      </x:c>
      <x:c r="AD1749" s="26" t="n">
        <x:f>MIN(100,IF(H1749="Enterprise",30,IF(H1749="Mid-Market",22,14))+IF(T1749="Enterprise",25,IF(T1749="Mid-Market",18,10))+IF(Q1749="Referral",25,IF(Q1749="Organic Search",20,IF(Q1749="Email",18,14)))+IF(G1749="Technology",10,5))</x:f>
        <x:v>74</x:v>
      </x:c>
      <x:c r="AE1749" t="str">
        <x:f>IF(U1749&lt;&gt;"Open",U1749,IF(N1749&gt;=0.8,"Commit",IF(N1749&gt;=0.5,"Best Case","Pipeline")))</x:f>
        <x:v>Lost</x:v>
      </x:c>
    </x:row>
    <x:row r="1750">
      <x:c r="A1750" t="str">
        <x:v>L01749</x:v>
      </x:c>
      <x:c r="B1750" s="10" t="n">
        <x:v>46089</x:v>
      </x:c>
      <x:c r="C1750" t="str">
        <x:v>An Nguyen</x:v>
      </x:c>
      <x:c r="D1750" t="str">
        <x:v>South</x:v>
      </x:c>
      <x:c r="E1750" t="str">
        <x:v>google cpc</x:v>
      </x:c>
      <x:c r="F1750" t="str">
        <x:v>BI-PLUS</x:v>
      </x:c>
      <x:c r="G1750" t="str">
        <x:v>Manufacturing</x:v>
      </x:c>
      <x:c r="H1750" t="str">
        <x:v>Mid-Market</x:v>
      </x:c>
      <x:c r="I1750" t="str">
        <x:v>Closed Lost</x:v>
      </x:c>
      <x:c r="J1750" s="10" t="n">
        <x:v>46149</x:v>
      </x:c>
      <x:c r="K1750" s="10" t="n">
        <x:v>46149</x:v>
      </x:c>
      <x:c r="L1750" s="22" t="n">
        <x:v>44600</x:v>
      </x:c>
      <x:c r="M1750" s="24" t="n">
        <x:v>0</x:v>
      </x:c>
      <x:c r="N1750" s="24" t="n">
        <x:v>0</x:v>
      </x:c>
      <x:c r="O1750" t="str">
        <x:v>No Decision</x:v>
      </x:c>
      <x:c r="P1750" t="n">
        <x:v>3</x:v>
      </x:c>
      <x:c r="Q1750" t="str">
        <x:f>IFERROR(XLOOKUP(E1750,Lookups!$A$5:$A$24,Lookups!$B$5:$B$24),"Other")</x:f>
        <x:v>Paid Search</x:v>
      </x:c>
      <x:c r="R1750" t="str">
        <x:f>IFERROR(XLOOKUP(F1750,Lookups!$D$5:$D$10,Lookups!$E$5:$E$10),"Unknown Product")</x:f>
        <x:v>Analytics Plus</x:v>
      </x:c>
      <x:c r="S1750" t="str">
        <x:f>IFERROR(XLOOKUP(F1750,Lookups!$D$5:$D$10,Lookups!$F$5:$F$10),"Unknown")</x:f>
        <x:v>Analytics</x:v>
      </x:c>
      <x:c r="T1750" t="str">
        <x:f>IF(L1750&gt;=50000,"Enterprise",IF(L1750&gt;=20000,"Mid-Market","SMB"))</x:f>
        <x:v>Mid-Market</x:v>
      </x:c>
      <x:c r="U1750" t="str">
        <x:f>IF(I1750="Closed Won","Won",IF(I1750="Closed Lost","Lost","Open"))</x:f>
        <x:v>Lost</x:v>
      </x:c>
      <x:c r="V1750" s="22" t="n">
        <x:f>IF(U1750="Won",L1750*(1-M1750),0)</x:f>
        <x:v>0</x:v>
      </x:c>
      <x:c r="W1750" s="22" t="n">
        <x:f>IF(U1750="Open",L1750*N1750,0)</x:f>
        <x:v>0</x:v>
      </x:c>
      <x:c r="X1750" s="26" t="n">
        <x:f>IF(U1750="Open","",IFERROR(K1750-B1750,""))</x:f>
        <x:v>60</x:v>
      </x:c>
      <x:c r="Y1750" s="26" t="n">
        <x:f>IF(U1750="Open",Lookups!$B$2-B1750,X1750)</x:f>
        <x:v>60</x:v>
      </x:c>
      <x:c r="Z1750" t="str">
        <x:f>IF(AND(U1750="Open",Y1750&gt;30),"STALE","OK")</x:f>
        <x:v>OK</x:v>
      </x:c>
      <x:c r="AA1750" t="str">
        <x:f>TEXT(B1750,"yyyy-mm")</x:f>
        <x:v>2026-03</x:v>
      </x:c>
      <x:c r="AB1750" t="str">
        <x:f>IF(K1750="","",TEXT(K1750,"yyyy-mm"))</x:f>
        <x:v>2026-05</x:v>
      </x:c>
      <x:c r="AC1750" t="str">
        <x:f>"Q"&amp;ROUNDUP(MONTH(B1750)/3,0)&amp;"-"&amp;YEAR(B1750)</x:f>
        <x:v>Q1-2026</x:v>
      </x:c>
      <x:c r="AD1750" s="26" t="n">
        <x:f>MIN(100,IF(H1750="Enterprise",30,IF(H1750="Mid-Market",22,14))+IF(T1750="Enterprise",25,IF(T1750="Mid-Market",18,10))+IF(Q1750="Referral",25,IF(Q1750="Organic Search",20,IF(Q1750="Email",18,14)))+IF(G1750="Technology",10,5))</x:f>
        <x:v>59</x:v>
      </x:c>
      <x:c r="AE1750" t="str">
        <x:f>IF(U1750&lt;&gt;"Open",U1750,IF(N1750&gt;=0.8,"Commit",IF(N1750&gt;=0.5,"Best Case","Pipeline")))</x:f>
        <x:v>Lost</x:v>
      </x:c>
    </x:row>
    <x:row r="1751">
      <x:c r="A1751" t="str">
        <x:v>L01750</x:v>
      </x:c>
      <x:c r="B1751" s="10" t="n">
        <x:v>46226</x:v>
      </x:c>
      <x:c r="C1751" t="str">
        <x:v>Duy Pham</x:v>
      </x:c>
      <x:c r="D1751" t="str">
        <x:v>South</x:v>
      </x:c>
      <x:c r="E1751" t="str">
        <x:v>customer referral</x:v>
      </x:c>
      <x:c r="F1751" t="str">
        <x:v>MKT-AUTO</x:v>
      </x:c>
      <x:c r="G1751" t="str">
        <x:v>Healthcare</x:v>
      </x:c>
      <x:c r="H1751" t="str">
        <x:v>SMB</x:v>
      </x:c>
      <x:c r="I1751" t="str">
        <x:v>Closed Lost</x:v>
      </x:c>
      <x:c r="J1751" s="10" t="n">
        <x:v>46266</x:v>
      </x:c>
      <x:c r="K1751" s="10" t="n">
        <x:v>46266</x:v>
      </x:c>
      <x:c r="L1751" s="22" t="n">
        <x:v>9000</x:v>
      </x:c>
      <x:c r="M1751" s="24" t="n">
        <x:v>0</x:v>
      </x:c>
      <x:c r="N1751" s="24" t="n">
        <x:v>0</x:v>
      </x:c>
      <x:c r="O1751" t="str">
        <x:v>Budget</x:v>
      </x:c>
      <x:c r="P1751" t="n">
        <x:v>2</x:v>
      </x:c>
      <x:c r="Q1751" t="str">
        <x:f>IFERROR(XLOOKUP(E1751,Lookups!$A$5:$A$24,Lookups!$B$5:$B$24),"Other")</x:f>
        <x:v>Referral</x:v>
      </x:c>
      <x:c r="R1751" t="str">
        <x:f>IFERROR(XLOOKUP(F1751,Lookups!$D$5:$D$10,Lookups!$E$5:$E$10),"Unknown Product")</x:f>
        <x:v>Marketing Automation</x:v>
      </x:c>
      <x:c r="S1751" t="str">
        <x:f>IFERROR(XLOOKUP(F1751,Lookups!$D$5:$D$10,Lookups!$F$5:$F$10),"Unknown")</x:f>
        <x:v>Marketing</x:v>
      </x:c>
      <x:c r="T1751" t="str">
        <x:f>IF(L1751&gt;=50000,"Enterprise",IF(L1751&gt;=20000,"Mid-Market","SMB"))</x:f>
        <x:v>SMB</x:v>
      </x:c>
      <x:c r="U1751" t="str">
        <x:f>IF(I1751="Closed Won","Won",IF(I1751="Closed Lost","Lost","Open"))</x:f>
        <x:v>Lost</x:v>
      </x:c>
      <x:c r="V1751" s="22" t="n">
        <x:f>IF(U1751="Won",L1751*(1-M1751),0)</x:f>
        <x:v>0</x:v>
      </x:c>
      <x:c r="W1751" s="22" t="n">
        <x:f>IF(U1751="Open",L1751*N1751,0)</x:f>
        <x:v>0</x:v>
      </x:c>
      <x:c r="X1751" s="26" t="n">
        <x:f>IF(U1751="Open","",IFERROR(K1751-B1751,""))</x:f>
        <x:v>40</x:v>
      </x:c>
      <x:c r="Y1751" s="26" t="n">
        <x:f>IF(U1751="Open",Lookups!$B$2-B1751,X1751)</x:f>
        <x:v>40</x:v>
      </x:c>
      <x:c r="Z1751" t="str">
        <x:f>IF(AND(U1751="Open",Y1751&gt;30),"STALE","OK")</x:f>
        <x:v>OK</x:v>
      </x:c>
      <x:c r="AA1751" t="str">
        <x:f>TEXT(B1751,"yyyy-mm")</x:f>
        <x:v>2026-07</x:v>
      </x:c>
      <x:c r="AB1751" t="str">
        <x:f>IF(K1751="","",TEXT(K1751,"yyyy-mm"))</x:f>
        <x:v>2026-09</x:v>
      </x:c>
      <x:c r="AC1751" t="str">
        <x:f>"Q"&amp;ROUNDUP(MONTH(B1751)/3,0)&amp;"-"&amp;YEAR(B1751)</x:f>
        <x:v>Q3-2026</x:v>
      </x:c>
      <x:c r="AD1751" s="26" t="n">
        <x:f>MIN(100,IF(H1751="Enterprise",30,IF(H1751="Mid-Market",22,14))+IF(T1751="Enterprise",25,IF(T1751="Mid-Market",18,10))+IF(Q1751="Referral",25,IF(Q1751="Organic Search",20,IF(Q1751="Email",18,14)))+IF(G1751="Technology",10,5))</x:f>
        <x:v>54</x:v>
      </x:c>
      <x:c r="AE1751" t="str">
        <x:f>IF(U1751&lt;&gt;"Open",U1751,IF(N1751&gt;=0.8,"Commit",IF(N1751&gt;=0.5,"Best Case","Pipeline")))</x:f>
        <x:v>Lost</x:v>
      </x:c>
    </x:row>
    <x:row r="1752">
      <x:c r="A1752" t="str">
        <x:v>L01751</x:v>
      </x:c>
      <x:c r="B1752" s="10" t="n">
        <x:v>46234</x:v>
      </x:c>
      <x:c r="C1752" t="str">
        <x:v>Minh Do</x:v>
      </x:c>
      <x:c r="D1752" t="str">
        <x:v>North</x:v>
      </x:c>
      <x:c r="E1752" t="str">
        <x:v>email nurture</x:v>
      </x:c>
      <x:c r="F1752" t="str">
        <x:v>CRM-CORE</x:v>
      </x:c>
      <x:c r="G1752" t="str">
        <x:v>Manufacturing</x:v>
      </x:c>
      <x:c r="H1752" t="str">
        <x:v>Mid-Market</x:v>
      </x:c>
      <x:c r="I1752" t="str">
        <x:v>Closed Lost</x:v>
      </x:c>
      <x:c r="J1752" s="10" t="n">
        <x:v>46266</x:v>
      </x:c>
      <x:c r="K1752" s="10" t="n">
        <x:v>46266</x:v>
      </x:c>
      <x:c r="L1752" s="22" t="n">
        <x:v>17600</x:v>
      </x:c>
      <x:c r="M1752" s="24" t="n">
        <x:v>0</x:v>
      </x:c>
      <x:c r="N1752" s="24" t="n">
        <x:v>0</x:v>
      </x:c>
      <x:c r="O1752" t="str">
        <x:v>Price</x:v>
      </x:c>
      <x:c r="P1752" t="n">
        <x:v>3</x:v>
      </x:c>
      <x:c r="Q1752" t="str">
        <x:f>IFERROR(XLOOKUP(E1752,Lookups!$A$5:$A$24,Lookups!$B$5:$B$24),"Other")</x:f>
        <x:v>Email</x:v>
      </x:c>
      <x:c r="R1752" t="str">
        <x:f>IFERROR(XLOOKUP(F1752,Lookups!$D$5:$D$10,Lookups!$E$5:$E$10),"Unknown Product")</x:f>
        <x:v>NexaCRM Core</x:v>
      </x:c>
      <x:c r="S1752" t="str">
        <x:f>IFERROR(XLOOKUP(F1752,Lookups!$D$5:$D$10,Lookups!$F$5:$F$10),"Unknown")</x:f>
        <x:v>CRM</x:v>
      </x:c>
      <x:c r="T1752" t="str">
        <x:f>IF(L1752&gt;=50000,"Enterprise",IF(L1752&gt;=20000,"Mid-Market","SMB"))</x:f>
        <x:v>SMB</x:v>
      </x:c>
      <x:c r="U1752" t="str">
        <x:f>IF(I1752="Closed Won","Won",IF(I1752="Closed Lost","Lost","Open"))</x:f>
        <x:v>Lost</x:v>
      </x:c>
      <x:c r="V1752" s="22" t="n">
        <x:f>IF(U1752="Won",L1752*(1-M1752),0)</x:f>
        <x:v>0</x:v>
      </x:c>
      <x:c r="W1752" s="22" t="n">
        <x:f>IF(U1752="Open",L1752*N1752,0)</x:f>
        <x:v>0</x:v>
      </x:c>
      <x:c r="X1752" s="26" t="n">
        <x:f>IF(U1752="Open","",IFERROR(K1752-B1752,""))</x:f>
        <x:v>32</x:v>
      </x:c>
      <x:c r="Y1752" s="26" t="n">
        <x:f>IF(U1752="Open",Lookups!$B$2-B1752,X1752)</x:f>
        <x:v>32</x:v>
      </x:c>
      <x:c r="Z1752" t="str">
        <x:f>IF(AND(U1752="Open",Y1752&gt;30),"STALE","OK")</x:f>
        <x:v>OK</x:v>
      </x:c>
      <x:c r="AA1752" t="str">
        <x:f>TEXT(B1752,"yyyy-mm")</x:f>
        <x:v>2026-07</x:v>
      </x:c>
      <x:c r="AB1752" t="str">
        <x:f>IF(K1752="","",TEXT(K1752,"yyyy-mm"))</x:f>
        <x:v>2026-09</x:v>
      </x:c>
      <x:c r="AC1752" t="str">
        <x:f>"Q"&amp;ROUNDUP(MONTH(B1752)/3,0)&amp;"-"&amp;YEAR(B1752)</x:f>
        <x:v>Q3-2026</x:v>
      </x:c>
      <x:c r="AD1752" s="26" t="n">
        <x:f>MIN(100,IF(H1752="Enterprise",30,IF(H1752="Mid-Market",22,14))+IF(T1752="Enterprise",25,IF(T1752="Mid-Market",18,10))+IF(Q1752="Referral",25,IF(Q1752="Organic Search",20,IF(Q1752="Email",18,14)))+IF(G1752="Technology",10,5))</x:f>
        <x:v>55</x:v>
      </x:c>
      <x:c r="AE1752" t="str">
        <x:f>IF(U1752&lt;&gt;"Open",U1752,IF(N1752&gt;=0.8,"Commit",IF(N1752&gt;=0.5,"Best Case","Pipeline")))</x:f>
        <x:v>Lost</x:v>
      </x:c>
    </x:row>
    <x:row r="1753">
      <x:c r="A1753" t="str">
        <x:v>L01752</x:v>
      </x:c>
      <x:c r="B1753" s="10" t="n">
        <x:v>46002</x:v>
      </x:c>
      <x:c r="C1753" t="str">
        <x:v>Ha Vo</x:v>
      </x:c>
      <x:c r="D1753" t="str">
        <x:v>North</x:v>
      </x:c>
      <x:c r="E1753" t="str">
        <x:v>Google Ads</x:v>
      </x:c>
      <x:c r="F1753" t="str">
        <x:v>MKT-AUTO</x:v>
      </x:c>
      <x:c r="G1753" t="str">
        <x:v>Professional Services</x:v>
      </x:c>
      <x:c r="H1753" t="str">
        <x:v>SMB</x:v>
      </x:c>
      <x:c r="I1753" t="str">
        <x:v>Closed Lost</x:v>
      </x:c>
      <x:c r="J1753" s="10" t="n">
        <x:v>46049</x:v>
      </x:c>
      <x:c r="K1753" s="10" t="n">
        <x:v>46049</x:v>
      </x:c>
      <x:c r="L1753" s="22" t="n">
        <x:v>19000</x:v>
      </x:c>
      <x:c r="M1753" s="24" t="n">
        <x:v>0</x:v>
      </x:c>
      <x:c r="N1753" s="24" t="n">
        <x:v>0</x:v>
      </x:c>
      <x:c r="O1753" t="str">
        <x:v>Price</x:v>
      </x:c>
      <x:c r="P1753" t="n">
        <x:v>4</x:v>
      </x:c>
      <x:c r="Q1753" t="str">
        <x:f>IFERROR(XLOOKUP(E1753,Lookups!$A$5:$A$24,Lookups!$B$5:$B$24),"Other")</x:f>
        <x:v>Paid Search</x:v>
      </x:c>
      <x:c r="R1753" t="str">
        <x:f>IFERROR(XLOOKUP(F1753,Lookups!$D$5:$D$10,Lookups!$E$5:$E$10),"Unknown Product")</x:f>
        <x:v>Marketing Automation</x:v>
      </x:c>
      <x:c r="S1753" t="str">
        <x:f>IFERROR(XLOOKUP(F1753,Lookups!$D$5:$D$10,Lookups!$F$5:$F$10),"Unknown")</x:f>
        <x:v>Marketing</x:v>
      </x:c>
      <x:c r="T1753" t="str">
        <x:f>IF(L1753&gt;=50000,"Enterprise",IF(L1753&gt;=20000,"Mid-Market","SMB"))</x:f>
        <x:v>SMB</x:v>
      </x:c>
      <x:c r="U1753" t="str">
        <x:f>IF(I1753="Closed Won","Won",IF(I1753="Closed Lost","Lost","Open"))</x:f>
        <x:v>Lost</x:v>
      </x:c>
      <x:c r="V1753" s="22" t="n">
        <x:f>IF(U1753="Won",L1753*(1-M1753),0)</x:f>
        <x:v>0</x:v>
      </x:c>
      <x:c r="W1753" s="22" t="n">
        <x:f>IF(U1753="Open",L1753*N1753,0)</x:f>
        <x:v>0</x:v>
      </x:c>
      <x:c r="X1753" s="26" t="n">
        <x:f>IF(U1753="Open","",IFERROR(K1753-B1753,""))</x:f>
        <x:v>47</x:v>
      </x:c>
      <x:c r="Y1753" s="26" t="n">
        <x:f>IF(U1753="Open",Lookups!$B$2-B1753,X1753)</x:f>
        <x:v>47</x:v>
      </x:c>
      <x:c r="Z1753" t="str">
        <x:f>IF(AND(U1753="Open",Y1753&gt;30),"STALE","OK")</x:f>
        <x:v>OK</x:v>
      </x:c>
      <x:c r="AA1753" t="str">
        <x:f>TEXT(B1753,"yyyy-mm")</x:f>
        <x:v>2025-12</x:v>
      </x:c>
      <x:c r="AB1753" t="str">
        <x:f>IF(K1753="","",TEXT(K1753,"yyyy-mm"))</x:f>
        <x:v>2026-01</x:v>
      </x:c>
      <x:c r="AC1753" t="str">
        <x:f>"Q"&amp;ROUNDUP(MONTH(B1753)/3,0)&amp;"-"&amp;YEAR(B1753)</x:f>
        <x:v>Q4-2025</x:v>
      </x:c>
      <x:c r="AD1753" s="26" t="n">
        <x:f>MIN(100,IF(H1753="Enterprise",30,IF(H1753="Mid-Market",22,14))+IF(T1753="Enterprise",25,IF(T1753="Mid-Market",18,10))+IF(Q1753="Referral",25,IF(Q1753="Organic Search",20,IF(Q1753="Email",18,14)))+IF(G1753="Technology",10,5))</x:f>
        <x:v>43</x:v>
      </x:c>
      <x:c r="AE1753" t="str">
        <x:f>IF(U1753&lt;&gt;"Open",U1753,IF(N1753&gt;=0.8,"Commit",IF(N1753&gt;=0.5,"Best Case","Pipeline")))</x:f>
        <x:v>Lost</x:v>
      </x:c>
    </x:row>
    <x:row r="1754">
      <x:c r="A1754" t="str">
        <x:v>L01753</x:v>
      </x:c>
      <x:c r="B1754" s="10" t="n">
        <x:v>46079</x:v>
      </x:c>
      <x:c r="C1754" t="str">
        <x:v>Ha Vo</x:v>
      </x:c>
      <x:c r="D1754" t="str">
        <x:v>North</x:v>
      </x:c>
      <x:c r="E1754" t="str">
        <x:v>organic search</x:v>
      </x:c>
      <x:c r="F1754" t="str">
        <x:v>MKT-AUTO</x:v>
      </x:c>
      <x:c r="G1754" t="str">
        <x:v>Financial Services</x:v>
      </x:c>
      <x:c r="H1754" t="str">
        <x:v>SMB</x:v>
      </x:c>
      <x:c r="I1754" t="str">
        <x:v>Closed Lost</x:v>
      </x:c>
      <x:c r="J1754" s="10" t="n">
        <x:v>46128</x:v>
      </x:c>
      <x:c r="K1754" s="10" t="n">
        <x:v>46128</x:v>
      </x:c>
      <x:c r="L1754" s="22" t="n">
        <x:v>20300</x:v>
      </x:c>
      <x:c r="M1754" s="24" t="n">
        <x:v>0</x:v>
      </x:c>
      <x:c r="N1754" s="24" t="n">
        <x:v>0</x:v>
      </x:c>
      <x:c r="O1754" t="str">
        <x:v>Timing</x:v>
      </x:c>
      <x:c r="P1754" t="n">
        <x:v>4</x:v>
      </x:c>
      <x:c r="Q1754" t="str">
        <x:f>IFERROR(XLOOKUP(E1754,Lookups!$A$5:$A$24,Lookups!$B$5:$B$24),"Other")</x:f>
        <x:v>Organic Search</x:v>
      </x:c>
      <x:c r="R1754" t="str">
        <x:f>IFERROR(XLOOKUP(F1754,Lookups!$D$5:$D$10,Lookups!$E$5:$E$10),"Unknown Product")</x:f>
        <x:v>Marketing Automation</x:v>
      </x:c>
      <x:c r="S1754" t="str">
        <x:f>IFERROR(XLOOKUP(F1754,Lookups!$D$5:$D$10,Lookups!$F$5:$F$10),"Unknown")</x:f>
        <x:v>Marketing</x:v>
      </x:c>
      <x:c r="T1754" t="str">
        <x:f>IF(L1754&gt;=50000,"Enterprise",IF(L1754&gt;=20000,"Mid-Market","SMB"))</x:f>
        <x:v>Mid-Market</x:v>
      </x:c>
      <x:c r="U1754" t="str">
        <x:f>IF(I1754="Closed Won","Won",IF(I1754="Closed Lost","Lost","Open"))</x:f>
        <x:v>Lost</x:v>
      </x:c>
      <x:c r="V1754" s="22" t="n">
        <x:f>IF(U1754="Won",L1754*(1-M1754),0)</x:f>
        <x:v>0</x:v>
      </x:c>
      <x:c r="W1754" s="22" t="n">
        <x:f>IF(U1754="Open",L1754*N1754,0)</x:f>
        <x:v>0</x:v>
      </x:c>
      <x:c r="X1754" s="26" t="n">
        <x:f>IF(U1754="Open","",IFERROR(K1754-B1754,""))</x:f>
        <x:v>49</x:v>
      </x:c>
      <x:c r="Y1754" s="26" t="n">
        <x:f>IF(U1754="Open",Lookups!$B$2-B1754,X1754)</x:f>
        <x:v>49</x:v>
      </x:c>
      <x:c r="Z1754" t="str">
        <x:f>IF(AND(U1754="Open",Y1754&gt;30),"STALE","OK")</x:f>
        <x:v>OK</x:v>
      </x:c>
      <x:c r="AA1754" t="str">
        <x:f>TEXT(B1754,"yyyy-mm")</x:f>
        <x:v>2026-02</x:v>
      </x:c>
      <x:c r="AB1754" t="str">
        <x:f>IF(K1754="","",TEXT(K1754,"yyyy-mm"))</x:f>
        <x:v>2026-04</x:v>
      </x:c>
      <x:c r="AC1754" t="str">
        <x:f>"Q"&amp;ROUNDUP(MONTH(B1754)/3,0)&amp;"-"&amp;YEAR(B1754)</x:f>
        <x:v>Q1-2026</x:v>
      </x:c>
      <x:c r="AD1754" s="26" t="n">
        <x:f>MIN(100,IF(H1754="Enterprise",30,IF(H1754="Mid-Market",22,14))+IF(T1754="Enterprise",25,IF(T1754="Mid-Market",18,10))+IF(Q1754="Referral",25,IF(Q1754="Organic Search",20,IF(Q1754="Email",18,14)))+IF(G1754="Technology",10,5))</x:f>
        <x:v>57</x:v>
      </x:c>
      <x:c r="AE1754" t="str">
        <x:f>IF(U1754&lt;&gt;"Open",U1754,IF(N1754&gt;=0.8,"Commit",IF(N1754&gt;=0.5,"Best Case","Pipeline")))</x:f>
        <x:v>Lost</x:v>
      </x:c>
    </x:row>
    <x:row r="1755">
      <x:c r="A1755" t="str">
        <x:v>L01754</x:v>
      </x:c>
      <x:c r="B1755" s="10" t="n">
        <x:v>45930</x:v>
      </x:c>
      <x:c r="C1755" t="str">
        <x:v>An Nguyen</x:v>
      </x:c>
      <x:c r="D1755" t="str">
        <x:v>South</x:v>
      </x:c>
      <x:c r="E1755" t="str">
        <x:v>Google Organic</x:v>
      </x:c>
      <x:c r="F1755" t="str">
        <x:v>CRM-PRO</x:v>
      </x:c>
      <x:c r="G1755" t="str">
        <x:v>Professional Services</x:v>
      </x:c>
      <x:c r="H1755" t="str">
        <x:v>SMB</x:v>
      </x:c>
      <x:c r="I1755" t="str">
        <x:v>Closed Lost</x:v>
      </x:c>
      <x:c r="J1755" s="10" t="n">
        <x:v>45980</x:v>
      </x:c>
      <x:c r="K1755" s="10" t="n">
        <x:v>45980</x:v>
      </x:c>
      <x:c r="L1755" s="22" t="n">
        <x:v>24500</x:v>
      </x:c>
      <x:c r="M1755" s="24" t="n">
        <x:v>0</x:v>
      </x:c>
      <x:c r="N1755" s="24" t="n">
        <x:v>0</x:v>
      </x:c>
      <x:c r="O1755" t="str">
        <x:v>No Decision</x:v>
      </x:c>
      <x:c r="P1755" t="n">
        <x:v>4</x:v>
      </x:c>
      <x:c r="Q1755" t="str">
        <x:f>IFERROR(XLOOKUP(E1755,Lookups!$A$5:$A$24,Lookups!$B$5:$B$24),"Other")</x:f>
        <x:v>Organic Search</x:v>
      </x:c>
      <x:c r="R1755" t="str">
        <x:f>IFERROR(XLOOKUP(F1755,Lookups!$D$5:$D$10,Lookups!$E$5:$E$10),"Unknown Product")</x:f>
        <x:v>NexaCRM Pro</x:v>
      </x:c>
      <x:c r="S1755" t="str">
        <x:f>IFERROR(XLOOKUP(F1755,Lookups!$D$5:$D$10,Lookups!$F$5:$F$10),"Unknown")</x:f>
        <x:v>CRM</x:v>
      </x:c>
      <x:c r="T1755" t="str">
        <x:f>IF(L1755&gt;=50000,"Enterprise",IF(L1755&gt;=20000,"Mid-Market","SMB"))</x:f>
        <x:v>Mid-Market</x:v>
      </x:c>
      <x:c r="U1755" t="str">
        <x:f>IF(I1755="Closed Won","Won",IF(I1755="Closed Lost","Lost","Open"))</x:f>
        <x:v>Lost</x:v>
      </x:c>
      <x:c r="V1755" s="22" t="n">
        <x:f>IF(U1755="Won",L1755*(1-M1755),0)</x:f>
        <x:v>0</x:v>
      </x:c>
      <x:c r="W1755" s="22" t="n">
        <x:f>IF(U1755="Open",L1755*N1755,0)</x:f>
        <x:v>0</x:v>
      </x:c>
      <x:c r="X1755" s="26" t="n">
        <x:f>IF(U1755="Open","",IFERROR(K1755-B1755,""))</x:f>
        <x:v>50</x:v>
      </x:c>
      <x:c r="Y1755" s="26" t="n">
        <x:f>IF(U1755="Open",Lookups!$B$2-B1755,X1755)</x:f>
        <x:v>50</x:v>
      </x:c>
      <x:c r="Z1755" t="str">
        <x:f>IF(AND(U1755="Open",Y1755&gt;30),"STALE","OK")</x:f>
        <x:v>OK</x:v>
      </x:c>
      <x:c r="AA1755" t="str">
        <x:f>TEXT(B1755,"yyyy-mm")</x:f>
        <x:v>2025-09</x:v>
      </x:c>
      <x:c r="AB1755" t="str">
        <x:f>IF(K1755="","",TEXT(K1755,"yyyy-mm"))</x:f>
        <x:v>2025-11</x:v>
      </x:c>
      <x:c r="AC1755" t="str">
        <x:f>"Q"&amp;ROUNDUP(MONTH(B1755)/3,0)&amp;"-"&amp;YEAR(B1755)</x:f>
        <x:v>Q3-2025</x:v>
      </x:c>
      <x:c r="AD1755" s="26" t="n">
        <x:f>MIN(100,IF(H1755="Enterprise",30,IF(H1755="Mid-Market",22,14))+IF(T1755="Enterprise",25,IF(T1755="Mid-Market",18,10))+IF(Q1755="Referral",25,IF(Q1755="Organic Search",20,IF(Q1755="Email",18,14)))+IF(G1755="Technology",10,5))</x:f>
        <x:v>57</x:v>
      </x:c>
      <x:c r="AE1755" t="str">
        <x:f>IF(U1755&lt;&gt;"Open",U1755,IF(N1755&gt;=0.8,"Commit",IF(N1755&gt;=0.5,"Best Case","Pipeline")))</x:f>
        <x:v>Lost</x:v>
      </x:c>
    </x:row>
    <x:row r="1756">
      <x:c r="A1756" t="str">
        <x:v>L01755</x:v>
      </x:c>
      <x:c r="B1756" s="10" t="n">
        <x:v>45668</x:v>
      </x:c>
      <x:c r="C1756" t="str">
        <x:v>Chi Le</x:v>
      </x:c>
      <x:c r="D1756" t="str">
        <x:v>South</x:v>
      </x:c>
      <x:c r="E1756" t="str">
        <x:v>Conference Scan</x:v>
      </x:c>
      <x:c r="F1756" t="str">
        <x:v>REV-OPS</x:v>
      </x:c>
      <x:c r="G1756" t="str">
        <x:v>Manufacturing</x:v>
      </x:c>
      <x:c r="H1756" t="str">
        <x:v>SMB</x:v>
      </x:c>
      <x:c r="I1756" t="str">
        <x:v>Closed Lost</x:v>
      </x:c>
      <x:c r="J1756" s="10" t="n">
        <x:v>45708</x:v>
      </x:c>
      <x:c r="K1756" s="10" t="n">
        <x:v>45708</x:v>
      </x:c>
      <x:c r="L1756" s="22" t="n">
        <x:v>36300</x:v>
      </x:c>
      <x:c r="M1756" s="24" t="n">
        <x:v>0</x:v>
      </x:c>
      <x:c r="N1756" s="24" t="n">
        <x:v>0</x:v>
      </x:c>
      <x:c r="O1756" t="str">
        <x:v>Price</x:v>
      </x:c>
      <x:c r="P1756" t="n">
        <x:v>3</x:v>
      </x:c>
      <x:c r="Q1756" t="str">
        <x:f>IFERROR(XLOOKUP(E1756,Lookups!$A$5:$A$24,Lookups!$B$5:$B$24),"Other")</x:f>
        <x:v>Other</x:v>
      </x:c>
      <x:c r="R1756" t="str">
        <x:f>IFERROR(XLOOKUP(F1756,Lookups!$D$5:$D$10,Lookups!$E$5:$E$10),"Unknown Product")</x:f>
        <x:v>Revenue Operations Suite</x:v>
      </x:c>
      <x:c r="S1756" t="str">
        <x:f>IFERROR(XLOOKUP(F1756,Lookups!$D$5:$D$10,Lookups!$F$5:$F$10),"Unknown")</x:f>
        <x:v>Revenue Ops</x:v>
      </x:c>
      <x:c r="T1756" t="str">
        <x:f>IF(L1756&gt;=50000,"Enterprise",IF(L1756&gt;=20000,"Mid-Market","SMB"))</x:f>
        <x:v>Mid-Market</x:v>
      </x:c>
      <x:c r="U1756" t="str">
        <x:f>IF(I1756="Closed Won","Won",IF(I1756="Closed Lost","Lost","Open"))</x:f>
        <x:v>Lost</x:v>
      </x:c>
      <x:c r="V1756" s="22" t="n">
        <x:f>IF(U1756="Won",L1756*(1-M1756),0)</x:f>
        <x:v>0</x:v>
      </x:c>
      <x:c r="W1756" s="22" t="n">
        <x:f>IF(U1756="Open",L1756*N1756,0)</x:f>
        <x:v>0</x:v>
      </x:c>
      <x:c r="X1756" s="26" t="n">
        <x:f>IF(U1756="Open","",IFERROR(K1756-B1756,""))</x:f>
        <x:v>40</x:v>
      </x:c>
      <x:c r="Y1756" s="26" t="n">
        <x:f>IF(U1756="Open",Lookups!$B$2-B1756,X1756)</x:f>
        <x:v>40</x:v>
      </x:c>
      <x:c r="Z1756" t="str">
        <x:f>IF(AND(U1756="Open",Y1756&gt;30),"STALE","OK")</x:f>
        <x:v>OK</x:v>
      </x:c>
      <x:c r="AA1756" t="str">
        <x:f>TEXT(B1756,"yyyy-mm")</x:f>
        <x:v>2025-01</x:v>
      </x:c>
      <x:c r="AB1756" t="str">
        <x:f>IF(K1756="","",TEXT(K1756,"yyyy-mm"))</x:f>
        <x:v>2025-02</x:v>
      </x:c>
      <x:c r="AC1756" t="str">
        <x:f>"Q"&amp;ROUNDUP(MONTH(B1756)/3,0)&amp;"-"&amp;YEAR(B1756)</x:f>
        <x:v>Q1-2025</x:v>
      </x:c>
      <x:c r="AD1756" s="26" t="n">
        <x:f>MIN(100,IF(H1756="Enterprise",30,IF(H1756="Mid-Market",22,14))+IF(T1756="Enterprise",25,IF(T1756="Mid-Market",18,10))+IF(Q1756="Referral",25,IF(Q1756="Organic Search",20,IF(Q1756="Email",18,14)))+IF(G1756="Technology",10,5))</x:f>
        <x:v>51</x:v>
      </x:c>
      <x:c r="AE1756" t="str">
        <x:f>IF(U1756&lt;&gt;"Open",U1756,IF(N1756&gt;=0.8,"Commit",IF(N1756&gt;=0.5,"Best Case","Pipeline")))</x:f>
        <x:v>Lost</x:v>
      </x:c>
    </x:row>
    <x:row r="1757">
      <x:c r="A1757" t="str">
        <x:v>L01756</x:v>
      </x:c>
      <x:c r="B1757" s="10" t="n">
        <x:v>45934</x:v>
      </x:c>
      <x:c r="C1757" t="str">
        <x:v>Bao Tran</x:v>
      </x:c>
      <x:c r="D1757" t="str">
        <x:v>South</x:v>
      </x:c>
      <x:c r="E1757" t="str">
        <x:v>SEO</x:v>
      </x:c>
      <x:c r="F1757" t="str">
        <x:v>CRM-PRO</x:v>
      </x:c>
      <x:c r="G1757" t="str">
        <x:v>Retail</x:v>
      </x:c>
      <x:c r="H1757" t="str">
        <x:v>SMB</x:v>
      </x:c>
      <x:c r="I1757" t="str">
        <x:v>Closed Lost</x:v>
      </x:c>
      <x:c r="J1757" s="10" t="n">
        <x:v>45976</x:v>
      </x:c>
      <x:c r="K1757" s="10" t="n">
        <x:v>45976</x:v>
      </x:c>
      <x:c r="L1757" s="22" t="n">
        <x:v>12800</x:v>
      </x:c>
      <x:c r="M1757" s="24" t="n">
        <x:v>0</x:v>
      </x:c>
      <x:c r="N1757" s="24" t="n">
        <x:v>0</x:v>
      </x:c>
      <x:c r="O1757" t="str">
        <x:v>Feature Gap</x:v>
      </x:c>
      <x:c r="P1757" t="n">
        <x:v>4</x:v>
      </x:c>
      <x:c r="Q1757" t="str">
        <x:f>IFERROR(XLOOKUP(E1757,Lookups!$A$5:$A$24,Lookups!$B$5:$B$24),"Other")</x:f>
        <x:v>Organic Search</x:v>
      </x:c>
      <x:c r="R1757" t="str">
        <x:f>IFERROR(XLOOKUP(F1757,Lookups!$D$5:$D$10,Lookups!$E$5:$E$10),"Unknown Product")</x:f>
        <x:v>NexaCRM Pro</x:v>
      </x:c>
      <x:c r="S1757" t="str">
        <x:f>IFERROR(XLOOKUP(F1757,Lookups!$D$5:$D$10,Lookups!$F$5:$F$10),"Unknown")</x:f>
        <x:v>CRM</x:v>
      </x:c>
      <x:c r="T1757" t="str">
        <x:f>IF(L1757&gt;=50000,"Enterprise",IF(L1757&gt;=20000,"Mid-Market","SMB"))</x:f>
        <x:v>SMB</x:v>
      </x:c>
      <x:c r="U1757" t="str">
        <x:f>IF(I1757="Closed Won","Won",IF(I1757="Closed Lost","Lost","Open"))</x:f>
        <x:v>Lost</x:v>
      </x:c>
      <x:c r="V1757" s="22" t="n">
        <x:f>IF(U1757="Won",L1757*(1-M1757),0)</x:f>
        <x:v>0</x:v>
      </x:c>
      <x:c r="W1757" s="22" t="n">
        <x:f>IF(U1757="Open",L1757*N1757,0)</x:f>
        <x:v>0</x:v>
      </x:c>
      <x:c r="X1757" s="26" t="n">
        <x:f>IF(U1757="Open","",IFERROR(K1757-B1757,""))</x:f>
        <x:v>42</x:v>
      </x:c>
      <x:c r="Y1757" s="26" t="n">
        <x:f>IF(U1757="Open",Lookups!$B$2-B1757,X1757)</x:f>
        <x:v>42</x:v>
      </x:c>
      <x:c r="Z1757" t="str">
        <x:f>IF(AND(U1757="Open",Y1757&gt;30),"STALE","OK")</x:f>
        <x:v>OK</x:v>
      </x:c>
      <x:c r="AA1757" t="str">
        <x:f>TEXT(B1757,"yyyy-mm")</x:f>
        <x:v>2025-10</x:v>
      </x:c>
      <x:c r="AB1757" t="str">
        <x:f>IF(K1757="","",TEXT(K1757,"yyyy-mm"))</x:f>
        <x:v>2025-11</x:v>
      </x:c>
      <x:c r="AC1757" t="str">
        <x:f>"Q"&amp;ROUNDUP(MONTH(B1757)/3,0)&amp;"-"&amp;YEAR(B1757)</x:f>
        <x:v>Q4-2025</x:v>
      </x:c>
      <x:c r="AD1757" s="26" t="n">
        <x:f>MIN(100,IF(H1757="Enterprise",30,IF(H1757="Mid-Market",22,14))+IF(T1757="Enterprise",25,IF(T1757="Mid-Market",18,10))+IF(Q1757="Referral",25,IF(Q1757="Organic Search",20,IF(Q1757="Email",18,14)))+IF(G1757="Technology",10,5))</x:f>
        <x:v>49</x:v>
      </x:c>
      <x:c r="AE1757" t="str">
        <x:f>IF(U1757&lt;&gt;"Open",U1757,IF(N1757&gt;=0.8,"Commit",IF(N1757&gt;=0.5,"Best Case","Pipeline")))</x:f>
        <x:v>Lost</x:v>
      </x:c>
    </x:row>
    <x:row r="1758">
      <x:c r="A1758" t="str">
        <x:v>L01757</x:v>
      </x:c>
      <x:c r="B1758" s="10" t="n">
        <x:v>45685</x:v>
      </x:c>
      <x:c r="C1758" t="str">
        <x:v>Duy Pham</x:v>
      </x:c>
      <x:c r="D1758" t="str">
        <x:v>South</x:v>
      </x:c>
      <x:c r="E1758" t="str">
        <x:v>SEO</x:v>
      </x:c>
      <x:c r="F1758" t="str">
        <x:v>MKT-AUTO</x:v>
      </x:c>
      <x:c r="G1758" t="str">
        <x:v>Professional Services</x:v>
      </x:c>
      <x:c r="H1758" t="str">
        <x:v>SMB</x:v>
      </x:c>
      <x:c r="I1758" t="str">
        <x:v>Closed Lost</x:v>
      </x:c>
      <x:c r="J1758" s="10" t="n">
        <x:v>45725</x:v>
      </x:c>
      <x:c r="K1758" s="10" t="n">
        <x:v>45725</x:v>
      </x:c>
      <x:c r="L1758" s="22" t="n">
        <x:v>16000</x:v>
      </x:c>
      <x:c r="M1758" s="24" t="n">
        <x:v>0</x:v>
      </x:c>
      <x:c r="N1758" s="24" t="n">
        <x:v>0</x:v>
      </x:c>
      <x:c r="O1758" t="str">
        <x:v>No Decision</x:v>
      </x:c>
      <x:c r="P1758" t="n">
        <x:v>4</x:v>
      </x:c>
      <x:c r="Q1758" t="str">
        <x:f>IFERROR(XLOOKUP(E1758,Lookups!$A$5:$A$24,Lookups!$B$5:$B$24),"Other")</x:f>
        <x:v>Organic Search</x:v>
      </x:c>
      <x:c r="R1758" t="str">
        <x:f>IFERROR(XLOOKUP(F1758,Lookups!$D$5:$D$10,Lookups!$E$5:$E$10),"Unknown Product")</x:f>
        <x:v>Marketing Automation</x:v>
      </x:c>
      <x:c r="S1758" t="str">
        <x:f>IFERROR(XLOOKUP(F1758,Lookups!$D$5:$D$10,Lookups!$F$5:$F$10),"Unknown")</x:f>
        <x:v>Marketing</x:v>
      </x:c>
      <x:c r="T1758" t="str">
        <x:f>IF(L1758&gt;=50000,"Enterprise",IF(L1758&gt;=20000,"Mid-Market","SMB"))</x:f>
        <x:v>SMB</x:v>
      </x:c>
      <x:c r="U1758" t="str">
        <x:f>IF(I1758="Closed Won","Won",IF(I1758="Closed Lost","Lost","Open"))</x:f>
        <x:v>Lost</x:v>
      </x:c>
      <x:c r="V1758" s="22" t="n">
        <x:f>IF(U1758="Won",L1758*(1-M1758),0)</x:f>
        <x:v>0</x:v>
      </x:c>
      <x:c r="W1758" s="22" t="n">
        <x:f>IF(U1758="Open",L1758*N1758,0)</x:f>
        <x:v>0</x:v>
      </x:c>
      <x:c r="X1758" s="26" t="n">
        <x:f>IF(U1758="Open","",IFERROR(K1758-B1758,""))</x:f>
        <x:v>40</x:v>
      </x:c>
      <x:c r="Y1758" s="26" t="n">
        <x:f>IF(U1758="Open",Lookups!$B$2-B1758,X1758)</x:f>
        <x:v>40</x:v>
      </x:c>
      <x:c r="Z1758" t="str">
        <x:f>IF(AND(U1758="Open",Y1758&gt;30),"STALE","OK")</x:f>
        <x:v>OK</x:v>
      </x:c>
      <x:c r="AA1758" t="str">
        <x:f>TEXT(B1758,"yyyy-mm")</x:f>
        <x:v>2025-01</x:v>
      </x:c>
      <x:c r="AB1758" t="str">
        <x:f>IF(K1758="","",TEXT(K1758,"yyyy-mm"))</x:f>
        <x:v>2025-03</x:v>
      </x:c>
      <x:c r="AC1758" t="str">
        <x:f>"Q"&amp;ROUNDUP(MONTH(B1758)/3,0)&amp;"-"&amp;YEAR(B1758)</x:f>
        <x:v>Q1-2025</x:v>
      </x:c>
      <x:c r="AD1758" s="26" t="n">
        <x:f>MIN(100,IF(H1758="Enterprise",30,IF(H1758="Mid-Market",22,14))+IF(T1758="Enterprise",25,IF(T1758="Mid-Market",18,10))+IF(Q1758="Referral",25,IF(Q1758="Organic Search",20,IF(Q1758="Email",18,14)))+IF(G1758="Technology",10,5))</x:f>
        <x:v>49</x:v>
      </x:c>
      <x:c r="AE1758" t="str">
        <x:f>IF(U1758&lt;&gt;"Open",U1758,IF(N1758&gt;=0.8,"Commit",IF(N1758&gt;=0.5,"Best Case","Pipeline")))</x:f>
        <x:v>Lost</x:v>
      </x:c>
    </x:row>
    <x:row r="1759">
      <x:c r="A1759" t="str">
        <x:v>L01758</x:v>
      </x:c>
      <x:c r="B1759" s="10" t="n">
        <x:v>46213</x:v>
      </x:c>
      <x:c r="C1759" t="str">
        <x:v>An Nguyen</x:v>
      </x:c>
      <x:c r="D1759" t="str">
        <x:v>South</x:v>
      </x:c>
      <x:c r="E1759" t="str">
        <x:v>Referral</x:v>
      </x:c>
      <x:c r="F1759" t="str">
        <x:v>MKT-AUTO</x:v>
      </x:c>
      <x:c r="G1759" t="str">
        <x:v>Professional Services</x:v>
      </x:c>
      <x:c r="H1759" t="str">
        <x:v>Mid-Market</x:v>
      </x:c>
      <x:c r="I1759" t="str">
        <x:v>Demo / Meeting</x:v>
      </x:c>
      <x:c r="J1759" s="10" t="n">
        <x:v>46252</x:v>
      </x:c>
      <x:c r="K1759" s="10"/>
      <x:c r="L1759" s="22" t="n">
        <x:v>20900</x:v>
      </x:c>
      <x:c r="M1759" s="24" t="n">
        <x:v>0</x:v>
      </x:c>
      <x:c r="N1759" s="24" t="n">
        <x:v>0.4</x:v>
      </x:c>
      <x:c r="O1759" t="str"/>
      <x:c r="P1759" t="n">
        <x:v>3</x:v>
      </x:c>
      <x:c r="Q1759" t="str">
        <x:f>IFERROR(XLOOKUP(E1759,Lookups!$A$5:$A$24,Lookups!$B$5:$B$24),"Other")</x:f>
        <x:v>Referral</x:v>
      </x:c>
      <x:c r="R1759" t="str">
        <x:f>IFERROR(XLOOKUP(F1759,Lookups!$D$5:$D$10,Lookups!$E$5:$E$10),"Unknown Product")</x:f>
        <x:v>Marketing Automation</x:v>
      </x:c>
      <x:c r="S1759" t="str">
        <x:f>IFERROR(XLOOKUP(F1759,Lookups!$D$5:$D$10,Lookups!$F$5:$F$10),"Unknown")</x:f>
        <x:v>Marketing</x:v>
      </x:c>
      <x:c r="T1759" t="str">
        <x:f>IF(L1759&gt;=50000,"Enterprise",IF(L1759&gt;=20000,"Mid-Market","SMB"))</x:f>
        <x:v>Mid-Market</x:v>
      </x:c>
      <x:c r="U1759" t="str">
        <x:f>IF(I1759="Closed Won","Won",IF(I1759="Closed Lost","Lost","Open"))</x:f>
        <x:v>Open</x:v>
      </x:c>
      <x:c r="V1759" s="22" t="n">
        <x:f>IF(U1759="Won",L1759*(1-M1759),0)</x:f>
        <x:v>0</x:v>
      </x:c>
      <x:c r="W1759" s="22" t="n">
        <x:f>IF(U1759="Open",L1759*N1759,0)</x:f>
        <x:v>8360</x:v>
      </x:c>
      <x:c r="X1759" s="26" t="str">
        <x:f>IF(U1759="Open","",IFERROR(K1759-B1759,""))</x:f>
      </x:c>
      <x:c r="Y1759" s="26" t="n">
        <x:f>IF(U1759="Open",Lookups!$B$2-B1759,X1759)</x:f>
        <x:v>53</x:v>
      </x:c>
      <x:c r="Z1759" t="str">
        <x:f>IF(AND(U1759="Open",Y1759&gt;30),"STALE","OK")</x:f>
        <x:v>STALE</x:v>
      </x:c>
      <x:c r="AA1759" t="str">
        <x:f>TEXT(B1759,"yyyy-mm")</x:f>
        <x:v>2026-07</x:v>
      </x:c>
      <x:c r="AB1759" t="str">
        <x:f>IF(K1759="","",TEXT(K1759,"yyyy-mm"))</x:f>
      </x:c>
      <x:c r="AC1759" t="str">
        <x:f>"Q"&amp;ROUNDUP(MONTH(B1759)/3,0)&amp;"-"&amp;YEAR(B1759)</x:f>
        <x:v>Q3-2026</x:v>
      </x:c>
      <x:c r="AD1759" s="26" t="n">
        <x:f>MIN(100,IF(H1759="Enterprise",30,IF(H1759="Mid-Market",22,14))+IF(T1759="Enterprise",25,IF(T1759="Mid-Market",18,10))+IF(Q1759="Referral",25,IF(Q1759="Organic Search",20,IF(Q1759="Email",18,14)))+IF(G1759="Technology",10,5))</x:f>
        <x:v>70</x:v>
      </x:c>
      <x:c r="AE1759" t="str">
        <x:f>IF(U1759&lt;&gt;"Open",U1759,IF(N1759&gt;=0.8,"Commit",IF(N1759&gt;=0.5,"Best Case","Pipeline")))</x:f>
        <x:v>Pipeline</x:v>
      </x:c>
    </x:row>
    <x:row r="1760">
      <x:c r="A1760" t="str">
        <x:v>L01759</x:v>
      </x:c>
      <x:c r="B1760" s="10" t="n">
        <x:v>45689</x:v>
      </x:c>
      <x:c r="C1760" t="str">
        <x:v>Minh Do</x:v>
      </x:c>
      <x:c r="D1760" t="str">
        <x:v>North</x:v>
      </x:c>
      <x:c r="E1760" t="str">
        <x:v>google cpc</x:v>
      </x:c>
      <x:c r="F1760" t="str">
        <x:v>MKT-AUTO</x:v>
      </x:c>
      <x:c r="G1760" t="str">
        <x:v>Technology</x:v>
      </x:c>
      <x:c r="H1760" t="str">
        <x:v>SMB</x:v>
      </x:c>
      <x:c r="I1760" t="str">
        <x:v>Closed Lost</x:v>
      </x:c>
      <x:c r="J1760" s="10" t="n">
        <x:v>45738</x:v>
      </x:c>
      <x:c r="K1760" s="10" t="n">
        <x:v>45738</x:v>
      </x:c>
      <x:c r="L1760" s="22" t="n">
        <x:v>19000</x:v>
      </x:c>
      <x:c r="M1760" s="24" t="n">
        <x:v>0</x:v>
      </x:c>
      <x:c r="N1760" s="24" t="n">
        <x:v>0</x:v>
      </x:c>
      <x:c r="O1760" t="str">
        <x:v>No Decision</x:v>
      </x:c>
      <x:c r="P1760" t="n">
        <x:v>2</x:v>
      </x:c>
      <x:c r="Q1760" t="str">
        <x:f>IFERROR(XLOOKUP(E1760,Lookups!$A$5:$A$24,Lookups!$B$5:$B$24),"Other")</x:f>
        <x:v>Paid Search</x:v>
      </x:c>
      <x:c r="R1760" t="str">
        <x:f>IFERROR(XLOOKUP(F1760,Lookups!$D$5:$D$10,Lookups!$E$5:$E$10),"Unknown Product")</x:f>
        <x:v>Marketing Automation</x:v>
      </x:c>
      <x:c r="S1760" t="str">
        <x:f>IFERROR(XLOOKUP(F1760,Lookups!$D$5:$D$10,Lookups!$F$5:$F$10),"Unknown")</x:f>
        <x:v>Marketing</x:v>
      </x:c>
      <x:c r="T1760" t="str">
        <x:f>IF(L1760&gt;=50000,"Enterprise",IF(L1760&gt;=20000,"Mid-Market","SMB"))</x:f>
        <x:v>SMB</x:v>
      </x:c>
      <x:c r="U1760" t="str">
        <x:f>IF(I1760="Closed Won","Won",IF(I1760="Closed Lost","Lost","Open"))</x:f>
        <x:v>Lost</x:v>
      </x:c>
      <x:c r="V1760" s="22" t="n">
        <x:f>IF(U1760="Won",L1760*(1-M1760),0)</x:f>
        <x:v>0</x:v>
      </x:c>
      <x:c r="W1760" s="22" t="n">
        <x:f>IF(U1760="Open",L1760*N1760,0)</x:f>
        <x:v>0</x:v>
      </x:c>
      <x:c r="X1760" s="26" t="n">
        <x:f>IF(U1760="Open","",IFERROR(K1760-B1760,""))</x:f>
        <x:v>49</x:v>
      </x:c>
      <x:c r="Y1760" s="26" t="n">
        <x:f>IF(U1760="Open",Lookups!$B$2-B1760,X1760)</x:f>
        <x:v>49</x:v>
      </x:c>
      <x:c r="Z1760" t="str">
        <x:f>IF(AND(U1760="Open",Y1760&gt;30),"STALE","OK")</x:f>
        <x:v>OK</x:v>
      </x:c>
      <x:c r="AA1760" t="str">
        <x:f>TEXT(B1760,"yyyy-mm")</x:f>
        <x:v>2025-02</x:v>
      </x:c>
      <x:c r="AB1760" t="str">
        <x:f>IF(K1760="","",TEXT(K1760,"yyyy-mm"))</x:f>
        <x:v>2025-03</x:v>
      </x:c>
      <x:c r="AC1760" t="str">
        <x:f>"Q"&amp;ROUNDUP(MONTH(B1760)/3,0)&amp;"-"&amp;YEAR(B1760)</x:f>
        <x:v>Q1-2025</x:v>
      </x:c>
      <x:c r="AD1760" s="26" t="n">
        <x:f>MIN(100,IF(H1760="Enterprise",30,IF(H1760="Mid-Market",22,14))+IF(T1760="Enterprise",25,IF(T1760="Mid-Market",18,10))+IF(Q1760="Referral",25,IF(Q1760="Organic Search",20,IF(Q1760="Email",18,14)))+IF(G1760="Technology",10,5))</x:f>
        <x:v>48</x:v>
      </x:c>
      <x:c r="AE1760" t="str">
        <x:f>IF(U1760&lt;&gt;"Open",U1760,IF(N1760&gt;=0.8,"Commit",IF(N1760&gt;=0.5,"Best Case","Pipeline")))</x:f>
        <x:v>Lost</x:v>
      </x:c>
    </x:row>
    <x:row r="1761">
      <x:c r="A1761" t="str">
        <x:v>L01760</x:v>
      </x:c>
      <x:c r="B1761" s="10" t="n">
        <x:v>45834</x:v>
      </x:c>
      <x:c r="C1761" t="str">
        <x:v>Tuan Bui</x:v>
      </x:c>
      <x:c r="D1761" t="str">
        <x:v>Central</x:v>
      </x:c>
      <x:c r="E1761" t="str">
        <x:v>Email Campaign</x:v>
      </x:c>
      <x:c r="F1761" t="str">
        <x:v>BI-PLUS</x:v>
      </x:c>
      <x:c r="G1761" t="str">
        <x:v>Financial Services</x:v>
      </x:c>
      <x:c r="H1761" t="str">
        <x:v>Enterprise</x:v>
      </x:c>
      <x:c r="I1761" t="str">
        <x:v>Closed Lost</x:v>
      </x:c>
      <x:c r="J1761" s="10" t="n">
        <x:v>45886</x:v>
      </x:c>
      <x:c r="K1761" s="10" t="n">
        <x:v>45886</x:v>
      </x:c>
      <x:c r="L1761" s="22" t="n">
        <x:v>104700</x:v>
      </x:c>
      <x:c r="M1761" s="24" t="n">
        <x:v>0</x:v>
      </x:c>
      <x:c r="N1761" s="24" t="n">
        <x:v>0</x:v>
      </x:c>
      <x:c r="O1761" t="str">
        <x:v>Feature Gap</x:v>
      </x:c>
      <x:c r="P1761" t="n">
        <x:v>3</x:v>
      </x:c>
      <x:c r="Q1761" t="str">
        <x:f>IFERROR(XLOOKUP(E1761,Lookups!$A$5:$A$24,Lookups!$B$5:$B$24),"Other")</x:f>
        <x:v>Email</x:v>
      </x:c>
      <x:c r="R1761" t="str">
        <x:f>IFERROR(XLOOKUP(F1761,Lookups!$D$5:$D$10,Lookups!$E$5:$E$10),"Unknown Product")</x:f>
        <x:v>Analytics Plus</x:v>
      </x:c>
      <x:c r="S1761" t="str">
        <x:f>IFERROR(XLOOKUP(F1761,Lookups!$D$5:$D$10,Lookups!$F$5:$F$10),"Unknown")</x:f>
        <x:v>Analytics</x:v>
      </x:c>
      <x:c r="T1761" t="str">
        <x:f>IF(L1761&gt;=50000,"Enterprise",IF(L1761&gt;=20000,"Mid-Market","SMB"))</x:f>
        <x:v>Enterprise</x:v>
      </x:c>
      <x:c r="U1761" t="str">
        <x:f>IF(I1761="Closed Won","Won",IF(I1761="Closed Lost","Lost","Open"))</x:f>
        <x:v>Lost</x:v>
      </x:c>
      <x:c r="V1761" s="22" t="n">
        <x:f>IF(U1761="Won",L1761*(1-M1761),0)</x:f>
        <x:v>0</x:v>
      </x:c>
      <x:c r="W1761" s="22" t="n">
        <x:f>IF(U1761="Open",L1761*N1761,0)</x:f>
        <x:v>0</x:v>
      </x:c>
      <x:c r="X1761" s="26" t="n">
        <x:f>IF(U1761="Open","",IFERROR(K1761-B1761,""))</x:f>
        <x:v>52</x:v>
      </x:c>
      <x:c r="Y1761" s="26" t="n">
        <x:f>IF(U1761="Open",Lookups!$B$2-B1761,X1761)</x:f>
        <x:v>52</x:v>
      </x:c>
      <x:c r="Z1761" t="str">
        <x:f>IF(AND(U1761="Open",Y1761&gt;30),"STALE","OK")</x:f>
        <x:v>OK</x:v>
      </x:c>
      <x:c r="AA1761" t="str">
        <x:f>TEXT(B1761,"yyyy-mm")</x:f>
        <x:v>2025-06</x:v>
      </x:c>
      <x:c r="AB1761" t="str">
        <x:f>IF(K1761="","",TEXT(K1761,"yyyy-mm"))</x:f>
        <x:v>2025-08</x:v>
      </x:c>
      <x:c r="AC1761" t="str">
        <x:f>"Q"&amp;ROUNDUP(MONTH(B1761)/3,0)&amp;"-"&amp;YEAR(B1761)</x:f>
        <x:v>Q2-2025</x:v>
      </x:c>
      <x:c r="AD1761" s="26" t="n">
        <x:f>MIN(100,IF(H1761="Enterprise",30,IF(H1761="Mid-Market",22,14))+IF(T1761="Enterprise",25,IF(T1761="Mid-Market",18,10))+IF(Q1761="Referral",25,IF(Q1761="Organic Search",20,IF(Q1761="Email",18,14)))+IF(G1761="Technology",10,5))</x:f>
        <x:v>78</x:v>
      </x:c>
      <x:c r="AE1761" t="str">
        <x:f>IF(U1761&lt;&gt;"Open",U1761,IF(N1761&gt;=0.8,"Commit",IF(N1761&gt;=0.5,"Best Case","Pipeline")))</x:f>
        <x:v>Lost</x:v>
      </x:c>
    </x:row>
    <x:row r="1762">
      <x:c r="A1762" t="str">
        <x:v>L01761</x:v>
      </x:c>
      <x:c r="B1762" s="10" t="n">
        <x:v>46212</x:v>
      </x:c>
      <x:c r="C1762" t="str">
        <x:v>An Nguyen</x:v>
      </x:c>
      <x:c r="D1762" t="str">
        <x:v>South</x:v>
      </x:c>
      <x:c r="E1762" t="str">
        <x:v>linkedin</x:v>
      </x:c>
      <x:c r="F1762" t="str">
        <x:v>MKT-AUTO</x:v>
      </x:c>
      <x:c r="G1762" t="str">
        <x:v>Technology</x:v>
      </x:c>
      <x:c r="H1762" t="str">
        <x:v>SMB</x:v>
      </x:c>
      <x:c r="I1762" t="str">
        <x:v>Closed Lost</x:v>
      </x:c>
      <x:c r="J1762" s="10" t="n">
        <x:v>46226</x:v>
      </x:c>
      <x:c r="K1762" s="10" t="n">
        <x:v>46226</x:v>
      </x:c>
      <x:c r="L1762" s="22" t="n">
        <x:v>19700</x:v>
      </x:c>
      <x:c r="M1762" s="24" t="n">
        <x:v>0</x:v>
      </x:c>
      <x:c r="N1762" s="24" t="n">
        <x:v>0</x:v>
      </x:c>
      <x:c r="O1762" t="str">
        <x:v>Timing</x:v>
      </x:c>
      <x:c r="P1762" t="n">
        <x:v>4</x:v>
      </x:c>
      <x:c r="Q1762" t="str">
        <x:f>IFERROR(XLOOKUP(E1762,Lookups!$A$5:$A$24,Lookups!$B$5:$B$24),"Other")</x:f>
        <x:v>LinkedIn</x:v>
      </x:c>
      <x:c r="R1762" t="str">
        <x:f>IFERROR(XLOOKUP(F1762,Lookups!$D$5:$D$10,Lookups!$E$5:$E$10),"Unknown Product")</x:f>
        <x:v>Marketing Automation</x:v>
      </x:c>
      <x:c r="S1762" t="str">
        <x:f>IFERROR(XLOOKUP(F1762,Lookups!$D$5:$D$10,Lookups!$F$5:$F$10),"Unknown")</x:f>
        <x:v>Marketing</x:v>
      </x:c>
      <x:c r="T1762" t="str">
        <x:f>IF(L1762&gt;=50000,"Enterprise",IF(L1762&gt;=20000,"Mid-Market","SMB"))</x:f>
        <x:v>SMB</x:v>
      </x:c>
      <x:c r="U1762" t="str">
        <x:f>IF(I1762="Closed Won","Won",IF(I1762="Closed Lost","Lost","Open"))</x:f>
        <x:v>Lost</x:v>
      </x:c>
      <x:c r="V1762" s="22" t="n">
        <x:f>IF(U1762="Won",L1762*(1-M1762),0)</x:f>
        <x:v>0</x:v>
      </x:c>
      <x:c r="W1762" s="22" t="n">
        <x:f>IF(U1762="Open",L1762*N1762,0)</x:f>
        <x:v>0</x:v>
      </x:c>
      <x:c r="X1762" s="26" t="n">
        <x:f>IF(U1762="Open","",IFERROR(K1762-B1762,""))</x:f>
        <x:v>14</x:v>
      </x:c>
      <x:c r="Y1762" s="26" t="n">
        <x:f>IF(U1762="Open",Lookups!$B$2-B1762,X1762)</x:f>
        <x:v>14</x:v>
      </x:c>
      <x:c r="Z1762" t="str">
        <x:f>IF(AND(U1762="Open",Y1762&gt;30),"STALE","OK")</x:f>
        <x:v>OK</x:v>
      </x:c>
      <x:c r="AA1762" t="str">
        <x:f>TEXT(B1762,"yyyy-mm")</x:f>
        <x:v>2026-07</x:v>
      </x:c>
      <x:c r="AB1762" t="str">
        <x:f>IF(K1762="","",TEXT(K1762,"yyyy-mm"))</x:f>
        <x:v>2026-07</x:v>
      </x:c>
      <x:c r="AC1762" t="str">
        <x:f>"Q"&amp;ROUNDUP(MONTH(B1762)/3,0)&amp;"-"&amp;YEAR(B1762)</x:f>
        <x:v>Q3-2026</x:v>
      </x:c>
      <x:c r="AD1762" s="26" t="n">
        <x:f>MIN(100,IF(H1762="Enterprise",30,IF(H1762="Mid-Market",22,14))+IF(T1762="Enterprise",25,IF(T1762="Mid-Market",18,10))+IF(Q1762="Referral",25,IF(Q1762="Organic Search",20,IF(Q1762="Email",18,14)))+IF(G1762="Technology",10,5))</x:f>
        <x:v>48</x:v>
      </x:c>
      <x:c r="AE1762" t="str">
        <x:f>IF(U1762&lt;&gt;"Open",U1762,IF(N1762&gt;=0.8,"Commit",IF(N1762&gt;=0.5,"Best Case","Pipeline")))</x:f>
        <x:v>Lost</x:v>
      </x:c>
    </x:row>
    <x:row r="1763">
      <x:c r="A1763" t="str">
        <x:v>L01762</x:v>
      </x:c>
      <x:c r="B1763" s="10" t="n">
        <x:v>45874</x:v>
      </x:c>
      <x:c r="C1763" t="str">
        <x:v>Bao Tran</x:v>
      </x:c>
      <x:c r="D1763" t="str">
        <x:v>South</x:v>
      </x:c>
      <x:c r="E1763" t="str">
        <x:v>newsletter</x:v>
      </x:c>
      <x:c r="F1763" t="str">
        <x:v>REV-OPS</x:v>
      </x:c>
      <x:c r="G1763" t="str">
        <x:v>Technology</x:v>
      </x:c>
      <x:c r="H1763" t="str">
        <x:v>SMB</x:v>
      </x:c>
      <x:c r="I1763" t="str">
        <x:v>Closed Lost</x:v>
      </x:c>
      <x:c r="J1763" s="10" t="n">
        <x:v>45957</x:v>
      </x:c>
      <x:c r="K1763" s="10" t="n">
        <x:v>45957</x:v>
      </x:c>
      <x:c r="L1763" s="22" t="n">
        <x:v>20900</x:v>
      </x:c>
      <x:c r="M1763" s="24" t="n">
        <x:v>0</x:v>
      </x:c>
      <x:c r="N1763" s="24" t="n">
        <x:v>0</x:v>
      </x:c>
      <x:c r="O1763" t="str">
        <x:v>Timing</x:v>
      </x:c>
      <x:c r="P1763" t="n">
        <x:v>2</x:v>
      </x:c>
      <x:c r="Q1763" t="str">
        <x:f>IFERROR(XLOOKUP(E1763,Lookups!$A$5:$A$24,Lookups!$B$5:$B$24),"Other")</x:f>
        <x:v>Email</x:v>
      </x:c>
      <x:c r="R1763" t="str">
        <x:f>IFERROR(XLOOKUP(F1763,Lookups!$D$5:$D$10,Lookups!$E$5:$E$10),"Unknown Product")</x:f>
        <x:v>Revenue Operations Suite</x:v>
      </x:c>
      <x:c r="S1763" t="str">
        <x:f>IFERROR(XLOOKUP(F1763,Lookups!$D$5:$D$10,Lookups!$F$5:$F$10),"Unknown")</x:f>
        <x:v>Revenue Ops</x:v>
      </x:c>
      <x:c r="T1763" t="str">
        <x:f>IF(L1763&gt;=50000,"Enterprise",IF(L1763&gt;=20000,"Mid-Market","SMB"))</x:f>
        <x:v>Mid-Market</x:v>
      </x:c>
      <x:c r="U1763" t="str">
        <x:f>IF(I1763="Closed Won","Won",IF(I1763="Closed Lost","Lost","Open"))</x:f>
        <x:v>Lost</x:v>
      </x:c>
      <x:c r="V1763" s="22" t="n">
        <x:f>IF(U1763="Won",L1763*(1-M1763),0)</x:f>
        <x:v>0</x:v>
      </x:c>
      <x:c r="W1763" s="22" t="n">
        <x:f>IF(U1763="Open",L1763*N1763,0)</x:f>
        <x:v>0</x:v>
      </x:c>
      <x:c r="X1763" s="26" t="n">
        <x:f>IF(U1763="Open","",IFERROR(K1763-B1763,""))</x:f>
        <x:v>83</x:v>
      </x:c>
      <x:c r="Y1763" s="26" t="n">
        <x:f>IF(U1763="Open",Lookups!$B$2-B1763,X1763)</x:f>
        <x:v>83</x:v>
      </x:c>
      <x:c r="Z1763" t="str">
        <x:f>IF(AND(U1763="Open",Y1763&gt;30),"STALE","OK")</x:f>
        <x:v>OK</x:v>
      </x:c>
      <x:c r="AA1763" t="str">
        <x:f>TEXT(B1763,"yyyy-mm")</x:f>
        <x:v>2025-08</x:v>
      </x:c>
      <x:c r="AB1763" t="str">
        <x:f>IF(K1763="","",TEXT(K1763,"yyyy-mm"))</x:f>
        <x:v>2025-10</x:v>
      </x:c>
      <x:c r="AC1763" t="str">
        <x:f>"Q"&amp;ROUNDUP(MONTH(B1763)/3,0)&amp;"-"&amp;YEAR(B1763)</x:f>
        <x:v>Q3-2025</x:v>
      </x:c>
      <x:c r="AD1763" s="26" t="n">
        <x:f>MIN(100,IF(H1763="Enterprise",30,IF(H1763="Mid-Market",22,14))+IF(T1763="Enterprise",25,IF(T1763="Mid-Market",18,10))+IF(Q1763="Referral",25,IF(Q1763="Organic Search",20,IF(Q1763="Email",18,14)))+IF(G1763="Technology",10,5))</x:f>
        <x:v>60</x:v>
      </x:c>
      <x:c r="AE1763" t="str">
        <x:f>IF(U1763&lt;&gt;"Open",U1763,IF(N1763&gt;=0.8,"Commit",IF(N1763&gt;=0.5,"Best Case","Pipeline")))</x:f>
        <x:v>Lost</x:v>
      </x:c>
    </x:row>
    <x:row r="1764">
      <x:c r="A1764" t="str">
        <x:v>L01763</x:v>
      </x:c>
      <x:c r="B1764" s="10" t="n">
        <x:v>45715</x:v>
      </x:c>
      <x:c r="C1764" t="str">
        <x:v>Bao Tran</x:v>
      </x:c>
      <x:c r="D1764" t="str">
        <x:v>South</x:v>
      </x:c>
      <x:c r="E1764" t="str">
        <x:v>Cold Email</x:v>
      </x:c>
      <x:c r="F1764" t="str">
        <x:v>MKT-AUTO</x:v>
      </x:c>
      <x:c r="G1764" t="str">
        <x:v>Technology</x:v>
      </x:c>
      <x:c r="H1764" t="str">
        <x:v>SMB</x:v>
      </x:c>
      <x:c r="I1764" t="str">
        <x:v>Closed Lost</x:v>
      </x:c>
      <x:c r="J1764" s="10" t="n">
        <x:v>45764</x:v>
      </x:c>
      <x:c r="K1764" s="10" t="n">
        <x:v>45764</x:v>
      </x:c>
      <x:c r="L1764" s="22" t="n">
        <x:v>17700</x:v>
      </x:c>
      <x:c r="M1764" s="24" t="n">
        <x:v>0</x:v>
      </x:c>
      <x:c r="N1764" s="24" t="n">
        <x:v>0</x:v>
      </x:c>
      <x:c r="O1764" t="str">
        <x:v>Timing</x:v>
      </x:c>
      <x:c r="P1764" t="n">
        <x:v>3</x:v>
      </x:c>
      <x:c r="Q1764" t="str">
        <x:f>IFERROR(XLOOKUP(E1764,Lookups!$A$5:$A$24,Lookups!$B$5:$B$24),"Other")</x:f>
        <x:v>Outbound</x:v>
      </x:c>
      <x:c r="R1764" t="str">
        <x:f>IFERROR(XLOOKUP(F1764,Lookups!$D$5:$D$10,Lookups!$E$5:$E$10),"Unknown Product")</x:f>
        <x:v>Marketing Automation</x:v>
      </x:c>
      <x:c r="S1764" t="str">
        <x:f>IFERROR(XLOOKUP(F1764,Lookups!$D$5:$D$10,Lookups!$F$5:$F$10),"Unknown")</x:f>
        <x:v>Marketing</x:v>
      </x:c>
      <x:c r="T1764" t="str">
        <x:f>IF(L1764&gt;=50000,"Enterprise",IF(L1764&gt;=20000,"Mid-Market","SMB"))</x:f>
        <x:v>SMB</x:v>
      </x:c>
      <x:c r="U1764" t="str">
        <x:f>IF(I1764="Closed Won","Won",IF(I1764="Closed Lost","Lost","Open"))</x:f>
        <x:v>Lost</x:v>
      </x:c>
      <x:c r="V1764" s="22" t="n">
        <x:f>IF(U1764="Won",L1764*(1-M1764),0)</x:f>
        <x:v>0</x:v>
      </x:c>
      <x:c r="W1764" s="22" t="n">
        <x:f>IF(U1764="Open",L1764*N1764,0)</x:f>
        <x:v>0</x:v>
      </x:c>
      <x:c r="X1764" s="26" t="n">
        <x:f>IF(U1764="Open","",IFERROR(K1764-B1764,""))</x:f>
        <x:v>49</x:v>
      </x:c>
      <x:c r="Y1764" s="26" t="n">
        <x:f>IF(U1764="Open",Lookups!$B$2-B1764,X1764)</x:f>
        <x:v>49</x:v>
      </x:c>
      <x:c r="Z1764" t="str">
        <x:f>IF(AND(U1764="Open",Y1764&gt;30),"STALE","OK")</x:f>
        <x:v>OK</x:v>
      </x:c>
      <x:c r="AA1764" t="str">
        <x:f>TEXT(B1764,"yyyy-mm")</x:f>
        <x:v>2025-02</x:v>
      </x:c>
      <x:c r="AB1764" t="str">
        <x:f>IF(K1764="","",TEXT(K1764,"yyyy-mm"))</x:f>
        <x:v>2025-04</x:v>
      </x:c>
      <x:c r="AC1764" t="str">
        <x:f>"Q"&amp;ROUNDUP(MONTH(B1764)/3,0)&amp;"-"&amp;YEAR(B1764)</x:f>
        <x:v>Q1-2025</x:v>
      </x:c>
      <x:c r="AD1764" s="26" t="n">
        <x:f>MIN(100,IF(H1764="Enterprise",30,IF(H1764="Mid-Market",22,14))+IF(T1764="Enterprise",25,IF(T1764="Mid-Market",18,10))+IF(Q1764="Referral",25,IF(Q1764="Organic Search",20,IF(Q1764="Email",18,14)))+IF(G1764="Technology",10,5))</x:f>
        <x:v>48</x:v>
      </x:c>
      <x:c r="AE1764" t="str">
        <x:f>IF(U1764&lt;&gt;"Open",U1764,IF(N1764&gt;=0.8,"Commit",IF(N1764&gt;=0.5,"Best Case","Pipeline")))</x:f>
        <x:v>Lost</x:v>
      </x:c>
    </x:row>
    <x:row r="1765">
      <x:c r="A1765" t="str">
        <x:v>L01764</x:v>
      </x:c>
      <x:c r="B1765" s="10" t="n">
        <x:v>46064</x:v>
      </x:c>
      <x:c r="C1765" t="str">
        <x:v>Minh Do</x:v>
      </x:c>
      <x:c r="D1765" t="str">
        <x:v>North</x:v>
      </x:c>
      <x:c r="E1765" t="str">
        <x:v>newsletter</x:v>
      </x:c>
      <x:c r="F1765" t="str">
        <x:v>BI-PLUS</x:v>
      </x:c>
      <x:c r="G1765" t="str">
        <x:v>Healthcare</x:v>
      </x:c>
      <x:c r="H1765" t="str">
        <x:v>SMB</x:v>
      </x:c>
      <x:c r="I1765" t="str">
        <x:v>Closed Lost</x:v>
      </x:c>
      <x:c r="J1765" s="10" t="n">
        <x:v>46097</x:v>
      </x:c>
      <x:c r="K1765" s="10" t="n">
        <x:v>46097</x:v>
      </x:c>
      <x:c r="L1765" s="22" t="n">
        <x:v>27100</x:v>
      </x:c>
      <x:c r="M1765" s="24" t="n">
        <x:v>0</x:v>
      </x:c>
      <x:c r="N1765" s="24" t="n">
        <x:v>0</x:v>
      </x:c>
      <x:c r="O1765" t="str">
        <x:v>No Decision</x:v>
      </x:c>
      <x:c r="P1765" t="n">
        <x:v>2</x:v>
      </x:c>
      <x:c r="Q1765" t="str">
        <x:f>IFERROR(XLOOKUP(E1765,Lookups!$A$5:$A$24,Lookups!$B$5:$B$24),"Other")</x:f>
        <x:v>Email</x:v>
      </x:c>
      <x:c r="R1765" t="str">
        <x:f>IFERROR(XLOOKUP(F1765,Lookups!$D$5:$D$10,Lookups!$E$5:$E$10),"Unknown Product")</x:f>
        <x:v>Analytics Plus</x:v>
      </x:c>
      <x:c r="S1765" t="str">
        <x:f>IFERROR(XLOOKUP(F1765,Lookups!$D$5:$D$10,Lookups!$F$5:$F$10),"Unknown")</x:f>
        <x:v>Analytics</x:v>
      </x:c>
      <x:c r="T1765" t="str">
        <x:f>IF(L1765&gt;=50000,"Enterprise",IF(L1765&gt;=20000,"Mid-Market","SMB"))</x:f>
        <x:v>Mid-Market</x:v>
      </x:c>
      <x:c r="U1765" t="str">
        <x:f>IF(I1765="Closed Won","Won",IF(I1765="Closed Lost","Lost","Open"))</x:f>
        <x:v>Lost</x:v>
      </x:c>
      <x:c r="V1765" s="22" t="n">
        <x:f>IF(U1765="Won",L1765*(1-M1765),0)</x:f>
        <x:v>0</x:v>
      </x:c>
      <x:c r="W1765" s="22" t="n">
        <x:f>IF(U1765="Open",L1765*N1765,0)</x:f>
        <x:v>0</x:v>
      </x:c>
      <x:c r="X1765" s="26" t="n">
        <x:f>IF(U1765="Open","",IFERROR(K1765-B1765,""))</x:f>
        <x:v>33</x:v>
      </x:c>
      <x:c r="Y1765" s="26" t="n">
        <x:f>IF(U1765="Open",Lookups!$B$2-B1765,X1765)</x:f>
        <x:v>33</x:v>
      </x:c>
      <x:c r="Z1765" t="str">
        <x:f>IF(AND(U1765="Open",Y1765&gt;30),"STALE","OK")</x:f>
        <x:v>OK</x:v>
      </x:c>
      <x:c r="AA1765" t="str">
        <x:f>TEXT(B1765,"yyyy-mm")</x:f>
        <x:v>2026-02</x:v>
      </x:c>
      <x:c r="AB1765" t="str">
        <x:f>IF(K1765="","",TEXT(K1765,"yyyy-mm"))</x:f>
        <x:v>2026-03</x:v>
      </x:c>
      <x:c r="AC1765" t="str">
        <x:f>"Q"&amp;ROUNDUP(MONTH(B1765)/3,0)&amp;"-"&amp;YEAR(B1765)</x:f>
        <x:v>Q1-2026</x:v>
      </x:c>
      <x:c r="AD1765" s="26" t="n">
        <x:f>MIN(100,IF(H1765="Enterprise",30,IF(H1765="Mid-Market",22,14))+IF(T1765="Enterprise",25,IF(T1765="Mid-Market",18,10))+IF(Q1765="Referral",25,IF(Q1765="Organic Search",20,IF(Q1765="Email",18,14)))+IF(G1765="Technology",10,5))</x:f>
        <x:v>55</x:v>
      </x:c>
      <x:c r="AE1765" t="str">
        <x:f>IF(U1765&lt;&gt;"Open",U1765,IF(N1765&gt;=0.8,"Commit",IF(N1765&gt;=0.5,"Best Case","Pipeline")))</x:f>
        <x:v>Lost</x:v>
      </x:c>
    </x:row>
    <x:row r="1766">
      <x:c r="A1766" t="str">
        <x:v>L01765</x:v>
      </x:c>
      <x:c r="B1766" s="10" t="n">
        <x:v>45713</x:v>
      </x:c>
      <x:c r="C1766" t="str">
        <x:v>Duy Pham</x:v>
      </x:c>
      <x:c r="D1766" t="str">
        <x:v>South</x:v>
      </x:c>
      <x:c r="E1766" t="str">
        <x:v>Referral</x:v>
      </x:c>
      <x:c r="F1766" t="str">
        <x:v>CRM-PRO</x:v>
      </x:c>
      <x:c r="G1766" t="str">
        <x:v>Manufacturing</x:v>
      </x:c>
      <x:c r="H1766" t="str">
        <x:v>Mid-Market</x:v>
      </x:c>
      <x:c r="I1766" t="str">
        <x:v>Negotiation</x:v>
      </x:c>
      <x:c r="J1766" s="10" t="n">
        <x:v>46037</x:v>
      </x:c>
      <x:c r="K1766" s="10"/>
      <x:c r="L1766" s="22" t="n">
        <x:v>42600</x:v>
      </x:c>
      <x:c r="M1766" s="24" t="n">
        <x:v>0.05</x:v>
      </x:c>
      <x:c r="N1766" s="24" t="n">
        <x:v>0.85</x:v>
      </x:c>
      <x:c r="O1766" t="str"/>
      <x:c r="P1766" t="n">
        <x:v>5</x:v>
      </x:c>
      <x:c r="Q1766" t="str">
        <x:f>IFERROR(XLOOKUP(E1766,Lookups!$A$5:$A$24,Lookups!$B$5:$B$24),"Other")</x:f>
        <x:v>Referral</x:v>
      </x:c>
      <x:c r="R1766" t="str">
        <x:f>IFERROR(XLOOKUP(F1766,Lookups!$D$5:$D$10,Lookups!$E$5:$E$10),"Unknown Product")</x:f>
        <x:v>NexaCRM Pro</x:v>
      </x:c>
      <x:c r="S1766" t="str">
        <x:f>IFERROR(XLOOKUP(F1766,Lookups!$D$5:$D$10,Lookups!$F$5:$F$10),"Unknown")</x:f>
        <x:v>CRM</x:v>
      </x:c>
      <x:c r="T1766" t="str">
        <x:f>IF(L1766&gt;=50000,"Enterprise",IF(L1766&gt;=20000,"Mid-Market","SMB"))</x:f>
        <x:v>Mid-Market</x:v>
      </x:c>
      <x:c r="U1766" t="str">
        <x:f>IF(I1766="Closed Won","Won",IF(I1766="Closed Lost","Lost","Open"))</x:f>
        <x:v>Open</x:v>
      </x:c>
      <x:c r="V1766" s="22" t="n">
        <x:f>IF(U1766="Won",L1766*(1-M1766),0)</x:f>
        <x:v>0</x:v>
      </x:c>
      <x:c r="W1766" s="22" t="n">
        <x:f>IF(U1766="Open",L1766*N1766,0)</x:f>
        <x:v>36210</x:v>
      </x:c>
      <x:c r="X1766" s="26" t="str">
        <x:f>IF(U1766="Open","",IFERROR(K1766-B1766,""))</x:f>
      </x:c>
      <x:c r="Y1766" s="26" t="n">
        <x:f>IF(U1766="Open",Lookups!$B$2-B1766,X1766)</x:f>
        <x:v>553</x:v>
      </x:c>
      <x:c r="Z1766" t="str">
        <x:f>IF(AND(U1766="Open",Y1766&gt;30),"STALE","OK")</x:f>
        <x:v>STALE</x:v>
      </x:c>
      <x:c r="AA1766" t="str">
        <x:f>TEXT(B1766,"yyyy-mm")</x:f>
        <x:v>2025-02</x:v>
      </x:c>
      <x:c r="AB1766" t="str">
        <x:f>IF(K1766="","",TEXT(K1766,"yyyy-mm"))</x:f>
      </x:c>
      <x:c r="AC1766" t="str">
        <x:f>"Q"&amp;ROUNDUP(MONTH(B1766)/3,0)&amp;"-"&amp;YEAR(B1766)</x:f>
        <x:v>Q1-2025</x:v>
      </x:c>
      <x:c r="AD1766" s="26" t="n">
        <x:f>MIN(100,IF(H1766="Enterprise",30,IF(H1766="Mid-Market",22,14))+IF(T1766="Enterprise",25,IF(T1766="Mid-Market",18,10))+IF(Q1766="Referral",25,IF(Q1766="Organic Search",20,IF(Q1766="Email",18,14)))+IF(G1766="Technology",10,5))</x:f>
        <x:v>70</x:v>
      </x:c>
      <x:c r="AE1766" t="str">
        <x:f>IF(U1766&lt;&gt;"Open",U1766,IF(N1766&gt;=0.8,"Commit",IF(N1766&gt;=0.5,"Best Case","Pipeline")))</x:f>
        <x:v>Commit</x:v>
      </x:c>
    </x:row>
    <x:row r="1767">
      <x:c r="A1767" t="str">
        <x:v>L01766</x:v>
      </x:c>
      <x:c r="B1767" s="10" t="n">
        <x:v>45902</x:v>
      </x:c>
      <x:c r="C1767" t="str">
        <x:v>Chi Le</x:v>
      </x:c>
      <x:c r="D1767" t="str">
        <x:v>South</x:v>
      </x:c>
      <x:c r="E1767" t="str">
        <x:v>Cold Email</x:v>
      </x:c>
      <x:c r="F1767" t="str">
        <x:v>CRM-CORE</x:v>
      </x:c>
      <x:c r="G1767" t="str">
        <x:v>Retail</x:v>
      </x:c>
      <x:c r="H1767" t="str">
        <x:v>Enterprise</x:v>
      </x:c>
      <x:c r="I1767" t="str">
        <x:v>Negotiation</x:v>
      </x:c>
      <x:c r="J1767" s="10" t="n">
        <x:v>46123</x:v>
      </x:c>
      <x:c r="K1767" s="10"/>
      <x:c r="L1767" s="22" t="n">
        <x:v>19300</x:v>
      </x:c>
      <x:c r="M1767" s="24" t="n">
        <x:v>0</x:v>
      </x:c>
      <x:c r="N1767" s="24" t="n">
        <x:v>0.85</x:v>
      </x:c>
      <x:c r="O1767" t="str"/>
      <x:c r="P1767" t="n">
        <x:v>5</x:v>
      </x:c>
      <x:c r="Q1767" t="str">
        <x:f>IFERROR(XLOOKUP(E1767,Lookups!$A$5:$A$24,Lookups!$B$5:$B$24),"Other")</x:f>
        <x:v>Outbound</x:v>
      </x:c>
      <x:c r="R1767" t="str">
        <x:f>IFERROR(XLOOKUP(F1767,Lookups!$D$5:$D$10,Lookups!$E$5:$E$10),"Unknown Product")</x:f>
        <x:v>NexaCRM Core</x:v>
      </x:c>
      <x:c r="S1767" t="str">
        <x:f>IFERROR(XLOOKUP(F1767,Lookups!$D$5:$D$10,Lookups!$F$5:$F$10),"Unknown")</x:f>
        <x:v>CRM</x:v>
      </x:c>
      <x:c r="T1767" t="str">
        <x:f>IF(L1767&gt;=50000,"Enterprise",IF(L1767&gt;=20000,"Mid-Market","SMB"))</x:f>
        <x:v>SMB</x:v>
      </x:c>
      <x:c r="U1767" t="str">
        <x:f>IF(I1767="Closed Won","Won",IF(I1767="Closed Lost","Lost","Open"))</x:f>
        <x:v>Open</x:v>
      </x:c>
      <x:c r="V1767" s="22" t="n">
        <x:f>IF(U1767="Won",L1767*(1-M1767),0)</x:f>
        <x:v>0</x:v>
      </x:c>
      <x:c r="W1767" s="22" t="n">
        <x:f>IF(U1767="Open",L1767*N1767,0)</x:f>
        <x:v>16405</x:v>
      </x:c>
      <x:c r="X1767" s="26" t="str">
        <x:f>IF(U1767="Open","",IFERROR(K1767-B1767,""))</x:f>
      </x:c>
      <x:c r="Y1767" s="26" t="n">
        <x:f>IF(U1767="Open",Lookups!$B$2-B1767,X1767)</x:f>
        <x:v>364</x:v>
      </x:c>
      <x:c r="Z1767" t="str">
        <x:f>IF(AND(U1767="Open",Y1767&gt;30),"STALE","OK")</x:f>
        <x:v>STALE</x:v>
      </x:c>
      <x:c r="AA1767" t="str">
        <x:f>TEXT(B1767,"yyyy-mm")</x:f>
        <x:v>2025-09</x:v>
      </x:c>
      <x:c r="AB1767" t="str">
        <x:f>IF(K1767="","",TEXT(K1767,"yyyy-mm"))</x:f>
      </x:c>
      <x:c r="AC1767" t="str">
        <x:f>"Q"&amp;ROUNDUP(MONTH(B1767)/3,0)&amp;"-"&amp;YEAR(B1767)</x:f>
        <x:v>Q3-2025</x:v>
      </x:c>
      <x:c r="AD1767" s="26" t="n">
        <x:f>MIN(100,IF(H1767="Enterprise",30,IF(H1767="Mid-Market",22,14))+IF(T1767="Enterprise",25,IF(T1767="Mid-Market",18,10))+IF(Q1767="Referral",25,IF(Q1767="Organic Search",20,IF(Q1767="Email",18,14)))+IF(G1767="Technology",10,5))</x:f>
        <x:v>59</x:v>
      </x:c>
      <x:c r="AE1767" t="str">
        <x:f>IF(U1767&lt;&gt;"Open",U1767,IF(N1767&gt;=0.8,"Commit",IF(N1767&gt;=0.5,"Best Case","Pipeline")))</x:f>
        <x:v>Commit</x:v>
      </x:c>
    </x:row>
    <x:row r="1768">
      <x:c r="A1768" t="str">
        <x:v>L01767</x:v>
      </x:c>
      <x:c r="B1768" s="10" t="n">
        <x:v>46169</x:v>
      </x:c>
      <x:c r="C1768" t="str">
        <x:v>An Nguyen</x:v>
      </x:c>
      <x:c r="D1768" t="str">
        <x:v>South</x:v>
      </x:c>
      <x:c r="E1768" t="str">
        <x:v>newsletter</x:v>
      </x:c>
      <x:c r="F1768" t="str">
        <x:v>CRM-CORE</x:v>
      </x:c>
      <x:c r="G1768" t="str">
        <x:v>Retail</x:v>
      </x:c>
      <x:c r="H1768" t="str">
        <x:v>Enterprise</x:v>
      </x:c>
      <x:c r="I1768" t="str">
        <x:v>Proposal</x:v>
      </x:c>
      <x:c r="J1768" s="10" t="n">
        <x:v>46211</x:v>
      </x:c>
      <x:c r="K1768" s="10"/>
      <x:c r="L1768" s="22" t="n">
        <x:v>20000</x:v>
      </x:c>
      <x:c r="M1768" s="24" t="n">
        <x:v>0</x:v>
      </x:c>
      <x:c r="N1768" s="24" t="n">
        <x:v>0.65</x:v>
      </x:c>
      <x:c r="O1768" t="str"/>
      <x:c r="P1768" t="n">
        <x:v>4</x:v>
      </x:c>
      <x:c r="Q1768" t="str">
        <x:f>IFERROR(XLOOKUP(E1768,Lookups!$A$5:$A$24,Lookups!$B$5:$B$24),"Other")</x:f>
        <x:v>Email</x:v>
      </x:c>
      <x:c r="R1768" t="str">
        <x:f>IFERROR(XLOOKUP(F1768,Lookups!$D$5:$D$10,Lookups!$E$5:$E$10),"Unknown Product")</x:f>
        <x:v>NexaCRM Core</x:v>
      </x:c>
      <x:c r="S1768" t="str">
        <x:f>IFERROR(XLOOKUP(F1768,Lookups!$D$5:$D$10,Lookups!$F$5:$F$10),"Unknown")</x:f>
        <x:v>CRM</x:v>
      </x:c>
      <x:c r="T1768" t="str">
        <x:f>IF(L1768&gt;=50000,"Enterprise",IF(L1768&gt;=20000,"Mid-Market","SMB"))</x:f>
        <x:v>Mid-Market</x:v>
      </x:c>
      <x:c r="U1768" t="str">
        <x:f>IF(I1768="Closed Won","Won",IF(I1768="Closed Lost","Lost","Open"))</x:f>
        <x:v>Open</x:v>
      </x:c>
      <x:c r="V1768" s="22" t="n">
        <x:f>IF(U1768="Won",L1768*(1-M1768),0)</x:f>
        <x:v>0</x:v>
      </x:c>
      <x:c r="W1768" s="22" t="n">
        <x:f>IF(U1768="Open",L1768*N1768,0)</x:f>
        <x:v>13000</x:v>
      </x:c>
      <x:c r="X1768" s="26" t="str">
        <x:f>IF(U1768="Open","",IFERROR(K1768-B1768,""))</x:f>
      </x:c>
      <x:c r="Y1768" s="26" t="n">
        <x:f>IF(U1768="Open",Lookups!$B$2-B1768,X1768)</x:f>
        <x:v>97</x:v>
      </x:c>
      <x:c r="Z1768" t="str">
        <x:f>IF(AND(U1768="Open",Y1768&gt;30),"STALE","OK")</x:f>
        <x:v>STALE</x:v>
      </x:c>
      <x:c r="AA1768" t="str">
        <x:f>TEXT(B1768,"yyyy-mm")</x:f>
        <x:v>2026-05</x:v>
      </x:c>
      <x:c r="AB1768" t="str">
        <x:f>IF(K1768="","",TEXT(K1768,"yyyy-mm"))</x:f>
      </x:c>
      <x:c r="AC1768" t="str">
        <x:f>"Q"&amp;ROUNDUP(MONTH(B1768)/3,0)&amp;"-"&amp;YEAR(B1768)</x:f>
        <x:v>Q2-2026</x:v>
      </x:c>
      <x:c r="AD1768" s="26" t="n">
        <x:f>MIN(100,IF(H1768="Enterprise",30,IF(H1768="Mid-Market",22,14))+IF(T1768="Enterprise",25,IF(T1768="Mid-Market",18,10))+IF(Q1768="Referral",25,IF(Q1768="Organic Search",20,IF(Q1768="Email",18,14)))+IF(G1768="Technology",10,5))</x:f>
        <x:v>71</x:v>
      </x:c>
      <x:c r="AE1768" t="str">
        <x:f>IF(U1768&lt;&gt;"Open",U1768,IF(N1768&gt;=0.8,"Commit",IF(N1768&gt;=0.5,"Best Case","Pipeline")))</x:f>
        <x:v>Best Case</x:v>
      </x:c>
    </x:row>
    <x:row r="1769">
      <x:c r="A1769" t="str">
        <x:v>L01768</x:v>
      </x:c>
      <x:c r="B1769" s="10" t="n">
        <x:v>45676</x:v>
      </x:c>
      <x:c r="C1769" t="str">
        <x:v>Minh Do</x:v>
      </x:c>
      <x:c r="D1769" t="str">
        <x:v>North</x:v>
      </x:c>
      <x:c r="E1769" t="str">
        <x:v>Google Organic</x:v>
      </x:c>
      <x:c r="F1769" t="str">
        <x:v>REV-OPS</x:v>
      </x:c>
      <x:c r="G1769" t="str">
        <x:v>Technology</x:v>
      </x:c>
      <x:c r="H1769" t="str">
        <x:v>SMB</x:v>
      </x:c>
      <x:c r="I1769" t="str">
        <x:v>Closed Lost</x:v>
      </x:c>
      <x:c r="J1769" s="10" t="n">
        <x:v>45716</x:v>
      </x:c>
      <x:c r="K1769" s="10" t="n">
        <x:v>45716</x:v>
      </x:c>
      <x:c r="L1769" s="22" t="n">
        <x:v>26500</x:v>
      </x:c>
      <x:c r="M1769" s="24" t="n">
        <x:v>0</x:v>
      </x:c>
      <x:c r="N1769" s="24" t="n">
        <x:v>0</x:v>
      </x:c>
      <x:c r="O1769" t="str">
        <x:v>No Decision</x:v>
      </x:c>
      <x:c r="P1769" t="n">
        <x:v>2</x:v>
      </x:c>
      <x:c r="Q1769" t="str">
        <x:f>IFERROR(XLOOKUP(E1769,Lookups!$A$5:$A$24,Lookups!$B$5:$B$24),"Other")</x:f>
        <x:v>Organic Search</x:v>
      </x:c>
      <x:c r="R1769" t="str">
        <x:f>IFERROR(XLOOKUP(F1769,Lookups!$D$5:$D$10,Lookups!$E$5:$E$10),"Unknown Product")</x:f>
        <x:v>Revenue Operations Suite</x:v>
      </x:c>
      <x:c r="S1769" t="str">
        <x:f>IFERROR(XLOOKUP(F1769,Lookups!$D$5:$D$10,Lookups!$F$5:$F$10),"Unknown")</x:f>
        <x:v>Revenue Ops</x:v>
      </x:c>
      <x:c r="T1769" t="str">
        <x:f>IF(L1769&gt;=50000,"Enterprise",IF(L1769&gt;=20000,"Mid-Market","SMB"))</x:f>
        <x:v>Mid-Market</x:v>
      </x:c>
      <x:c r="U1769" t="str">
        <x:f>IF(I1769="Closed Won","Won",IF(I1769="Closed Lost","Lost","Open"))</x:f>
        <x:v>Lost</x:v>
      </x:c>
      <x:c r="V1769" s="22" t="n">
        <x:f>IF(U1769="Won",L1769*(1-M1769),0)</x:f>
        <x:v>0</x:v>
      </x:c>
      <x:c r="W1769" s="22" t="n">
        <x:f>IF(U1769="Open",L1769*N1769,0)</x:f>
        <x:v>0</x:v>
      </x:c>
      <x:c r="X1769" s="26" t="n">
        <x:f>IF(U1769="Open","",IFERROR(K1769-B1769,""))</x:f>
        <x:v>40</x:v>
      </x:c>
      <x:c r="Y1769" s="26" t="n">
        <x:f>IF(U1769="Open",Lookups!$B$2-B1769,X1769)</x:f>
        <x:v>40</x:v>
      </x:c>
      <x:c r="Z1769" t="str">
        <x:f>IF(AND(U1769="Open",Y1769&gt;30),"STALE","OK")</x:f>
        <x:v>OK</x:v>
      </x:c>
      <x:c r="AA1769" t="str">
        <x:f>TEXT(B1769,"yyyy-mm")</x:f>
        <x:v>2025-01</x:v>
      </x:c>
      <x:c r="AB1769" t="str">
        <x:f>IF(K1769="","",TEXT(K1769,"yyyy-mm"))</x:f>
        <x:v>2025-02</x:v>
      </x:c>
      <x:c r="AC1769" t="str">
        <x:f>"Q"&amp;ROUNDUP(MONTH(B1769)/3,0)&amp;"-"&amp;YEAR(B1769)</x:f>
        <x:v>Q1-2025</x:v>
      </x:c>
      <x:c r="AD1769" s="26" t="n">
        <x:f>MIN(100,IF(H1769="Enterprise",30,IF(H1769="Mid-Market",22,14))+IF(T1769="Enterprise",25,IF(T1769="Mid-Market",18,10))+IF(Q1769="Referral",25,IF(Q1769="Organic Search",20,IF(Q1769="Email",18,14)))+IF(G1769="Technology",10,5))</x:f>
        <x:v>62</x:v>
      </x:c>
      <x:c r="AE1769" t="str">
        <x:f>IF(U1769&lt;&gt;"Open",U1769,IF(N1769&gt;=0.8,"Commit",IF(N1769&gt;=0.5,"Best Case","Pipeline")))</x:f>
        <x:v>Lost</x:v>
      </x:c>
    </x:row>
    <x:row r="1770">
      <x:c r="A1770" t="str">
        <x:v>L01769</x:v>
      </x:c>
      <x:c r="B1770" s="10" t="n">
        <x:v>45783</x:v>
      </x:c>
      <x:c r="C1770" t="str">
        <x:v>Quynh Vu</x:v>
      </x:c>
      <x:c r="D1770" t="str">
        <x:v>North</x:v>
      </x:c>
      <x:c r="E1770" t="str">
        <x:v>SEO</x:v>
      </x:c>
      <x:c r="F1770" t="str">
        <x:v>CRM-PRO</x:v>
      </x:c>
      <x:c r="G1770" t="str">
        <x:v>Manufacturing</x:v>
      </x:c>
      <x:c r="H1770" t="str">
        <x:v>SMB</x:v>
      </x:c>
      <x:c r="I1770" t="str">
        <x:v>Closed Lost</x:v>
      </x:c>
      <x:c r="J1770" s="10" t="n">
        <x:v>45803</x:v>
      </x:c>
      <x:c r="K1770" s="10" t="n">
        <x:v>45803</x:v>
      </x:c>
      <x:c r="L1770" s="22" t="n">
        <x:v>17400</x:v>
      </x:c>
      <x:c r="M1770" s="24" t="n">
        <x:v>0</x:v>
      </x:c>
      <x:c r="N1770" s="24" t="n">
        <x:v>0</x:v>
      </x:c>
      <x:c r="O1770" t="str">
        <x:v>Budget</x:v>
      </x:c>
      <x:c r="P1770" t="n">
        <x:v>2</x:v>
      </x:c>
      <x:c r="Q1770" t="str">
        <x:f>IFERROR(XLOOKUP(E1770,Lookups!$A$5:$A$24,Lookups!$B$5:$B$24),"Other")</x:f>
        <x:v>Organic Search</x:v>
      </x:c>
      <x:c r="R1770" t="str">
        <x:f>IFERROR(XLOOKUP(F1770,Lookups!$D$5:$D$10,Lookups!$E$5:$E$10),"Unknown Product")</x:f>
        <x:v>NexaCRM Pro</x:v>
      </x:c>
      <x:c r="S1770" t="str">
        <x:f>IFERROR(XLOOKUP(F1770,Lookups!$D$5:$D$10,Lookups!$F$5:$F$10),"Unknown")</x:f>
        <x:v>CRM</x:v>
      </x:c>
      <x:c r="T1770" t="str">
        <x:f>IF(L1770&gt;=50000,"Enterprise",IF(L1770&gt;=20000,"Mid-Market","SMB"))</x:f>
        <x:v>SMB</x:v>
      </x:c>
      <x:c r="U1770" t="str">
        <x:f>IF(I1770="Closed Won","Won",IF(I1770="Closed Lost","Lost","Open"))</x:f>
        <x:v>Lost</x:v>
      </x:c>
      <x:c r="V1770" s="22" t="n">
        <x:f>IF(U1770="Won",L1770*(1-M1770),0)</x:f>
        <x:v>0</x:v>
      </x:c>
      <x:c r="W1770" s="22" t="n">
        <x:f>IF(U1770="Open",L1770*N1770,0)</x:f>
        <x:v>0</x:v>
      </x:c>
      <x:c r="X1770" s="26" t="n">
        <x:f>IF(U1770="Open","",IFERROR(K1770-B1770,""))</x:f>
        <x:v>20</x:v>
      </x:c>
      <x:c r="Y1770" s="26" t="n">
        <x:f>IF(U1770="Open",Lookups!$B$2-B1770,X1770)</x:f>
        <x:v>20</x:v>
      </x:c>
      <x:c r="Z1770" t="str">
        <x:f>IF(AND(U1770="Open",Y1770&gt;30),"STALE","OK")</x:f>
        <x:v>OK</x:v>
      </x:c>
      <x:c r="AA1770" t="str">
        <x:f>TEXT(B1770,"yyyy-mm")</x:f>
        <x:v>2025-05</x:v>
      </x:c>
      <x:c r="AB1770" t="str">
        <x:f>IF(K1770="","",TEXT(K1770,"yyyy-mm"))</x:f>
        <x:v>2025-05</x:v>
      </x:c>
      <x:c r="AC1770" t="str">
        <x:f>"Q"&amp;ROUNDUP(MONTH(B1770)/3,0)&amp;"-"&amp;YEAR(B1770)</x:f>
        <x:v>Q2-2025</x:v>
      </x:c>
      <x:c r="AD1770" s="26" t="n">
        <x:f>MIN(100,IF(H1770="Enterprise",30,IF(H1770="Mid-Market",22,14))+IF(T1770="Enterprise",25,IF(T1770="Mid-Market",18,10))+IF(Q1770="Referral",25,IF(Q1770="Organic Search",20,IF(Q1770="Email",18,14)))+IF(G1770="Technology",10,5))</x:f>
        <x:v>49</x:v>
      </x:c>
      <x:c r="AE1770" t="str">
        <x:f>IF(U1770&lt;&gt;"Open",U1770,IF(N1770&gt;=0.8,"Commit",IF(N1770&gt;=0.5,"Best Case","Pipeline")))</x:f>
        <x:v>Lost</x:v>
      </x:c>
    </x:row>
    <x:row r="1771">
      <x:c r="A1771" t="str">
        <x:v>L01770</x:v>
      </x:c>
      <x:c r="B1771" s="10" t="n">
        <x:v>45779</x:v>
      </x:c>
      <x:c r="C1771" t="str">
        <x:v>An Nguyen</x:v>
      </x:c>
      <x:c r="D1771" t="str">
        <x:v>South</x:v>
      </x:c>
      <x:c r="E1771" t="str">
        <x:v>Webinar</x:v>
      </x:c>
      <x:c r="F1771" t="str">
        <x:v>CS-CLOUD</x:v>
      </x:c>
      <x:c r="G1771" t="str">
        <x:v>Financial Services</x:v>
      </x:c>
      <x:c r="H1771" t="str">
        <x:v>Mid-Market</x:v>
      </x:c>
      <x:c r="I1771" t="str">
        <x:v>Closed Won</x:v>
      </x:c>
      <x:c r="J1771" s="10" t="n">
        <x:v>45791</x:v>
      </x:c>
      <x:c r="K1771" s="10" t="n">
        <x:v>45791</x:v>
      </x:c>
      <x:c r="L1771" s="22" t="n">
        <x:v>22600</x:v>
      </x:c>
      <x:c r="M1771" s="24" t="n">
        <x:v>0.05</x:v>
      </x:c>
      <x:c r="N1771" s="24" t="n">
        <x:v>1</x:v>
      </x:c>
      <x:c r="O1771" t="str"/>
      <x:c r="P1771" t="n">
        <x:v>6</x:v>
      </x:c>
      <x:c r="Q1771" t="str">
        <x:f>IFERROR(XLOOKUP(E1771,Lookups!$A$5:$A$24,Lookups!$B$5:$B$24),"Other")</x:f>
        <x:v>Webinar</x:v>
      </x:c>
      <x:c r="R1771" t="str">
        <x:f>IFERROR(XLOOKUP(F1771,Lookups!$D$5:$D$10,Lookups!$E$5:$E$10),"Unknown Product")</x:f>
        <x:v>Service Cloud</x:v>
      </x:c>
      <x:c r="S1771" t="str">
        <x:f>IFERROR(XLOOKUP(F1771,Lookups!$D$5:$D$10,Lookups!$F$5:$F$10),"Unknown")</x:f>
        <x:v>Customer Service</x:v>
      </x:c>
      <x:c r="T1771" t="str">
        <x:f>IF(L1771&gt;=50000,"Enterprise",IF(L1771&gt;=20000,"Mid-Market","SMB"))</x:f>
        <x:v>Mid-Market</x:v>
      </x:c>
      <x:c r="U1771" t="str">
        <x:f>IF(I1771="Closed Won","Won",IF(I1771="Closed Lost","Lost","Open"))</x:f>
        <x:v>Won</x:v>
      </x:c>
      <x:c r="V1771" s="22" t="n">
        <x:f>IF(U1771="Won",L1771*(1-M1771),0)</x:f>
        <x:v>21470</x:v>
      </x:c>
      <x:c r="W1771" s="22" t="n">
        <x:f>IF(U1771="Open",L1771*N1771,0)</x:f>
        <x:v>0</x:v>
      </x:c>
      <x:c r="X1771" s="26" t="n">
        <x:f>IF(U1771="Open","",IFERROR(K1771-B1771,""))</x:f>
        <x:v>12</x:v>
      </x:c>
      <x:c r="Y1771" s="26" t="n">
        <x:f>IF(U1771="Open",Lookups!$B$2-B1771,X1771)</x:f>
        <x:v>12</x:v>
      </x:c>
      <x:c r="Z1771" t="str">
        <x:f>IF(AND(U1771="Open",Y1771&gt;30),"STALE","OK")</x:f>
        <x:v>OK</x:v>
      </x:c>
      <x:c r="AA1771" t="str">
        <x:f>TEXT(B1771,"yyyy-mm")</x:f>
        <x:v>2025-05</x:v>
      </x:c>
      <x:c r="AB1771" t="str">
        <x:f>IF(K1771="","",TEXT(K1771,"yyyy-mm"))</x:f>
        <x:v>2025-05</x:v>
      </x:c>
      <x:c r="AC1771" t="str">
        <x:f>"Q"&amp;ROUNDUP(MONTH(B1771)/3,0)&amp;"-"&amp;YEAR(B1771)</x:f>
        <x:v>Q2-2025</x:v>
      </x:c>
      <x:c r="AD1771" s="26" t="n">
        <x:f>MIN(100,IF(H1771="Enterprise",30,IF(H1771="Mid-Market",22,14))+IF(T1771="Enterprise",25,IF(T1771="Mid-Market",18,10))+IF(Q1771="Referral",25,IF(Q1771="Organic Search",20,IF(Q1771="Email",18,14)))+IF(G1771="Technology",10,5))</x:f>
        <x:v>59</x:v>
      </x:c>
      <x:c r="AE1771" t="str">
        <x:f>IF(U1771&lt;&gt;"Open",U1771,IF(N1771&gt;=0.8,"Commit",IF(N1771&gt;=0.5,"Best Case","Pipeline")))</x:f>
        <x:v>Won</x:v>
      </x:c>
    </x:row>
    <x:row r="1772">
      <x:c r="A1772" t="str">
        <x:v>L01771</x:v>
      </x:c>
      <x:c r="B1772" s="10" t="n">
        <x:v>45768</x:v>
      </x:c>
      <x:c r="C1772" t="str">
        <x:v>Quynh Vu</x:v>
      </x:c>
      <x:c r="D1772" t="str">
        <x:v>North</x:v>
      </x:c>
      <x:c r="E1772" t="str">
        <x:v>email nurture</x:v>
      </x:c>
      <x:c r="F1772" t="str">
        <x:v>CRM-CORE</x:v>
      </x:c>
      <x:c r="G1772" t="str">
        <x:v>Healthcare</x:v>
      </x:c>
      <x:c r="H1772" t="str">
        <x:v>SMB</x:v>
      </x:c>
      <x:c r="I1772" t="str">
        <x:v>Closed Lost</x:v>
      </x:c>
      <x:c r="J1772" s="10" t="n">
        <x:v>45822</x:v>
      </x:c>
      <x:c r="K1772" s="10" t="n">
        <x:v>45822</x:v>
      </x:c>
      <x:c r="L1772" s="22" t="n">
        <x:v>9000</x:v>
      </x:c>
      <x:c r="M1772" s="24" t="n">
        <x:v>0</x:v>
      </x:c>
      <x:c r="N1772" s="24" t="n">
        <x:v>0</x:v>
      </x:c>
      <x:c r="O1772" t="str">
        <x:v>Competitor</x:v>
      </x:c>
      <x:c r="P1772" t="n">
        <x:v>4</x:v>
      </x:c>
      <x:c r="Q1772" t="str">
        <x:f>IFERROR(XLOOKUP(E1772,Lookups!$A$5:$A$24,Lookups!$B$5:$B$24),"Other")</x:f>
        <x:v>Email</x:v>
      </x:c>
      <x:c r="R1772" t="str">
        <x:f>IFERROR(XLOOKUP(F1772,Lookups!$D$5:$D$10,Lookups!$E$5:$E$10),"Unknown Product")</x:f>
        <x:v>NexaCRM Core</x:v>
      </x:c>
      <x:c r="S1772" t="str">
        <x:f>IFERROR(XLOOKUP(F1772,Lookups!$D$5:$D$10,Lookups!$F$5:$F$10),"Unknown")</x:f>
        <x:v>CRM</x:v>
      </x:c>
      <x:c r="T1772" t="str">
        <x:f>IF(L1772&gt;=50000,"Enterprise",IF(L1772&gt;=20000,"Mid-Market","SMB"))</x:f>
        <x:v>SMB</x:v>
      </x:c>
      <x:c r="U1772" t="str">
        <x:f>IF(I1772="Closed Won","Won",IF(I1772="Closed Lost","Lost","Open"))</x:f>
        <x:v>Lost</x:v>
      </x:c>
      <x:c r="V1772" s="22" t="n">
        <x:f>IF(U1772="Won",L1772*(1-M1772),0)</x:f>
        <x:v>0</x:v>
      </x:c>
      <x:c r="W1772" s="22" t="n">
        <x:f>IF(U1772="Open",L1772*N1772,0)</x:f>
        <x:v>0</x:v>
      </x:c>
      <x:c r="X1772" s="26" t="n">
        <x:f>IF(U1772="Open","",IFERROR(K1772-B1772,""))</x:f>
        <x:v>54</x:v>
      </x:c>
      <x:c r="Y1772" s="26" t="n">
        <x:f>IF(U1772="Open",Lookups!$B$2-B1772,X1772)</x:f>
        <x:v>54</x:v>
      </x:c>
      <x:c r="Z1772" t="str">
        <x:f>IF(AND(U1772="Open",Y1772&gt;30),"STALE","OK")</x:f>
        <x:v>OK</x:v>
      </x:c>
      <x:c r="AA1772" t="str">
        <x:f>TEXT(B1772,"yyyy-mm")</x:f>
        <x:v>2025-04</x:v>
      </x:c>
      <x:c r="AB1772" t="str">
        <x:f>IF(K1772="","",TEXT(K1772,"yyyy-mm"))</x:f>
        <x:v>2025-06</x:v>
      </x:c>
      <x:c r="AC1772" t="str">
        <x:f>"Q"&amp;ROUNDUP(MONTH(B1772)/3,0)&amp;"-"&amp;YEAR(B1772)</x:f>
        <x:v>Q2-2025</x:v>
      </x:c>
      <x:c r="AD1772" s="26" t="n">
        <x:f>MIN(100,IF(H1772="Enterprise",30,IF(H1772="Mid-Market",22,14))+IF(T1772="Enterprise",25,IF(T1772="Mid-Market",18,10))+IF(Q1772="Referral",25,IF(Q1772="Organic Search",20,IF(Q1772="Email",18,14)))+IF(G1772="Technology",10,5))</x:f>
        <x:v>47</x:v>
      </x:c>
      <x:c r="AE1772" t="str">
        <x:f>IF(U1772&lt;&gt;"Open",U1772,IF(N1772&gt;=0.8,"Commit",IF(N1772&gt;=0.5,"Best Case","Pipeline")))</x:f>
        <x:v>Lost</x:v>
      </x:c>
    </x:row>
    <x:row r="1773">
      <x:c r="A1773" t="str">
        <x:v>L01772</x:v>
      </x:c>
      <x:c r="B1773" s="10" t="n">
        <x:v>46031</x:v>
      </x:c>
      <x:c r="C1773" t="str">
        <x:v>Duy Pham</x:v>
      </x:c>
      <x:c r="D1773" t="str">
        <x:v>South</x:v>
      </x:c>
      <x:c r="E1773" t="str">
        <x:v>SDR Outreach</x:v>
      </x:c>
      <x:c r="F1773" t="str">
        <x:v>CRM-PRO</x:v>
      </x:c>
      <x:c r="G1773" t="str">
        <x:v>Retail</x:v>
      </x:c>
      <x:c r="H1773" t="str">
        <x:v>SMB</x:v>
      </x:c>
      <x:c r="I1773" t="str">
        <x:v>Closed Lost</x:v>
      </x:c>
      <x:c r="J1773" s="10" t="n">
        <x:v>46093</x:v>
      </x:c>
      <x:c r="K1773" s="10" t="n">
        <x:v>46093</x:v>
      </x:c>
      <x:c r="L1773" s="22" t="n">
        <x:v>22000</x:v>
      </x:c>
      <x:c r="M1773" s="24" t="n">
        <x:v>0</x:v>
      </x:c>
      <x:c r="N1773" s="24" t="n">
        <x:v>0</x:v>
      </x:c>
      <x:c r="O1773" t="str">
        <x:v>Budget</x:v>
      </x:c>
      <x:c r="P1773" t="n">
        <x:v>4</x:v>
      </x:c>
      <x:c r="Q1773" t="str">
        <x:f>IFERROR(XLOOKUP(E1773,Lookups!$A$5:$A$24,Lookups!$B$5:$B$24),"Other")</x:f>
        <x:v>Outbound</x:v>
      </x:c>
      <x:c r="R1773" t="str">
        <x:f>IFERROR(XLOOKUP(F1773,Lookups!$D$5:$D$10,Lookups!$E$5:$E$10),"Unknown Product")</x:f>
        <x:v>NexaCRM Pro</x:v>
      </x:c>
      <x:c r="S1773" t="str">
        <x:f>IFERROR(XLOOKUP(F1773,Lookups!$D$5:$D$10,Lookups!$F$5:$F$10),"Unknown")</x:f>
        <x:v>CRM</x:v>
      </x:c>
      <x:c r="T1773" t="str">
        <x:f>IF(L1773&gt;=50000,"Enterprise",IF(L1773&gt;=20000,"Mid-Market","SMB"))</x:f>
        <x:v>Mid-Market</x:v>
      </x:c>
      <x:c r="U1773" t="str">
        <x:f>IF(I1773="Closed Won","Won",IF(I1773="Closed Lost","Lost","Open"))</x:f>
        <x:v>Lost</x:v>
      </x:c>
      <x:c r="V1773" s="22" t="n">
        <x:f>IF(U1773="Won",L1773*(1-M1773),0)</x:f>
        <x:v>0</x:v>
      </x:c>
      <x:c r="W1773" s="22" t="n">
        <x:f>IF(U1773="Open",L1773*N1773,0)</x:f>
        <x:v>0</x:v>
      </x:c>
      <x:c r="X1773" s="26" t="n">
        <x:f>IF(U1773="Open","",IFERROR(K1773-B1773,""))</x:f>
        <x:v>62</x:v>
      </x:c>
      <x:c r="Y1773" s="26" t="n">
        <x:f>IF(U1773="Open",Lookups!$B$2-B1773,X1773)</x:f>
        <x:v>62</x:v>
      </x:c>
      <x:c r="Z1773" t="str">
        <x:f>IF(AND(U1773="Open",Y1773&gt;30),"STALE","OK")</x:f>
        <x:v>OK</x:v>
      </x:c>
      <x:c r="AA1773" t="str">
        <x:f>TEXT(B1773,"yyyy-mm")</x:f>
        <x:v>2026-01</x:v>
      </x:c>
      <x:c r="AB1773" t="str">
        <x:f>IF(K1773="","",TEXT(K1773,"yyyy-mm"))</x:f>
        <x:v>2026-03</x:v>
      </x:c>
      <x:c r="AC1773" t="str">
        <x:f>"Q"&amp;ROUNDUP(MONTH(B1773)/3,0)&amp;"-"&amp;YEAR(B1773)</x:f>
        <x:v>Q1-2026</x:v>
      </x:c>
      <x:c r="AD1773" s="26" t="n">
        <x:f>MIN(100,IF(H1773="Enterprise",30,IF(H1773="Mid-Market",22,14))+IF(T1773="Enterprise",25,IF(T1773="Mid-Market",18,10))+IF(Q1773="Referral",25,IF(Q1773="Organic Search",20,IF(Q1773="Email",18,14)))+IF(G1773="Technology",10,5))</x:f>
        <x:v>51</x:v>
      </x:c>
      <x:c r="AE1773" t="str">
        <x:f>IF(U1773&lt;&gt;"Open",U1773,IF(N1773&gt;=0.8,"Commit",IF(N1773&gt;=0.5,"Best Case","Pipeline")))</x:f>
        <x:v>Lost</x:v>
      </x:c>
    </x:row>
    <x:row r="1774">
      <x:c r="A1774" t="str">
        <x:v>L01773</x:v>
      </x:c>
      <x:c r="B1774" s="10" t="n">
        <x:v>45816</x:v>
      </x:c>
      <x:c r="C1774" t="str">
        <x:v>Minh Do</x:v>
      </x:c>
      <x:c r="D1774" t="str">
        <x:v>North</x:v>
      </x:c>
      <x:c r="E1774" t="str">
        <x:v>LI Ads</x:v>
      </x:c>
      <x:c r="F1774" t="str">
        <x:v>CS-CLOUD</x:v>
      </x:c>
      <x:c r="G1774" t="str">
        <x:v>Manufacturing</x:v>
      </x:c>
      <x:c r="H1774" t="str">
        <x:v>Mid-Market</x:v>
      </x:c>
      <x:c r="I1774" t="str">
        <x:v>Closed Lost</x:v>
      </x:c>
      <x:c r="J1774" s="10" t="n">
        <x:v>45861</x:v>
      </x:c>
      <x:c r="K1774" s="10" t="n">
        <x:v>45861</x:v>
      </x:c>
      <x:c r="L1774" s="22" t="n">
        <x:v>38400</x:v>
      </x:c>
      <x:c r="M1774" s="24" t="n">
        <x:v>0</x:v>
      </x:c>
      <x:c r="N1774" s="24" t="n">
        <x:v>0</x:v>
      </x:c>
      <x:c r="O1774" t="str">
        <x:v>Competitor</x:v>
      </x:c>
      <x:c r="P1774" t="n">
        <x:v>4</x:v>
      </x:c>
      <x:c r="Q1774" t="str">
        <x:f>IFERROR(XLOOKUP(E1774,Lookups!$A$5:$A$24,Lookups!$B$5:$B$24),"Other")</x:f>
        <x:v>LinkedIn</x:v>
      </x:c>
      <x:c r="R1774" t="str">
        <x:f>IFERROR(XLOOKUP(F1774,Lookups!$D$5:$D$10,Lookups!$E$5:$E$10),"Unknown Product")</x:f>
        <x:v>Service Cloud</x:v>
      </x:c>
      <x:c r="S1774" t="str">
        <x:f>IFERROR(XLOOKUP(F1774,Lookups!$D$5:$D$10,Lookups!$F$5:$F$10),"Unknown")</x:f>
        <x:v>Customer Service</x:v>
      </x:c>
      <x:c r="T1774" t="str">
        <x:f>IF(L1774&gt;=50000,"Enterprise",IF(L1774&gt;=20000,"Mid-Market","SMB"))</x:f>
        <x:v>Mid-Market</x:v>
      </x:c>
      <x:c r="U1774" t="str">
        <x:f>IF(I1774="Closed Won","Won",IF(I1774="Closed Lost","Lost","Open"))</x:f>
        <x:v>Lost</x:v>
      </x:c>
      <x:c r="V1774" s="22" t="n">
        <x:f>IF(U1774="Won",L1774*(1-M1774),0)</x:f>
        <x:v>0</x:v>
      </x:c>
      <x:c r="W1774" s="22" t="n">
        <x:f>IF(U1774="Open",L1774*N1774,0)</x:f>
        <x:v>0</x:v>
      </x:c>
      <x:c r="X1774" s="26" t="n">
        <x:f>IF(U1774="Open","",IFERROR(K1774-B1774,""))</x:f>
        <x:v>45</x:v>
      </x:c>
      <x:c r="Y1774" s="26" t="n">
        <x:f>IF(U1774="Open",Lookups!$B$2-B1774,X1774)</x:f>
        <x:v>45</x:v>
      </x:c>
      <x:c r="Z1774" t="str">
        <x:f>IF(AND(U1774="Open",Y1774&gt;30),"STALE","OK")</x:f>
        <x:v>OK</x:v>
      </x:c>
      <x:c r="AA1774" t="str">
        <x:f>TEXT(B1774,"yyyy-mm")</x:f>
        <x:v>2025-06</x:v>
      </x:c>
      <x:c r="AB1774" t="str">
        <x:f>IF(K1774="","",TEXT(K1774,"yyyy-mm"))</x:f>
        <x:v>2025-07</x:v>
      </x:c>
      <x:c r="AC1774" t="str">
        <x:f>"Q"&amp;ROUNDUP(MONTH(B1774)/3,0)&amp;"-"&amp;YEAR(B1774)</x:f>
        <x:v>Q2-2025</x:v>
      </x:c>
      <x:c r="AD1774" s="26" t="n">
        <x:f>MIN(100,IF(H1774="Enterprise",30,IF(H1774="Mid-Market",22,14))+IF(T1774="Enterprise",25,IF(T1774="Mid-Market",18,10))+IF(Q1774="Referral",25,IF(Q1774="Organic Search",20,IF(Q1774="Email",18,14)))+IF(G1774="Technology",10,5))</x:f>
        <x:v>59</x:v>
      </x:c>
      <x:c r="AE1774" t="str">
        <x:f>IF(U1774&lt;&gt;"Open",U1774,IF(N1774&gt;=0.8,"Commit",IF(N1774&gt;=0.5,"Best Case","Pipeline")))</x:f>
        <x:v>Lost</x:v>
      </x:c>
    </x:row>
    <x:row r="1775">
      <x:c r="A1775" t="str">
        <x:v>L01774</x:v>
      </x:c>
      <x:c r="B1775" s="10" t="n">
        <x:v>45986</x:v>
      </x:c>
      <x:c r="C1775" t="str">
        <x:v>Duy Pham</x:v>
      </x:c>
      <x:c r="D1775" t="str">
        <x:v>South</x:v>
      </x:c>
      <x:c r="E1775" t="str">
        <x:v>Google Ads</x:v>
      </x:c>
      <x:c r="F1775" t="str">
        <x:v>MKT-AUTO</x:v>
      </x:c>
      <x:c r="G1775" t="str">
        <x:v>Financial Services</x:v>
      </x:c>
      <x:c r="H1775" t="str">
        <x:v>Mid-Market</x:v>
      </x:c>
      <x:c r="I1775" t="str">
        <x:v>Closed Won</x:v>
      </x:c>
      <x:c r="J1775" s="10" t="n">
        <x:v>46060</x:v>
      </x:c>
      <x:c r="K1775" s="10" t="n">
        <x:v>46060</x:v>
      </x:c>
      <x:c r="L1775" s="22" t="n">
        <x:v>34500</x:v>
      </x:c>
      <x:c r="M1775" s="24" t="n">
        <x:v>0.05</x:v>
      </x:c>
      <x:c r="N1775" s="24" t="n">
        <x:v>1</x:v>
      </x:c>
      <x:c r="O1775" t="str"/>
      <x:c r="P1775" t="n">
        <x:v>6</x:v>
      </x:c>
      <x:c r="Q1775" t="str">
        <x:f>IFERROR(XLOOKUP(E1775,Lookups!$A$5:$A$24,Lookups!$B$5:$B$24),"Other")</x:f>
        <x:v>Paid Search</x:v>
      </x:c>
      <x:c r="R1775" t="str">
        <x:f>IFERROR(XLOOKUP(F1775,Lookups!$D$5:$D$10,Lookups!$E$5:$E$10),"Unknown Product")</x:f>
        <x:v>Marketing Automation</x:v>
      </x:c>
      <x:c r="S1775" t="str">
        <x:f>IFERROR(XLOOKUP(F1775,Lookups!$D$5:$D$10,Lookups!$F$5:$F$10),"Unknown")</x:f>
        <x:v>Marketing</x:v>
      </x:c>
      <x:c r="T1775" t="str">
        <x:f>IF(L1775&gt;=50000,"Enterprise",IF(L1775&gt;=20000,"Mid-Market","SMB"))</x:f>
        <x:v>Mid-Market</x:v>
      </x:c>
      <x:c r="U1775" t="str">
        <x:f>IF(I1775="Closed Won","Won",IF(I1775="Closed Lost","Lost","Open"))</x:f>
        <x:v>Won</x:v>
      </x:c>
      <x:c r="V1775" s="22" t="n">
        <x:f>IF(U1775="Won",L1775*(1-M1775),0)</x:f>
        <x:v>32775</x:v>
      </x:c>
      <x:c r="W1775" s="22" t="n">
        <x:f>IF(U1775="Open",L1775*N1775,0)</x:f>
        <x:v>0</x:v>
      </x:c>
      <x:c r="X1775" s="26" t="n">
        <x:f>IF(U1775="Open","",IFERROR(K1775-B1775,""))</x:f>
        <x:v>74</x:v>
      </x:c>
      <x:c r="Y1775" s="26" t="n">
        <x:f>IF(U1775="Open",Lookups!$B$2-B1775,X1775)</x:f>
        <x:v>74</x:v>
      </x:c>
      <x:c r="Z1775" t="str">
        <x:f>IF(AND(U1775="Open",Y1775&gt;30),"STALE","OK")</x:f>
        <x:v>OK</x:v>
      </x:c>
      <x:c r="AA1775" t="str">
        <x:f>TEXT(B1775,"yyyy-mm")</x:f>
        <x:v>2025-11</x:v>
      </x:c>
      <x:c r="AB1775" t="str">
        <x:f>IF(K1775="","",TEXT(K1775,"yyyy-mm"))</x:f>
        <x:v>2026-02</x:v>
      </x:c>
      <x:c r="AC1775" t="str">
        <x:f>"Q"&amp;ROUNDUP(MONTH(B1775)/3,0)&amp;"-"&amp;YEAR(B1775)</x:f>
        <x:v>Q4-2025</x:v>
      </x:c>
      <x:c r="AD1775" s="26" t="n">
        <x:f>MIN(100,IF(H1775="Enterprise",30,IF(H1775="Mid-Market",22,14))+IF(T1775="Enterprise",25,IF(T1775="Mid-Market",18,10))+IF(Q1775="Referral",25,IF(Q1775="Organic Search",20,IF(Q1775="Email",18,14)))+IF(G1775="Technology",10,5))</x:f>
        <x:v>59</x:v>
      </x:c>
      <x:c r="AE1775" t="str">
        <x:f>IF(U1775&lt;&gt;"Open",U1775,IF(N1775&gt;=0.8,"Commit",IF(N1775&gt;=0.5,"Best Case","Pipeline")))</x:f>
        <x:v>Won</x:v>
      </x:c>
    </x:row>
    <x:row r="1776">
      <x:c r="A1776" t="str">
        <x:v>L01775</x:v>
      </x:c>
      <x:c r="B1776" s="10" t="n">
        <x:v>45859</x:v>
      </x:c>
      <x:c r="C1776" t="str">
        <x:v>Ha Vo</x:v>
      </x:c>
      <x:c r="D1776" t="str">
        <x:v>North</x:v>
      </x:c>
      <x:c r="E1776" t="str">
        <x:v>google cpc</x:v>
      </x:c>
      <x:c r="F1776" t="str">
        <x:v>BI-PLUS</x:v>
      </x:c>
      <x:c r="G1776" t="str">
        <x:v>Professional Services</x:v>
      </x:c>
      <x:c r="H1776" t="str">
        <x:v>SMB</x:v>
      </x:c>
      <x:c r="I1776" t="str">
        <x:v>Closed Won</x:v>
      </x:c>
      <x:c r="J1776" s="10" t="n">
        <x:v>45930</x:v>
      </x:c>
      <x:c r="K1776" s="10" t="n">
        <x:v>45930</x:v>
      </x:c>
      <x:c r="L1776" s="22" t="n">
        <x:v>25300</x:v>
      </x:c>
      <x:c r="M1776" s="24" t="n">
        <x:v>0.08</x:v>
      </x:c>
      <x:c r="N1776" s="24" t="n">
        <x:v>1</x:v>
      </x:c>
      <x:c r="O1776" t="str"/>
      <x:c r="P1776" t="n">
        <x:v>6</x:v>
      </x:c>
      <x:c r="Q1776" t="str">
        <x:f>IFERROR(XLOOKUP(E1776,Lookups!$A$5:$A$24,Lookups!$B$5:$B$24),"Other")</x:f>
        <x:v>Paid Search</x:v>
      </x:c>
      <x:c r="R1776" t="str">
        <x:f>IFERROR(XLOOKUP(F1776,Lookups!$D$5:$D$10,Lookups!$E$5:$E$10),"Unknown Product")</x:f>
        <x:v>Analytics Plus</x:v>
      </x:c>
      <x:c r="S1776" t="str">
        <x:f>IFERROR(XLOOKUP(F1776,Lookups!$D$5:$D$10,Lookups!$F$5:$F$10),"Unknown")</x:f>
        <x:v>Analytics</x:v>
      </x:c>
      <x:c r="T1776" t="str">
        <x:f>IF(L1776&gt;=50000,"Enterprise",IF(L1776&gt;=20000,"Mid-Market","SMB"))</x:f>
        <x:v>Mid-Market</x:v>
      </x:c>
      <x:c r="U1776" t="str">
        <x:f>IF(I1776="Closed Won","Won",IF(I1776="Closed Lost","Lost","Open"))</x:f>
        <x:v>Won</x:v>
      </x:c>
      <x:c r="V1776" s="22" t="n">
        <x:f>IF(U1776="Won",L1776*(1-M1776),0)</x:f>
        <x:v>23276</x:v>
      </x:c>
      <x:c r="W1776" s="22" t="n">
        <x:f>IF(U1776="Open",L1776*N1776,0)</x:f>
        <x:v>0</x:v>
      </x:c>
      <x:c r="X1776" s="26" t="n">
        <x:f>IF(U1776="Open","",IFERROR(K1776-B1776,""))</x:f>
        <x:v>71</x:v>
      </x:c>
      <x:c r="Y1776" s="26" t="n">
        <x:f>IF(U1776="Open",Lookups!$B$2-B1776,X1776)</x:f>
        <x:v>71</x:v>
      </x:c>
      <x:c r="Z1776" t="str">
        <x:f>IF(AND(U1776="Open",Y1776&gt;30),"STALE","OK")</x:f>
        <x:v>OK</x:v>
      </x:c>
      <x:c r="AA1776" t="str">
        <x:f>TEXT(B1776,"yyyy-mm")</x:f>
        <x:v>2025-07</x:v>
      </x:c>
      <x:c r="AB1776" t="str">
        <x:f>IF(K1776="","",TEXT(K1776,"yyyy-mm"))</x:f>
        <x:v>2025-09</x:v>
      </x:c>
      <x:c r="AC1776" t="str">
        <x:f>"Q"&amp;ROUNDUP(MONTH(B1776)/3,0)&amp;"-"&amp;YEAR(B1776)</x:f>
        <x:v>Q3-2025</x:v>
      </x:c>
      <x:c r="AD1776" s="26" t="n">
        <x:f>MIN(100,IF(H1776="Enterprise",30,IF(H1776="Mid-Market",22,14))+IF(T1776="Enterprise",25,IF(T1776="Mid-Market",18,10))+IF(Q1776="Referral",25,IF(Q1776="Organic Search",20,IF(Q1776="Email",18,14)))+IF(G1776="Technology",10,5))</x:f>
        <x:v>51</x:v>
      </x:c>
      <x:c r="AE1776" t="str">
        <x:f>IF(U1776&lt;&gt;"Open",U1776,IF(N1776&gt;=0.8,"Commit",IF(N1776&gt;=0.5,"Best Case","Pipeline")))</x:f>
        <x:v>Won</x:v>
      </x:c>
    </x:row>
    <x:row r="1777">
      <x:c r="A1777" t="str">
        <x:v>L01776</x:v>
      </x:c>
      <x:c r="B1777" s="10" t="n">
        <x:v>46039</x:v>
      </x:c>
      <x:c r="C1777" t="str">
        <x:v>Quynh Vu</x:v>
      </x:c>
      <x:c r="D1777" t="str">
        <x:v>North</x:v>
      </x:c>
      <x:c r="E1777" t="str">
        <x:v>SEM - Google</x:v>
      </x:c>
      <x:c r="F1777" t="str">
        <x:v>MKT-AUTO</x:v>
      </x:c>
      <x:c r="G1777" t="str">
        <x:v>Financial Services</x:v>
      </x:c>
      <x:c r="H1777" t="str">
        <x:v>Mid-Market</x:v>
      </x:c>
      <x:c r="I1777" t="str">
        <x:v>Closed Lost</x:v>
      </x:c>
      <x:c r="J1777" s="10" t="n">
        <x:v>46104</x:v>
      </x:c>
      <x:c r="K1777" s="10" t="n">
        <x:v>46104</x:v>
      </x:c>
      <x:c r="L1777" s="22" t="n">
        <x:v>34600</x:v>
      </x:c>
      <x:c r="M1777" s="24" t="n">
        <x:v>0</x:v>
      </x:c>
      <x:c r="N1777" s="24" t="n">
        <x:v>0</x:v>
      </x:c>
      <x:c r="O1777" t="str">
        <x:v>No Decision</x:v>
      </x:c>
      <x:c r="P1777" t="n">
        <x:v>4</x:v>
      </x:c>
      <x:c r="Q1777" t="str">
        <x:f>IFERROR(XLOOKUP(E1777,Lookups!$A$5:$A$24,Lookups!$B$5:$B$24),"Other")</x:f>
        <x:v>Paid Search</x:v>
      </x:c>
      <x:c r="R1777" t="str">
        <x:f>IFERROR(XLOOKUP(F1777,Lookups!$D$5:$D$10,Lookups!$E$5:$E$10),"Unknown Product")</x:f>
        <x:v>Marketing Automation</x:v>
      </x:c>
      <x:c r="S1777" t="str">
        <x:f>IFERROR(XLOOKUP(F1777,Lookups!$D$5:$D$10,Lookups!$F$5:$F$10),"Unknown")</x:f>
        <x:v>Marketing</x:v>
      </x:c>
      <x:c r="T1777" t="str">
        <x:f>IF(L1777&gt;=50000,"Enterprise",IF(L1777&gt;=20000,"Mid-Market","SMB"))</x:f>
        <x:v>Mid-Market</x:v>
      </x:c>
      <x:c r="U1777" t="str">
        <x:f>IF(I1777="Closed Won","Won",IF(I1777="Closed Lost","Lost","Open"))</x:f>
        <x:v>Lost</x:v>
      </x:c>
      <x:c r="V1777" s="22" t="n">
        <x:f>IF(U1777="Won",L1777*(1-M1777),0)</x:f>
        <x:v>0</x:v>
      </x:c>
      <x:c r="W1777" s="22" t="n">
        <x:f>IF(U1777="Open",L1777*N1777,0)</x:f>
        <x:v>0</x:v>
      </x:c>
      <x:c r="X1777" s="26" t="n">
        <x:f>IF(U1777="Open","",IFERROR(K1777-B1777,""))</x:f>
        <x:v>65</x:v>
      </x:c>
      <x:c r="Y1777" s="26" t="n">
        <x:f>IF(U1777="Open",Lookups!$B$2-B1777,X1777)</x:f>
        <x:v>65</x:v>
      </x:c>
      <x:c r="Z1777" t="str">
        <x:f>IF(AND(U1777="Open",Y1777&gt;30),"STALE","OK")</x:f>
        <x:v>OK</x:v>
      </x:c>
      <x:c r="AA1777" t="str">
        <x:f>TEXT(B1777,"yyyy-mm")</x:f>
        <x:v>2026-01</x:v>
      </x:c>
      <x:c r="AB1777" t="str">
        <x:f>IF(K1777="","",TEXT(K1777,"yyyy-mm"))</x:f>
        <x:v>2026-03</x:v>
      </x:c>
      <x:c r="AC1777" t="str">
        <x:f>"Q"&amp;ROUNDUP(MONTH(B1777)/3,0)&amp;"-"&amp;YEAR(B1777)</x:f>
        <x:v>Q1-2026</x:v>
      </x:c>
      <x:c r="AD1777" s="26" t="n">
        <x:f>MIN(100,IF(H1777="Enterprise",30,IF(H1777="Mid-Market",22,14))+IF(T1777="Enterprise",25,IF(T1777="Mid-Market",18,10))+IF(Q1777="Referral",25,IF(Q1777="Organic Search",20,IF(Q1777="Email",18,14)))+IF(G1777="Technology",10,5))</x:f>
        <x:v>59</x:v>
      </x:c>
      <x:c r="AE1777" t="str">
        <x:f>IF(U1777&lt;&gt;"Open",U1777,IF(N1777&gt;=0.8,"Commit",IF(N1777&gt;=0.5,"Best Case","Pipeline")))</x:f>
        <x:v>Lost</x:v>
      </x:c>
    </x:row>
    <x:row r="1778">
      <x:c r="A1778" t="str">
        <x:v>L01777</x:v>
      </x:c>
      <x:c r="B1778" s="10" t="n">
        <x:v>46111</x:v>
      </x:c>
      <x:c r="C1778" t="str">
        <x:v>Minh Do</x:v>
      </x:c>
      <x:c r="D1778" t="str">
        <x:v>North</x:v>
      </x:c>
      <x:c r="E1778" t="str">
        <x:v>Google Ads</x:v>
      </x:c>
      <x:c r="F1778" t="str">
        <x:v>MKT-AUTO</x:v>
      </x:c>
      <x:c r="G1778" t="str">
        <x:v>Retail</x:v>
      </x:c>
      <x:c r="H1778" t="str">
        <x:v>SMB</x:v>
      </x:c>
      <x:c r="I1778" t="str">
        <x:v>Closed Lost</x:v>
      </x:c>
      <x:c r="J1778" s="10" t="n">
        <x:v>46128</x:v>
      </x:c>
      <x:c r="K1778" s="10" t="n">
        <x:v>46128</x:v>
      </x:c>
      <x:c r="L1778" s="22" t="n">
        <x:v>19100</x:v>
      </x:c>
      <x:c r="M1778" s="24" t="n">
        <x:v>0</x:v>
      </x:c>
      <x:c r="N1778" s="24" t="n">
        <x:v>0</x:v>
      </x:c>
      <x:c r="O1778" t="str">
        <x:v>Timing</x:v>
      </x:c>
      <x:c r="P1778" t="n">
        <x:v>4</x:v>
      </x:c>
      <x:c r="Q1778" t="str">
        <x:f>IFERROR(XLOOKUP(E1778,Lookups!$A$5:$A$24,Lookups!$B$5:$B$24),"Other")</x:f>
        <x:v>Paid Search</x:v>
      </x:c>
      <x:c r="R1778" t="str">
        <x:f>IFERROR(XLOOKUP(F1778,Lookups!$D$5:$D$10,Lookups!$E$5:$E$10),"Unknown Product")</x:f>
        <x:v>Marketing Automation</x:v>
      </x:c>
      <x:c r="S1778" t="str">
        <x:f>IFERROR(XLOOKUP(F1778,Lookups!$D$5:$D$10,Lookups!$F$5:$F$10),"Unknown")</x:f>
        <x:v>Marketing</x:v>
      </x:c>
      <x:c r="T1778" t="str">
        <x:f>IF(L1778&gt;=50000,"Enterprise",IF(L1778&gt;=20000,"Mid-Market","SMB"))</x:f>
        <x:v>SMB</x:v>
      </x:c>
      <x:c r="U1778" t="str">
        <x:f>IF(I1778="Closed Won","Won",IF(I1778="Closed Lost","Lost","Open"))</x:f>
        <x:v>Lost</x:v>
      </x:c>
      <x:c r="V1778" s="22" t="n">
        <x:f>IF(U1778="Won",L1778*(1-M1778),0)</x:f>
        <x:v>0</x:v>
      </x:c>
      <x:c r="W1778" s="22" t="n">
        <x:f>IF(U1778="Open",L1778*N1778,0)</x:f>
        <x:v>0</x:v>
      </x:c>
      <x:c r="X1778" s="26" t="n">
        <x:f>IF(U1778="Open","",IFERROR(K1778-B1778,""))</x:f>
        <x:v>17</x:v>
      </x:c>
      <x:c r="Y1778" s="26" t="n">
        <x:f>IF(U1778="Open",Lookups!$B$2-B1778,X1778)</x:f>
        <x:v>17</x:v>
      </x:c>
      <x:c r="Z1778" t="str">
        <x:f>IF(AND(U1778="Open",Y1778&gt;30),"STALE","OK")</x:f>
        <x:v>OK</x:v>
      </x:c>
      <x:c r="AA1778" t="str">
        <x:f>TEXT(B1778,"yyyy-mm")</x:f>
        <x:v>2026-03</x:v>
      </x:c>
      <x:c r="AB1778" t="str">
        <x:f>IF(K1778="","",TEXT(K1778,"yyyy-mm"))</x:f>
        <x:v>2026-04</x:v>
      </x:c>
      <x:c r="AC1778" t="str">
        <x:f>"Q"&amp;ROUNDUP(MONTH(B1778)/3,0)&amp;"-"&amp;YEAR(B1778)</x:f>
        <x:v>Q1-2026</x:v>
      </x:c>
      <x:c r="AD1778" s="26" t="n">
        <x:f>MIN(100,IF(H1778="Enterprise",30,IF(H1778="Mid-Market",22,14))+IF(T1778="Enterprise",25,IF(T1778="Mid-Market",18,10))+IF(Q1778="Referral",25,IF(Q1778="Organic Search",20,IF(Q1778="Email",18,14)))+IF(G1778="Technology",10,5))</x:f>
        <x:v>43</x:v>
      </x:c>
      <x:c r="AE1778" t="str">
        <x:f>IF(U1778&lt;&gt;"Open",U1778,IF(N1778&gt;=0.8,"Commit",IF(N1778&gt;=0.5,"Best Case","Pipeline")))</x:f>
        <x:v>Lost</x:v>
      </x:c>
    </x:row>
    <x:row r="1779">
      <x:c r="A1779" t="str">
        <x:v>L01778</x:v>
      </x:c>
      <x:c r="B1779" s="10" t="n">
        <x:v>46134</x:v>
      </x:c>
      <x:c r="C1779" t="str">
        <x:v>Ha Vo</x:v>
      </x:c>
      <x:c r="D1779" t="str">
        <x:v>North</x:v>
      </x:c>
      <x:c r="E1779" t="str">
        <x:v>Webinar</x:v>
      </x:c>
      <x:c r="F1779" t="str">
        <x:v>CS-CLOUD</x:v>
      </x:c>
      <x:c r="G1779" t="str">
        <x:v>Healthcare</x:v>
      </x:c>
      <x:c r="H1779" t="str">
        <x:v>SMB</x:v>
      </x:c>
      <x:c r="I1779" t="str">
        <x:v>Closed Won</x:v>
      </x:c>
      <x:c r="J1779" s="10" t="n">
        <x:v>46187</x:v>
      </x:c>
      <x:c r="K1779" s="10" t="n">
        <x:v>46187</x:v>
      </x:c>
      <x:c r="L1779" s="22" t="n">
        <x:v>18600</x:v>
      </x:c>
      <x:c r="M1779" s="24" t="n">
        <x:v>0.08</x:v>
      </x:c>
      <x:c r="N1779" s="24" t="n">
        <x:v>1</x:v>
      </x:c>
      <x:c r="O1779" t="str"/>
      <x:c r="P1779" t="n">
        <x:v>6</x:v>
      </x:c>
      <x:c r="Q1779" t="str">
        <x:f>IFERROR(XLOOKUP(E1779,Lookups!$A$5:$A$24,Lookups!$B$5:$B$24),"Other")</x:f>
        <x:v>Webinar</x:v>
      </x:c>
      <x:c r="R1779" t="str">
        <x:f>IFERROR(XLOOKUP(F1779,Lookups!$D$5:$D$10,Lookups!$E$5:$E$10),"Unknown Product")</x:f>
        <x:v>Service Cloud</x:v>
      </x:c>
      <x:c r="S1779" t="str">
        <x:f>IFERROR(XLOOKUP(F1779,Lookups!$D$5:$D$10,Lookups!$F$5:$F$10),"Unknown")</x:f>
        <x:v>Customer Service</x:v>
      </x:c>
      <x:c r="T1779" t="str">
        <x:f>IF(L1779&gt;=50000,"Enterprise",IF(L1779&gt;=20000,"Mid-Market","SMB"))</x:f>
        <x:v>SMB</x:v>
      </x:c>
      <x:c r="U1779" t="str">
        <x:f>IF(I1779="Closed Won","Won",IF(I1779="Closed Lost","Lost","Open"))</x:f>
        <x:v>Won</x:v>
      </x:c>
      <x:c r="V1779" s="22" t="n">
        <x:f>IF(U1779="Won",L1779*(1-M1779),0)</x:f>
        <x:v>17112</x:v>
      </x:c>
      <x:c r="W1779" s="22" t="n">
        <x:f>IF(U1779="Open",L1779*N1779,0)</x:f>
        <x:v>0</x:v>
      </x:c>
      <x:c r="X1779" s="26" t="n">
        <x:f>IF(U1779="Open","",IFERROR(K1779-B1779,""))</x:f>
        <x:v>53</x:v>
      </x:c>
      <x:c r="Y1779" s="26" t="n">
        <x:f>IF(U1779="Open",Lookups!$B$2-B1779,X1779)</x:f>
        <x:v>53</x:v>
      </x:c>
      <x:c r="Z1779" t="str">
        <x:f>IF(AND(U1779="Open",Y1779&gt;30),"STALE","OK")</x:f>
        <x:v>OK</x:v>
      </x:c>
      <x:c r="AA1779" t="str">
        <x:f>TEXT(B1779,"yyyy-mm")</x:f>
        <x:v>2026-04</x:v>
      </x:c>
      <x:c r="AB1779" t="str">
        <x:f>IF(K1779="","",TEXT(K1779,"yyyy-mm"))</x:f>
        <x:v>2026-06</x:v>
      </x:c>
      <x:c r="AC1779" t="str">
        <x:f>"Q"&amp;ROUNDUP(MONTH(B1779)/3,0)&amp;"-"&amp;YEAR(B1779)</x:f>
        <x:v>Q2-2026</x:v>
      </x:c>
      <x:c r="AD1779" s="26" t="n">
        <x:f>MIN(100,IF(H1779="Enterprise",30,IF(H1779="Mid-Market",22,14))+IF(T1779="Enterprise",25,IF(T1779="Mid-Market",18,10))+IF(Q1779="Referral",25,IF(Q1779="Organic Search",20,IF(Q1779="Email",18,14)))+IF(G1779="Technology",10,5))</x:f>
        <x:v>43</x:v>
      </x:c>
      <x:c r="AE1779" t="str">
        <x:f>IF(U1779&lt;&gt;"Open",U1779,IF(N1779&gt;=0.8,"Commit",IF(N1779&gt;=0.5,"Best Case","Pipeline")))</x:f>
        <x:v>Won</x:v>
      </x:c>
    </x:row>
    <x:row r="1780">
      <x:c r="A1780" t="str">
        <x:v>L01779</x:v>
      </x:c>
      <x:c r="B1780" s="10" t="n">
        <x:v>45945</x:v>
      </x:c>
      <x:c r="C1780" t="str">
        <x:v>Bao Tran</x:v>
      </x:c>
      <x:c r="D1780" t="str">
        <x:v>South</x:v>
      </x:c>
      <x:c r="E1780" t="str">
        <x:v>Google Organic</x:v>
      </x:c>
      <x:c r="F1780" t="str">
        <x:v>BI-PLUS</x:v>
      </x:c>
      <x:c r="G1780" t="str">
        <x:v>Healthcare</x:v>
      </x:c>
      <x:c r="H1780" t="str">
        <x:v>SMB</x:v>
      </x:c>
      <x:c r="I1780" t="str">
        <x:v>Closed Lost</x:v>
      </x:c>
      <x:c r="J1780" s="10" t="n">
        <x:v>45990</x:v>
      </x:c>
      <x:c r="K1780" s="10" t="n">
        <x:v>45990</x:v>
      </x:c>
      <x:c r="L1780" s="22" t="n">
        <x:v>28100</x:v>
      </x:c>
      <x:c r="M1780" s="24" t="n">
        <x:v>0</x:v>
      </x:c>
      <x:c r="N1780" s="24" t="n">
        <x:v>0</x:v>
      </x:c>
      <x:c r="O1780" t="str">
        <x:v>Competitor</x:v>
      </x:c>
      <x:c r="P1780" t="n">
        <x:v>4</x:v>
      </x:c>
      <x:c r="Q1780" t="str">
        <x:f>IFERROR(XLOOKUP(E1780,Lookups!$A$5:$A$24,Lookups!$B$5:$B$24),"Other")</x:f>
        <x:v>Organic Search</x:v>
      </x:c>
      <x:c r="R1780" t="str">
        <x:f>IFERROR(XLOOKUP(F1780,Lookups!$D$5:$D$10,Lookups!$E$5:$E$10),"Unknown Product")</x:f>
        <x:v>Analytics Plus</x:v>
      </x:c>
      <x:c r="S1780" t="str">
        <x:f>IFERROR(XLOOKUP(F1780,Lookups!$D$5:$D$10,Lookups!$F$5:$F$10),"Unknown")</x:f>
        <x:v>Analytics</x:v>
      </x:c>
      <x:c r="T1780" t="str">
        <x:f>IF(L1780&gt;=50000,"Enterprise",IF(L1780&gt;=20000,"Mid-Market","SMB"))</x:f>
        <x:v>Mid-Market</x:v>
      </x:c>
      <x:c r="U1780" t="str">
        <x:f>IF(I1780="Closed Won","Won",IF(I1780="Closed Lost","Lost","Open"))</x:f>
        <x:v>Lost</x:v>
      </x:c>
      <x:c r="V1780" s="22" t="n">
        <x:f>IF(U1780="Won",L1780*(1-M1780),0)</x:f>
        <x:v>0</x:v>
      </x:c>
      <x:c r="W1780" s="22" t="n">
        <x:f>IF(U1780="Open",L1780*N1780,0)</x:f>
        <x:v>0</x:v>
      </x:c>
      <x:c r="X1780" s="26" t="n">
        <x:f>IF(U1780="Open","",IFERROR(K1780-B1780,""))</x:f>
        <x:v>45</x:v>
      </x:c>
      <x:c r="Y1780" s="26" t="n">
        <x:f>IF(U1780="Open",Lookups!$B$2-B1780,X1780)</x:f>
        <x:v>45</x:v>
      </x:c>
      <x:c r="Z1780" t="str">
        <x:f>IF(AND(U1780="Open",Y1780&gt;30),"STALE","OK")</x:f>
        <x:v>OK</x:v>
      </x:c>
      <x:c r="AA1780" t="str">
        <x:f>TEXT(B1780,"yyyy-mm")</x:f>
        <x:v>2025-10</x:v>
      </x:c>
      <x:c r="AB1780" t="str">
        <x:f>IF(K1780="","",TEXT(K1780,"yyyy-mm"))</x:f>
        <x:v>2025-11</x:v>
      </x:c>
      <x:c r="AC1780" t="str">
        <x:f>"Q"&amp;ROUNDUP(MONTH(B1780)/3,0)&amp;"-"&amp;YEAR(B1780)</x:f>
        <x:v>Q4-2025</x:v>
      </x:c>
      <x:c r="AD1780" s="26" t="n">
        <x:f>MIN(100,IF(H1780="Enterprise",30,IF(H1780="Mid-Market",22,14))+IF(T1780="Enterprise",25,IF(T1780="Mid-Market",18,10))+IF(Q1780="Referral",25,IF(Q1780="Organic Search",20,IF(Q1780="Email",18,14)))+IF(G1780="Technology",10,5))</x:f>
        <x:v>57</x:v>
      </x:c>
      <x:c r="AE1780" t="str">
        <x:f>IF(U1780&lt;&gt;"Open",U1780,IF(N1780&gt;=0.8,"Commit",IF(N1780&gt;=0.5,"Best Case","Pipeline")))</x:f>
        <x:v>Lost</x:v>
      </x:c>
    </x:row>
    <x:row r="1781">
      <x:c r="A1781" t="str">
        <x:v>L01780</x:v>
      </x:c>
      <x:c r="B1781" s="10" t="n">
        <x:v>45902</x:v>
      </x:c>
      <x:c r="C1781" t="str">
        <x:v>Quynh Vu</x:v>
      </x:c>
      <x:c r="D1781" t="str">
        <x:v>North</x:v>
      </x:c>
      <x:c r="E1781" t="str">
        <x:v>Partner Referral</x:v>
      </x:c>
      <x:c r="F1781" t="str">
        <x:v>CS-CLOUD</x:v>
      </x:c>
      <x:c r="G1781" t="str">
        <x:v>Manufacturing</x:v>
      </x:c>
      <x:c r="H1781" t="str">
        <x:v>Enterprise</x:v>
      </x:c>
      <x:c r="I1781" t="str">
        <x:v>Closed Lost</x:v>
      </x:c>
      <x:c r="J1781" s="10" t="n">
        <x:v>45951</x:v>
      </x:c>
      <x:c r="K1781" s="10" t="n">
        <x:v>45951</x:v>
      </x:c>
      <x:c r="L1781" s="22" t="n">
        <x:v>96300</x:v>
      </x:c>
      <x:c r="M1781" s="24" t="n">
        <x:v>0</x:v>
      </x:c>
      <x:c r="N1781" s="24" t="n">
        <x:v>0</x:v>
      </x:c>
      <x:c r="O1781" t="str">
        <x:v>No Decision</x:v>
      </x:c>
      <x:c r="P1781" t="n">
        <x:v>3</x:v>
      </x:c>
      <x:c r="Q1781" t="str">
        <x:f>IFERROR(XLOOKUP(E1781,Lookups!$A$5:$A$24,Lookups!$B$5:$B$24),"Other")</x:f>
        <x:v>Referral</x:v>
      </x:c>
      <x:c r="R1781" t="str">
        <x:f>IFERROR(XLOOKUP(F1781,Lookups!$D$5:$D$10,Lookups!$E$5:$E$10),"Unknown Product")</x:f>
        <x:v>Service Cloud</x:v>
      </x:c>
      <x:c r="S1781" t="str">
        <x:f>IFERROR(XLOOKUP(F1781,Lookups!$D$5:$D$10,Lookups!$F$5:$F$10),"Unknown")</x:f>
        <x:v>Customer Service</x:v>
      </x:c>
      <x:c r="T1781" t="str">
        <x:f>IF(L1781&gt;=50000,"Enterprise",IF(L1781&gt;=20000,"Mid-Market","SMB"))</x:f>
        <x:v>Enterprise</x:v>
      </x:c>
      <x:c r="U1781" t="str">
        <x:f>IF(I1781="Closed Won","Won",IF(I1781="Closed Lost","Lost","Open"))</x:f>
        <x:v>Lost</x:v>
      </x:c>
      <x:c r="V1781" s="22" t="n">
        <x:f>IF(U1781="Won",L1781*(1-M1781),0)</x:f>
        <x:v>0</x:v>
      </x:c>
      <x:c r="W1781" s="22" t="n">
        <x:f>IF(U1781="Open",L1781*N1781,0)</x:f>
        <x:v>0</x:v>
      </x:c>
      <x:c r="X1781" s="26" t="n">
        <x:f>IF(U1781="Open","",IFERROR(K1781-B1781,""))</x:f>
        <x:v>49</x:v>
      </x:c>
      <x:c r="Y1781" s="26" t="n">
        <x:f>IF(U1781="Open",Lookups!$B$2-B1781,X1781)</x:f>
        <x:v>49</x:v>
      </x:c>
      <x:c r="Z1781" t="str">
        <x:f>IF(AND(U1781="Open",Y1781&gt;30),"STALE","OK")</x:f>
        <x:v>OK</x:v>
      </x:c>
      <x:c r="AA1781" t="str">
        <x:f>TEXT(B1781,"yyyy-mm")</x:f>
        <x:v>2025-09</x:v>
      </x:c>
      <x:c r="AB1781" t="str">
        <x:f>IF(K1781="","",TEXT(K1781,"yyyy-mm"))</x:f>
        <x:v>2025-10</x:v>
      </x:c>
      <x:c r="AC1781" t="str">
        <x:f>"Q"&amp;ROUNDUP(MONTH(B1781)/3,0)&amp;"-"&amp;YEAR(B1781)</x:f>
        <x:v>Q3-2025</x:v>
      </x:c>
      <x:c r="AD1781" s="26" t="n">
        <x:f>MIN(100,IF(H1781="Enterprise",30,IF(H1781="Mid-Market",22,14))+IF(T1781="Enterprise",25,IF(T1781="Mid-Market",18,10))+IF(Q1781="Referral",25,IF(Q1781="Organic Search",20,IF(Q1781="Email",18,14)))+IF(G1781="Technology",10,5))</x:f>
        <x:v>85</x:v>
      </x:c>
      <x:c r="AE1781" t="str">
        <x:f>IF(U1781&lt;&gt;"Open",U1781,IF(N1781&gt;=0.8,"Commit",IF(N1781&gt;=0.5,"Best Case","Pipeline")))</x:f>
        <x:v>Lost</x:v>
      </x:c>
    </x:row>
    <x:row r="1782">
      <x:c r="A1782" t="str">
        <x:v>L01781</x:v>
      </x:c>
      <x:c r="B1782" s="10" t="n">
        <x:v>45918</x:v>
      </x:c>
      <x:c r="C1782" t="str">
        <x:v>Ha Vo</x:v>
      </x:c>
      <x:c r="D1782" t="str">
        <x:v>North</x:v>
      </x:c>
      <x:c r="E1782" t="str">
        <x:v>Google Ads</x:v>
      </x:c>
      <x:c r="F1782" t="str">
        <x:v>CS-CLOUD</x:v>
      </x:c>
      <x:c r="G1782" t="str">
        <x:v>Retail</x:v>
      </x:c>
      <x:c r="H1782" t="str">
        <x:v>SMB</x:v>
      </x:c>
      <x:c r="I1782" t="str">
        <x:v>Closed Won</x:v>
      </x:c>
      <x:c r="J1782" s="10" t="n">
        <x:v>45986</x:v>
      </x:c>
      <x:c r="K1782" s="10" t="n">
        <x:v>45986</x:v>
      </x:c>
      <x:c r="L1782" s="22" t="n">
        <x:v>13400</x:v>
      </x:c>
      <x:c r="M1782" s="24" t="n">
        <x:v>0</x:v>
      </x:c>
      <x:c r="N1782" s="24" t="n">
        <x:v>1</x:v>
      </x:c>
      <x:c r="O1782" t="str"/>
      <x:c r="P1782" t="n">
        <x:v>6</x:v>
      </x:c>
      <x:c r="Q1782" t="str">
        <x:f>IFERROR(XLOOKUP(E1782,Lookups!$A$5:$A$24,Lookups!$B$5:$B$24),"Other")</x:f>
        <x:v>Paid Search</x:v>
      </x:c>
      <x:c r="R1782" t="str">
        <x:f>IFERROR(XLOOKUP(F1782,Lookups!$D$5:$D$10,Lookups!$E$5:$E$10),"Unknown Product")</x:f>
        <x:v>Service Cloud</x:v>
      </x:c>
      <x:c r="S1782" t="str">
        <x:f>IFERROR(XLOOKUP(F1782,Lookups!$D$5:$D$10,Lookups!$F$5:$F$10),"Unknown")</x:f>
        <x:v>Customer Service</x:v>
      </x:c>
      <x:c r="T1782" t="str">
        <x:f>IF(L1782&gt;=50000,"Enterprise",IF(L1782&gt;=20000,"Mid-Market","SMB"))</x:f>
        <x:v>SMB</x:v>
      </x:c>
      <x:c r="U1782" t="str">
        <x:f>IF(I1782="Closed Won","Won",IF(I1782="Closed Lost","Lost","Open"))</x:f>
        <x:v>Won</x:v>
      </x:c>
      <x:c r="V1782" s="22" t="n">
        <x:f>IF(U1782="Won",L1782*(1-M1782),0)</x:f>
        <x:v>13400</x:v>
      </x:c>
      <x:c r="W1782" s="22" t="n">
        <x:f>IF(U1782="Open",L1782*N1782,0)</x:f>
        <x:v>0</x:v>
      </x:c>
      <x:c r="X1782" s="26" t="n">
        <x:f>IF(U1782="Open","",IFERROR(K1782-B1782,""))</x:f>
        <x:v>68</x:v>
      </x:c>
      <x:c r="Y1782" s="26" t="n">
        <x:f>IF(U1782="Open",Lookups!$B$2-B1782,X1782)</x:f>
        <x:v>68</x:v>
      </x:c>
      <x:c r="Z1782" t="str">
        <x:f>IF(AND(U1782="Open",Y1782&gt;30),"STALE","OK")</x:f>
        <x:v>OK</x:v>
      </x:c>
      <x:c r="AA1782" t="str">
        <x:f>TEXT(B1782,"yyyy-mm")</x:f>
        <x:v>2025-09</x:v>
      </x:c>
      <x:c r="AB1782" t="str">
        <x:f>IF(K1782="","",TEXT(K1782,"yyyy-mm"))</x:f>
        <x:v>2025-11</x:v>
      </x:c>
      <x:c r="AC1782" t="str">
        <x:f>"Q"&amp;ROUNDUP(MONTH(B1782)/3,0)&amp;"-"&amp;YEAR(B1782)</x:f>
        <x:v>Q3-2025</x:v>
      </x:c>
      <x:c r="AD1782" s="26" t="n">
        <x:f>MIN(100,IF(H1782="Enterprise",30,IF(H1782="Mid-Market",22,14))+IF(T1782="Enterprise",25,IF(T1782="Mid-Market",18,10))+IF(Q1782="Referral",25,IF(Q1782="Organic Search",20,IF(Q1782="Email",18,14)))+IF(G1782="Technology",10,5))</x:f>
        <x:v>43</x:v>
      </x:c>
      <x:c r="AE1782" t="str">
        <x:f>IF(U1782&lt;&gt;"Open",U1782,IF(N1782&gt;=0.8,"Commit",IF(N1782&gt;=0.5,"Best Case","Pipeline")))</x:f>
        <x:v>Won</x:v>
      </x:c>
    </x:row>
    <x:row r="1783">
      <x:c r="A1783" t="str">
        <x:v>L01782</x:v>
      </x:c>
      <x:c r="B1783" s="10" t="n">
        <x:v>46005</x:v>
      </x:c>
      <x:c r="C1783" t="str">
        <x:v>Quynh Vu</x:v>
      </x:c>
      <x:c r="D1783" t="str">
        <x:v>North</x:v>
      </x:c>
      <x:c r="E1783" t="str">
        <x:v>email nurture</x:v>
      </x:c>
      <x:c r="F1783" t="str">
        <x:v>CS-CLOUD</x:v>
      </x:c>
      <x:c r="G1783" t="str">
        <x:v>Retail</x:v>
      </x:c>
      <x:c r="H1783" t="str">
        <x:v>SMB</x:v>
      </x:c>
      <x:c r="I1783" t="str">
        <x:v>Closed Won</x:v>
      </x:c>
      <x:c r="J1783" s="10" t="n">
        <x:v>46058</x:v>
      </x:c>
      <x:c r="K1783" s="10" t="n">
        <x:v>46058</x:v>
      </x:c>
      <x:c r="L1783" s="22" t="n">
        <x:v>13800</x:v>
      </x:c>
      <x:c r="M1783" s="24" t="n">
        <x:v>0</x:v>
      </x:c>
      <x:c r="N1783" s="24" t="n">
        <x:v>1</x:v>
      </x:c>
      <x:c r="O1783" t="str"/>
      <x:c r="P1783" t="n">
        <x:v>6</x:v>
      </x:c>
      <x:c r="Q1783" t="str">
        <x:f>IFERROR(XLOOKUP(E1783,Lookups!$A$5:$A$24,Lookups!$B$5:$B$24),"Other")</x:f>
        <x:v>Email</x:v>
      </x:c>
      <x:c r="R1783" t="str">
        <x:f>IFERROR(XLOOKUP(F1783,Lookups!$D$5:$D$10,Lookups!$E$5:$E$10),"Unknown Product")</x:f>
        <x:v>Service Cloud</x:v>
      </x:c>
      <x:c r="S1783" t="str">
        <x:f>IFERROR(XLOOKUP(F1783,Lookups!$D$5:$D$10,Lookups!$F$5:$F$10),"Unknown")</x:f>
        <x:v>Customer Service</x:v>
      </x:c>
      <x:c r="T1783" t="str">
        <x:f>IF(L1783&gt;=50000,"Enterprise",IF(L1783&gt;=20000,"Mid-Market","SMB"))</x:f>
        <x:v>SMB</x:v>
      </x:c>
      <x:c r="U1783" t="str">
        <x:f>IF(I1783="Closed Won","Won",IF(I1783="Closed Lost","Lost","Open"))</x:f>
        <x:v>Won</x:v>
      </x:c>
      <x:c r="V1783" s="22" t="n">
        <x:f>IF(U1783="Won",L1783*(1-M1783),0)</x:f>
        <x:v>13800</x:v>
      </x:c>
      <x:c r="W1783" s="22" t="n">
        <x:f>IF(U1783="Open",L1783*N1783,0)</x:f>
        <x:v>0</x:v>
      </x:c>
      <x:c r="X1783" s="26" t="n">
        <x:f>IF(U1783="Open","",IFERROR(K1783-B1783,""))</x:f>
        <x:v>53</x:v>
      </x:c>
      <x:c r="Y1783" s="26" t="n">
        <x:f>IF(U1783="Open",Lookups!$B$2-B1783,X1783)</x:f>
        <x:v>53</x:v>
      </x:c>
      <x:c r="Z1783" t="str">
        <x:f>IF(AND(U1783="Open",Y1783&gt;30),"STALE","OK")</x:f>
        <x:v>OK</x:v>
      </x:c>
      <x:c r="AA1783" t="str">
        <x:f>TEXT(B1783,"yyyy-mm")</x:f>
        <x:v>2025-12</x:v>
      </x:c>
      <x:c r="AB1783" t="str">
        <x:f>IF(K1783="","",TEXT(K1783,"yyyy-mm"))</x:f>
        <x:v>2026-02</x:v>
      </x:c>
      <x:c r="AC1783" t="str">
        <x:f>"Q"&amp;ROUNDUP(MONTH(B1783)/3,0)&amp;"-"&amp;YEAR(B1783)</x:f>
        <x:v>Q4-2025</x:v>
      </x:c>
      <x:c r="AD1783" s="26" t="n">
        <x:f>MIN(100,IF(H1783="Enterprise",30,IF(H1783="Mid-Market",22,14))+IF(T1783="Enterprise",25,IF(T1783="Mid-Market",18,10))+IF(Q1783="Referral",25,IF(Q1783="Organic Search",20,IF(Q1783="Email",18,14)))+IF(G1783="Technology",10,5))</x:f>
        <x:v>47</x:v>
      </x:c>
      <x:c r="AE1783" t="str">
        <x:f>IF(U1783&lt;&gt;"Open",U1783,IF(N1783&gt;=0.8,"Commit",IF(N1783&gt;=0.5,"Best Case","Pipeline")))</x:f>
        <x:v>Won</x:v>
      </x:c>
    </x:row>
    <x:row r="1784">
      <x:c r="A1784" t="str">
        <x:v>L01783</x:v>
      </x:c>
      <x:c r="B1784" s="10" t="n">
        <x:v>45910</x:v>
      </x:c>
      <x:c r="C1784" t="str">
        <x:v>Duy Pham</x:v>
      </x:c>
      <x:c r="D1784" t="str">
        <x:v>South</x:v>
      </x:c>
      <x:c r="E1784" t="str">
        <x:v>linkedin</x:v>
      </x:c>
      <x:c r="F1784" t="str">
        <x:v>CS-CLOUD</x:v>
      </x:c>
      <x:c r="G1784" t="str">
        <x:v>Manufacturing</x:v>
      </x:c>
      <x:c r="H1784" t="str">
        <x:v>Mid-Market</x:v>
      </x:c>
      <x:c r="I1784" t="str">
        <x:v>Closed Won</x:v>
      </x:c>
      <x:c r="J1784" s="10" t="n">
        <x:v>45977</x:v>
      </x:c>
      <x:c r="K1784" s="10" t="n">
        <x:v>45977</x:v>
      </x:c>
      <x:c r="L1784" s="22" t="n">
        <x:v>49300</x:v>
      </x:c>
      <x:c r="M1784" s="24" t="n">
        <x:v>0</x:v>
      </x:c>
      <x:c r="N1784" s="24" t="n">
        <x:v>1</x:v>
      </x:c>
      <x:c r="O1784" t="str"/>
      <x:c r="P1784" t="n">
        <x:v>6</x:v>
      </x:c>
      <x:c r="Q1784" t="str">
        <x:f>IFERROR(XLOOKUP(E1784,Lookups!$A$5:$A$24,Lookups!$B$5:$B$24),"Other")</x:f>
        <x:v>LinkedIn</x:v>
      </x:c>
      <x:c r="R1784" t="str">
        <x:f>IFERROR(XLOOKUP(F1784,Lookups!$D$5:$D$10,Lookups!$E$5:$E$10),"Unknown Product")</x:f>
        <x:v>Service Cloud</x:v>
      </x:c>
      <x:c r="S1784" t="str">
        <x:f>IFERROR(XLOOKUP(F1784,Lookups!$D$5:$D$10,Lookups!$F$5:$F$10),"Unknown")</x:f>
        <x:v>Customer Service</x:v>
      </x:c>
      <x:c r="T1784" t="str">
        <x:f>IF(L1784&gt;=50000,"Enterprise",IF(L1784&gt;=20000,"Mid-Market","SMB"))</x:f>
        <x:v>Mid-Market</x:v>
      </x:c>
      <x:c r="U1784" t="str">
        <x:f>IF(I1784="Closed Won","Won",IF(I1784="Closed Lost","Lost","Open"))</x:f>
        <x:v>Won</x:v>
      </x:c>
      <x:c r="V1784" s="22" t="n">
        <x:f>IF(U1784="Won",L1784*(1-M1784),0)</x:f>
        <x:v>49300</x:v>
      </x:c>
      <x:c r="W1784" s="22" t="n">
        <x:f>IF(U1784="Open",L1784*N1784,0)</x:f>
        <x:v>0</x:v>
      </x:c>
      <x:c r="X1784" s="26" t="n">
        <x:f>IF(U1784="Open","",IFERROR(K1784-B1784,""))</x:f>
        <x:v>67</x:v>
      </x:c>
      <x:c r="Y1784" s="26" t="n">
        <x:f>IF(U1784="Open",Lookups!$B$2-B1784,X1784)</x:f>
        <x:v>67</x:v>
      </x:c>
      <x:c r="Z1784" t="str">
        <x:f>IF(AND(U1784="Open",Y1784&gt;30),"STALE","OK")</x:f>
        <x:v>OK</x:v>
      </x:c>
      <x:c r="AA1784" t="str">
        <x:f>TEXT(B1784,"yyyy-mm")</x:f>
        <x:v>2025-09</x:v>
      </x:c>
      <x:c r="AB1784" t="str">
        <x:f>IF(K1784="","",TEXT(K1784,"yyyy-mm"))</x:f>
        <x:v>2025-11</x:v>
      </x:c>
      <x:c r="AC1784" t="str">
        <x:f>"Q"&amp;ROUNDUP(MONTH(B1784)/3,0)&amp;"-"&amp;YEAR(B1784)</x:f>
        <x:v>Q3-2025</x:v>
      </x:c>
      <x:c r="AD1784" s="26" t="n">
        <x:f>MIN(100,IF(H1784="Enterprise",30,IF(H1784="Mid-Market",22,14))+IF(T1784="Enterprise",25,IF(T1784="Mid-Market",18,10))+IF(Q1784="Referral",25,IF(Q1784="Organic Search",20,IF(Q1784="Email",18,14)))+IF(G1784="Technology",10,5))</x:f>
        <x:v>59</x:v>
      </x:c>
      <x:c r="AE1784" t="str">
        <x:f>IF(U1784&lt;&gt;"Open",U1784,IF(N1784&gt;=0.8,"Commit",IF(N1784&gt;=0.5,"Best Case","Pipeline")))</x:f>
        <x:v>Won</x:v>
      </x:c>
    </x:row>
    <x:row r="1785">
      <x:c r="A1785" t="str">
        <x:v>L01784</x:v>
      </x:c>
      <x:c r="B1785" s="10" t="n">
        <x:v>45738</x:v>
      </x:c>
      <x:c r="C1785" t="str">
        <x:v>Bao Tran</x:v>
      </x:c>
      <x:c r="D1785" t="str">
        <x:v>South</x:v>
      </x:c>
      <x:c r="E1785" t="str">
        <x:v>SDR Outreach</x:v>
      </x:c>
      <x:c r="F1785" t="str">
        <x:v>CRM-PRO</x:v>
      </x:c>
      <x:c r="G1785" t="str">
        <x:v>Manufacturing</x:v>
      </x:c>
      <x:c r="H1785" t="str">
        <x:v>SMB</x:v>
      </x:c>
      <x:c r="I1785" t="str">
        <x:v>Closed Lost</x:v>
      </x:c>
      <x:c r="J1785" s="10" t="n">
        <x:v>45803</x:v>
      </x:c>
      <x:c r="K1785" s="10" t="n">
        <x:v>45803</x:v>
      </x:c>
      <x:c r="L1785" s="22" t="n">
        <x:v>25200</x:v>
      </x:c>
      <x:c r="M1785" s="24" t="n">
        <x:v>0</x:v>
      </x:c>
      <x:c r="N1785" s="24" t="n">
        <x:v>0</x:v>
      </x:c>
      <x:c r="O1785" t="str">
        <x:v>Price</x:v>
      </x:c>
      <x:c r="P1785" t="n">
        <x:v>4</x:v>
      </x:c>
      <x:c r="Q1785" t="str">
        <x:f>IFERROR(XLOOKUP(E1785,Lookups!$A$5:$A$24,Lookups!$B$5:$B$24),"Other")</x:f>
        <x:v>Outbound</x:v>
      </x:c>
      <x:c r="R1785" t="str">
        <x:f>IFERROR(XLOOKUP(F1785,Lookups!$D$5:$D$10,Lookups!$E$5:$E$10),"Unknown Product")</x:f>
        <x:v>NexaCRM Pro</x:v>
      </x:c>
      <x:c r="S1785" t="str">
        <x:f>IFERROR(XLOOKUP(F1785,Lookups!$D$5:$D$10,Lookups!$F$5:$F$10),"Unknown")</x:f>
        <x:v>CRM</x:v>
      </x:c>
      <x:c r="T1785" t="str">
        <x:f>IF(L1785&gt;=50000,"Enterprise",IF(L1785&gt;=20000,"Mid-Market","SMB"))</x:f>
        <x:v>Mid-Market</x:v>
      </x:c>
      <x:c r="U1785" t="str">
        <x:f>IF(I1785="Closed Won","Won",IF(I1785="Closed Lost","Lost","Open"))</x:f>
        <x:v>Lost</x:v>
      </x:c>
      <x:c r="V1785" s="22" t="n">
        <x:f>IF(U1785="Won",L1785*(1-M1785),0)</x:f>
        <x:v>0</x:v>
      </x:c>
      <x:c r="W1785" s="22" t="n">
        <x:f>IF(U1785="Open",L1785*N1785,0)</x:f>
        <x:v>0</x:v>
      </x:c>
      <x:c r="X1785" s="26" t="n">
        <x:f>IF(U1785="Open","",IFERROR(K1785-B1785,""))</x:f>
        <x:v>65</x:v>
      </x:c>
      <x:c r="Y1785" s="26" t="n">
        <x:f>IF(U1785="Open",Lookups!$B$2-B1785,X1785)</x:f>
        <x:v>65</x:v>
      </x:c>
      <x:c r="Z1785" t="str">
        <x:f>IF(AND(U1785="Open",Y1785&gt;30),"STALE","OK")</x:f>
        <x:v>OK</x:v>
      </x:c>
      <x:c r="AA1785" t="str">
        <x:f>TEXT(B1785,"yyyy-mm")</x:f>
        <x:v>2025-03</x:v>
      </x:c>
      <x:c r="AB1785" t="str">
        <x:f>IF(K1785="","",TEXT(K1785,"yyyy-mm"))</x:f>
        <x:v>2025-05</x:v>
      </x:c>
      <x:c r="AC1785" t="str">
        <x:f>"Q"&amp;ROUNDUP(MONTH(B1785)/3,0)&amp;"-"&amp;YEAR(B1785)</x:f>
        <x:v>Q1-2025</x:v>
      </x:c>
      <x:c r="AD1785" s="26" t="n">
        <x:f>MIN(100,IF(H1785="Enterprise",30,IF(H1785="Mid-Market",22,14))+IF(T1785="Enterprise",25,IF(T1785="Mid-Market",18,10))+IF(Q1785="Referral",25,IF(Q1785="Organic Search",20,IF(Q1785="Email",18,14)))+IF(G1785="Technology",10,5))</x:f>
        <x:v>51</x:v>
      </x:c>
      <x:c r="AE1785" t="str">
        <x:f>IF(U1785&lt;&gt;"Open",U1785,IF(N1785&gt;=0.8,"Commit",IF(N1785&gt;=0.5,"Best Case","Pipeline")))</x:f>
        <x:v>Lost</x:v>
      </x:c>
    </x:row>
    <x:row r="1786">
      <x:c r="A1786" t="str">
        <x:v>L01785</x:v>
      </x:c>
      <x:c r="B1786" s="10" t="n">
        <x:v>46086</x:v>
      </x:c>
      <x:c r="C1786" t="str">
        <x:v>Tuan Bui</x:v>
      </x:c>
      <x:c r="D1786" t="str">
        <x:v>Central</x:v>
      </x:c>
      <x:c r="E1786" t="str">
        <x:v>organic search</x:v>
      </x:c>
      <x:c r="F1786" t="str">
        <x:v>CRM-PRO</x:v>
      </x:c>
      <x:c r="G1786" t="str">
        <x:v>Professional Services</x:v>
      </x:c>
      <x:c r="H1786" t="str">
        <x:v>Mid-Market</x:v>
      </x:c>
      <x:c r="I1786" t="str">
        <x:v>Negotiation</x:v>
      </x:c>
      <x:c r="J1786" s="10" t="n">
        <x:v>46185</x:v>
      </x:c>
      <x:c r="K1786" s="10"/>
      <x:c r="L1786" s="22" t="n">
        <x:v>23300</x:v>
      </x:c>
      <x:c r="M1786" s="24" t="n">
        <x:v>0</x:v>
      </x:c>
      <x:c r="N1786" s="24" t="n">
        <x:v>0.85</x:v>
      </x:c>
      <x:c r="O1786" t="str"/>
      <x:c r="P1786" t="n">
        <x:v>5</x:v>
      </x:c>
      <x:c r="Q1786" t="str">
        <x:f>IFERROR(XLOOKUP(E1786,Lookups!$A$5:$A$24,Lookups!$B$5:$B$24),"Other")</x:f>
        <x:v>Organic Search</x:v>
      </x:c>
      <x:c r="R1786" t="str">
        <x:f>IFERROR(XLOOKUP(F1786,Lookups!$D$5:$D$10,Lookups!$E$5:$E$10),"Unknown Product")</x:f>
        <x:v>NexaCRM Pro</x:v>
      </x:c>
      <x:c r="S1786" t="str">
        <x:f>IFERROR(XLOOKUP(F1786,Lookups!$D$5:$D$10,Lookups!$F$5:$F$10),"Unknown")</x:f>
        <x:v>CRM</x:v>
      </x:c>
      <x:c r="T1786" t="str">
        <x:f>IF(L1786&gt;=50000,"Enterprise",IF(L1786&gt;=20000,"Mid-Market","SMB"))</x:f>
        <x:v>Mid-Market</x:v>
      </x:c>
      <x:c r="U1786" t="str">
        <x:f>IF(I1786="Closed Won","Won",IF(I1786="Closed Lost","Lost","Open"))</x:f>
        <x:v>Open</x:v>
      </x:c>
      <x:c r="V1786" s="22" t="n">
        <x:f>IF(U1786="Won",L1786*(1-M1786),0)</x:f>
        <x:v>0</x:v>
      </x:c>
      <x:c r="W1786" s="22" t="n">
        <x:f>IF(U1786="Open",L1786*N1786,0)</x:f>
        <x:v>19805</x:v>
      </x:c>
      <x:c r="X1786" s="26" t="str">
        <x:f>IF(U1786="Open","",IFERROR(K1786-B1786,""))</x:f>
      </x:c>
      <x:c r="Y1786" s="26" t="n">
        <x:f>IF(U1786="Open",Lookups!$B$2-B1786,X1786)</x:f>
        <x:v>180</x:v>
      </x:c>
      <x:c r="Z1786" t="str">
        <x:f>IF(AND(U1786="Open",Y1786&gt;30),"STALE","OK")</x:f>
        <x:v>STALE</x:v>
      </x:c>
      <x:c r="AA1786" t="str">
        <x:f>TEXT(B1786,"yyyy-mm")</x:f>
        <x:v>2026-03</x:v>
      </x:c>
      <x:c r="AB1786" t="str">
        <x:f>IF(K1786="","",TEXT(K1786,"yyyy-mm"))</x:f>
      </x:c>
      <x:c r="AC1786" t="str">
        <x:f>"Q"&amp;ROUNDUP(MONTH(B1786)/3,0)&amp;"-"&amp;YEAR(B1786)</x:f>
        <x:v>Q1-2026</x:v>
      </x:c>
      <x:c r="AD1786" s="26" t="n">
        <x:f>MIN(100,IF(H1786="Enterprise",30,IF(H1786="Mid-Market",22,14))+IF(T1786="Enterprise",25,IF(T1786="Mid-Market",18,10))+IF(Q1786="Referral",25,IF(Q1786="Organic Search",20,IF(Q1786="Email",18,14)))+IF(G1786="Technology",10,5))</x:f>
        <x:v>65</x:v>
      </x:c>
      <x:c r="AE1786" t="str">
        <x:f>IF(U1786&lt;&gt;"Open",U1786,IF(N1786&gt;=0.8,"Commit",IF(N1786&gt;=0.5,"Best Case","Pipeline")))</x:f>
        <x:v>Commit</x:v>
      </x:c>
    </x:row>
    <x:row r="1787">
      <x:c r="A1787" t="str">
        <x:v>L01786</x:v>
      </x:c>
      <x:c r="B1787" s="10" t="n">
        <x:v>45721</x:v>
      </x:c>
      <x:c r="C1787" t="str">
        <x:v>Ha Vo</x:v>
      </x:c>
      <x:c r="D1787" t="str">
        <x:v>North</x:v>
      </x:c>
      <x:c r="E1787" t="str">
        <x:v>linkedin</x:v>
      </x:c>
      <x:c r="F1787" t="str">
        <x:v>BI-PLUS</x:v>
      </x:c>
      <x:c r="G1787" t="str">
        <x:v>Retail</x:v>
      </x:c>
      <x:c r="H1787" t="str">
        <x:v>Mid-Market</x:v>
      </x:c>
      <x:c r="I1787" t="str">
        <x:v>Closed Won</x:v>
      </x:c>
      <x:c r="J1787" s="10" t="n">
        <x:v>45792</x:v>
      </x:c>
      <x:c r="K1787" s="10" t="n">
        <x:v>45792</x:v>
      </x:c>
      <x:c r="L1787" s="22" t="n">
        <x:v>46700</x:v>
      </x:c>
      <x:c r="M1787" s="24" t="n">
        <x:v>0</x:v>
      </x:c>
      <x:c r="N1787" s="24" t="n">
        <x:v>1</x:v>
      </x:c>
      <x:c r="O1787" t="str"/>
      <x:c r="P1787" t="n">
        <x:v>6</x:v>
      </x:c>
      <x:c r="Q1787" t="str">
        <x:f>IFERROR(XLOOKUP(E1787,Lookups!$A$5:$A$24,Lookups!$B$5:$B$24),"Other")</x:f>
        <x:v>LinkedIn</x:v>
      </x:c>
      <x:c r="R1787" t="str">
        <x:f>IFERROR(XLOOKUP(F1787,Lookups!$D$5:$D$10,Lookups!$E$5:$E$10),"Unknown Product")</x:f>
        <x:v>Analytics Plus</x:v>
      </x:c>
      <x:c r="S1787" t="str">
        <x:f>IFERROR(XLOOKUP(F1787,Lookups!$D$5:$D$10,Lookups!$F$5:$F$10),"Unknown")</x:f>
        <x:v>Analytics</x:v>
      </x:c>
      <x:c r="T1787" t="str">
        <x:f>IF(L1787&gt;=50000,"Enterprise",IF(L1787&gt;=20000,"Mid-Market","SMB"))</x:f>
        <x:v>Mid-Market</x:v>
      </x:c>
      <x:c r="U1787" t="str">
        <x:f>IF(I1787="Closed Won","Won",IF(I1787="Closed Lost","Lost","Open"))</x:f>
        <x:v>Won</x:v>
      </x:c>
      <x:c r="V1787" s="22" t="n">
        <x:f>IF(U1787="Won",L1787*(1-M1787),0)</x:f>
        <x:v>46700</x:v>
      </x:c>
      <x:c r="W1787" s="22" t="n">
        <x:f>IF(U1787="Open",L1787*N1787,0)</x:f>
        <x:v>0</x:v>
      </x:c>
      <x:c r="X1787" s="26" t="n">
        <x:f>IF(U1787="Open","",IFERROR(K1787-B1787,""))</x:f>
        <x:v>71</x:v>
      </x:c>
      <x:c r="Y1787" s="26" t="n">
        <x:f>IF(U1787="Open",Lookups!$B$2-B1787,X1787)</x:f>
        <x:v>71</x:v>
      </x:c>
      <x:c r="Z1787" t="str">
        <x:f>IF(AND(U1787="Open",Y1787&gt;30),"STALE","OK")</x:f>
        <x:v>OK</x:v>
      </x:c>
      <x:c r="AA1787" t="str">
        <x:f>TEXT(B1787,"yyyy-mm")</x:f>
        <x:v>2025-03</x:v>
      </x:c>
      <x:c r="AB1787" t="str">
        <x:f>IF(K1787="","",TEXT(K1787,"yyyy-mm"))</x:f>
        <x:v>2025-05</x:v>
      </x:c>
      <x:c r="AC1787" t="str">
        <x:f>"Q"&amp;ROUNDUP(MONTH(B1787)/3,0)&amp;"-"&amp;YEAR(B1787)</x:f>
        <x:v>Q1-2025</x:v>
      </x:c>
      <x:c r="AD1787" s="26" t="n">
        <x:f>MIN(100,IF(H1787="Enterprise",30,IF(H1787="Mid-Market",22,14))+IF(T1787="Enterprise",25,IF(T1787="Mid-Market",18,10))+IF(Q1787="Referral",25,IF(Q1787="Organic Search",20,IF(Q1787="Email",18,14)))+IF(G1787="Technology",10,5))</x:f>
        <x:v>59</x:v>
      </x:c>
      <x:c r="AE1787" t="str">
        <x:f>IF(U1787&lt;&gt;"Open",U1787,IF(N1787&gt;=0.8,"Commit",IF(N1787&gt;=0.5,"Best Case","Pipeline")))</x:f>
        <x:v>Won</x:v>
      </x:c>
    </x:row>
    <x:row r="1788">
      <x:c r="A1788" t="str">
        <x:v>L01787</x:v>
      </x:c>
      <x:c r="B1788" s="10" t="n">
        <x:v>45746</x:v>
      </x:c>
      <x:c r="C1788" t="str">
        <x:v>Tuan Bui</x:v>
      </x:c>
      <x:c r="D1788" t="str">
        <x:v>Central</x:v>
      </x:c>
      <x:c r="E1788" t="str">
        <x:v>SEM - Google</x:v>
      </x:c>
      <x:c r="F1788" t="str">
        <x:v>CRM-CORE</x:v>
      </x:c>
      <x:c r="G1788" t="str">
        <x:v>Manufacturing</x:v>
      </x:c>
      <x:c r="H1788" t="str">
        <x:v>Mid-Market</x:v>
      </x:c>
      <x:c r="I1788" t="str">
        <x:v>Negotiation</x:v>
      </x:c>
      <x:c r="J1788" s="10" t="n">
        <x:v>46115</x:v>
      </x:c>
      <x:c r="K1788" s="10"/>
      <x:c r="L1788" s="22" t="n">
        <x:v>18100</x:v>
      </x:c>
      <x:c r="M1788" s="24" t="n">
        <x:v>0.03</x:v>
      </x:c>
      <x:c r="N1788" s="24" t="n">
        <x:v>0.85</x:v>
      </x:c>
      <x:c r="O1788" t="str"/>
      <x:c r="P1788" t="n">
        <x:v>5</x:v>
      </x:c>
      <x:c r="Q1788" t="str">
        <x:f>IFERROR(XLOOKUP(E1788,Lookups!$A$5:$A$24,Lookups!$B$5:$B$24),"Other")</x:f>
        <x:v>Paid Search</x:v>
      </x:c>
      <x:c r="R1788" t="str">
        <x:f>IFERROR(XLOOKUP(F1788,Lookups!$D$5:$D$10,Lookups!$E$5:$E$10),"Unknown Product")</x:f>
        <x:v>NexaCRM Core</x:v>
      </x:c>
      <x:c r="S1788" t="str">
        <x:f>IFERROR(XLOOKUP(F1788,Lookups!$D$5:$D$10,Lookups!$F$5:$F$10),"Unknown")</x:f>
        <x:v>CRM</x:v>
      </x:c>
      <x:c r="T1788" t="str">
        <x:f>IF(L1788&gt;=50000,"Enterprise",IF(L1788&gt;=20000,"Mid-Market","SMB"))</x:f>
        <x:v>SMB</x:v>
      </x:c>
      <x:c r="U1788" t="str">
        <x:f>IF(I1788="Closed Won","Won",IF(I1788="Closed Lost","Lost","Open"))</x:f>
        <x:v>Open</x:v>
      </x:c>
      <x:c r="V1788" s="22" t="n">
        <x:f>IF(U1788="Won",L1788*(1-M1788),0)</x:f>
        <x:v>0</x:v>
      </x:c>
      <x:c r="W1788" s="22" t="n">
        <x:f>IF(U1788="Open",L1788*N1788,0)</x:f>
        <x:v>15385</x:v>
      </x:c>
      <x:c r="X1788" s="26" t="str">
        <x:f>IF(U1788="Open","",IFERROR(K1788-B1788,""))</x:f>
      </x:c>
      <x:c r="Y1788" s="26" t="n">
        <x:f>IF(U1788="Open",Lookups!$B$2-B1788,X1788)</x:f>
        <x:v>520</x:v>
      </x:c>
      <x:c r="Z1788" t="str">
        <x:f>IF(AND(U1788="Open",Y1788&gt;30),"STALE","OK")</x:f>
        <x:v>STALE</x:v>
      </x:c>
      <x:c r="AA1788" t="str">
        <x:f>TEXT(B1788,"yyyy-mm")</x:f>
        <x:v>2025-03</x:v>
      </x:c>
      <x:c r="AB1788" t="str">
        <x:f>IF(K1788="","",TEXT(K1788,"yyyy-mm"))</x:f>
      </x:c>
      <x:c r="AC1788" t="str">
        <x:f>"Q"&amp;ROUNDUP(MONTH(B1788)/3,0)&amp;"-"&amp;YEAR(B1788)</x:f>
        <x:v>Q1-2025</x:v>
      </x:c>
      <x:c r="AD1788" s="26" t="n">
        <x:f>MIN(100,IF(H1788="Enterprise",30,IF(H1788="Mid-Market",22,14))+IF(T1788="Enterprise",25,IF(T1788="Mid-Market",18,10))+IF(Q1788="Referral",25,IF(Q1788="Organic Search",20,IF(Q1788="Email",18,14)))+IF(G1788="Technology",10,5))</x:f>
        <x:v>51</x:v>
      </x:c>
      <x:c r="AE1788" t="str">
        <x:f>IF(U1788&lt;&gt;"Open",U1788,IF(N1788&gt;=0.8,"Commit",IF(N1788&gt;=0.5,"Best Case","Pipeline")))</x:f>
        <x:v>Commit</x:v>
      </x:c>
    </x:row>
    <x:row r="1789">
      <x:c r="A1789" t="str">
        <x:v>L01788</x:v>
      </x:c>
      <x:c r="B1789" s="10" t="n">
        <x:v>45698</x:v>
      </x:c>
      <x:c r="C1789" t="str">
        <x:v>Ha Vo</x:v>
      </x:c>
      <x:c r="D1789" t="str">
        <x:v>North</x:v>
      </x:c>
      <x:c r="E1789" t="str">
        <x:v>LinkedIn Ads</x:v>
      </x:c>
      <x:c r="F1789" t="str">
        <x:v>CRM-PRO</x:v>
      </x:c>
      <x:c r="G1789" t="str">
        <x:v>Education</x:v>
      </x:c>
      <x:c r="H1789" t="str">
        <x:v>Mid-Market</x:v>
      </x:c>
      <x:c r="I1789" t="str">
        <x:v>Closed Won</x:v>
      </x:c>
      <x:c r="J1789" s="10" t="n">
        <x:v>45768</x:v>
      </x:c>
      <x:c r="K1789" s="10" t="n">
        <x:v>45768</x:v>
      </x:c>
      <x:c r="L1789" s="22" t="n">
        <x:v>27100</x:v>
      </x:c>
      <x:c r="M1789" s="24" t="n">
        <x:v>0</x:v>
      </x:c>
      <x:c r="N1789" s="24" t="n">
        <x:v>1</x:v>
      </x:c>
      <x:c r="O1789" t="str"/>
      <x:c r="P1789" t="n">
        <x:v>6</x:v>
      </x:c>
      <x:c r="Q1789" t="str">
        <x:f>IFERROR(XLOOKUP(E1789,Lookups!$A$5:$A$24,Lookups!$B$5:$B$24),"Other")</x:f>
        <x:v>LinkedIn</x:v>
      </x:c>
      <x:c r="R1789" t="str">
        <x:f>IFERROR(XLOOKUP(F1789,Lookups!$D$5:$D$10,Lookups!$E$5:$E$10),"Unknown Product")</x:f>
        <x:v>NexaCRM Pro</x:v>
      </x:c>
      <x:c r="S1789" t="str">
        <x:f>IFERROR(XLOOKUP(F1789,Lookups!$D$5:$D$10,Lookups!$F$5:$F$10),"Unknown")</x:f>
        <x:v>CRM</x:v>
      </x:c>
      <x:c r="T1789" t="str">
        <x:f>IF(L1789&gt;=50000,"Enterprise",IF(L1789&gt;=20000,"Mid-Market","SMB"))</x:f>
        <x:v>Mid-Market</x:v>
      </x:c>
      <x:c r="U1789" t="str">
        <x:f>IF(I1789="Closed Won","Won",IF(I1789="Closed Lost","Lost","Open"))</x:f>
        <x:v>Won</x:v>
      </x:c>
      <x:c r="V1789" s="22" t="n">
        <x:f>IF(U1789="Won",L1789*(1-M1789),0)</x:f>
        <x:v>27100</x:v>
      </x:c>
      <x:c r="W1789" s="22" t="n">
        <x:f>IF(U1789="Open",L1789*N1789,0)</x:f>
        <x:v>0</x:v>
      </x:c>
      <x:c r="X1789" s="26" t="n">
        <x:f>IF(U1789="Open","",IFERROR(K1789-B1789,""))</x:f>
        <x:v>70</x:v>
      </x:c>
      <x:c r="Y1789" s="26" t="n">
        <x:f>IF(U1789="Open",Lookups!$B$2-B1789,X1789)</x:f>
        <x:v>70</x:v>
      </x:c>
      <x:c r="Z1789" t="str">
        <x:f>IF(AND(U1789="Open",Y1789&gt;30),"STALE","OK")</x:f>
        <x:v>OK</x:v>
      </x:c>
      <x:c r="AA1789" t="str">
        <x:f>TEXT(B1789,"yyyy-mm")</x:f>
        <x:v>2025-02</x:v>
      </x:c>
      <x:c r="AB1789" t="str">
        <x:f>IF(K1789="","",TEXT(K1789,"yyyy-mm"))</x:f>
        <x:v>2025-04</x:v>
      </x:c>
      <x:c r="AC1789" t="str">
        <x:f>"Q"&amp;ROUNDUP(MONTH(B1789)/3,0)&amp;"-"&amp;YEAR(B1789)</x:f>
        <x:v>Q1-2025</x:v>
      </x:c>
      <x:c r="AD1789" s="26" t="n">
        <x:f>MIN(100,IF(H1789="Enterprise",30,IF(H1789="Mid-Market",22,14))+IF(T1789="Enterprise",25,IF(T1789="Mid-Market",18,10))+IF(Q1789="Referral",25,IF(Q1789="Organic Search",20,IF(Q1789="Email",18,14)))+IF(G1789="Technology",10,5))</x:f>
        <x:v>59</x:v>
      </x:c>
      <x:c r="AE1789" t="str">
        <x:f>IF(U1789&lt;&gt;"Open",U1789,IF(N1789&gt;=0.8,"Commit",IF(N1789&gt;=0.5,"Best Case","Pipeline")))</x:f>
        <x:v>Won</x:v>
      </x:c>
    </x:row>
    <x:row r="1790">
      <x:c r="A1790" t="str">
        <x:v>L01789</x:v>
      </x:c>
      <x:c r="B1790" s="10" t="n">
        <x:v>46263</x:v>
      </x:c>
      <x:c r="C1790" t="str">
        <x:v>Tuan Bui</x:v>
      </x:c>
      <x:c r="D1790" t="str">
        <x:v>Central</x:v>
      </x:c>
      <x:c r="E1790" t="str">
        <x:v>Cold Email</x:v>
      </x:c>
      <x:c r="F1790" t="str">
        <x:v>BI-PLUS</x:v>
      </x:c>
      <x:c r="G1790" t="str">
        <x:v>Retail</x:v>
      </x:c>
      <x:c r="H1790" t="str">
        <x:v>SMB</x:v>
      </x:c>
      <x:c r="I1790" t="str">
        <x:v>New</x:v>
      </x:c>
      <x:c r="J1790" s="10" t="n">
        <x:v>46265</x:v>
      </x:c>
      <x:c r="K1790" s="10"/>
      <x:c r="L1790" s="22" t="n">
        <x:v>23600</x:v>
      </x:c>
      <x:c r="M1790" s="24" t="n">
        <x:v>0</x:v>
      </x:c>
      <x:c r="N1790" s="24" t="n">
        <x:v>0.05</x:v>
      </x:c>
      <x:c r="O1790" t="str"/>
      <x:c r="P1790" t="n">
        <x:v>1</x:v>
      </x:c>
      <x:c r="Q1790" t="str">
        <x:f>IFERROR(XLOOKUP(E1790,Lookups!$A$5:$A$24,Lookups!$B$5:$B$24),"Other")</x:f>
        <x:v>Outbound</x:v>
      </x:c>
      <x:c r="R1790" t="str">
        <x:f>IFERROR(XLOOKUP(F1790,Lookups!$D$5:$D$10,Lookups!$E$5:$E$10),"Unknown Product")</x:f>
        <x:v>Analytics Plus</x:v>
      </x:c>
      <x:c r="S1790" t="str">
        <x:f>IFERROR(XLOOKUP(F1790,Lookups!$D$5:$D$10,Lookups!$F$5:$F$10),"Unknown")</x:f>
        <x:v>Analytics</x:v>
      </x:c>
      <x:c r="T1790" t="str">
        <x:f>IF(L1790&gt;=50000,"Enterprise",IF(L1790&gt;=20000,"Mid-Market","SMB"))</x:f>
        <x:v>Mid-Market</x:v>
      </x:c>
      <x:c r="U1790" t="str">
        <x:f>IF(I1790="Closed Won","Won",IF(I1790="Closed Lost","Lost","Open"))</x:f>
        <x:v>Open</x:v>
      </x:c>
      <x:c r="V1790" s="22" t="n">
        <x:f>IF(U1790="Won",L1790*(1-M1790),0)</x:f>
        <x:v>0</x:v>
      </x:c>
      <x:c r="W1790" s="22" t="n">
        <x:f>IF(U1790="Open",L1790*N1790,0)</x:f>
        <x:v>1180</x:v>
      </x:c>
      <x:c r="X1790" s="26" t="str">
        <x:f>IF(U1790="Open","",IFERROR(K1790-B1790,""))</x:f>
      </x:c>
      <x:c r="Y1790" s="26" t="n">
        <x:f>IF(U1790="Open",Lookups!$B$2-B1790,X1790)</x:f>
        <x:v>3</x:v>
      </x:c>
      <x:c r="Z1790" t="str">
        <x:f>IF(AND(U1790="Open",Y1790&gt;30),"STALE","OK")</x:f>
        <x:v>OK</x:v>
      </x:c>
      <x:c r="AA1790" t="str">
        <x:f>TEXT(B1790,"yyyy-mm")</x:f>
        <x:v>2026-08</x:v>
      </x:c>
      <x:c r="AB1790" t="str">
        <x:f>IF(K1790="","",TEXT(K1790,"yyyy-mm"))</x:f>
      </x:c>
      <x:c r="AC1790" t="str">
        <x:f>"Q"&amp;ROUNDUP(MONTH(B1790)/3,0)&amp;"-"&amp;YEAR(B1790)</x:f>
        <x:v>Q3-2026</x:v>
      </x:c>
      <x:c r="AD1790" s="26" t="n">
        <x:f>MIN(100,IF(H1790="Enterprise",30,IF(H1790="Mid-Market",22,14))+IF(T1790="Enterprise",25,IF(T1790="Mid-Market",18,10))+IF(Q1790="Referral",25,IF(Q1790="Organic Search",20,IF(Q1790="Email",18,14)))+IF(G1790="Technology",10,5))</x:f>
        <x:v>51</x:v>
      </x:c>
      <x:c r="AE1790" t="str">
        <x:f>IF(U1790&lt;&gt;"Open",U1790,IF(N1790&gt;=0.8,"Commit",IF(N1790&gt;=0.5,"Best Case","Pipeline")))</x:f>
        <x:v>Pipeline</x:v>
      </x:c>
    </x:row>
    <x:row r="1791">
      <x:c r="A1791" t="str">
        <x:v>L01790</x:v>
      </x:c>
      <x:c r="B1791" s="10" t="n">
        <x:v>46228</x:v>
      </x:c>
      <x:c r="C1791" t="str">
        <x:v>An Nguyen</x:v>
      </x:c>
      <x:c r="D1791" t="str">
        <x:v>South</x:v>
      </x:c>
      <x:c r="E1791" t="str">
        <x:v>LI Ads</x:v>
      </x:c>
      <x:c r="F1791" t="str">
        <x:v>MKT-AUTO</x:v>
      </x:c>
      <x:c r="G1791" t="str">
        <x:v>Healthcare</x:v>
      </x:c>
      <x:c r="H1791" t="str">
        <x:v>Mid-Market</x:v>
      </x:c>
      <x:c r="I1791" t="str">
        <x:v>Closed Won</x:v>
      </x:c>
      <x:c r="J1791" s="10" t="n">
        <x:v>46266</x:v>
      </x:c>
      <x:c r="K1791" s="10" t="n">
        <x:v>46266</x:v>
      </x:c>
      <x:c r="L1791" s="22" t="n">
        <x:v>28000</x:v>
      </x:c>
      <x:c r="M1791" s="24" t="n">
        <x:v>0.12</x:v>
      </x:c>
      <x:c r="N1791" s="24" t="n">
        <x:v>1</x:v>
      </x:c>
      <x:c r="O1791" t="str"/>
      <x:c r="P1791" t="n">
        <x:v>6</x:v>
      </x:c>
      <x:c r="Q1791" t="str">
        <x:f>IFERROR(XLOOKUP(E1791,Lookups!$A$5:$A$24,Lookups!$B$5:$B$24),"Other")</x:f>
        <x:v>LinkedIn</x:v>
      </x:c>
      <x:c r="R1791" t="str">
        <x:f>IFERROR(XLOOKUP(F1791,Lookups!$D$5:$D$10,Lookups!$E$5:$E$10),"Unknown Product")</x:f>
        <x:v>Marketing Automation</x:v>
      </x:c>
      <x:c r="S1791" t="str">
        <x:f>IFERROR(XLOOKUP(F1791,Lookups!$D$5:$D$10,Lookups!$F$5:$F$10),"Unknown")</x:f>
        <x:v>Marketing</x:v>
      </x:c>
      <x:c r="T1791" t="str">
        <x:f>IF(L1791&gt;=50000,"Enterprise",IF(L1791&gt;=20000,"Mid-Market","SMB"))</x:f>
        <x:v>Mid-Market</x:v>
      </x:c>
      <x:c r="U1791" t="str">
        <x:f>IF(I1791="Closed Won","Won",IF(I1791="Closed Lost","Lost","Open"))</x:f>
        <x:v>Won</x:v>
      </x:c>
      <x:c r="V1791" s="22" t="n">
        <x:f>IF(U1791="Won",L1791*(1-M1791),0)</x:f>
        <x:v>24640</x:v>
      </x:c>
      <x:c r="W1791" s="22" t="n">
        <x:f>IF(U1791="Open",L1791*N1791,0)</x:f>
        <x:v>0</x:v>
      </x:c>
      <x:c r="X1791" s="26" t="n">
        <x:f>IF(U1791="Open","",IFERROR(K1791-B1791,""))</x:f>
        <x:v>38</x:v>
      </x:c>
      <x:c r="Y1791" s="26" t="n">
        <x:f>IF(U1791="Open",Lookups!$B$2-B1791,X1791)</x:f>
        <x:v>38</x:v>
      </x:c>
      <x:c r="Z1791" t="str">
        <x:f>IF(AND(U1791="Open",Y1791&gt;30),"STALE","OK")</x:f>
        <x:v>OK</x:v>
      </x:c>
      <x:c r="AA1791" t="str">
        <x:f>TEXT(B1791,"yyyy-mm")</x:f>
        <x:v>2026-07</x:v>
      </x:c>
      <x:c r="AB1791" t="str">
        <x:f>IF(K1791="","",TEXT(K1791,"yyyy-mm"))</x:f>
        <x:v>2026-09</x:v>
      </x:c>
      <x:c r="AC1791" t="str">
        <x:f>"Q"&amp;ROUNDUP(MONTH(B1791)/3,0)&amp;"-"&amp;YEAR(B1791)</x:f>
        <x:v>Q3-2026</x:v>
      </x:c>
      <x:c r="AD1791" s="26" t="n">
        <x:f>MIN(100,IF(H1791="Enterprise",30,IF(H1791="Mid-Market",22,14))+IF(T1791="Enterprise",25,IF(T1791="Mid-Market",18,10))+IF(Q1791="Referral",25,IF(Q1791="Organic Search",20,IF(Q1791="Email",18,14)))+IF(G1791="Technology",10,5))</x:f>
        <x:v>59</x:v>
      </x:c>
      <x:c r="AE1791" t="str">
        <x:f>IF(U1791&lt;&gt;"Open",U1791,IF(N1791&gt;=0.8,"Commit",IF(N1791&gt;=0.5,"Best Case","Pipeline")))</x:f>
        <x:v>Won</x:v>
      </x:c>
    </x:row>
    <x:row r="1792">
      <x:c r="A1792" t="str">
        <x:v>L01791</x:v>
      </x:c>
      <x:c r="B1792" s="10" t="n">
        <x:v>45970</x:v>
      </x:c>
      <x:c r="C1792" t="str">
        <x:v>Ha Vo</x:v>
      </x:c>
      <x:c r="D1792" t="str">
        <x:v>North</x:v>
      </x:c>
      <x:c r="E1792" t="str">
        <x:v>Google Ads</x:v>
      </x:c>
      <x:c r="F1792" t="str">
        <x:v>CRM-PRO</x:v>
      </x:c>
      <x:c r="G1792" t="str">
        <x:v>Healthcare</x:v>
      </x:c>
      <x:c r="H1792" t="str">
        <x:v>SMB</x:v>
      </x:c>
      <x:c r="I1792" t="str">
        <x:v>Closed Lost</x:v>
      </x:c>
      <x:c r="J1792" s="10" t="n">
        <x:v>46029</x:v>
      </x:c>
      <x:c r="K1792" s="10" t="n">
        <x:v>46029</x:v>
      </x:c>
      <x:c r="L1792" s="22" t="n">
        <x:v>10900</x:v>
      </x:c>
      <x:c r="M1792" s="24" t="n">
        <x:v>0</x:v>
      </x:c>
      <x:c r="N1792" s="24" t="n">
        <x:v>0</x:v>
      </x:c>
      <x:c r="O1792" t="str">
        <x:v>No Decision</x:v>
      </x:c>
      <x:c r="P1792" t="n">
        <x:v>5</x:v>
      </x:c>
      <x:c r="Q1792" t="str">
        <x:f>IFERROR(XLOOKUP(E1792,Lookups!$A$5:$A$24,Lookups!$B$5:$B$24),"Other")</x:f>
        <x:v>Paid Search</x:v>
      </x:c>
      <x:c r="R1792" t="str">
        <x:f>IFERROR(XLOOKUP(F1792,Lookups!$D$5:$D$10,Lookups!$E$5:$E$10),"Unknown Product")</x:f>
        <x:v>NexaCRM Pro</x:v>
      </x:c>
      <x:c r="S1792" t="str">
        <x:f>IFERROR(XLOOKUP(F1792,Lookups!$D$5:$D$10,Lookups!$F$5:$F$10),"Unknown")</x:f>
        <x:v>CRM</x:v>
      </x:c>
      <x:c r="T1792" t="str">
        <x:f>IF(L1792&gt;=50000,"Enterprise",IF(L1792&gt;=20000,"Mid-Market","SMB"))</x:f>
        <x:v>SMB</x:v>
      </x:c>
      <x:c r="U1792" t="str">
        <x:f>IF(I1792="Closed Won","Won",IF(I1792="Closed Lost","Lost","Open"))</x:f>
        <x:v>Lost</x:v>
      </x:c>
      <x:c r="V1792" s="22" t="n">
        <x:f>IF(U1792="Won",L1792*(1-M1792),0)</x:f>
        <x:v>0</x:v>
      </x:c>
      <x:c r="W1792" s="22" t="n">
        <x:f>IF(U1792="Open",L1792*N1792,0)</x:f>
        <x:v>0</x:v>
      </x:c>
      <x:c r="X1792" s="26" t="n">
        <x:f>IF(U1792="Open","",IFERROR(K1792-B1792,""))</x:f>
        <x:v>59</x:v>
      </x:c>
      <x:c r="Y1792" s="26" t="n">
        <x:f>IF(U1792="Open",Lookups!$B$2-B1792,X1792)</x:f>
        <x:v>59</x:v>
      </x:c>
      <x:c r="Z1792" t="str">
        <x:f>IF(AND(U1792="Open",Y1792&gt;30),"STALE","OK")</x:f>
        <x:v>OK</x:v>
      </x:c>
      <x:c r="AA1792" t="str">
        <x:f>TEXT(B1792,"yyyy-mm")</x:f>
        <x:v>2025-11</x:v>
      </x:c>
      <x:c r="AB1792" t="str">
        <x:f>IF(K1792="","",TEXT(K1792,"yyyy-mm"))</x:f>
        <x:v>2026-01</x:v>
      </x:c>
      <x:c r="AC1792" t="str">
        <x:f>"Q"&amp;ROUNDUP(MONTH(B1792)/3,0)&amp;"-"&amp;YEAR(B1792)</x:f>
        <x:v>Q4-2025</x:v>
      </x:c>
      <x:c r="AD1792" s="26" t="n">
        <x:f>MIN(100,IF(H1792="Enterprise",30,IF(H1792="Mid-Market",22,14))+IF(T1792="Enterprise",25,IF(T1792="Mid-Market",18,10))+IF(Q1792="Referral",25,IF(Q1792="Organic Search",20,IF(Q1792="Email",18,14)))+IF(G1792="Technology",10,5))</x:f>
        <x:v>43</x:v>
      </x:c>
      <x:c r="AE1792" t="str">
        <x:f>IF(U1792&lt;&gt;"Open",U1792,IF(N1792&gt;=0.8,"Commit",IF(N1792&gt;=0.5,"Best Case","Pipeline")))</x:f>
        <x:v>Lost</x:v>
      </x:c>
    </x:row>
    <x:row r="1793">
      <x:c r="A1793" t="str">
        <x:v>L01792</x:v>
      </x:c>
      <x:c r="B1793" s="10" t="n">
        <x:v>46021</x:v>
      </x:c>
      <x:c r="C1793" t="str">
        <x:v>Bao Tran</x:v>
      </x:c>
      <x:c r="D1793" t="str">
        <x:v>South</x:v>
      </x:c>
      <x:c r="E1793" t="str">
        <x:v>Cold Email</x:v>
      </x:c>
      <x:c r="F1793" t="str">
        <x:v>MKT-AUTO</x:v>
      </x:c>
      <x:c r="G1793" t="str">
        <x:v>Technology</x:v>
      </x:c>
      <x:c r="H1793" t="str">
        <x:v>Mid-Market</x:v>
      </x:c>
      <x:c r="I1793" t="str">
        <x:v>Negotiation</x:v>
      </x:c>
      <x:c r="J1793" s="10" t="n">
        <x:v>46220</x:v>
      </x:c>
      <x:c r="K1793" s="10"/>
      <x:c r="L1793" s="22" t="n">
        <x:v>25900</x:v>
      </x:c>
      <x:c r="M1793" s="24" t="n">
        <x:v>0</x:v>
      </x:c>
      <x:c r="N1793" s="24" t="n">
        <x:v>0.85</x:v>
      </x:c>
      <x:c r="O1793" t="str"/>
      <x:c r="P1793" t="n">
        <x:v>5</x:v>
      </x:c>
      <x:c r="Q1793" t="str">
        <x:f>IFERROR(XLOOKUP(E1793,Lookups!$A$5:$A$24,Lookups!$B$5:$B$24),"Other")</x:f>
        <x:v>Outbound</x:v>
      </x:c>
      <x:c r="R1793" t="str">
        <x:f>IFERROR(XLOOKUP(F1793,Lookups!$D$5:$D$10,Lookups!$E$5:$E$10),"Unknown Product")</x:f>
        <x:v>Marketing Automation</x:v>
      </x:c>
      <x:c r="S1793" t="str">
        <x:f>IFERROR(XLOOKUP(F1793,Lookups!$D$5:$D$10,Lookups!$F$5:$F$10),"Unknown")</x:f>
        <x:v>Marketing</x:v>
      </x:c>
      <x:c r="T1793" t="str">
        <x:f>IF(L1793&gt;=50000,"Enterprise",IF(L1793&gt;=20000,"Mid-Market","SMB"))</x:f>
        <x:v>Mid-Market</x:v>
      </x:c>
      <x:c r="U1793" t="str">
        <x:f>IF(I1793="Closed Won","Won",IF(I1793="Closed Lost","Lost","Open"))</x:f>
        <x:v>Open</x:v>
      </x:c>
      <x:c r="V1793" s="22" t="n">
        <x:f>IF(U1793="Won",L1793*(1-M1793),0)</x:f>
        <x:v>0</x:v>
      </x:c>
      <x:c r="W1793" s="22" t="n">
        <x:f>IF(U1793="Open",L1793*N1793,0)</x:f>
        <x:v>22015</x:v>
      </x:c>
      <x:c r="X1793" s="26" t="str">
        <x:f>IF(U1793="Open","",IFERROR(K1793-B1793,""))</x:f>
      </x:c>
      <x:c r="Y1793" s="26" t="n">
        <x:f>IF(U1793="Open",Lookups!$B$2-B1793,X1793)</x:f>
        <x:v>245</x:v>
      </x:c>
      <x:c r="Z1793" t="str">
        <x:f>IF(AND(U1793="Open",Y1793&gt;30),"STALE","OK")</x:f>
        <x:v>STALE</x:v>
      </x:c>
      <x:c r="AA1793" t="str">
        <x:f>TEXT(B1793,"yyyy-mm")</x:f>
        <x:v>2025-12</x:v>
      </x:c>
      <x:c r="AB1793" t="str">
        <x:f>IF(K1793="","",TEXT(K1793,"yyyy-mm"))</x:f>
      </x:c>
      <x:c r="AC1793" t="str">
        <x:f>"Q"&amp;ROUNDUP(MONTH(B1793)/3,0)&amp;"-"&amp;YEAR(B1793)</x:f>
        <x:v>Q4-2025</x:v>
      </x:c>
      <x:c r="AD1793" s="26" t="n">
        <x:f>MIN(100,IF(H1793="Enterprise",30,IF(H1793="Mid-Market",22,14))+IF(T1793="Enterprise",25,IF(T1793="Mid-Market",18,10))+IF(Q1793="Referral",25,IF(Q1793="Organic Search",20,IF(Q1793="Email",18,14)))+IF(G1793="Technology",10,5))</x:f>
        <x:v>64</x:v>
      </x:c>
      <x:c r="AE1793" t="str">
        <x:f>IF(U1793&lt;&gt;"Open",U1793,IF(N1793&gt;=0.8,"Commit",IF(N1793&gt;=0.5,"Best Case","Pipeline")))</x:f>
        <x:v>Commit</x:v>
      </x:c>
    </x:row>
    <x:row r="1794">
      <x:c r="A1794" t="str">
        <x:v>L01793</x:v>
      </x:c>
      <x:c r="B1794" s="10" t="n">
        <x:v>46237</x:v>
      </x:c>
      <x:c r="C1794" t="str">
        <x:v>Quynh Vu</x:v>
      </x:c>
      <x:c r="D1794" t="str">
        <x:v>North</x:v>
      </x:c>
      <x:c r="E1794" t="str">
        <x:v>email nurture</x:v>
      </x:c>
      <x:c r="F1794" t="str">
        <x:v>MKT-AUTO</x:v>
      </x:c>
      <x:c r="G1794" t="str">
        <x:v>Financial Services</x:v>
      </x:c>
      <x:c r="H1794" t="str">
        <x:v>Mid-Market</x:v>
      </x:c>
      <x:c r="I1794" t="str">
        <x:v>Closed Lost</x:v>
      </x:c>
      <x:c r="J1794" s="10" t="n">
        <x:v>46266</x:v>
      </x:c>
      <x:c r="K1794" s="10" t="n">
        <x:v>46266</x:v>
      </x:c>
      <x:c r="L1794" s="22" t="n">
        <x:v>28000</x:v>
      </x:c>
      <x:c r="M1794" s="24" t="n">
        <x:v>0</x:v>
      </x:c>
      <x:c r="N1794" s="24" t="n">
        <x:v>0</x:v>
      </x:c>
      <x:c r="O1794" t="str">
        <x:v>Budget</x:v>
      </x:c>
      <x:c r="P1794" t="n">
        <x:v>2</x:v>
      </x:c>
      <x:c r="Q1794" t="str">
        <x:f>IFERROR(XLOOKUP(E1794,Lookups!$A$5:$A$24,Lookups!$B$5:$B$24),"Other")</x:f>
        <x:v>Email</x:v>
      </x:c>
      <x:c r="R1794" t="str">
        <x:f>IFERROR(XLOOKUP(F1794,Lookups!$D$5:$D$10,Lookups!$E$5:$E$10),"Unknown Product")</x:f>
        <x:v>Marketing Automation</x:v>
      </x:c>
      <x:c r="S1794" t="str">
        <x:f>IFERROR(XLOOKUP(F1794,Lookups!$D$5:$D$10,Lookups!$F$5:$F$10),"Unknown")</x:f>
        <x:v>Marketing</x:v>
      </x:c>
      <x:c r="T1794" t="str">
        <x:f>IF(L1794&gt;=50000,"Enterprise",IF(L1794&gt;=20000,"Mid-Market","SMB"))</x:f>
        <x:v>Mid-Market</x:v>
      </x:c>
      <x:c r="U1794" t="str">
        <x:f>IF(I1794="Closed Won","Won",IF(I1794="Closed Lost","Lost","Open"))</x:f>
        <x:v>Lost</x:v>
      </x:c>
      <x:c r="V1794" s="22" t="n">
        <x:f>IF(U1794="Won",L1794*(1-M1794),0)</x:f>
        <x:v>0</x:v>
      </x:c>
      <x:c r="W1794" s="22" t="n">
        <x:f>IF(U1794="Open",L1794*N1794,0)</x:f>
        <x:v>0</x:v>
      </x:c>
      <x:c r="X1794" s="26" t="n">
        <x:f>IF(U1794="Open","",IFERROR(K1794-B1794,""))</x:f>
        <x:v>29</x:v>
      </x:c>
      <x:c r="Y1794" s="26" t="n">
        <x:f>IF(U1794="Open",Lookups!$B$2-B1794,X1794)</x:f>
        <x:v>29</x:v>
      </x:c>
      <x:c r="Z1794" t="str">
        <x:f>IF(AND(U1794="Open",Y1794&gt;30),"STALE","OK")</x:f>
        <x:v>OK</x:v>
      </x:c>
      <x:c r="AA1794" t="str">
        <x:f>TEXT(B1794,"yyyy-mm")</x:f>
        <x:v>2026-08</x:v>
      </x:c>
      <x:c r="AB1794" t="str">
        <x:f>IF(K1794="","",TEXT(K1794,"yyyy-mm"))</x:f>
        <x:v>2026-09</x:v>
      </x:c>
      <x:c r="AC1794" t="str">
        <x:f>"Q"&amp;ROUNDUP(MONTH(B1794)/3,0)&amp;"-"&amp;YEAR(B1794)</x:f>
        <x:v>Q3-2026</x:v>
      </x:c>
      <x:c r="AD1794" s="26" t="n">
        <x:f>MIN(100,IF(H1794="Enterprise",30,IF(H1794="Mid-Market",22,14))+IF(T1794="Enterprise",25,IF(T1794="Mid-Market",18,10))+IF(Q1794="Referral",25,IF(Q1794="Organic Search",20,IF(Q1794="Email",18,14)))+IF(G1794="Technology",10,5))</x:f>
        <x:v>63</x:v>
      </x:c>
      <x:c r="AE1794" t="str">
        <x:f>IF(U1794&lt;&gt;"Open",U1794,IF(N1794&gt;=0.8,"Commit",IF(N1794&gt;=0.5,"Best Case","Pipeline")))</x:f>
        <x:v>Lost</x:v>
      </x:c>
    </x:row>
    <x:row r="1795">
      <x:c r="A1795" t="str">
        <x:v>L01794</x:v>
      </x:c>
      <x:c r="B1795" s="10" t="n">
        <x:v>46045</x:v>
      </x:c>
      <x:c r="C1795" t="str">
        <x:v>Minh Do</x:v>
      </x:c>
      <x:c r="D1795" t="str">
        <x:v>North</x:v>
      </x:c>
      <x:c r="E1795" t="str">
        <x:v>SEO</x:v>
      </x:c>
      <x:c r="F1795" t="str">
        <x:v>CRM-CORE</x:v>
      </x:c>
      <x:c r="G1795" t="str">
        <x:v>Manufacturing</x:v>
      </x:c>
      <x:c r="H1795" t="str">
        <x:v>SMB</x:v>
      </x:c>
      <x:c r="I1795" t="str">
        <x:v>Closed Won</x:v>
      </x:c>
      <x:c r="J1795" s="10" t="n">
        <x:v>46111</x:v>
      </x:c>
      <x:c r="K1795" s="10" t="n">
        <x:v>46111</x:v>
      </x:c>
      <x:c r="L1795" s="22" t="n">
        <x:v>10100</x:v>
      </x:c>
      <x:c r="M1795" s="24" t="n">
        <x:v>0.03</x:v>
      </x:c>
      <x:c r="N1795" s="24" t="n">
        <x:v>1</x:v>
      </x:c>
      <x:c r="O1795" t="str"/>
      <x:c r="P1795" t="n">
        <x:v>6</x:v>
      </x:c>
      <x:c r="Q1795" t="str">
        <x:f>IFERROR(XLOOKUP(E1795,Lookups!$A$5:$A$24,Lookups!$B$5:$B$24),"Other")</x:f>
        <x:v>Organic Search</x:v>
      </x:c>
      <x:c r="R1795" t="str">
        <x:f>IFERROR(XLOOKUP(F1795,Lookups!$D$5:$D$10,Lookups!$E$5:$E$10),"Unknown Product")</x:f>
        <x:v>NexaCRM Core</x:v>
      </x:c>
      <x:c r="S1795" t="str">
        <x:f>IFERROR(XLOOKUP(F1795,Lookups!$D$5:$D$10,Lookups!$F$5:$F$10),"Unknown")</x:f>
        <x:v>CRM</x:v>
      </x:c>
      <x:c r="T1795" t="str">
        <x:f>IF(L1795&gt;=50000,"Enterprise",IF(L1795&gt;=20000,"Mid-Market","SMB"))</x:f>
        <x:v>SMB</x:v>
      </x:c>
      <x:c r="U1795" t="str">
        <x:f>IF(I1795="Closed Won","Won",IF(I1795="Closed Lost","Lost","Open"))</x:f>
        <x:v>Won</x:v>
      </x:c>
      <x:c r="V1795" s="22" t="n">
        <x:f>IF(U1795="Won",L1795*(1-M1795),0)</x:f>
        <x:v>9797</x:v>
      </x:c>
      <x:c r="W1795" s="22" t="n">
        <x:f>IF(U1795="Open",L1795*N1795,0)</x:f>
        <x:v>0</x:v>
      </x:c>
      <x:c r="X1795" s="26" t="n">
        <x:f>IF(U1795="Open","",IFERROR(K1795-B1795,""))</x:f>
        <x:v>66</x:v>
      </x:c>
      <x:c r="Y1795" s="26" t="n">
        <x:f>IF(U1795="Open",Lookups!$B$2-B1795,X1795)</x:f>
        <x:v>66</x:v>
      </x:c>
      <x:c r="Z1795" t="str">
        <x:f>IF(AND(U1795="Open",Y1795&gt;30),"STALE","OK")</x:f>
        <x:v>OK</x:v>
      </x:c>
      <x:c r="AA1795" t="str">
        <x:f>TEXT(B1795,"yyyy-mm")</x:f>
        <x:v>2026-01</x:v>
      </x:c>
      <x:c r="AB1795" t="str">
        <x:f>IF(K1795="","",TEXT(K1795,"yyyy-mm"))</x:f>
        <x:v>2026-03</x:v>
      </x:c>
      <x:c r="AC1795" t="str">
        <x:f>"Q"&amp;ROUNDUP(MONTH(B1795)/3,0)&amp;"-"&amp;YEAR(B1795)</x:f>
        <x:v>Q1-2026</x:v>
      </x:c>
      <x:c r="AD1795" s="26" t="n">
        <x:f>MIN(100,IF(H1795="Enterprise",30,IF(H1795="Mid-Market",22,14))+IF(T1795="Enterprise",25,IF(T1795="Mid-Market",18,10))+IF(Q1795="Referral",25,IF(Q1795="Organic Search",20,IF(Q1795="Email",18,14)))+IF(G1795="Technology",10,5))</x:f>
        <x:v>49</x:v>
      </x:c>
      <x:c r="AE1795" t="str">
        <x:f>IF(U1795&lt;&gt;"Open",U1795,IF(N1795&gt;=0.8,"Commit",IF(N1795&gt;=0.5,"Best Case","Pipeline")))</x:f>
        <x:v>Won</x:v>
      </x:c>
    </x:row>
    <x:row r="1796">
      <x:c r="A1796" t="str">
        <x:v>L01795</x:v>
      </x:c>
      <x:c r="B1796" s="10" t="n">
        <x:v>45731</x:v>
      </x:c>
      <x:c r="C1796" t="str">
        <x:v>Minh Do</x:v>
      </x:c>
      <x:c r="D1796" t="str">
        <x:v>North</x:v>
      </x:c>
      <x:c r="E1796" t="str">
        <x:v>google cpc</x:v>
      </x:c>
      <x:c r="F1796" t="str">
        <x:v>CRM-CORE</x:v>
      </x:c>
      <x:c r="G1796" t="str">
        <x:v>Manufacturing</x:v>
      </x:c>
      <x:c r="H1796" t="str">
        <x:v>SMB</x:v>
      </x:c>
      <x:c r="I1796" t="str">
        <x:v>Closed Lost</x:v>
      </x:c>
      <x:c r="J1796" s="10" t="n">
        <x:v>45774</x:v>
      </x:c>
      <x:c r="K1796" s="10" t="n">
        <x:v>45774</x:v>
      </x:c>
      <x:c r="L1796" s="22" t="n">
        <x:v>7700</x:v>
      </x:c>
      <x:c r="M1796" s="24" t="n">
        <x:v>0</x:v>
      </x:c>
      <x:c r="N1796" s="24" t="n">
        <x:v>0</x:v>
      </x:c>
      <x:c r="O1796" t="str">
        <x:v>Price</x:v>
      </x:c>
      <x:c r="P1796" t="n">
        <x:v>3</x:v>
      </x:c>
      <x:c r="Q1796" t="str">
        <x:f>IFERROR(XLOOKUP(E1796,Lookups!$A$5:$A$24,Lookups!$B$5:$B$24),"Other")</x:f>
        <x:v>Paid Search</x:v>
      </x:c>
      <x:c r="R1796" t="str">
        <x:f>IFERROR(XLOOKUP(F1796,Lookups!$D$5:$D$10,Lookups!$E$5:$E$10),"Unknown Product")</x:f>
        <x:v>NexaCRM Core</x:v>
      </x:c>
      <x:c r="S1796" t="str">
        <x:f>IFERROR(XLOOKUP(F1796,Lookups!$D$5:$D$10,Lookups!$F$5:$F$10),"Unknown")</x:f>
        <x:v>CRM</x:v>
      </x:c>
      <x:c r="T1796" t="str">
        <x:f>IF(L1796&gt;=50000,"Enterprise",IF(L1796&gt;=20000,"Mid-Market","SMB"))</x:f>
        <x:v>SMB</x:v>
      </x:c>
      <x:c r="U1796" t="str">
        <x:f>IF(I1796="Closed Won","Won",IF(I1796="Closed Lost","Lost","Open"))</x:f>
        <x:v>Lost</x:v>
      </x:c>
      <x:c r="V1796" s="22" t="n">
        <x:f>IF(U1796="Won",L1796*(1-M1796),0)</x:f>
        <x:v>0</x:v>
      </x:c>
      <x:c r="W1796" s="22" t="n">
        <x:f>IF(U1796="Open",L1796*N1796,0)</x:f>
        <x:v>0</x:v>
      </x:c>
      <x:c r="X1796" s="26" t="n">
        <x:f>IF(U1796="Open","",IFERROR(K1796-B1796,""))</x:f>
        <x:v>43</x:v>
      </x:c>
      <x:c r="Y1796" s="26" t="n">
        <x:f>IF(U1796="Open",Lookups!$B$2-B1796,X1796)</x:f>
        <x:v>43</x:v>
      </x:c>
      <x:c r="Z1796" t="str">
        <x:f>IF(AND(U1796="Open",Y1796&gt;30),"STALE","OK")</x:f>
        <x:v>OK</x:v>
      </x:c>
      <x:c r="AA1796" t="str">
        <x:f>TEXT(B1796,"yyyy-mm")</x:f>
        <x:v>2025-03</x:v>
      </x:c>
      <x:c r="AB1796" t="str">
        <x:f>IF(K1796="","",TEXT(K1796,"yyyy-mm"))</x:f>
        <x:v>2025-04</x:v>
      </x:c>
      <x:c r="AC1796" t="str">
        <x:f>"Q"&amp;ROUNDUP(MONTH(B1796)/3,0)&amp;"-"&amp;YEAR(B1796)</x:f>
        <x:v>Q1-2025</x:v>
      </x:c>
      <x:c r="AD1796" s="26" t="n">
        <x:f>MIN(100,IF(H1796="Enterprise",30,IF(H1796="Mid-Market",22,14))+IF(T1796="Enterprise",25,IF(T1796="Mid-Market",18,10))+IF(Q1796="Referral",25,IF(Q1796="Organic Search",20,IF(Q1796="Email",18,14)))+IF(G1796="Technology",10,5))</x:f>
        <x:v>43</x:v>
      </x:c>
      <x:c r="AE1796" t="str">
        <x:f>IF(U1796&lt;&gt;"Open",U1796,IF(N1796&gt;=0.8,"Commit",IF(N1796&gt;=0.5,"Best Case","Pipeline")))</x:f>
        <x:v>Lost</x:v>
      </x:c>
    </x:row>
    <x:row r="1797">
      <x:c r="A1797" t="str">
        <x:v>L01796</x:v>
      </x:c>
      <x:c r="B1797" s="10" t="n">
        <x:v>46241</x:v>
      </x:c>
      <x:c r="C1797" t="str">
        <x:v>Ha Vo</x:v>
      </x:c>
      <x:c r="D1797" t="str">
        <x:v>North</x:v>
      </x:c>
      <x:c r="E1797" t="str">
        <x:v>newsletter</x:v>
      </x:c>
      <x:c r="F1797" t="str">
        <x:v>CS-CLOUD</x:v>
      </x:c>
      <x:c r="G1797" t="str">
        <x:v>Retail</x:v>
      </x:c>
      <x:c r="H1797" t="str">
        <x:v>Enterprise</x:v>
      </x:c>
      <x:c r="I1797" t="str">
        <x:v>New</x:v>
      </x:c>
      <x:c r="J1797" s="10" t="n">
        <x:v>46259</x:v>
      </x:c>
      <x:c r="K1797" s="10"/>
      <x:c r="L1797" s="22" t="n">
        <x:v>89700</x:v>
      </x:c>
      <x:c r="M1797" s="24" t="n">
        <x:v>0.03</x:v>
      </x:c>
      <x:c r="N1797" s="24" t="n">
        <x:v>0.05</x:v>
      </x:c>
      <x:c r="O1797" t="str"/>
      <x:c r="P1797" t="n">
        <x:v>1</x:v>
      </x:c>
      <x:c r="Q1797" t="str">
        <x:f>IFERROR(XLOOKUP(E1797,Lookups!$A$5:$A$24,Lookups!$B$5:$B$24),"Other")</x:f>
        <x:v>Email</x:v>
      </x:c>
      <x:c r="R1797" t="str">
        <x:f>IFERROR(XLOOKUP(F1797,Lookups!$D$5:$D$10,Lookups!$E$5:$E$10),"Unknown Product")</x:f>
        <x:v>Service Cloud</x:v>
      </x:c>
      <x:c r="S1797" t="str">
        <x:f>IFERROR(XLOOKUP(F1797,Lookups!$D$5:$D$10,Lookups!$F$5:$F$10),"Unknown")</x:f>
        <x:v>Customer Service</x:v>
      </x:c>
      <x:c r="T1797" t="str">
        <x:f>IF(L1797&gt;=50000,"Enterprise",IF(L1797&gt;=20000,"Mid-Market","SMB"))</x:f>
        <x:v>Enterprise</x:v>
      </x:c>
      <x:c r="U1797" t="str">
        <x:f>IF(I1797="Closed Won","Won",IF(I1797="Closed Lost","Lost","Open"))</x:f>
        <x:v>Open</x:v>
      </x:c>
      <x:c r="V1797" s="22" t="n">
        <x:f>IF(U1797="Won",L1797*(1-M1797),0)</x:f>
        <x:v>0</x:v>
      </x:c>
      <x:c r="W1797" s="22" t="n">
        <x:f>IF(U1797="Open",L1797*N1797,0)</x:f>
        <x:v>4485</x:v>
      </x:c>
      <x:c r="X1797" s="26" t="str">
        <x:f>IF(U1797="Open","",IFERROR(K1797-B1797,""))</x:f>
      </x:c>
      <x:c r="Y1797" s="26" t="n">
        <x:f>IF(U1797="Open",Lookups!$B$2-B1797,X1797)</x:f>
        <x:v>25</x:v>
      </x:c>
      <x:c r="Z1797" t="str">
        <x:f>IF(AND(U1797="Open",Y1797&gt;30),"STALE","OK")</x:f>
        <x:v>OK</x:v>
      </x:c>
      <x:c r="AA1797" t="str">
        <x:f>TEXT(B1797,"yyyy-mm")</x:f>
        <x:v>2026-08</x:v>
      </x:c>
      <x:c r="AB1797" t="str">
        <x:f>IF(K1797="","",TEXT(K1797,"yyyy-mm"))</x:f>
      </x:c>
      <x:c r="AC1797" t="str">
        <x:f>"Q"&amp;ROUNDUP(MONTH(B1797)/3,0)&amp;"-"&amp;YEAR(B1797)</x:f>
        <x:v>Q3-2026</x:v>
      </x:c>
      <x:c r="AD1797" s="26" t="n">
        <x:f>MIN(100,IF(H1797="Enterprise",30,IF(H1797="Mid-Market",22,14))+IF(T1797="Enterprise",25,IF(T1797="Mid-Market",18,10))+IF(Q1797="Referral",25,IF(Q1797="Organic Search",20,IF(Q1797="Email",18,14)))+IF(G1797="Technology",10,5))</x:f>
        <x:v>78</x:v>
      </x:c>
      <x:c r="AE1797" t="str">
        <x:f>IF(U1797&lt;&gt;"Open",U1797,IF(N1797&gt;=0.8,"Commit",IF(N1797&gt;=0.5,"Best Case","Pipeline")))</x:f>
        <x:v>Pipeline</x:v>
      </x:c>
    </x:row>
    <x:row r="1798">
      <x:c r="A1798" t="str">
        <x:v>L01797</x:v>
      </x:c>
      <x:c r="B1798" s="10" t="n">
        <x:v>45729</x:v>
      </x:c>
      <x:c r="C1798" t="str">
        <x:v>Tuan Bui</x:v>
      </x:c>
      <x:c r="D1798" t="str">
        <x:v>Central</x:v>
      </x:c>
      <x:c r="E1798" t="str">
        <x:v>linkedin</x:v>
      </x:c>
      <x:c r="F1798" t="str">
        <x:v>CRM-PRO</x:v>
      </x:c>
      <x:c r="G1798" t="str">
        <x:v>Professional Services</x:v>
      </x:c>
      <x:c r="H1798" t="str">
        <x:v>SMB</x:v>
      </x:c>
      <x:c r="I1798" t="str">
        <x:v>Closed Lost</x:v>
      </x:c>
      <x:c r="J1798" s="10" t="n">
        <x:v>45777</x:v>
      </x:c>
      <x:c r="K1798" s="10" t="n">
        <x:v>45777</x:v>
      </x:c>
      <x:c r="L1798" s="22" t="n">
        <x:v>11100</x:v>
      </x:c>
      <x:c r="M1798" s="24" t="n">
        <x:v>0</x:v>
      </x:c>
      <x:c r="N1798" s="24" t="n">
        <x:v>0</x:v>
      </x:c>
      <x:c r="O1798" t="str">
        <x:v>Price</x:v>
      </x:c>
      <x:c r="P1798" t="n">
        <x:v>3</x:v>
      </x:c>
      <x:c r="Q1798" t="str">
        <x:f>IFERROR(XLOOKUP(E1798,Lookups!$A$5:$A$24,Lookups!$B$5:$B$24),"Other")</x:f>
        <x:v>LinkedIn</x:v>
      </x:c>
      <x:c r="R1798" t="str">
        <x:f>IFERROR(XLOOKUP(F1798,Lookups!$D$5:$D$10,Lookups!$E$5:$E$10),"Unknown Product")</x:f>
        <x:v>NexaCRM Pro</x:v>
      </x:c>
      <x:c r="S1798" t="str">
        <x:f>IFERROR(XLOOKUP(F1798,Lookups!$D$5:$D$10,Lookups!$F$5:$F$10),"Unknown")</x:f>
        <x:v>CRM</x:v>
      </x:c>
      <x:c r="T1798" t="str">
        <x:f>IF(L1798&gt;=50000,"Enterprise",IF(L1798&gt;=20000,"Mid-Market","SMB"))</x:f>
        <x:v>SMB</x:v>
      </x:c>
      <x:c r="U1798" t="str">
        <x:f>IF(I1798="Closed Won","Won",IF(I1798="Closed Lost","Lost","Open"))</x:f>
        <x:v>Lost</x:v>
      </x:c>
      <x:c r="V1798" s="22" t="n">
        <x:f>IF(U1798="Won",L1798*(1-M1798),0)</x:f>
        <x:v>0</x:v>
      </x:c>
      <x:c r="W1798" s="22" t="n">
        <x:f>IF(U1798="Open",L1798*N1798,0)</x:f>
        <x:v>0</x:v>
      </x:c>
      <x:c r="X1798" s="26" t="n">
        <x:f>IF(U1798="Open","",IFERROR(K1798-B1798,""))</x:f>
        <x:v>48</x:v>
      </x:c>
      <x:c r="Y1798" s="26" t="n">
        <x:f>IF(U1798="Open",Lookups!$B$2-B1798,X1798)</x:f>
        <x:v>48</x:v>
      </x:c>
      <x:c r="Z1798" t="str">
        <x:f>IF(AND(U1798="Open",Y1798&gt;30),"STALE","OK")</x:f>
        <x:v>OK</x:v>
      </x:c>
      <x:c r="AA1798" t="str">
        <x:f>TEXT(B1798,"yyyy-mm")</x:f>
        <x:v>2025-03</x:v>
      </x:c>
      <x:c r="AB1798" t="str">
        <x:f>IF(K1798="","",TEXT(K1798,"yyyy-mm"))</x:f>
        <x:v>2025-04</x:v>
      </x:c>
      <x:c r="AC1798" t="str">
        <x:f>"Q"&amp;ROUNDUP(MONTH(B1798)/3,0)&amp;"-"&amp;YEAR(B1798)</x:f>
        <x:v>Q1-2025</x:v>
      </x:c>
      <x:c r="AD1798" s="26" t="n">
        <x:f>MIN(100,IF(H1798="Enterprise",30,IF(H1798="Mid-Market",22,14))+IF(T1798="Enterprise",25,IF(T1798="Mid-Market",18,10))+IF(Q1798="Referral",25,IF(Q1798="Organic Search",20,IF(Q1798="Email",18,14)))+IF(G1798="Technology",10,5))</x:f>
        <x:v>43</x:v>
      </x:c>
      <x:c r="AE1798" t="str">
        <x:f>IF(U1798&lt;&gt;"Open",U1798,IF(N1798&gt;=0.8,"Commit",IF(N1798&gt;=0.5,"Best Case","Pipeline")))</x:f>
        <x:v>Lost</x:v>
      </x:c>
    </x:row>
    <x:row r="1799">
      <x:c r="A1799" t="str">
        <x:v>L01798</x:v>
      </x:c>
      <x:c r="B1799" s="10" t="n">
        <x:v>45703</x:v>
      </x:c>
      <x:c r="C1799" t="str">
        <x:v>Bao Tran</x:v>
      </x:c>
      <x:c r="D1799" t="str">
        <x:v>South</x:v>
      </x:c>
      <x:c r="E1799" t="str">
        <x:v>Outbound</x:v>
      </x:c>
      <x:c r="F1799" t="str">
        <x:v>BI-PLUS</x:v>
      </x:c>
      <x:c r="G1799" t="str">
        <x:v>Professional Services</x:v>
      </x:c>
      <x:c r="H1799" t="str">
        <x:v>SMB</x:v>
      </x:c>
      <x:c r="I1799" t="str">
        <x:v>Closed Won</x:v>
      </x:c>
      <x:c r="J1799" s="10" t="n">
        <x:v>45780</x:v>
      </x:c>
      <x:c r="K1799" s="10" t="n">
        <x:v>45780</x:v>
      </x:c>
      <x:c r="L1799" s="22" t="n">
        <x:v>13600</x:v>
      </x:c>
      <x:c r="M1799" s="24" t="n">
        <x:v>0</x:v>
      </x:c>
      <x:c r="N1799" s="24" t="n">
        <x:v>1</x:v>
      </x:c>
      <x:c r="O1799" t="str"/>
      <x:c r="P1799" t="n">
        <x:v>6</x:v>
      </x:c>
      <x:c r="Q1799" t="str">
        <x:f>IFERROR(XLOOKUP(E1799,Lookups!$A$5:$A$24,Lookups!$B$5:$B$24),"Other")</x:f>
        <x:v>Outbound</x:v>
      </x:c>
      <x:c r="R1799" t="str">
        <x:f>IFERROR(XLOOKUP(F1799,Lookups!$D$5:$D$10,Lookups!$E$5:$E$10),"Unknown Product")</x:f>
        <x:v>Analytics Plus</x:v>
      </x:c>
      <x:c r="S1799" t="str">
        <x:f>IFERROR(XLOOKUP(F1799,Lookups!$D$5:$D$10,Lookups!$F$5:$F$10),"Unknown")</x:f>
        <x:v>Analytics</x:v>
      </x:c>
      <x:c r="T1799" t="str">
        <x:f>IF(L1799&gt;=50000,"Enterprise",IF(L1799&gt;=20000,"Mid-Market","SMB"))</x:f>
        <x:v>SMB</x:v>
      </x:c>
      <x:c r="U1799" t="str">
        <x:f>IF(I1799="Closed Won","Won",IF(I1799="Closed Lost","Lost","Open"))</x:f>
        <x:v>Won</x:v>
      </x:c>
      <x:c r="V1799" s="22" t="n">
        <x:f>IF(U1799="Won",L1799*(1-M1799),0)</x:f>
        <x:v>13600</x:v>
      </x:c>
      <x:c r="W1799" s="22" t="n">
        <x:f>IF(U1799="Open",L1799*N1799,0)</x:f>
        <x:v>0</x:v>
      </x:c>
      <x:c r="X1799" s="26" t="n">
        <x:f>IF(U1799="Open","",IFERROR(K1799-B1799,""))</x:f>
        <x:v>77</x:v>
      </x:c>
      <x:c r="Y1799" s="26" t="n">
        <x:f>IF(U1799="Open",Lookups!$B$2-B1799,X1799)</x:f>
        <x:v>77</x:v>
      </x:c>
      <x:c r="Z1799" t="str">
        <x:f>IF(AND(U1799="Open",Y1799&gt;30),"STALE","OK")</x:f>
        <x:v>OK</x:v>
      </x:c>
      <x:c r="AA1799" t="str">
        <x:f>TEXT(B1799,"yyyy-mm")</x:f>
        <x:v>2025-02</x:v>
      </x:c>
      <x:c r="AB1799" t="str">
        <x:f>IF(K1799="","",TEXT(K1799,"yyyy-mm"))</x:f>
        <x:v>2025-05</x:v>
      </x:c>
      <x:c r="AC1799" t="str">
        <x:f>"Q"&amp;ROUNDUP(MONTH(B1799)/3,0)&amp;"-"&amp;YEAR(B1799)</x:f>
        <x:v>Q1-2025</x:v>
      </x:c>
      <x:c r="AD1799" s="26" t="n">
        <x:f>MIN(100,IF(H1799="Enterprise",30,IF(H1799="Mid-Market",22,14))+IF(T1799="Enterprise",25,IF(T1799="Mid-Market",18,10))+IF(Q1799="Referral",25,IF(Q1799="Organic Search",20,IF(Q1799="Email",18,14)))+IF(G1799="Technology",10,5))</x:f>
        <x:v>43</x:v>
      </x:c>
      <x:c r="AE1799" t="str">
        <x:f>IF(U1799&lt;&gt;"Open",U1799,IF(N1799&gt;=0.8,"Commit",IF(N1799&gt;=0.5,"Best Case","Pipeline")))</x:f>
        <x:v>Won</x:v>
      </x:c>
    </x:row>
    <x:row r="1800">
      <x:c r="A1800" t="str">
        <x:v>L01799</x:v>
      </x:c>
      <x:c r="B1800" s="10" t="n">
        <x:v>46101</x:v>
      </x:c>
      <x:c r="C1800" t="str">
        <x:v>Bao Tran</x:v>
      </x:c>
      <x:c r="D1800" t="str">
        <x:v>South</x:v>
      </x:c>
      <x:c r="E1800" t="str">
        <x:v>Webinar</x:v>
      </x:c>
      <x:c r="F1800" t="str">
        <x:v>BI-PLUS</x:v>
      </x:c>
      <x:c r="G1800" t="str">
        <x:v>Retail</x:v>
      </x:c>
      <x:c r="H1800" t="str">
        <x:v>Mid-Market</x:v>
      </x:c>
      <x:c r="I1800" t="str">
        <x:v>Closed Lost</x:v>
      </x:c>
      <x:c r="J1800" s="10" t="n">
        <x:v>46137</x:v>
      </x:c>
      <x:c r="K1800" s="10" t="n">
        <x:v>46137</x:v>
      </x:c>
      <x:c r="L1800" s="22" t="n">
        <x:v>25100</x:v>
      </x:c>
      <x:c r="M1800" s="24" t="n">
        <x:v>0</x:v>
      </x:c>
      <x:c r="N1800" s="24" t="n">
        <x:v>0</x:v>
      </x:c>
      <x:c r="O1800" t="str">
        <x:v>No Decision</x:v>
      </x:c>
      <x:c r="P1800" t="n">
        <x:v>3</x:v>
      </x:c>
      <x:c r="Q1800" t="str">
        <x:f>IFERROR(XLOOKUP(E1800,Lookups!$A$5:$A$24,Lookups!$B$5:$B$24),"Other")</x:f>
        <x:v>Webinar</x:v>
      </x:c>
      <x:c r="R1800" t="str">
        <x:f>IFERROR(XLOOKUP(F1800,Lookups!$D$5:$D$10,Lookups!$E$5:$E$10),"Unknown Product")</x:f>
        <x:v>Analytics Plus</x:v>
      </x:c>
      <x:c r="S1800" t="str">
        <x:f>IFERROR(XLOOKUP(F1800,Lookups!$D$5:$D$10,Lookups!$F$5:$F$10),"Unknown")</x:f>
        <x:v>Analytics</x:v>
      </x:c>
      <x:c r="T1800" t="str">
        <x:f>IF(L1800&gt;=50000,"Enterprise",IF(L1800&gt;=20000,"Mid-Market","SMB"))</x:f>
        <x:v>Mid-Market</x:v>
      </x:c>
      <x:c r="U1800" t="str">
        <x:f>IF(I1800="Closed Won","Won",IF(I1800="Closed Lost","Lost","Open"))</x:f>
        <x:v>Lost</x:v>
      </x:c>
      <x:c r="V1800" s="22" t="n">
        <x:f>IF(U1800="Won",L1800*(1-M1800),0)</x:f>
        <x:v>0</x:v>
      </x:c>
      <x:c r="W1800" s="22" t="n">
        <x:f>IF(U1800="Open",L1800*N1800,0)</x:f>
        <x:v>0</x:v>
      </x:c>
      <x:c r="X1800" s="26" t="n">
        <x:f>IF(U1800="Open","",IFERROR(K1800-B1800,""))</x:f>
        <x:v>36</x:v>
      </x:c>
      <x:c r="Y1800" s="26" t="n">
        <x:f>IF(U1800="Open",Lookups!$B$2-B1800,X1800)</x:f>
        <x:v>36</x:v>
      </x:c>
      <x:c r="Z1800" t="str">
        <x:f>IF(AND(U1800="Open",Y1800&gt;30),"STALE","OK")</x:f>
        <x:v>OK</x:v>
      </x:c>
      <x:c r="AA1800" t="str">
        <x:f>TEXT(B1800,"yyyy-mm")</x:f>
        <x:v>2026-03</x:v>
      </x:c>
      <x:c r="AB1800" t="str">
        <x:f>IF(K1800="","",TEXT(K1800,"yyyy-mm"))</x:f>
        <x:v>2026-04</x:v>
      </x:c>
      <x:c r="AC1800" t="str">
        <x:f>"Q"&amp;ROUNDUP(MONTH(B1800)/3,0)&amp;"-"&amp;YEAR(B1800)</x:f>
        <x:v>Q1-2026</x:v>
      </x:c>
      <x:c r="AD1800" s="26" t="n">
        <x:f>MIN(100,IF(H1800="Enterprise",30,IF(H1800="Mid-Market",22,14))+IF(T1800="Enterprise",25,IF(T1800="Mid-Market",18,10))+IF(Q1800="Referral",25,IF(Q1800="Organic Search",20,IF(Q1800="Email",18,14)))+IF(G1800="Technology",10,5))</x:f>
        <x:v>59</x:v>
      </x:c>
      <x:c r="AE1800" t="str">
        <x:f>IF(U1800&lt;&gt;"Open",U1800,IF(N1800&gt;=0.8,"Commit",IF(N1800&gt;=0.5,"Best Case","Pipeline")))</x:f>
        <x:v>Lost</x:v>
      </x:c>
    </x:row>
    <x:row r="1801">
      <x:c r="A1801" t="str">
        <x:v>L01800</x:v>
      </x:c>
      <x:c r="B1801" s="10" t="n">
        <x:v>45954</x:v>
      </x:c>
      <x:c r="C1801" t="str">
        <x:v>Tuan Bui</x:v>
      </x:c>
      <x:c r="D1801" t="str">
        <x:v>Central</x:v>
      </x:c>
      <x:c r="E1801" t="str">
        <x:v>Webinar</x:v>
      </x:c>
      <x:c r="F1801" t="str">
        <x:v>BI-PLUS</x:v>
      </x:c>
      <x:c r="G1801" t="str">
        <x:v>Financial Services</x:v>
      </x:c>
      <x:c r="H1801" t="str">
        <x:v>SMB</x:v>
      </x:c>
      <x:c r="I1801" t="str">
        <x:v>Closed Lost</x:v>
      </x:c>
      <x:c r="J1801" s="10" t="n">
        <x:v>46018</x:v>
      </x:c>
      <x:c r="K1801" s="10" t="n">
        <x:v>46018</x:v>
      </x:c>
      <x:c r="L1801" s="22" t="n">
        <x:v>25600</x:v>
      </x:c>
      <x:c r="M1801" s="24" t="n">
        <x:v>0</x:v>
      </x:c>
      <x:c r="N1801" s="24" t="n">
        <x:v>0</x:v>
      </x:c>
      <x:c r="O1801" t="str">
        <x:v>Price</x:v>
      </x:c>
      <x:c r="P1801" t="n">
        <x:v>2</x:v>
      </x:c>
      <x:c r="Q1801" t="str">
        <x:f>IFERROR(XLOOKUP(E1801,Lookups!$A$5:$A$24,Lookups!$B$5:$B$24),"Other")</x:f>
        <x:v>Webinar</x:v>
      </x:c>
      <x:c r="R1801" t="str">
        <x:f>IFERROR(XLOOKUP(F1801,Lookups!$D$5:$D$10,Lookups!$E$5:$E$10),"Unknown Product")</x:f>
        <x:v>Analytics Plus</x:v>
      </x:c>
      <x:c r="S1801" t="str">
        <x:f>IFERROR(XLOOKUP(F1801,Lookups!$D$5:$D$10,Lookups!$F$5:$F$10),"Unknown")</x:f>
        <x:v>Analytics</x:v>
      </x:c>
      <x:c r="T1801" t="str">
        <x:f>IF(L1801&gt;=50000,"Enterprise",IF(L1801&gt;=20000,"Mid-Market","SMB"))</x:f>
        <x:v>Mid-Market</x:v>
      </x:c>
      <x:c r="U1801" t="str">
        <x:f>IF(I1801="Closed Won","Won",IF(I1801="Closed Lost","Lost","Open"))</x:f>
        <x:v>Lost</x:v>
      </x:c>
      <x:c r="V1801" s="22" t="n">
        <x:f>IF(U1801="Won",L1801*(1-M1801),0)</x:f>
        <x:v>0</x:v>
      </x:c>
      <x:c r="W1801" s="22" t="n">
        <x:f>IF(U1801="Open",L1801*N1801,0)</x:f>
        <x:v>0</x:v>
      </x:c>
      <x:c r="X1801" s="26" t="n">
        <x:f>IF(U1801="Open","",IFERROR(K1801-B1801,""))</x:f>
        <x:v>64</x:v>
      </x:c>
      <x:c r="Y1801" s="26" t="n">
        <x:f>IF(U1801="Open",Lookups!$B$2-B1801,X1801)</x:f>
        <x:v>64</x:v>
      </x:c>
      <x:c r="Z1801" t="str">
        <x:f>IF(AND(U1801="Open",Y1801&gt;30),"STALE","OK")</x:f>
        <x:v>OK</x:v>
      </x:c>
      <x:c r="AA1801" t="str">
        <x:f>TEXT(B1801,"yyyy-mm")</x:f>
        <x:v>2025-10</x:v>
      </x:c>
      <x:c r="AB1801" t="str">
        <x:f>IF(K1801="","",TEXT(K1801,"yyyy-mm"))</x:f>
        <x:v>2025-12</x:v>
      </x:c>
      <x:c r="AC1801" t="str">
        <x:f>"Q"&amp;ROUNDUP(MONTH(B1801)/3,0)&amp;"-"&amp;YEAR(B1801)</x:f>
        <x:v>Q4-2025</x:v>
      </x:c>
      <x:c r="AD1801" s="26" t="n">
        <x:f>MIN(100,IF(H1801="Enterprise",30,IF(H1801="Mid-Market",22,14))+IF(T1801="Enterprise",25,IF(T1801="Mid-Market",18,10))+IF(Q1801="Referral",25,IF(Q1801="Organic Search",20,IF(Q1801="Email",18,14)))+IF(G1801="Technology",10,5))</x:f>
        <x:v>51</x:v>
      </x:c>
      <x:c r="AE1801" t="str">
        <x:f>IF(U1801&lt;&gt;"Open",U1801,IF(N1801&gt;=0.8,"Commit",IF(N1801&gt;=0.5,"Best Case","Pipeline")))</x:f>
        <x:v>Lost</x:v>
      </x:c>
    </x:row>
  </x:sheetData>
  <x:conditionalFormatting sqref="Z2:Z1801">
    <x:cfRule type="expression" dxfId="0" priority="1">
      <x:formula>Z2="STALE"</x:formula>
    </x:cfRule>
  </x:conditionalFormatting>
  <x:conditionalFormatting sqref="W2:W1801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{E61CD39F-A1F0-03E1-5442-8832CF1C52F9}</x14:id>
        </x:ext>
      </x:extLst>
    </x:cfRule>
  </x:conditionalFormatting>
  <x:conditionalFormatting sqref="AD2:AD1801">
    <x:cfRule type="colorScale" priority="3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dataValidations count="4">
    <x:dataValidation type="list" sqref="C2:C1801">
      <x:formula1>"An Nguyen,Bao Tran,Chi Le,Duy Pham,Ha Vo,Minh Do,Quynh Vu,Tuan Bui"</x:formula1>
    </x:dataValidation>
    <x:dataValidation type="list" sqref="D2:D1801">
      <x:formula1>"South,North,Central"</x:formula1>
    </x:dataValidation>
    <x:dataValidation type="list" sqref="F2:F1801">
      <x:formula1>"CRM-CORE,CRM-PRO,MKT-AUTO,BI-PLUS,CS-CLOUD,REV-OPS"</x:formula1>
    </x:dataValidation>
    <x:dataValidation type="list" sqref="H2:H1801">
      <x:formula1>"SMB,Mid-Market,Enterprise"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c4095faf63486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61CD39F-A1F0-03E1-5442-8832CF1C52F9}">
            <x14:dataBar gradient="1">
              <x14:cfvo type="min"/>
              <x14:cfvo type="max"/>
              <x14:fillColor rgb="FF156082"/>
            </x14:dataBar>
          </x14:cfRule>
          <xm:sqref>W2:W1801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16" t="str">
        <x:v>Rep</x:v>
      </x:c>
      <x:c r="B1" s="16" t="str">
        <x:v>Region</x:v>
      </x:c>
      <x:c r="C1" s="16" t="str">
        <x:v>Team</x:v>
      </x:c>
      <x:c r="D1" s="16" t="str">
        <x:v>Total Leads</x:v>
      </x:c>
      <x:c r="E1" s="16" t="str">
        <x:v>Won Deals</x:v>
      </x:c>
      <x:c r="F1" s="16" t="str">
        <x:v>Lost Deals</x:v>
      </x:c>
      <x:c r="G1" s="16" t="str">
        <x:v>Win Rate</x:v>
      </x:c>
      <x:c r="H1" s="16" t="str">
        <x:v>Won Revenue</x:v>
      </x:c>
      <x:c r="I1" s="16" t="str">
        <x:v>Open Pipeline</x:v>
      </x:c>
      <x:c r="J1" s="16" t="str">
        <x:v>Weighted Pipeline</x:v>
      </x:c>
      <x:c r="K1" s="16" t="str">
        <x:v>Avg Sales Cycle</x:v>
      </x:c>
      <x:c r="L1" s="16" t="str">
        <x:v>Revenue Target</x:v>
      </x:c>
      <x:c r="M1" s="16" t="str">
        <x:v>Target Attainment</x:v>
      </x:c>
    </x:row>
    <x:row r="2">
      <x:c r="A2" t="str">
        <x:v>An Nguyen</x:v>
      </x:c>
      <x:c r="B2" t="str">
        <x:f>XLOOKUP(A2,Lookups!$I$5:$I$12,Lookups!$J$5:$J$12)</x:f>
        <x:v>South</x:v>
      </x:c>
      <x:c r="C2" t="str">
        <x:f>XLOOKUP(A2,Lookups!$I$5:$I$12,Lookups!$K$5:$K$12)</x:f>
        <x:v>Growth</x:v>
      </x:c>
      <x:c r="D2" t="n">
        <x:f>COUNTIF(CRM_Data!$C$2:$C$1801,A2)</x:f>
        <x:v>218</x:v>
      </x:c>
      <x:c r="E2" t="n">
        <x:f>COUNTIFS(CRM_Data!$C$2:$C$1801,A2,CRM_Data!$U$2:$U$1801,"Won")</x:f>
        <x:v>41</x:v>
      </x:c>
      <x:c r="F2" t="n">
        <x:f>COUNTIFS(CRM_Data!$C$2:$C$1801,A2,CRM_Data!$U$2:$U$1801,"Lost")</x:f>
        <x:v>125</x:v>
      </x:c>
      <x:c r="G2" s="28" t="n">
        <x:f>IFERROR(E2/(E2+F2),0)</x:f>
        <x:v>0.2469879518072289</x:v>
      </x:c>
      <x:c r="H2" s="22" t="n">
        <x:f>SUMIFS(CRM_Data!$V$2:$V$1801,CRM_Data!$C$2:$C$1801,A2)</x:f>
        <x:v>1014864</x:v>
      </x:c>
      <x:c r="I2" s="22" t="n">
        <x:f>SUMIFS(CRM_Data!$L$2:$L$1801,CRM_Data!$C$2:$C$1801,A2,CRM_Data!$U$2:$U$1801,"Open")</x:f>
        <x:v>1690200</x:v>
      </x:c>
      <x:c r="J2" s="22" t="n">
        <x:f>SUMIFS(CRM_Data!$W$2:$W$1801,CRM_Data!$C$2:$C$1801,A2)</x:f>
        <x:v>1077505</x:v>
      </x:c>
      <x:c r="K2" t="n">
        <x:f>IFERROR(SUMIFS(CRM_Data!$X$2:$X$1801,CRM_Data!$C$2:$C$1801,A2,CRM_Data!$U$2:$U$1801,"Won")/E2,0)</x:f>
        <x:v>51.97560975609756</x:v>
      </x:c>
      <x:c r="L2" s="22" t="n">
        <x:f>XLOOKUP(A2,Lookups!$I$5:$I$12,Lookups!$L$5:$L$12)</x:f>
        <x:v>1035000</x:v>
      </x:c>
      <x:c r="M2" s="28" t="n">
        <x:f>IFERROR(H2/L2,0)</x:f>
        <x:v>0.9805449275362319</x:v>
      </x:c>
    </x:row>
    <x:row r="3">
      <x:c r="A3" t="str">
        <x:v>Bao Tran</x:v>
      </x:c>
      <x:c r="B3" t="str">
        <x:f>XLOOKUP(A3,Lookups!$I$5:$I$12,Lookups!$J$5:$J$12)</x:f>
        <x:v>South</x:v>
      </x:c>
      <x:c r="C3" t="str">
        <x:f>XLOOKUP(A3,Lookups!$I$5:$I$12,Lookups!$K$5:$K$12)</x:f>
        <x:v>Growth</x:v>
      </x:c>
      <x:c r="D3" t="n">
        <x:f>COUNTIF(CRM_Data!$C$2:$C$1801,A3)</x:f>
        <x:v>237</x:v>
      </x:c>
      <x:c r="E3" t="n">
        <x:f>COUNTIFS(CRM_Data!$C$2:$C$1801,A3,CRM_Data!$U$2:$U$1801,"Won")</x:f>
        <x:v>56</x:v>
      </x:c>
      <x:c r="F3" t="n">
        <x:f>COUNTIFS(CRM_Data!$C$2:$C$1801,A3,CRM_Data!$U$2:$U$1801,"Lost")</x:f>
        <x:v>131</x:v>
      </x:c>
      <x:c r="G3" s="28" t="n">
        <x:f>IFERROR(E3/(E3+F3),0)</x:f>
        <x:v>0.2994652406417112</x:v>
      </x:c>
      <x:c r="H3" s="22" t="n">
        <x:f>SUMIFS(CRM_Data!$V$2:$V$1801,CRM_Data!$C$2:$C$1801,A3)</x:f>
        <x:v>1296394</x:v>
      </x:c>
      <x:c r="I3" s="22" t="n">
        <x:f>SUMIFS(CRM_Data!$L$2:$L$1801,CRM_Data!$C$2:$C$1801,A3,CRM_Data!$U$2:$U$1801,"Open")</x:f>
        <x:v>1582300</x:v>
      </x:c>
      <x:c r="J3" s="22" t="n">
        <x:f>SUMIFS(CRM_Data!$W$2:$W$1801,CRM_Data!$C$2:$C$1801,A3)</x:f>
        <x:v>907010</x:v>
      </x:c>
      <x:c r="K3" t="n">
        <x:f>IFERROR(SUMIFS(CRM_Data!$X$2:$X$1801,CRM_Data!$C$2:$C$1801,A3,CRM_Data!$U$2:$U$1801,"Won")/E3,0)</x:f>
        <x:v>52.339285714285715</x:v>
      </x:c>
      <x:c r="L3" s="22" t="n">
        <x:f>XLOOKUP(A3,Lookups!$I$5:$I$12,Lookups!$L$5:$L$12)</x:f>
        <x:v>1232000</x:v>
      </x:c>
      <x:c r="M3" s="28" t="n">
        <x:f>IFERROR(H3/L3,0)</x:f>
        <x:v>1.0522678571428572</x:v>
      </x:c>
    </x:row>
    <x:row r="4">
      <x:c r="A4" t="str">
        <x:v>Chi Le</x:v>
      </x:c>
      <x:c r="B4" t="str">
        <x:f>XLOOKUP(A4,Lookups!$I$5:$I$12,Lookups!$J$5:$J$12)</x:f>
        <x:v>South</x:v>
      </x:c>
      <x:c r="C4" t="str">
        <x:f>XLOOKUP(A4,Lookups!$I$5:$I$12,Lookups!$K$5:$K$12)</x:f>
        <x:v>Commercial</x:v>
      </x:c>
      <x:c r="D4" t="n">
        <x:f>COUNTIF(CRM_Data!$C$2:$C$1801,A4)</x:f>
        <x:v>203</x:v>
      </x:c>
      <x:c r="E4" t="n">
        <x:f>COUNTIFS(CRM_Data!$C$2:$C$1801,A4,CRM_Data!$U$2:$U$1801,"Won")</x:f>
        <x:v>38</x:v>
      </x:c>
      <x:c r="F4" t="n">
        <x:f>COUNTIFS(CRM_Data!$C$2:$C$1801,A4,CRM_Data!$U$2:$U$1801,"Lost")</x:f>
        <x:v>109</x:v>
      </x:c>
      <x:c r="G4" s="28" t="n">
        <x:f>IFERROR(E4/(E4+F4),0)</x:f>
        <x:v>0.2585034013605442</x:v>
      </x:c>
      <x:c r="H4" s="22" t="n">
        <x:f>SUMIFS(CRM_Data!$V$2:$V$1801,CRM_Data!$C$2:$C$1801,A4)</x:f>
        <x:v>1164807</x:v>
      </x:c>
      <x:c r="I4" s="22" t="n">
        <x:f>SUMIFS(CRM_Data!$L$2:$L$1801,CRM_Data!$C$2:$C$1801,A4,CRM_Data!$U$2:$U$1801,"Open")</x:f>
        <x:v>1881700</x:v>
      </x:c>
      <x:c r="J4" s="22" t="n">
        <x:f>SUMIFS(CRM_Data!$W$2:$W$1801,CRM_Data!$C$2:$C$1801,A4)</x:f>
        <x:v>1247955</x:v>
      </x:c>
      <x:c r="K4" t="n">
        <x:f>IFERROR(SUMIFS(CRM_Data!$X$2:$X$1801,CRM_Data!$C$2:$C$1801,A4,CRM_Data!$U$2:$U$1801,"Won")/E4,0)</x:f>
        <x:v>55.026315789473685</x:v>
      </x:c>
      <x:c r="L4" s="22" t="n">
        <x:f>XLOOKUP(A4,Lookups!$I$5:$I$12,Lookups!$L$5:$L$12)</x:f>
        <x:v>1258000</x:v>
      </x:c>
      <x:c r="M4" s="28" t="n">
        <x:f>IFERROR(H4/L4,0)</x:f>
        <x:v>0.9259197138314785</x:v>
      </x:c>
    </x:row>
    <x:row r="5">
      <x:c r="A5" t="str">
        <x:v>Duy Pham</x:v>
      </x:c>
      <x:c r="B5" t="str">
        <x:f>XLOOKUP(A5,Lookups!$I$5:$I$12,Lookups!$J$5:$J$12)</x:f>
        <x:v>South</x:v>
      </x:c>
      <x:c r="C5" t="str">
        <x:f>XLOOKUP(A5,Lookups!$I$5:$I$12,Lookups!$K$5:$K$12)</x:f>
        <x:v>Commercial</x:v>
      </x:c>
      <x:c r="D5" t="n">
        <x:f>COUNTIF(CRM_Data!$C$2:$C$1801,A5)</x:f>
        <x:v>222</x:v>
      </x:c>
      <x:c r="E5" t="n">
        <x:f>COUNTIFS(CRM_Data!$C$2:$C$1801,A5,CRM_Data!$U$2:$U$1801,"Won")</x:f>
        <x:v>40</x:v>
      </x:c>
      <x:c r="F5" t="n">
        <x:f>COUNTIFS(CRM_Data!$C$2:$C$1801,A5,CRM_Data!$U$2:$U$1801,"Lost")</x:f>
        <x:v>131</x:v>
      </x:c>
      <x:c r="G5" s="28" t="n">
        <x:f>IFERROR(E5/(E5+F5),0)</x:f>
        <x:v>0.23391812865497075</x:v>
      </x:c>
      <x:c r="H5" s="22" t="n">
        <x:f>SUMIFS(CRM_Data!$V$2:$V$1801,CRM_Data!$C$2:$C$1801,A5)</x:f>
        <x:v>1187010</x:v>
      </x:c>
      <x:c r="I5" s="22" t="n">
        <x:f>SUMIFS(CRM_Data!$L$2:$L$1801,CRM_Data!$C$2:$C$1801,A5,CRM_Data!$U$2:$U$1801,"Open")</x:f>
        <x:v>1879500</x:v>
      </x:c>
      <x:c r="J5" s="22" t="n">
        <x:f>SUMIFS(CRM_Data!$W$2:$W$1801,CRM_Data!$C$2:$C$1801,A5)</x:f>
        <x:v>1178695</x:v>
      </x:c>
      <x:c r="K5" t="n">
        <x:f>IFERROR(SUMIFS(CRM_Data!$X$2:$X$1801,CRM_Data!$C$2:$C$1801,A5,CRM_Data!$U$2:$U$1801,"Won")/E5,0)</x:f>
        <x:v>57.975</x:v>
      </x:c>
      <x:c r="L5" s="22" t="n">
        <x:f>XLOOKUP(A5,Lookups!$I$5:$I$12,Lookups!$L$5:$L$12)</x:f>
        <x:v>1163000</x:v>
      </x:c>
      <x:c r="M5" s="28" t="n">
        <x:f>IFERROR(H5/L5,0)</x:f>
        <x:v>1.0206448839208941</x:v>
      </x:c>
    </x:row>
    <x:row r="6">
      <x:c r="A6" t="str">
        <x:v>Ha Vo</x:v>
      </x:c>
      <x:c r="B6" t="str">
        <x:f>XLOOKUP(A6,Lookups!$I$5:$I$12,Lookups!$J$5:$J$12)</x:f>
        <x:v>North</x:v>
      </x:c>
      <x:c r="C6" t="str">
        <x:f>XLOOKUP(A6,Lookups!$I$5:$I$12,Lookups!$K$5:$K$12)</x:f>
        <x:v>Growth</x:v>
      </x:c>
      <x:c r="D6" t="n">
        <x:f>COUNTIF(CRM_Data!$C$2:$C$1801,A6)</x:f>
        <x:v>223</x:v>
      </x:c>
      <x:c r="E6" t="n">
        <x:f>COUNTIFS(CRM_Data!$C$2:$C$1801,A6,CRM_Data!$U$2:$U$1801,"Won")</x:f>
        <x:v>42</x:v>
      </x:c>
      <x:c r="F6" t="n">
        <x:f>COUNTIFS(CRM_Data!$C$2:$C$1801,A6,CRM_Data!$U$2:$U$1801,"Lost")</x:f>
        <x:v>130</x:v>
      </x:c>
      <x:c r="G6" s="28" t="n">
        <x:f>IFERROR(E6/(E6+F6),0)</x:f>
        <x:v>0.2441860465116279</x:v>
      </x:c>
      <x:c r="H6" s="22" t="n">
        <x:f>SUMIFS(CRM_Data!$V$2:$V$1801,CRM_Data!$C$2:$C$1801,A6)</x:f>
        <x:v>1007131</x:v>
      </x:c>
      <x:c r="I6" s="22" t="n">
        <x:f>SUMIFS(CRM_Data!$L$2:$L$1801,CRM_Data!$C$2:$C$1801,A6,CRM_Data!$U$2:$U$1801,"Open")</x:f>
        <x:v>1397100</x:v>
      </x:c>
      <x:c r="J6" s="22" t="n">
        <x:f>SUMIFS(CRM_Data!$W$2:$W$1801,CRM_Data!$C$2:$C$1801,A6)</x:f>
        <x:v>747545</x:v>
      </x:c>
      <x:c r="K6" t="n">
        <x:f>IFERROR(SUMIFS(CRM_Data!$X$2:$X$1801,CRM_Data!$C$2:$C$1801,A6,CRM_Data!$U$2:$U$1801,"Won")/E6,0)</x:f>
        <x:v>60.166666666666664</x:v>
      </x:c>
      <x:c r="L6" s="22" t="n">
        <x:f>XLOOKUP(A6,Lookups!$I$5:$I$12,Lookups!$L$5:$L$12)</x:f>
        <x:v>1057000</x:v>
      </x:c>
      <x:c r="M6" s="28" t="n">
        <x:f>IFERROR(H6/L6,0)</x:f>
        <x:v>0.9528202459791864</x:v>
      </x:c>
    </x:row>
    <x:row r="7">
      <x:c r="A7" t="str">
        <x:v>Minh Do</x:v>
      </x:c>
      <x:c r="B7" t="str">
        <x:f>XLOOKUP(A7,Lookups!$I$5:$I$12,Lookups!$J$5:$J$12)</x:f>
        <x:v>North</x:v>
      </x:c>
      <x:c r="C7" t="str">
        <x:f>XLOOKUP(A7,Lookups!$I$5:$I$12,Lookups!$K$5:$K$12)</x:f>
        <x:v>Commercial</x:v>
      </x:c>
      <x:c r="D7" t="n">
        <x:f>COUNTIF(CRM_Data!$C$2:$C$1801,A7)</x:f>
        <x:v>236</x:v>
      </x:c>
      <x:c r="E7" t="n">
        <x:f>COUNTIFS(CRM_Data!$C$2:$C$1801,A7,CRM_Data!$U$2:$U$1801,"Won")</x:f>
        <x:v>45</x:v>
      </x:c>
      <x:c r="F7" t="n">
        <x:f>COUNTIFS(CRM_Data!$C$2:$C$1801,A7,CRM_Data!$U$2:$U$1801,"Lost")</x:f>
        <x:v>146</x:v>
      </x:c>
      <x:c r="G7" s="28" t="n">
        <x:f>IFERROR(E7/(E7+F7),0)</x:f>
        <x:v>0.2356020942408377</x:v>
      </x:c>
      <x:c r="H7" s="22" t="n">
        <x:f>SUMIFS(CRM_Data!$V$2:$V$1801,CRM_Data!$C$2:$C$1801,A7)</x:f>
        <x:v>1168309</x:v>
      </x:c>
      <x:c r="I7" s="22" t="n">
        <x:f>SUMIFS(CRM_Data!$L$2:$L$1801,CRM_Data!$C$2:$C$1801,A7,CRM_Data!$U$2:$U$1801,"Open")</x:f>
        <x:v>1454400</x:v>
      </x:c>
      <x:c r="J7" s="22" t="n">
        <x:f>SUMIFS(CRM_Data!$W$2:$W$1801,CRM_Data!$C$2:$C$1801,A7)</x:f>
        <x:v>926075</x:v>
      </x:c>
      <x:c r="K7" t="n">
        <x:f>IFERROR(SUMIFS(CRM_Data!$X$2:$X$1801,CRM_Data!$C$2:$C$1801,A7,CRM_Data!$U$2:$U$1801,"Won")/E7,0)</x:f>
        <x:v>49.06666666666667</x:v>
      </x:c>
      <x:c r="L7" s="22" t="n">
        <x:f>XLOOKUP(A7,Lookups!$I$5:$I$12,Lookups!$L$5:$L$12)</x:f>
        <x:v>1075000</x:v>
      </x:c>
      <x:c r="M7" s="28" t="n">
        <x:f>IFERROR(H7/L7,0)</x:f>
        <x:v>1.086799069767442</x:v>
      </x:c>
    </x:row>
    <x:row r="8">
      <x:c r="A8" t="str">
        <x:v>Quynh Vu</x:v>
      </x:c>
      <x:c r="B8" t="str">
        <x:f>XLOOKUP(A8,Lookups!$I$5:$I$12,Lookups!$J$5:$J$12)</x:f>
        <x:v>North</x:v>
      </x:c>
      <x:c r="C8" t="str">
        <x:f>XLOOKUP(A8,Lookups!$I$5:$I$12,Lookups!$K$5:$K$12)</x:f>
        <x:v>Growth</x:v>
      </x:c>
      <x:c r="D8" t="n">
        <x:f>COUNTIF(CRM_Data!$C$2:$C$1801,A8)</x:f>
        <x:v>226</x:v>
      </x:c>
      <x:c r="E8" t="n">
        <x:f>COUNTIFS(CRM_Data!$C$2:$C$1801,A8,CRM_Data!$U$2:$U$1801,"Won")</x:f>
        <x:v>49</x:v>
      </x:c>
      <x:c r="F8" t="n">
        <x:f>COUNTIFS(CRM_Data!$C$2:$C$1801,A8,CRM_Data!$U$2:$U$1801,"Lost")</x:f>
        <x:v>117</x:v>
      </x:c>
      <x:c r="G8" s="28" t="n">
        <x:f>IFERROR(E8/(E8+F8),0)</x:f>
        <x:v>0.29518072289156627</x:v>
      </x:c>
      <x:c r="H8" s="22" t="n">
        <x:f>SUMIFS(CRM_Data!$V$2:$V$1801,CRM_Data!$C$2:$C$1801,A8)</x:f>
        <x:v>1594527</x:v>
      </x:c>
      <x:c r="I8" s="22" t="n">
        <x:f>SUMIFS(CRM_Data!$L$2:$L$1801,CRM_Data!$C$2:$C$1801,A8,CRM_Data!$U$2:$U$1801,"Open")</x:f>
        <x:v>1614800</x:v>
      </x:c>
      <x:c r="J8" s="22" t="n">
        <x:f>SUMIFS(CRM_Data!$W$2:$W$1801,CRM_Data!$C$2:$C$1801,A8)</x:f>
        <x:v>884890</x:v>
      </x:c>
      <x:c r="K8" t="n">
        <x:f>IFERROR(SUMIFS(CRM_Data!$X$2:$X$1801,CRM_Data!$C$2:$C$1801,A8,CRM_Data!$U$2:$U$1801,"Won")/E8,0)</x:f>
        <x:v>60.285714285714285</x:v>
      </x:c>
      <x:c r="L8" s="22" t="n">
        <x:f>XLOOKUP(A8,Lookups!$I$5:$I$12,Lookups!$L$5:$L$12)</x:f>
        <x:v>1754000</x:v>
      </x:c>
      <x:c r="M8" s="28" t="n">
        <x:f>IFERROR(H8/L8,0)</x:f>
        <x:v>0.9090803876852908</x:v>
      </x:c>
    </x:row>
    <x:row r="9">
      <x:c r="A9" t="str">
        <x:v>Tuan Bui</x:v>
      </x:c>
      <x:c r="B9" t="str">
        <x:f>XLOOKUP(A9,Lookups!$I$5:$I$12,Lookups!$J$5:$J$12)</x:f>
        <x:v>Central</x:v>
      </x:c>
      <x:c r="C9" t="str">
        <x:f>XLOOKUP(A9,Lookups!$I$5:$I$12,Lookups!$K$5:$K$12)</x:f>
        <x:v>Commercial</x:v>
      </x:c>
      <x:c r="D9" t="n">
        <x:f>COUNTIF(CRM_Data!$C$2:$C$1801,A9)</x:f>
        <x:v>235</x:v>
      </x:c>
      <x:c r="E9" t="n">
        <x:f>COUNTIFS(CRM_Data!$C$2:$C$1801,A9,CRM_Data!$U$2:$U$1801,"Won")</x:f>
        <x:v>50</x:v>
      </x:c>
      <x:c r="F9" t="n">
        <x:f>COUNTIFS(CRM_Data!$C$2:$C$1801,A9,CRM_Data!$U$2:$U$1801,"Lost")</x:f>
        <x:v>136</x:v>
      </x:c>
      <x:c r="G9" s="28" t="n">
        <x:f>IFERROR(E9/(E9+F9),0)</x:f>
        <x:v>0.26881720430107525</x:v>
      </x:c>
      <x:c r="H9" s="22" t="n">
        <x:f>SUMIFS(CRM_Data!$V$2:$V$1801,CRM_Data!$C$2:$C$1801,A9)</x:f>
        <x:v>1342588</x:v>
      </x:c>
      <x:c r="I9" s="22" t="n">
        <x:f>SUMIFS(CRM_Data!$L$2:$L$1801,CRM_Data!$C$2:$C$1801,A9,CRM_Data!$U$2:$U$1801,"Open")</x:f>
        <x:v>1511200</x:v>
      </x:c>
      <x:c r="J9" s="22" t="n">
        <x:f>SUMIFS(CRM_Data!$W$2:$W$1801,CRM_Data!$C$2:$C$1801,A9)</x:f>
        <x:v>860340</x:v>
      </x:c>
      <x:c r="K9" t="n">
        <x:f>IFERROR(SUMIFS(CRM_Data!$X$2:$X$1801,CRM_Data!$C$2:$C$1801,A9,CRM_Data!$U$2:$U$1801,"Won")/E9,0)</x:f>
        <x:v>55.02</x:v>
      </x:c>
      <x:c r="L9" s="22" t="n">
        <x:f>XLOOKUP(A9,Lookups!$I$5:$I$12,Lookups!$L$5:$L$12)</x:f>
        <x:v>1289000</x:v>
      </x:c>
      <x:c r="M9" s="28" t="n">
        <x:f>IFERROR(H9/L9,0)</x:f>
        <x:v>1.0415733126454616</x:v>
      </x:c>
    </x:row>
  </x:sheetData>
  <x:conditionalFormatting sqref="G2:G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{D93026DF-07B1-C69E-4978-46AB4CCDE5F7}</x14:id>
        </x:ext>
      </x:extLst>
    </x:cfRule>
  </x:conditionalFormatting>
  <x:conditionalFormatting sqref="M2:M9">
    <x:cfRule type="colorScale" priority="2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eaf9450ea69430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93026DF-07B1-C69E-4978-46AB4CCDE5F7}">
            <x14:dataBar gradient="1">
              <x14:cfvo type="min"/>
              <x14:cfvo type="max"/>
              <x14:fillColor rgb="FFA02B93"/>
            </x14:dataBar>
          </x14:cfRule>
          <xm:sqref>G2:G9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16" t="str">
        <x:v>Channel</x:v>
      </x:c>
      <x:c r="B1" s="16" t="str">
        <x:v>Leads</x:v>
      </x:c>
      <x:c r="C1" s="16" t="str">
        <x:v>Won</x:v>
      </x:c>
      <x:c r="D1" s="16" t="str">
        <x:v>Lost</x:v>
      </x:c>
      <x:c r="E1" s="16" t="str">
        <x:v>Win Rate</x:v>
      </x:c>
      <x:c r="F1" s="16" t="str">
        <x:v>Won Revenue</x:v>
      </x:c>
      <x:c r="G1" s="16" t="str">
        <x:v>Revenue / Lead</x:v>
      </x:c>
      <x:c r="H1" s="16" t="str">
        <x:v>Open Pipeline</x:v>
      </x:c>
      <x:c r="I1" s="16" t="str">
        <x:v>Weighted Pipeline</x:v>
      </x:c>
      <x:c r="J1" s="16" t="str">
        <x:v>Avg Won Deal</x:v>
      </x:c>
    </x:row>
    <x:row r="2">
      <x:c r="A2" t="str">
        <x:v>Paid Search</x:v>
      </x:c>
      <x:c r="B2" t="n">
        <x:f>COUNTIF(CRM_Data!$Q$2:$Q$1801,A2)</x:f>
        <x:v>346</x:v>
      </x:c>
      <x:c r="C2" t="n">
        <x:f>COUNTIFS(CRM_Data!$Q$2:$Q$1801,A2,CRM_Data!$U$2:$U$1801,"Won")</x:f>
        <x:v>55</x:v>
      </x:c>
      <x:c r="D2" t="n">
        <x:f>COUNTIFS(CRM_Data!$Q$2:$Q$1801,A2,CRM_Data!$U$2:$U$1801,"Lost")</x:f>
        <x:v>208</x:v>
      </x:c>
      <x:c r="E2" s="28" t="n">
        <x:f>IFERROR(C2/(C2+D2),0)</x:f>
        <x:v>0.20912547528517111</x:v>
      </x:c>
      <x:c r="F2" s="22" t="n">
        <x:f>SUMIFS(CRM_Data!$V$2:$V$1801,CRM_Data!$Q$2:$Q$1801,A2)</x:f>
        <x:v>1255405</x:v>
      </x:c>
      <x:c r="G2" s="22" t="n">
        <x:f>IFERROR(F2/B2,0)</x:f>
        <x:v>3628.3381502890174</x:v>
      </x:c>
      <x:c r="H2" s="22" t="n">
        <x:f>SUMIFS(CRM_Data!$L$2:$L$1801,CRM_Data!$Q$2:$Q$1801,A2,CRM_Data!$U$2:$U$1801,"Open")</x:f>
        <x:v>2729200</x:v>
      </x:c>
      <x:c r="I2" s="22" t="n">
        <x:f>SUMIFS(CRM_Data!$W$2:$W$1801,CRM_Data!$Q$2:$Q$1801,A2)</x:f>
        <x:v>1554865</x:v>
      </x:c>
      <x:c r="J2" s="22" t="n">
        <x:f>IFERROR(F2/C2,0)</x:f>
        <x:v>22825.545454545456</x:v>
      </x:c>
    </x:row>
    <x:row r="3">
      <x:c r="A3" t="str">
        <x:v>Organic Search</x:v>
      </x:c>
      <x:c r="B3" t="n">
        <x:f>COUNTIF(CRM_Data!$Q$2:$Q$1801,A3)</x:f>
        <x:v>335</x:v>
      </x:c>
      <x:c r="C3" t="n">
        <x:f>COUNTIFS(CRM_Data!$Q$2:$Q$1801,A3,CRM_Data!$U$2:$U$1801,"Won")</x:f>
        <x:v>73</x:v>
      </x:c>
      <x:c r="D3" t="n">
        <x:f>COUNTIFS(CRM_Data!$Q$2:$Q$1801,A3,CRM_Data!$U$2:$U$1801,"Lost")</x:f>
        <x:v>181</x:v>
      </x:c>
      <x:c r="E3" s="28" t="n">
        <x:f>IFERROR(C3/(C3+D3),0)</x:f>
        <x:v>0.2874015748031496</x:v>
      </x:c>
      <x:c r="F3" s="22" t="n">
        <x:f>SUMIFS(CRM_Data!$V$2:$V$1801,CRM_Data!$Q$2:$Q$1801,A3)</x:f>
        <x:v>1821606</x:v>
      </x:c>
      <x:c r="G3" s="22" t="n">
        <x:f>IFERROR(F3/B3,0)</x:f>
        <x:v>5437.629850746269</x:v>
      </x:c>
      <x:c r="H3" s="22" t="n">
        <x:f>SUMIFS(CRM_Data!$L$2:$L$1801,CRM_Data!$Q$2:$Q$1801,A3,CRM_Data!$U$2:$U$1801,"Open")</x:f>
        <x:v>2484300</x:v>
      </x:c>
      <x:c r="I3" s="22" t="n">
        <x:f>SUMIFS(CRM_Data!$W$2:$W$1801,CRM_Data!$Q$2:$Q$1801,A3)</x:f>
        <x:v>1288290</x:v>
      </x:c>
      <x:c r="J3" s="22" t="n">
        <x:f>IFERROR(F3/C3,0)</x:f>
        <x:v>24953.50684931507</x:v>
      </x:c>
    </x:row>
    <x:row r="4">
      <x:c r="A4" t="str">
        <x:v>LinkedIn</x:v>
      </x:c>
      <x:c r="B4" t="n">
        <x:f>COUNTIF(CRM_Data!$Q$2:$Q$1801,A4)</x:f>
        <x:v>271</x:v>
      </x:c>
      <x:c r="C4" t="n">
        <x:f>COUNTIFS(CRM_Data!$Q$2:$Q$1801,A4,CRM_Data!$U$2:$U$1801,"Won")</x:f>
        <x:v>58</x:v>
      </x:c>
      <x:c r="D4" t="n">
        <x:f>COUNTIFS(CRM_Data!$Q$2:$Q$1801,A4,CRM_Data!$U$2:$U$1801,"Lost")</x:f>
        <x:v>161</x:v>
      </x:c>
      <x:c r="E4" s="28" t="n">
        <x:f>IFERROR(C4/(C4+D4),0)</x:f>
        <x:v>0.2648401826484018</x:v>
      </x:c>
      <x:c r="F4" s="22" t="n">
        <x:f>SUMIFS(CRM_Data!$V$2:$V$1801,CRM_Data!$Q$2:$Q$1801,A4)</x:f>
        <x:v>1633109</x:v>
      </x:c>
      <x:c r="G4" s="22" t="n">
        <x:f>IFERROR(F4/B4,0)</x:f>
        <x:v>6026.232472324723</x:v>
      </x:c>
      <x:c r="H4" s="22" t="n">
        <x:f>SUMIFS(CRM_Data!$L$2:$L$1801,CRM_Data!$Q$2:$Q$1801,A4,CRM_Data!$U$2:$U$1801,"Open")</x:f>
        <x:v>1580500</x:v>
      </x:c>
      <x:c r="I4" s="22" t="n">
        <x:f>SUMIFS(CRM_Data!$W$2:$W$1801,CRM_Data!$Q$2:$Q$1801,A4)</x:f>
        <x:v>865925</x:v>
      </x:c>
      <x:c r="J4" s="22" t="n">
        <x:f>IFERROR(F4/C4,0)</x:f>
        <x:v>28157.05172413793</x:v>
      </x:c>
    </x:row>
    <x:row r="5">
      <x:c r="A5" t="str">
        <x:v>Referral</x:v>
      </x:c>
      <x:c r="B5" t="n">
        <x:f>COUNTIF(CRM_Data!$Q$2:$Q$1801,A5)</x:f>
        <x:v>225</x:v>
      </x:c>
      <x:c r="C5" t="n">
        <x:f>COUNTIFS(CRM_Data!$Q$2:$Q$1801,A5,CRM_Data!$U$2:$U$1801,"Won")</x:f>
        <x:v>51</x:v>
      </x:c>
      <x:c r="D5" t="n">
        <x:f>COUNTIFS(CRM_Data!$Q$2:$Q$1801,A5,CRM_Data!$U$2:$U$1801,"Lost")</x:f>
        <x:v>121</x:v>
      </x:c>
      <x:c r="E5" s="28" t="n">
        <x:f>IFERROR(C5/(C5+D5),0)</x:f>
        <x:v>0.29651162790697677</x:v>
      </x:c>
      <x:c r="F5" s="22" t="n">
        <x:f>SUMIFS(CRM_Data!$V$2:$V$1801,CRM_Data!$Q$2:$Q$1801,A5)</x:f>
        <x:v>1518294</x:v>
      </x:c>
      <x:c r="G5" s="22" t="n">
        <x:f>IFERROR(F5/B5,0)</x:f>
        <x:v>6747.973333333333</x:v>
      </x:c>
      <x:c r="H5" s="22" t="n">
        <x:f>SUMIFS(CRM_Data!$L$2:$L$1801,CRM_Data!$Q$2:$Q$1801,A5,CRM_Data!$U$2:$U$1801,"Open")</x:f>
        <x:v>1649400</x:v>
      </x:c>
      <x:c r="I5" s="22" t="n">
        <x:f>SUMIFS(CRM_Data!$W$2:$W$1801,CRM_Data!$Q$2:$Q$1801,A5)</x:f>
        <x:v>1065240</x:v>
      </x:c>
      <x:c r="J5" s="22" t="n">
        <x:f>IFERROR(F5/C5,0)</x:f>
        <x:v>29770.470588235294</x:v>
      </x:c>
    </x:row>
    <x:row r="6">
      <x:c r="A6" t="str">
        <x:v>Email</x:v>
      </x:c>
      <x:c r="B6" t="n">
        <x:f>COUNTIF(CRM_Data!$Q$2:$Q$1801,A6)</x:f>
        <x:v>215</x:v>
      </x:c>
      <x:c r="C6" t="n">
        <x:f>COUNTIFS(CRM_Data!$Q$2:$Q$1801,A6,CRM_Data!$U$2:$U$1801,"Won")</x:f>
        <x:v>55</x:v>
      </x:c>
      <x:c r="D6" t="n">
        <x:f>COUNTIFS(CRM_Data!$Q$2:$Q$1801,A6,CRM_Data!$U$2:$U$1801,"Lost")</x:f>
        <x:v>117</x:v>
      </x:c>
      <x:c r="E6" s="28" t="n">
        <x:f>IFERROR(C6/(C6+D6),0)</x:f>
        <x:v>0.31976744186046513</x:v>
      </x:c>
      <x:c r="F6" s="22" t="n">
        <x:f>SUMIFS(CRM_Data!$V$2:$V$1801,CRM_Data!$Q$2:$Q$1801,A6)</x:f>
        <x:v>1656502</x:v>
      </x:c>
      <x:c r="G6" s="22" t="n">
        <x:f>IFERROR(F6/B6,0)</x:f>
        <x:v>7704.660465116279</x:v>
      </x:c>
      <x:c r="H6" s="22" t="n">
        <x:f>SUMIFS(CRM_Data!$L$2:$L$1801,CRM_Data!$Q$2:$Q$1801,A6,CRM_Data!$U$2:$U$1801,"Open")</x:f>
        <x:v>1520700</x:v>
      </x:c>
      <x:c r="I6" s="22" t="n">
        <x:f>SUMIFS(CRM_Data!$W$2:$W$1801,CRM_Data!$Q$2:$Q$1801,A6)</x:f>
        <x:v>997695</x:v>
      </x:c>
      <x:c r="J6" s="22" t="n">
        <x:f>IFERROR(F6/C6,0)</x:f>
        <x:v>30118.21818181818</x:v>
      </x:c>
    </x:row>
    <x:row r="7">
      <x:c r="A7" t="str">
        <x:v>Webinar</x:v>
      </x:c>
      <x:c r="B7" t="n">
        <x:f>COUNTIF(CRM_Data!$Q$2:$Q$1801,A7)</x:f>
        <x:v>138</x:v>
      </x:c>
      <x:c r="C7" t="n">
        <x:f>COUNTIFS(CRM_Data!$Q$2:$Q$1801,A7,CRM_Data!$U$2:$U$1801,"Won")</x:f>
        <x:v>27</x:v>
      </x:c>
      <x:c r="D7" t="n">
        <x:f>COUNTIFS(CRM_Data!$Q$2:$Q$1801,A7,CRM_Data!$U$2:$U$1801,"Lost")</x:f>
        <x:v>84</x:v>
      </x:c>
      <x:c r="E7" s="28" t="n">
        <x:f>IFERROR(C7/(C7+D7),0)</x:f>
        <x:v>0.24324324324324326</x:v>
      </x:c>
      <x:c r="F7" s="22" t="n">
        <x:f>SUMIFS(CRM_Data!$V$2:$V$1801,CRM_Data!$Q$2:$Q$1801,A7)</x:f>
        <x:v>679313</x:v>
      </x:c>
      <x:c r="G7" s="22" t="n">
        <x:f>IFERROR(F7/B7,0)</x:f>
        <x:v>4922.557971014493</x:v>
      </x:c>
      <x:c r="H7" s="22" t="n">
        <x:f>SUMIFS(CRM_Data!$L$2:$L$1801,CRM_Data!$Q$2:$Q$1801,A7,CRM_Data!$U$2:$U$1801,"Open")</x:f>
        <x:v>745100</x:v>
      </x:c>
      <x:c r="I7" s="22" t="n">
        <x:f>SUMIFS(CRM_Data!$W$2:$W$1801,CRM_Data!$Q$2:$Q$1801,A7)</x:f>
        <x:v>492915</x:v>
      </x:c>
      <x:c r="J7" s="22" t="n">
        <x:f>IFERROR(F7/C7,0)</x:f>
        <x:v>25159.74074074074</x:v>
      </x:c>
    </x:row>
    <x:row r="8">
      <x:c r="A8" t="str">
        <x:v>Outbound</x:v>
      </x:c>
      <x:c r="B8" t="n">
        <x:f>COUNTIF(CRM_Data!$Q$2:$Q$1801,A8)</x:f>
        <x:v>217</x:v>
      </x:c>
      <x:c r="C8" t="n">
        <x:f>COUNTIFS(CRM_Data!$Q$2:$Q$1801,A8,CRM_Data!$U$2:$U$1801,"Won")</x:f>
        <x:v>33</x:v>
      </x:c>
      <x:c r="D8" t="n">
        <x:f>COUNTIFS(CRM_Data!$Q$2:$Q$1801,A8,CRM_Data!$U$2:$U$1801,"Lost")</x:f>
        <x:v>124</x:v>
      </x:c>
      <x:c r="E8" s="28" t="n">
        <x:f>IFERROR(C8/(C8+D8),0)</x:f>
        <x:v>0.21019108280254778</x:v>
      </x:c>
      <x:c r="F8" s="22" t="n">
        <x:f>SUMIFS(CRM_Data!$V$2:$V$1801,CRM_Data!$Q$2:$Q$1801,A8)</x:f>
        <x:v>921554</x:v>
      </x:c>
      <x:c r="G8" s="22" t="n">
        <x:f>IFERROR(F8/B8,0)</x:f>
        <x:v>4246.792626728111</x:v>
      </x:c>
      <x:c r="H8" s="22" t="n">
        <x:f>SUMIFS(CRM_Data!$L$2:$L$1801,CRM_Data!$Q$2:$Q$1801,A8,CRM_Data!$U$2:$U$1801,"Open")</x:f>
        <x:v>1788300</x:v>
      </x:c>
      <x:c r="I8" s="22" t="n">
        <x:f>SUMIFS(CRM_Data!$W$2:$W$1801,CRM_Data!$Q$2:$Q$1801,A8)</x:f>
        <x:v>1233070</x:v>
      </x:c>
      <x:c r="J8" s="22" t="n">
        <x:f>IFERROR(F8/C8,0)</x:f>
        <x:v>27925.878787878788</x:v>
      </x:c>
    </x:row>
    <x:row r="9">
      <x:c r="A9" t="str">
        <x:v>Other</x:v>
      </x:c>
      <x:c r="B9" t="n">
        <x:f>COUNTIF(CRM_Data!$Q$2:$Q$1801,A9)</x:f>
        <x:v>53</x:v>
      </x:c>
      <x:c r="C9" t="n">
        <x:f>COUNTIFS(CRM_Data!$Q$2:$Q$1801,A9,CRM_Data!$U$2:$U$1801,"Won")</x:f>
        <x:v>9</x:v>
      </x:c>
      <x:c r="D9" t="n">
        <x:f>COUNTIFS(CRM_Data!$Q$2:$Q$1801,A9,CRM_Data!$U$2:$U$1801,"Lost")</x:f>
        <x:v>29</x:v>
      </x:c>
      <x:c r="E9" s="28" t="n">
        <x:f>IFERROR(C9/(C9+D9),0)</x:f>
        <x:v>0.23684210526315788</x:v>
      </x:c>
      <x:c r="F9" s="22" t="n">
        <x:f>SUMIFS(CRM_Data!$V$2:$V$1801,CRM_Data!$Q$2:$Q$1801,A9)</x:f>
        <x:v>289847</x:v>
      </x:c>
      <x:c r="G9" s="22" t="n">
        <x:f>IFERROR(F9/B9,0)</x:f>
        <x:v>5468.811320754717</x:v>
      </x:c>
      <x:c r="H9" s="22" t="n">
        <x:f>SUMIFS(CRM_Data!$L$2:$L$1801,CRM_Data!$Q$2:$Q$1801,A9,CRM_Data!$U$2:$U$1801,"Open")</x:f>
        <x:v>513700</x:v>
      </x:c>
      <x:c r="I9" s="22" t="n">
        <x:f>SUMIFS(CRM_Data!$W$2:$W$1801,CRM_Data!$Q$2:$Q$1801,A9)</x:f>
        <x:v>332015</x:v>
      </x:c>
      <x:c r="J9" s="22" t="n">
        <x:f>IFERROR(F9/C9,0)</x:f>
        <x:v>32205.222222222223</x:v>
      </x:c>
    </x:row>
  </x:sheetData>
  <x:conditionalFormatting sqref="E2:E9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{2C0B1811-29E0-C691-D035-22C96B9DC7D7}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a9cda918637420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C0B1811-29E0-C691-D035-22C96B9DC7D7}">
            <x14:dataBar gradient="1">
              <x14:cfvo type="min"/>
              <x14:cfvo type="max"/>
              <x14:fillColor rgb="FF0F9ED5"/>
            </x14:dataBar>
          </x14:cfRule>
          <xm:sqref>E2:E9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>
      <x:c r="A1" s="16" t="str">
        <x:v>Funnel Stage</x:v>
      </x:c>
      <x:c r="B1" s="16" t="str">
        <x:v>Reached Stage</x:v>
      </x:c>
      <x:c r="C1" s="16" t="str">
        <x:v>Conversion from Previous</x:v>
      </x:c>
      <x:c r="D1" s="16" t="str">
        <x:v>Drop-off from Previous</x:v>
      </x:c>
    </x:row>
    <x:row r="2">
      <x:c r="A2" t="str">
        <x:v>Lead Created</x:v>
      </x:c>
      <x:c r="B2" t="n">
        <x:f>COUNTA(CRM_Data!$A$2:$A$1801)</x:f>
        <x:v>1800</x:v>
      </x:c>
      <x:c r="C2" s="28" t="n">
        <x:f>1</x:f>
        <x:v>1</x:v>
      </x:c>
      <x:c r="D2" s="28" t="n">
        <x:f>0</x:f>
        <x:v>0</x:v>
      </x:c>
    </x:row>
    <x:row r="3">
      <x:c r="A3" t="str">
        <x:v>Qualified</x:v>
      </x:c>
      <x:c r="B3" t="n">
        <x:f>COUNTIF(CRM_Data!$P$2:$P$1801,"&gt;=2")</x:f>
        <x:v>1757</x:v>
      </x:c>
      <x:c r="C3" s="28" t="n">
        <x:f>IFERROR(B3/B2,0)</x:f>
        <x:v>0.9761111111111112</x:v>
      </x:c>
      <x:c r="D3" s="28" t="n">
        <x:f>1-C3</x:f>
        <x:v>0.02388888888888885</x:v>
      </x:c>
    </x:row>
    <x:row r="4">
      <x:c r="A4" t="str">
        <x:v>Demo / Meeting</x:v>
      </x:c>
      <x:c r="B4" t="n">
        <x:f>COUNTIF(CRM_Data!$P$2:$P$1801,"&gt;=3")</x:f>
        <x:v>1481</x:v>
      </x:c>
      <x:c r="C4" s="28" t="n">
        <x:f>IFERROR(B4/B3,0)</x:f>
        <x:v>0.8429140580535003</x:v>
      </x:c>
      <x:c r="D4" s="28" t="n">
        <x:f>1-C4</x:f>
        <x:v>0.15708594194649972</x:v>
      </x:c>
    </x:row>
    <x:row r="5">
      <x:c r="A5" t="str">
        <x:v>Proposal</x:v>
      </x:c>
      <x:c r="B5" t="n">
        <x:f>COUNTIF(CRM_Data!$P$2:$P$1801,"&gt;=4")</x:f>
        <x:v>1142</x:v>
      </x:c>
      <x:c r="C5" s="28" t="n">
        <x:f>IFERROR(B5/B4,0)</x:f>
        <x:v>0.7711006076975017</x:v>
      </x:c>
      <x:c r="D5" s="28" t="n">
        <x:f>1-C5</x:f>
        <x:v>0.22889939230249834</x:v>
      </x:c>
    </x:row>
    <x:row r="6">
      <x:c r="A6" t="str">
        <x:v>Negotiation</x:v>
      </x:c>
      <x:c r="B6" t="n">
        <x:f>COUNTIF(CRM_Data!$P$2:$P$1801,"&gt;=5")</x:f>
        <x:v>792</x:v>
      </x:c>
      <x:c r="C6" s="28" t="n">
        <x:f>IFERROR(B6/B5,0)</x:f>
        <x:v>0.6935201401050788</x:v>
      </x:c>
      <x:c r="D6" s="28" t="n">
        <x:f>1-C6</x:f>
        <x:v>0.3064798598949212</x:v>
      </x:c>
    </x:row>
    <x:row r="7">
      <x:c r="A7" t="str">
        <x:v>Closed Won</x:v>
      </x:c>
      <x:c r="B7" t="n">
        <x:f>COUNTIF(CRM_Data!$U$2:$U$1801,"Won")</x:f>
        <x:v>361</x:v>
      </x:c>
      <x:c r="C7" s="28" t="n">
        <x:f>IFERROR(B7/B6,0)</x:f>
        <x:v>0.45580808080808083</x:v>
      </x:c>
      <x:c r="D7" s="28" t="n">
        <x:f>1-C7</x:f>
        <x:v>0.5441919191919191</x:v>
      </x:c>
    </x:row>
  </x:sheetData>
  <x:conditionalFormatting sqref="B2:B7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{7B357697-60AC-031B-0639-7540A15D9853}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d257057ff704fc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B357697-60AC-031B-0639-7540A15D9853}">
            <x14:dataBar gradient="1">
              <x14:cfvo type="min"/>
              <x14:cfvo type="max"/>
              <x14:fillColor rgb="FF156082"/>
            </x14:dataBar>
          </x14:cfRule>
          <xm:sqref>B2:B7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>
      <x:c r="A1" s="16" t="str">
        <x:v>Month</x:v>
      </x:c>
      <x:c r="B1" s="16" t="str">
        <x:v>Created Leads</x:v>
      </x:c>
      <x:c r="C1" s="16" t="str">
        <x:v>Won Deals</x:v>
      </x:c>
      <x:c r="D1" s="16" t="str">
        <x:v>Won Revenue</x:v>
      </x:c>
      <x:c r="E1" s="16" t="str">
        <x:v>Avg Won Deal</x:v>
      </x:c>
      <x:c r="F1" s="16" t="str">
        <x:v>Win Rate</x:v>
      </x:c>
    </x:row>
    <x:row r="2">
      <x:c r="A2" t="str">
        <x:v>2025-01</x:v>
      </x:c>
      <x:c r="B2" t="n">
        <x:f>COUNTIF(CRM_Data!$AA$2:$AA$1801,A2)</x:f>
        <x:v>88</x:v>
      </x:c>
      <x:c r="C2" t="n">
        <x:f>COUNTIFS(CRM_Data!$AB$2:$AB$1801,A2,CRM_Data!$U$2:$U$1801,"Won")</x:f>
        <x:v>0</x:v>
      </x:c>
      <x:c r="D2" s="22" t="n">
        <x:f>SUMIFS(CRM_Data!$V$2:$V$1801,CRM_Data!$AB$2:$AB$1801,A2,CRM_Data!$U$2:$U$1801,"Won")</x:f>
        <x:v>0</x:v>
      </x:c>
      <x:c r="E2" s="22" t="n">
        <x:f>IFERROR(D2/C2,0)</x:f>
        <x:v>0</x:v>
      </x:c>
      <x:c r="F2" s="28" t="n">
        <x:f>IFERROR(C2/COUNTIFS(CRM_Data!$AB$2:$AB$1801,A2,CRM_Data!$U$2:$U$1801,"&lt;&gt;Open"),0)</x:f>
        <x:v>0</x:v>
      </x:c>
    </x:row>
    <x:row r="3">
      <x:c r="A3" t="str">
        <x:v>2025-02</x:v>
      </x:c>
      <x:c r="B3" t="n">
        <x:f>COUNTIF(CRM_Data!$AA$2:$AA$1801,A3)</x:f>
        <x:v>98</x:v>
      </x:c>
      <x:c r="C3" t="n">
        <x:f>COUNTIFS(CRM_Data!$AB$2:$AB$1801,A3,CRM_Data!$U$2:$U$1801,"Won")</x:f>
        <x:v>3</x:v>
      </x:c>
      <x:c r="D3" s="22" t="n">
        <x:f>SUMIFS(CRM_Data!$V$2:$V$1801,CRM_Data!$AB$2:$AB$1801,A3,CRM_Data!$U$2:$U$1801,"Won")</x:f>
        <x:v>60812</x:v>
      </x:c>
      <x:c r="E3" s="22" t="n">
        <x:f>IFERROR(D3/C3,0)</x:f>
        <x:v>20270.666666666668</x:v>
      </x:c>
      <x:c r="F3" s="28" t="n">
        <x:f>IFERROR(C3/COUNTIFS(CRM_Data!$AB$2:$AB$1801,A3,CRM_Data!$U$2:$U$1801,"&lt;&gt;Open"),0)</x:f>
        <x:v>0.10344827586206896</x:v>
      </x:c>
    </x:row>
    <x:row r="4">
      <x:c r="A4" t="str">
        <x:v>2025-03</x:v>
      </x:c>
      <x:c r="B4" t="n">
        <x:f>COUNTIF(CRM_Data!$AA$2:$AA$1801,A4)</x:f>
        <x:v>99</x:v>
      </x:c>
      <x:c r="C4" t="n">
        <x:f>COUNTIFS(CRM_Data!$AB$2:$AB$1801,A4,CRM_Data!$U$2:$U$1801,"Won")</x:f>
        <x:v>14</x:v>
      </x:c>
      <x:c r="D4" s="22" t="n">
        <x:f>SUMIFS(CRM_Data!$V$2:$V$1801,CRM_Data!$AB$2:$AB$1801,A4,CRM_Data!$U$2:$U$1801,"Won")</x:f>
        <x:v>337413</x:v>
      </x:c>
      <x:c r="E4" s="22" t="n">
        <x:f>IFERROR(D4/C4,0)</x:f>
        <x:v>24100.928571428572</x:v>
      </x:c>
      <x:c r="F4" s="28" t="n">
        <x:f>IFERROR(C4/COUNTIFS(CRM_Data!$AB$2:$AB$1801,A4,CRM_Data!$U$2:$U$1801,"&lt;&gt;Open"),0)</x:f>
        <x:v>0.16666666666666666</x:v>
      </x:c>
    </x:row>
    <x:row r="5">
      <x:c r="A5" t="str">
        <x:v>2025-04</x:v>
      </x:c>
      <x:c r="B5" t="n">
        <x:f>COUNTIF(CRM_Data!$AA$2:$AA$1801,A5)</x:f>
        <x:v>100</x:v>
      </x:c>
      <x:c r="C5" t="n">
        <x:f>COUNTIFS(CRM_Data!$AB$2:$AB$1801,A5,CRM_Data!$U$2:$U$1801,"Won")</x:f>
        <x:v>24</x:v>
      </x:c>
      <x:c r="D5" s="22" t="n">
        <x:f>SUMIFS(CRM_Data!$V$2:$V$1801,CRM_Data!$AB$2:$AB$1801,A5,CRM_Data!$U$2:$U$1801,"Won")</x:f>
        <x:v>646155</x:v>
      </x:c>
      <x:c r="E5" s="22" t="n">
        <x:f>IFERROR(D5/C5,0)</x:f>
        <x:v>26923.125</x:v>
      </x:c>
      <x:c r="F5" s="28" t="n">
        <x:f>IFERROR(C5/COUNTIFS(CRM_Data!$AB$2:$AB$1801,A5,CRM_Data!$U$2:$U$1801,"&lt;&gt;Open"),0)</x:f>
        <x:v>0.2696629213483146</x:v>
      </x:c>
    </x:row>
    <x:row r="6">
      <x:c r="A6" t="str">
        <x:v>2025-05</x:v>
      </x:c>
      <x:c r="B6" t="n">
        <x:f>COUNTIF(CRM_Data!$AA$2:$AA$1801,A6)</x:f>
        <x:v>108</x:v>
      </x:c>
      <x:c r="C6" t="n">
        <x:f>COUNTIFS(CRM_Data!$AB$2:$AB$1801,A6,CRM_Data!$U$2:$U$1801,"Won")</x:f>
        <x:v>27</x:v>
      </x:c>
      <x:c r="D6" s="22" t="n">
        <x:f>SUMIFS(CRM_Data!$V$2:$V$1801,CRM_Data!$AB$2:$AB$1801,A6,CRM_Data!$U$2:$U$1801,"Won")</x:f>
        <x:v>725995</x:v>
      </x:c>
      <x:c r="E6" s="22" t="n">
        <x:f>IFERROR(D6/C6,0)</x:f>
        <x:v>26888.703703703704</x:v>
      </x:c>
      <x:c r="F6" s="28" t="n">
        <x:f>IFERROR(C6/COUNTIFS(CRM_Data!$AB$2:$AB$1801,A6,CRM_Data!$U$2:$U$1801,"&lt;&gt;Open"),0)</x:f>
        <x:v>0.32142857142857145</x:v>
      </x:c>
    </x:row>
    <x:row r="7">
      <x:c r="A7" t="str">
        <x:v>2025-06</x:v>
      </x:c>
      <x:c r="B7" t="n">
        <x:f>COUNTIF(CRM_Data!$AA$2:$AA$1801,A7)</x:f>
        <x:v>76</x:v>
      </x:c>
      <x:c r="C7" t="n">
        <x:f>COUNTIFS(CRM_Data!$AB$2:$AB$1801,A7,CRM_Data!$U$2:$U$1801,"Won")</x:f>
        <x:v>16</x:v>
      </x:c>
      <x:c r="D7" s="22" t="n">
        <x:f>SUMIFS(CRM_Data!$V$2:$V$1801,CRM_Data!$AB$2:$AB$1801,A7,CRM_Data!$U$2:$U$1801,"Won")</x:f>
        <x:v>501960</x:v>
      </x:c>
      <x:c r="E7" s="22" t="n">
        <x:f>IFERROR(D7/C7,0)</x:f>
        <x:v>31372.5</x:v>
      </x:c>
      <x:c r="F7" s="28" t="n">
        <x:f>IFERROR(C7/COUNTIFS(CRM_Data!$AB$2:$AB$1801,A7,CRM_Data!$U$2:$U$1801,"&lt;&gt;Open"),0)</x:f>
        <x:v>0.20512820512820512</x:v>
      </x:c>
    </x:row>
    <x:row r="8">
      <x:c r="A8" t="str">
        <x:v>2025-07</x:v>
      </x:c>
      <x:c r="B8" t="n">
        <x:f>COUNTIF(CRM_Data!$AA$2:$AA$1801,A8)</x:f>
        <x:v>87</x:v>
      </x:c>
      <x:c r="C8" t="n">
        <x:f>COUNTIFS(CRM_Data!$AB$2:$AB$1801,A8,CRM_Data!$U$2:$U$1801,"Won")</x:f>
        <x:v>17</x:v>
      </x:c>
      <x:c r="D8" s="22" t="n">
        <x:f>SUMIFS(CRM_Data!$V$2:$V$1801,CRM_Data!$AB$2:$AB$1801,A8,CRM_Data!$U$2:$U$1801,"Won")</x:f>
        <x:v>393784</x:v>
      </x:c>
      <x:c r="E8" s="22" t="n">
        <x:f>IFERROR(D8/C8,0)</x:f>
        <x:v>23163.764705882353</x:v>
      </x:c>
      <x:c r="F8" s="28" t="n">
        <x:f>IFERROR(C8/COUNTIFS(CRM_Data!$AB$2:$AB$1801,A8,CRM_Data!$U$2:$U$1801,"&lt;&gt;Open"),0)</x:f>
        <x:v>0.20238095238095238</x:v>
      </x:c>
    </x:row>
    <x:row r="9">
      <x:c r="A9" t="str">
        <x:v>2025-08</x:v>
      </x:c>
      <x:c r="B9" t="n">
        <x:f>COUNTIF(CRM_Data!$AA$2:$AA$1801,A9)</x:f>
        <x:v>81</x:v>
      </x:c>
      <x:c r="C9" t="n">
        <x:f>COUNTIFS(CRM_Data!$AB$2:$AB$1801,A9,CRM_Data!$U$2:$U$1801,"Won")</x:f>
        <x:v>15</x:v>
      </x:c>
      <x:c r="D9" s="22" t="n">
        <x:f>SUMIFS(CRM_Data!$V$2:$V$1801,CRM_Data!$AB$2:$AB$1801,A9,CRM_Data!$U$2:$U$1801,"Won")</x:f>
        <x:v>346790</x:v>
      </x:c>
      <x:c r="E9" s="22" t="n">
        <x:f>IFERROR(D9/C9,0)</x:f>
        <x:v>23119.333333333332</x:v>
      </x:c>
      <x:c r="F9" s="28" t="n">
        <x:f>IFERROR(C9/COUNTIFS(CRM_Data!$AB$2:$AB$1801,A9,CRM_Data!$U$2:$U$1801,"&lt;&gt;Open"),0)</x:f>
        <x:v>0.22058823529411764</x:v>
      </x:c>
    </x:row>
    <x:row r="10">
      <x:c r="A10" t="str">
        <x:v>2025-09</x:v>
      </x:c>
      <x:c r="B10" t="n">
        <x:f>COUNTIF(CRM_Data!$AA$2:$AA$1801,A10)</x:f>
        <x:v>94</x:v>
      </x:c>
      <x:c r="C10" t="n">
        <x:f>COUNTIFS(CRM_Data!$AB$2:$AB$1801,A10,CRM_Data!$U$2:$U$1801,"Won")</x:f>
        <x:v>18</x:v>
      </x:c>
      <x:c r="D10" s="22" t="n">
        <x:f>SUMIFS(CRM_Data!$V$2:$V$1801,CRM_Data!$AB$2:$AB$1801,A10,CRM_Data!$U$2:$U$1801,"Won")</x:f>
        <x:v>547893</x:v>
      </x:c>
      <x:c r="E10" s="22" t="n">
        <x:f>IFERROR(D10/C10,0)</x:f>
        <x:v>30438.5</x:v>
      </x:c>
      <x:c r="F10" s="28" t="n">
        <x:f>IFERROR(C10/COUNTIFS(CRM_Data!$AB$2:$AB$1801,A10,CRM_Data!$U$2:$U$1801,"&lt;&gt;Open"),0)</x:f>
        <x:v>0.3050847457627119</x:v>
      </x:c>
    </x:row>
    <x:row r="11">
      <x:c r="A11" t="str">
        <x:v>2025-10</x:v>
      </x:c>
      <x:c r="B11" t="n">
        <x:f>COUNTIF(CRM_Data!$AA$2:$AA$1801,A11)</x:f>
        <x:v>95</x:v>
      </x:c>
      <x:c r="C11" t="n">
        <x:f>COUNTIFS(CRM_Data!$AB$2:$AB$1801,A11,CRM_Data!$U$2:$U$1801,"Won")</x:f>
        <x:v>14</x:v>
      </x:c>
      <x:c r="D11" s="22" t="n">
        <x:f>SUMIFS(CRM_Data!$V$2:$V$1801,CRM_Data!$AB$2:$AB$1801,A11,CRM_Data!$U$2:$U$1801,"Won")</x:f>
        <x:v>496510</x:v>
      </x:c>
      <x:c r="E11" s="22" t="n">
        <x:f>IFERROR(D11/C11,0)</x:f>
        <x:v>35465</x:v>
      </x:c>
      <x:c r="F11" s="28" t="n">
        <x:f>IFERROR(C11/COUNTIFS(CRM_Data!$AB$2:$AB$1801,A11,CRM_Data!$U$2:$U$1801,"&lt;&gt;Open"),0)</x:f>
        <x:v>0.19444444444444445</x:v>
      </x:c>
    </x:row>
    <x:row r="12">
      <x:c r="A12" t="str">
        <x:v>2025-11</x:v>
      </x:c>
      <x:c r="B12" t="n">
        <x:f>COUNTIF(CRM_Data!$AA$2:$AA$1801,A12)</x:f>
        <x:v>83</x:v>
      </x:c>
      <x:c r="C12" t="n">
        <x:f>COUNTIFS(CRM_Data!$AB$2:$AB$1801,A12,CRM_Data!$U$2:$U$1801,"Won")</x:f>
        <x:v>27</x:v>
      </x:c>
      <x:c r="D12" s="22" t="n">
        <x:f>SUMIFS(CRM_Data!$V$2:$V$1801,CRM_Data!$AB$2:$AB$1801,A12,CRM_Data!$U$2:$U$1801,"Won")</x:f>
        <x:v>669378</x:v>
      </x:c>
      <x:c r="E12" s="22" t="n">
        <x:f>IFERROR(D12/C12,0)</x:f>
        <x:v>24791.777777777777</x:v>
      </x:c>
      <x:c r="F12" s="28" t="n">
        <x:f>IFERROR(C12/COUNTIFS(CRM_Data!$AB$2:$AB$1801,A12,CRM_Data!$U$2:$U$1801,"&lt;&gt;Open"),0)</x:f>
        <x:v>0.3176470588235294</x:v>
      </x:c>
    </x:row>
    <x:row r="13">
      <x:c r="A13" t="str">
        <x:v>2025-12</x:v>
      </x:c>
      <x:c r="B13" t="n">
        <x:f>COUNTIF(CRM_Data!$AA$2:$AA$1801,A13)</x:f>
        <x:v>85</x:v>
      </x:c>
      <x:c r="C13" t="n">
        <x:f>COUNTIFS(CRM_Data!$AB$2:$AB$1801,A13,CRM_Data!$U$2:$U$1801,"Won")</x:f>
        <x:v>17</x:v>
      </x:c>
      <x:c r="D13" s="22" t="n">
        <x:f>SUMIFS(CRM_Data!$V$2:$V$1801,CRM_Data!$AB$2:$AB$1801,A13,CRM_Data!$U$2:$U$1801,"Won")</x:f>
        <x:v>358193</x:v>
      </x:c>
      <x:c r="E13" s="22" t="n">
        <x:f>IFERROR(D13/C13,0)</x:f>
        <x:v>21070.176470588234</x:v>
      </x:c>
      <x:c r="F13" s="28" t="n">
        <x:f>IFERROR(C13/COUNTIFS(CRM_Data!$AB$2:$AB$1801,A13,CRM_Data!$U$2:$U$1801,"&lt;&gt;Open"),0)</x:f>
        <x:v>0.22666666666666666</x:v>
      </x:c>
    </x:row>
    <x:row r="14">
      <x:c r="A14" t="str">
        <x:v>2026-01</x:v>
      </x:c>
      <x:c r="B14" t="n">
        <x:f>COUNTIF(CRM_Data!$AA$2:$AA$1801,A14)</x:f>
        <x:v>86</x:v>
      </x:c>
      <x:c r="C14" t="n">
        <x:f>COUNTIFS(CRM_Data!$AB$2:$AB$1801,A14,CRM_Data!$U$2:$U$1801,"Won")</x:f>
        <x:v>16</x:v>
      </x:c>
      <x:c r="D14" s="22" t="n">
        <x:f>SUMIFS(CRM_Data!$V$2:$V$1801,CRM_Data!$AB$2:$AB$1801,A14,CRM_Data!$U$2:$U$1801,"Won")</x:f>
        <x:v>501687</x:v>
      </x:c>
      <x:c r="E14" s="22" t="n">
        <x:f>IFERROR(D14/C14,0)</x:f>
        <x:v>31355.4375</x:v>
      </x:c>
      <x:c r="F14" s="28" t="n">
        <x:f>IFERROR(C14/COUNTIFS(CRM_Data!$AB$2:$AB$1801,A14,CRM_Data!$U$2:$U$1801,"&lt;&gt;Open"),0)</x:f>
        <x:v>0.25396825396825395</x:v>
      </x:c>
    </x:row>
    <x:row r="15">
      <x:c r="A15" t="str">
        <x:v>2026-02</x:v>
      </x:c>
      <x:c r="B15" t="n">
        <x:f>COUNTIF(CRM_Data!$AA$2:$AA$1801,A15)</x:f>
        <x:v>86</x:v>
      </x:c>
      <x:c r="C15" t="n">
        <x:f>COUNTIFS(CRM_Data!$AB$2:$AB$1801,A15,CRM_Data!$U$2:$U$1801,"Won")</x:f>
        <x:v>18</x:v>
      </x:c>
      <x:c r="D15" s="22" t="n">
        <x:f>SUMIFS(CRM_Data!$V$2:$V$1801,CRM_Data!$AB$2:$AB$1801,A15,CRM_Data!$U$2:$U$1801,"Won")</x:f>
        <x:v>447336</x:v>
      </x:c>
      <x:c r="E15" s="22" t="n">
        <x:f>IFERROR(D15/C15,0)</x:f>
        <x:v>24852</x:v>
      </x:c>
      <x:c r="F15" s="28" t="n">
        <x:f>IFERROR(C15/COUNTIFS(CRM_Data!$AB$2:$AB$1801,A15,CRM_Data!$U$2:$U$1801,"&lt;&gt;Open"),0)</x:f>
        <x:v>0.26865671641791045</x:v>
      </x:c>
    </x:row>
    <x:row r="16">
      <x:c r="A16" t="str">
        <x:v>2026-03</x:v>
      </x:c>
      <x:c r="B16" t="n">
        <x:f>COUNTIF(CRM_Data!$AA$2:$AA$1801,A16)</x:f>
        <x:v>88</x:v>
      </x:c>
      <x:c r="C16" t="n">
        <x:f>COUNTIFS(CRM_Data!$AB$2:$AB$1801,A16,CRM_Data!$U$2:$U$1801,"Won")</x:f>
        <x:v>19</x:v>
      </x:c>
      <x:c r="D16" s="22" t="n">
        <x:f>SUMIFS(CRM_Data!$V$2:$V$1801,CRM_Data!$AB$2:$AB$1801,A16,CRM_Data!$U$2:$U$1801,"Won")</x:f>
        <x:v>573721</x:v>
      </x:c>
      <x:c r="E16" s="22" t="n">
        <x:f>IFERROR(D16/C16,0)</x:f>
        <x:v>30195.842105263157</x:v>
      </x:c>
      <x:c r="F16" s="28" t="n">
        <x:f>IFERROR(C16/COUNTIFS(CRM_Data!$AB$2:$AB$1801,A16,CRM_Data!$U$2:$U$1801,"&lt;&gt;Open"),0)</x:f>
        <x:v>0.2602739726027397</x:v>
      </x:c>
    </x:row>
    <x:row r="17">
      <x:c r="A17" t="str">
        <x:v>2026-04</x:v>
      </x:c>
      <x:c r="B17" t="n">
        <x:f>COUNTIF(CRM_Data!$AA$2:$AA$1801,A17)</x:f>
        <x:v>76</x:v>
      </x:c>
      <x:c r="C17" t="n">
        <x:f>COUNTIFS(CRM_Data!$AB$2:$AB$1801,A17,CRM_Data!$U$2:$U$1801,"Won")</x:f>
        <x:v>27</x:v>
      </x:c>
      <x:c r="D17" s="22" t="n">
        <x:f>SUMIFS(CRM_Data!$V$2:$V$1801,CRM_Data!$AB$2:$AB$1801,A17,CRM_Data!$U$2:$U$1801,"Won")</x:f>
        <x:v>797483</x:v>
      </x:c>
      <x:c r="E17" s="22" t="n">
        <x:f>IFERROR(D17/C17,0)</x:f>
        <x:v>29536.40740740741</x:v>
      </x:c>
      <x:c r="F17" s="28" t="n">
        <x:f>IFERROR(C17/COUNTIFS(CRM_Data!$AB$2:$AB$1801,A17,CRM_Data!$U$2:$U$1801,"&lt;&gt;Open"),0)</x:f>
        <x:v>0.34177215189873417</x:v>
      </x:c>
    </x:row>
    <x:row r="18">
      <x:c r="A18" t="str">
        <x:v>2026-05</x:v>
      </x:c>
      <x:c r="B18" t="n">
        <x:f>COUNTIF(CRM_Data!$AA$2:$AA$1801,A18)</x:f>
        <x:v>84</x:v>
      </x:c>
      <x:c r="C18" t="n">
        <x:f>COUNTIFS(CRM_Data!$AB$2:$AB$1801,A18,CRM_Data!$U$2:$U$1801,"Won")</x:f>
        <x:v>18</x:v>
      </x:c>
      <x:c r="D18" s="22" t="n">
        <x:f>SUMIFS(CRM_Data!$V$2:$V$1801,CRM_Data!$AB$2:$AB$1801,A18,CRM_Data!$U$2:$U$1801,"Won")</x:f>
        <x:v>362963</x:v>
      </x:c>
      <x:c r="E18" s="22" t="n">
        <x:f>IFERROR(D18/C18,0)</x:f>
        <x:v>20164.61111111111</x:v>
      </x:c>
      <x:c r="F18" s="28" t="n">
        <x:f>IFERROR(C18/COUNTIFS(CRM_Data!$AB$2:$AB$1801,A18,CRM_Data!$U$2:$U$1801,"&lt;&gt;Open"),0)</x:f>
        <x:v>0.27692307692307694</x:v>
      </x:c>
    </x:row>
    <x:row r="19">
      <x:c r="A19" t="str">
        <x:v>2026-06</x:v>
      </x:c>
      <x:c r="B19" t="n">
        <x:f>COUNTIF(CRM_Data!$AA$2:$AA$1801,A19)</x:f>
        <x:v>100</x:v>
      </x:c>
      <x:c r="C19" t="n">
        <x:f>COUNTIFS(CRM_Data!$AB$2:$AB$1801,A19,CRM_Data!$U$2:$U$1801,"Won")</x:f>
        <x:v>23</x:v>
      </x:c>
      <x:c r="D19" s="22" t="n">
        <x:f>SUMIFS(CRM_Data!$V$2:$V$1801,CRM_Data!$AB$2:$AB$1801,A19,CRM_Data!$U$2:$U$1801,"Won")</x:f>
        <x:v>663935</x:v>
      </x:c>
      <x:c r="E19" s="22" t="n">
        <x:f>IFERROR(D19/C19,0)</x:f>
        <x:v>28866.739130434784</x:v>
      </x:c>
      <x:c r="F19" s="28" t="n">
        <x:f>IFERROR(C19/COUNTIFS(CRM_Data!$AB$2:$AB$1801,A19,CRM_Data!$U$2:$U$1801,"&lt;&gt;Open"),0)</x:f>
        <x:v>0.2987012987012987</x:v>
      </x:c>
    </x:row>
    <x:row r="20">
      <x:c r="A20" t="str">
        <x:v>2026-07</x:v>
      </x:c>
      <x:c r="B20" t="n">
        <x:f>COUNTIF(CRM_Data!$AA$2:$AA$1801,A20)</x:f>
        <x:v>106</x:v>
      </x:c>
      <x:c r="C20" t="n">
        <x:f>COUNTIFS(CRM_Data!$AB$2:$AB$1801,A20,CRM_Data!$U$2:$U$1801,"Won")</x:f>
        <x:v>18</x:v>
      </x:c>
      <x:c r="D20" s="22" t="n">
        <x:f>SUMIFS(CRM_Data!$V$2:$V$1801,CRM_Data!$AB$2:$AB$1801,A20,CRM_Data!$U$2:$U$1801,"Won")</x:f>
        <x:v>482566</x:v>
      </x:c>
      <x:c r="E20" s="22" t="n">
        <x:f>IFERROR(D20/C20,0)</x:f>
        <x:v>26809.222222222223</x:v>
      </x:c>
      <x:c r="F20" s="28" t="n">
        <x:f>IFERROR(C20/COUNTIFS(CRM_Data!$AB$2:$AB$1801,A20,CRM_Data!$U$2:$U$1801,"&lt;&gt;Open"),0)</x:f>
        <x:v>0.32142857142857145</x:v>
      </x:c>
    </x:row>
    <x:row r="21">
      <x:c r="A21" t="str">
        <x:v>2026-08</x:v>
      </x:c>
      <x:c r="B21" t="n">
        <x:f>COUNTIF(CRM_Data!$AA$2:$AA$1801,A21)</x:f>
        <x:v>80</x:v>
      </x:c>
      <x:c r="C21" t="n">
        <x:f>COUNTIFS(CRM_Data!$AB$2:$AB$1801,A21,CRM_Data!$U$2:$U$1801,"Won")</x:f>
        <x:v>13</x:v>
      </x:c>
      <x:c r="D21" s="22" t="n">
        <x:f>SUMIFS(CRM_Data!$V$2:$V$1801,CRM_Data!$AB$2:$AB$1801,A21,CRM_Data!$U$2:$U$1801,"Won")</x:f>
        <x:v>348890</x:v>
      </x:c>
      <x:c r="E21" s="22" t="n">
        <x:f>IFERROR(D21/C21,0)</x:f>
        <x:v>26837.69230769231</x:v>
      </x:c>
      <x:c r="F21" s="28" t="n">
        <x:f>IFERROR(C21/COUNTIFS(CRM_Data!$AB$2:$AB$1801,A21,CRM_Data!$U$2:$U$1801,"&lt;&gt;Open"),0)</x:f>
        <x:v>0.3023255813953488</x:v>
      </x:c>
    </x:row>
  </x:sheetData>
  <x:pageMargins left="0.7" right="0.7" top="0.75" bottom="0.75" header="0.3" footer="0.3"/>
  <x:tableParts count="1">
    <x:tablePart xmlns:r="http://schemas.openxmlformats.org/officeDocument/2006/relationships" r:id="R27209d2cae2f40e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8" hidden="0" customWidth="1"/>
    <x:col min="4" max="4" width="60" hidden="0" customWidth="1"/>
    <x:col min="5" max="5" width="18" hidden="0" customWidth="1"/>
  </x:cols>
  <x:sheetData>
    <x:row r="1">
      <x:c r="A1" s="16" t="str">
        <x:v>Priority</x:v>
      </x:c>
      <x:c r="B1" s="16" t="str">
        <x:v>Management Finding</x:v>
      </x:c>
      <x:c r="C1" s="16" t="str">
        <x:v>Evidence</x:v>
      </x:c>
      <x:c r="D1" s="16" t="str">
        <x:v>Recommended Action</x:v>
      </x:c>
      <x:c r="E1" s="16" t="str">
        <x:v>Owner</x:v>
      </x:c>
    </x:row>
    <x:row r="2" ht="56" customHeight="1">
      <x:c r="A2" s="67" t="str">
        <x:v>High</x:v>
      </x:c>
      <x:c r="B2" t="str">
        <x:v>Late-funnel conversion is the biggest leakage point</x:v>
      </x:c>
      <x:c r="C2" t="str">
        <x:v>Negotiation → Closed Won conversion = 45.6%; drop-off = 54.4%</x:v>
      </x:c>
      <x:c r="D2" t="str">
        <x:v>Review negotiation objections, pricing approval, proposal quality and follow-up cadence; track loss reason by rep and product.</x:v>
      </x:c>
      <x:c r="E2" t="str">
        <x:v>Sales Ops</x:v>
      </x:c>
    </x:row>
    <x:row r="3" ht="56" customHeight="1">
      <x:c r="A3" s="67" t="str">
        <x:v>High</x:v>
      </x:c>
      <x:c r="B3" t="str">
        <x:v>Open pipeline contains a material stale-lead backlog</x:v>
      </x:c>
      <x:c r="C3" t="str">
        <x:v>358 open leads are older than 30 days</x:v>
      </x:c>
      <x:c r="D3" t="str">
        <x:v>Run a weekly aging review; requalify, progress or close stale opportunities so pipeline coverage is not overstated.</x:v>
      </x:c>
      <x:c r="E3" t="str">
        <x:v>Sales Managers</x:v>
      </x:c>
    </x:row>
    <x:row r="4" ht="56" customHeight="1">
      <x:c r="A4" s="67" t="str">
        <x:v>High</x:v>
      </x:c>
      <x:c r="B4" t="str">
        <x:v>Paid Search delivers volume but weak commercial efficiency</x:v>
      </x:c>
      <x:c r="C4" t="str">
        <x:v>346 leads (largest channel) but 20.9% win rate and $3,628 revenue per lead</x:v>
      </x:c>
      <x:c r="D4" t="str">
        <x:v>Tighten keyword/landing-page alignment and qualification criteria before increasing acquisition volume.</x:v>
      </x:c>
      <x:c r="E4" t="str">
        <x:v>Growth + Sales</x:v>
      </x:c>
    </x:row>
    <x:row r="5" ht="56" customHeight="1">
      <x:c r="A5" s="75" t="str">
        <x:v>Medium</x:v>
      </x:c>
      <x:c r="B5" t="str">
        <x:v>Email produces the strongest channel efficiency</x:v>
      </x:c>
      <x:c r="C5" t="str">
        <x:v>32.0% win rate and $7,705 revenue per lead</x:v>
      </x:c>
      <x:c r="D5" t="str">
        <x:v>Expand nurture and lifecycle programs carefully; protect list quality and separate owned-channel efficiency from paid acquisition economics.</x:v>
      </x:c>
      <x:c r="E5" t="str">
        <x:v>CRM / Growth</x:v>
      </x:c>
    </x:row>
    <x:row r="6" ht="56" customHeight="1">
      <x:c r="A6" s="75" t="str">
        <x:v>Medium</x:v>
      </x:c>
      <x:c r="B6" t="str">
        <x:v>Rep performance should be read using both absolute revenue and target attainment</x:v>
      </x:c>
      <x:c r="C6" t="str">
        <x:v>Quynh Vu generated $1.59M revenue but reached 90.9% of target; Minh Do reached 108.7%</x:v>
      </x:c>
      <x:c r="D6" t="str">
        <x:v>Use revenue, attainment, win rate, and pipeline coverage together for coaching rather than ranking reps on one metric.</x:v>
      </x:c>
      <x:c r="E6" t="str">
        <x:v>Commercial Lead</x:v>
      </x:c>
    </x:row>
  </x:sheetData>
  <x:pageMargins left="0.7" right="0.7" top="0.75" bottom="0.75" header="0.3" footer="0.3"/>
  <x:tableParts count="1">
    <x:tablePart xmlns:r="http://schemas.openxmlformats.org/officeDocument/2006/relationships" r:id="R5440ccaa24e0440e"/>
  </x:tableParts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" t="str">
        <x:v>Lookup Tables &amp; Control Values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t="str">
        <x:v>Data Snapshot Date</x:v>
      </x:c>
      <x:c r="B2" s="10" t="n">
        <x:v>46266</x:v>
      </x:c>
    </x:row>
    <x:row r="4">
      <x:c r="A4" s="16" t="str">
        <x:v>Raw Source</x:v>
      </x:c>
      <x:c r="B4" s="16" t="str">
        <x:v>Clean Channel</x:v>
      </x:c>
      <x:c r="D4" s="16" t="str">
        <x:v>Product Code</x:v>
      </x:c>
      <x:c r="E4" s="16" t="str">
        <x:v>Product Name</x:v>
      </x:c>
      <x:c r="F4" s="16" t="str">
        <x:v>Product Category</x:v>
      </x:c>
      <x:c r="G4" s="16" t="str">
        <x:v>List Price</x:v>
      </x:c>
      <x:c r="I4" s="16" t="str">
        <x:v>Rep</x:v>
      </x:c>
      <x:c r="J4" s="16" t="str">
        <x:v>Region</x:v>
      </x:c>
      <x:c r="K4" s="16" t="str">
        <x:v>Team</x:v>
      </x:c>
      <x:c r="L4" s="16" t="str">
        <x:v>Revenue Target</x:v>
      </x:c>
      <x:c r="N4" s="16" t="str">
        <x:v>Clean Channels</x:v>
      </x:c>
    </x:row>
    <x:row r="5">
      <x:c r="A5" t="str">
        <x:v>Google Ads</x:v>
      </x:c>
      <x:c r="B5" t="str">
        <x:v>Paid Search</x:v>
      </x:c>
      <x:c r="D5" t="str">
        <x:v>CRM-CORE</x:v>
      </x:c>
      <x:c r="E5" t="str">
        <x:v>NexaCRM Core</x:v>
      </x:c>
      <x:c r="F5" t="str">
        <x:v>CRM</x:v>
      </x:c>
      <x:c r="G5" s="22" t="n">
        <x:v>9000</x:v>
      </x:c>
      <x:c r="I5" t="str">
        <x:v>An Nguyen</x:v>
      </x:c>
      <x:c r="J5" t="str">
        <x:v>South</x:v>
      </x:c>
      <x:c r="K5" t="str">
        <x:v>Growth</x:v>
      </x:c>
      <x:c r="L5" s="22" t="n">
        <x:v>1035000</x:v>
      </x:c>
      <x:c r="N5" t="str">
        <x:v>Paid Search</x:v>
      </x:c>
    </x:row>
    <x:row r="6">
      <x:c r="A6" t="str">
        <x:v>google cpc</x:v>
      </x:c>
      <x:c r="B6" t="str">
        <x:v>Paid Search</x:v>
      </x:c>
      <x:c r="D6" t="str">
        <x:v>CRM-PRO</x:v>
      </x:c>
      <x:c r="E6" t="str">
        <x:v>NexaCRM Pro</x:v>
      </x:c>
      <x:c r="F6" t="str">
        <x:v>CRM</x:v>
      </x:c>
      <x:c r="G6" s="22" t="n">
        <x:v>22000</x:v>
      </x:c>
      <x:c r="I6" t="str">
        <x:v>Bao Tran</x:v>
      </x:c>
      <x:c r="J6" t="str">
        <x:v>South</x:v>
      </x:c>
      <x:c r="K6" t="str">
        <x:v>Growth</x:v>
      </x:c>
      <x:c r="L6" s="22" t="n">
        <x:v>1232000</x:v>
      </x:c>
      <x:c r="N6" t="str">
        <x:v>Organic Search</x:v>
      </x:c>
    </x:row>
    <x:row r="7">
      <x:c r="A7" t="str">
        <x:v>SEM - Google</x:v>
      </x:c>
      <x:c r="B7" t="str">
        <x:v>Paid Search</x:v>
      </x:c>
      <x:c r="D7" t="str">
        <x:v>MKT-AUTO</x:v>
      </x:c>
      <x:c r="E7" t="str">
        <x:v>Marketing Automation</x:v>
      </x:c>
      <x:c r="F7" t="str">
        <x:v>Marketing</x:v>
      </x:c>
      <x:c r="G7" s="22" t="n">
        <x:v>18000</x:v>
      </x:c>
      <x:c r="I7" t="str">
        <x:v>Chi Le</x:v>
      </x:c>
      <x:c r="J7" t="str">
        <x:v>South</x:v>
      </x:c>
      <x:c r="K7" t="str">
        <x:v>Commercial</x:v>
      </x:c>
      <x:c r="L7" s="22" t="n">
        <x:v>1258000</x:v>
      </x:c>
      <x:c r="N7" t="str">
        <x:v>LinkedIn</x:v>
      </x:c>
    </x:row>
    <x:row r="8">
      <x:c r="A8" t="str">
        <x:v>Google Organic</x:v>
      </x:c>
      <x:c r="B8" t="str">
        <x:v>Organic Search</x:v>
      </x:c>
      <x:c r="D8" t="str">
        <x:v>BI-PLUS</x:v>
      </x:c>
      <x:c r="E8" t="str">
        <x:v>Analytics Plus</x:v>
      </x:c>
      <x:c r="F8" t="str">
        <x:v>Analytics</x:v>
      </x:c>
      <x:c r="G8" s="22" t="n">
        <x:v>26000</x:v>
      </x:c>
      <x:c r="I8" t="str">
        <x:v>Duy Pham</x:v>
      </x:c>
      <x:c r="J8" t="str">
        <x:v>South</x:v>
      </x:c>
      <x:c r="K8" t="str">
        <x:v>Commercial</x:v>
      </x:c>
      <x:c r="L8" s="22" t="n">
        <x:v>1163000</x:v>
      </x:c>
      <x:c r="N8" t="str">
        <x:v>Referral</x:v>
      </x:c>
    </x:row>
    <x:row r="9">
      <x:c r="A9" t="str">
        <x:v>SEO</x:v>
      </x:c>
      <x:c r="B9" t="str">
        <x:v>Organic Search</x:v>
      </x:c>
      <x:c r="D9" t="str">
        <x:v>CS-CLOUD</x:v>
      </x:c>
      <x:c r="E9" t="str">
        <x:v>Service Cloud</x:v>
      </x:c>
      <x:c r="F9" t="str">
        <x:v>Customer Service</x:v>
      </x:c>
      <x:c r="G9" s="22" t="n">
        <x:v>24000</x:v>
      </x:c>
      <x:c r="I9" t="str">
        <x:v>Ha Vo</x:v>
      </x:c>
      <x:c r="J9" t="str">
        <x:v>North</x:v>
      </x:c>
      <x:c r="K9" t="str">
        <x:v>Growth</x:v>
      </x:c>
      <x:c r="L9" s="22" t="n">
        <x:v>1057000</x:v>
      </x:c>
      <x:c r="N9" t="str">
        <x:v>Email</x:v>
      </x:c>
    </x:row>
    <x:row r="10">
      <x:c r="A10" t="str">
        <x:v>organic search</x:v>
      </x:c>
      <x:c r="B10" t="str">
        <x:v>Organic Search</x:v>
      </x:c>
      <x:c r="D10" t="str">
        <x:v>REV-OPS</x:v>
      </x:c>
      <x:c r="E10" t="str">
        <x:v>Revenue Operations Suite</x:v>
      </x:c>
      <x:c r="F10" t="str">
        <x:v>Revenue Ops</x:v>
      </x:c>
      <x:c r="G10" s="22" t="n">
        <x:v>42000</x:v>
      </x:c>
      <x:c r="I10" t="str">
        <x:v>Minh Do</x:v>
      </x:c>
      <x:c r="J10" t="str">
        <x:v>North</x:v>
      </x:c>
      <x:c r="K10" t="str">
        <x:v>Commercial</x:v>
      </x:c>
      <x:c r="L10" s="22" t="n">
        <x:v>1075000</x:v>
      </x:c>
      <x:c r="N10" t="str">
        <x:v>Webinar</x:v>
      </x:c>
    </x:row>
    <x:row r="11">
      <x:c r="A11" t="str">
        <x:v>LinkedIn Ads</x:v>
      </x:c>
      <x:c r="B11" t="str">
        <x:v>LinkedIn</x:v>
      </x:c>
      <x:c r="I11" t="str">
        <x:v>Quynh Vu</x:v>
      </x:c>
      <x:c r="J11" t="str">
        <x:v>North</x:v>
      </x:c>
      <x:c r="K11" t="str">
        <x:v>Growth</x:v>
      </x:c>
      <x:c r="L11" s="22" t="n">
        <x:v>1754000</x:v>
      </x:c>
      <x:c r="N11" t="str">
        <x:v>Outbound</x:v>
      </x:c>
    </x:row>
    <x:row r="12">
      <x:c r="A12" t="str">
        <x:v>linkedin</x:v>
      </x:c>
      <x:c r="B12" t="str">
        <x:v>LinkedIn</x:v>
      </x:c>
      <x:c r="I12" t="str">
        <x:v>Tuan Bui</x:v>
      </x:c>
      <x:c r="J12" t="str">
        <x:v>Central</x:v>
      </x:c>
      <x:c r="K12" t="str">
        <x:v>Commercial</x:v>
      </x:c>
      <x:c r="L12" s="22" t="n">
        <x:v>1289000</x:v>
      </x:c>
      <x:c r="N12" t="str">
        <x:v>Other</x:v>
      </x:c>
    </x:row>
    <x:row r="13">
      <x:c r="A13" t="str">
        <x:v>LI Ads</x:v>
      </x:c>
      <x:c r="B13" t="str">
        <x:v>LinkedIn</x:v>
      </x:c>
    </x:row>
    <x:row r="14">
      <x:c r="A14" t="str">
        <x:v>Referral</x:v>
      </x:c>
      <x:c r="B14" t="str">
        <x:v>Referral</x:v>
      </x:c>
    </x:row>
    <x:row r="15">
      <x:c r="A15" t="str">
        <x:v>Partner Referral</x:v>
      </x:c>
      <x:c r="B15" t="str">
        <x:v>Referral</x:v>
      </x:c>
    </x:row>
    <x:row r="16">
      <x:c r="A16" t="str">
        <x:v>customer referral</x:v>
      </x:c>
      <x:c r="B16" t="str">
        <x:v>Referral</x:v>
      </x:c>
    </x:row>
    <x:row r="17">
      <x:c r="A17" t="str">
        <x:v>Email Campaign</x:v>
      </x:c>
      <x:c r="B17" t="str">
        <x:v>Email</x:v>
      </x:c>
    </x:row>
    <x:row r="18">
      <x:c r="A18" t="str">
        <x:v>newsletter</x:v>
      </x:c>
      <x:c r="B18" t="str">
        <x:v>Email</x:v>
      </x:c>
    </x:row>
    <x:row r="19">
      <x:c r="A19" t="str">
        <x:v>email nurture</x:v>
      </x:c>
      <x:c r="B19" t="str">
        <x:v>Email</x:v>
      </x:c>
    </x:row>
    <x:row r="20">
      <x:c r="A20" t="str">
        <x:v>Webinar</x:v>
      </x:c>
      <x:c r="B20" t="str">
        <x:v>Webinar</x:v>
      </x:c>
    </x:row>
    <x:row r="21">
      <x:c r="A21" t="str">
        <x:v>virtual event</x:v>
      </x:c>
      <x:c r="B21" t="str">
        <x:v>Webinar</x:v>
      </x:c>
    </x:row>
    <x:row r="22">
      <x:c r="A22" t="str">
        <x:v>Outbound</x:v>
      </x:c>
      <x:c r="B22" t="str">
        <x:v>Outbound</x:v>
      </x:c>
    </x:row>
    <x:row r="23">
      <x:c r="A23" t="str">
        <x:v>Cold Email</x:v>
      </x:c>
      <x:c r="B23" t="str">
        <x:v>Outbound</x:v>
      </x:c>
    </x:row>
    <x:row r="24">
      <x:c r="A24" t="str">
        <x:v>SDR Outreach</x:v>
      </x:c>
      <x:c r="B24" t="str">
        <x:v>Outbound</x:v>
      </x:c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40" hidden="0" customWidth="1"/>
  </x:cols>
  <x:sheetData>
    <x:row r="1">
      <x:c r="A1" s="16" t="str">
        <x:v>Field</x:v>
      </x:c>
      <x:c r="B1" s="16" t="str">
        <x:v>Type</x:v>
      </x:c>
      <x:c r="C1" s="16" t="str">
        <x:v>Source / Formula</x:v>
      </x:c>
      <x:c r="D1" s="16" t="str">
        <x:v>Business meaning</x:v>
      </x:c>
    </x:row>
    <x:row r="2">
      <x:c r="A2" s="56" t="str">
        <x:v>Lead_ID</x:v>
      </x:c>
      <x:c r="B2" s="56" t="str">
        <x:v>Text</x:v>
      </x:c>
      <x:c r="C2" s="56" t="str">
        <x:v>Raw</x:v>
      </x:c>
      <x:c r="D2" s="56" t="str">
        <x:v>Unique CRM lead identifier</x:v>
      </x:c>
    </x:row>
    <x:row r="3">
      <x:c r="A3" s="56" t="str">
        <x:v>Created_Date</x:v>
      </x:c>
      <x:c r="B3" s="56" t="str">
        <x:v>Date</x:v>
      </x:c>
      <x:c r="C3" s="56" t="str">
        <x:v>Raw</x:v>
      </x:c>
      <x:c r="D3" s="56" t="str">
        <x:v>Lead creation date</x:v>
      </x:c>
    </x:row>
    <x:row r="4">
      <x:c r="A4" s="56" t="str">
        <x:v>Owner</x:v>
      </x:c>
      <x:c r="B4" s="56" t="str">
        <x:v>Text</x:v>
      </x:c>
      <x:c r="C4" s="56" t="str">
        <x:v>Raw</x:v>
      </x:c>
      <x:c r="D4" s="56" t="str">
        <x:v>Sales owner</x:v>
      </x:c>
    </x:row>
    <x:row r="5">
      <x:c r="A5" s="56" t="str">
        <x:v>Raw_Source</x:v>
      </x:c>
      <x:c r="B5" s="56" t="str">
        <x:v>Text</x:v>
      </x:c>
      <x:c r="C5" s="56" t="str">
        <x:v>Raw</x:v>
      </x:c>
      <x:c r="D5" s="56" t="str">
        <x:v>Unstandardized acquisition source</x:v>
      </x:c>
    </x:row>
    <x:row r="6">
      <x:c r="A6" s="56" t="str">
        <x:v>Source_Clean</x:v>
      </x:c>
      <x:c r="B6" s="56" t="str">
        <x:v>Text</x:v>
      </x:c>
      <x:c r="C6" s="56" t="str">
        <x:v>XLOOKUP + IFERROR</x:v>
      </x:c>
      <x:c r="D6" s="56" t="str">
        <x:v>Standardized acquisition channel</x:v>
      </x:c>
    </x:row>
    <x:row r="7">
      <x:c r="A7" s="56" t="str">
        <x:v>Product_Name</x:v>
      </x:c>
      <x:c r="B7" s="56" t="str">
        <x:v>Text</x:v>
      </x:c>
      <x:c r="C7" s="56" t="str">
        <x:v>XLOOKUP + IFERROR</x:v>
      </x:c>
      <x:c r="D7" s="56" t="str">
        <x:v>Product mapped from Product_Code</x:v>
      </x:c>
    </x:row>
    <x:row r="8">
      <x:c r="A8" s="56" t="str">
        <x:v>Deal_Segment</x:v>
      </x:c>
      <x:c r="B8" s="56" t="str">
        <x:v>Text</x:v>
      </x:c>
      <x:c r="C8" s="56" t="str">
        <x:v>IF</x:v>
      </x:c>
      <x:c r="D8" s="56" t="str">
        <x:v>Segment derived from expected value</x:v>
      </x:c>
    </x:row>
    <x:row r="9">
      <x:c r="A9" s="56" t="str">
        <x:v>Outcome</x:v>
      </x:c>
      <x:c r="B9" s="56" t="str">
        <x:v>Text</x:v>
      </x:c>
      <x:c r="C9" s="56" t="str">
        <x:v>IF</x:v>
      </x:c>
      <x:c r="D9" s="56" t="str">
        <x:v>Won / Lost / Open</x:v>
      </x:c>
    </x:row>
    <x:row r="10">
      <x:c r="A10" s="56" t="str">
        <x:v>Actual_Revenue_USD</x:v>
      </x:c>
      <x:c r="B10" s="56" t="str">
        <x:v>Currency</x:v>
      </x:c>
      <x:c r="C10" s="56" t="str">
        <x:v>IF</x:v>
      </x:c>
      <x:c r="D10" s="56" t="str">
        <x:v>Closed-won value after discount</x:v>
      </x:c>
    </x:row>
    <x:row r="11">
      <x:c r="A11" s="56" t="str">
        <x:v>Weighted_Pipeline_USD</x:v>
      </x:c>
      <x:c r="B11" s="56" t="str">
        <x:v>Currency</x:v>
      </x:c>
      <x:c r="C11" s="56" t="str">
        <x:v>IF</x:v>
      </x:c>
      <x:c r="D11" s="56" t="str">
        <x:v>Open expected value × stage probability</x:v>
      </x:c>
    </x:row>
    <x:row r="12">
      <x:c r="A12" s="56" t="str">
        <x:v>Sales_Cycle_Days</x:v>
      </x:c>
      <x:c r="B12" s="56" t="str">
        <x:v>Whole number</x:v>
      </x:c>
      <x:c r="C12" s="56" t="str">
        <x:v>IF + IFERROR</x:v>
      </x:c>
      <x:c r="D12" s="56" t="str">
        <x:v>Days from creation to close</x:v>
      </x:c>
    </x:row>
    <x:row r="13">
      <x:c r="A13" s="56" t="str">
        <x:v>Age_Days</x:v>
      </x:c>
      <x:c r="B13" s="56" t="str">
        <x:v>Whole number</x:v>
      </x:c>
      <x:c r="C13" s="56" t="str">
        <x:v>IF</x:v>
      </x:c>
      <x:c r="D13" s="56" t="str">
        <x:v>Open lead age as of snapshot date</x:v>
      </x:c>
    </x:row>
    <x:row r="14">
      <x:c r="A14" s="56" t="str">
        <x:v>SLA_Flag</x:v>
      </x:c>
      <x:c r="B14" s="56" t="str">
        <x:v>Text</x:v>
      </x:c>
      <x:c r="C14" s="56" t="str">
        <x:v>IF + AND</x:v>
      </x:c>
      <x:c r="D14" s="56" t="str">
        <x:v>Flags open leads older than 30 days</x:v>
      </x:c>
    </x:row>
    <x:row r="15">
      <x:c r="A15" s="56" t="str">
        <x:v>Created_Month</x:v>
      </x:c>
      <x:c r="B15" s="56" t="str">
        <x:v>Text</x:v>
      </x:c>
      <x:c r="C15" s="56" t="str">
        <x:v>TEXT</x:v>
      </x:c>
      <x:c r="D15" s="56" t="str">
        <x:v>Monthly cohort key</x:v>
      </x:c>
    </x:row>
    <x:row r="16">
      <x:c r="A16" s="56" t="str">
        <x:v>Created_Quarter</x:v>
      </x:c>
      <x:c r="B16" s="56" t="str">
        <x:v>Text</x:v>
      </x:c>
      <x:c r="C16" s="56" t="str">
        <x:v>ROUNDUP + MONTH + YEAR</x:v>
      </x:c>
      <x:c r="D16" s="56" t="str">
        <x:v>Quarter key</x:v>
      </x:c>
    </x:row>
    <x:row r="17">
      <x:c r="A17" s="56" t="str">
        <x:v>Lead_Score</x:v>
      </x:c>
      <x:c r="B17" s="56" t="str">
        <x:v>Whole number</x:v>
      </x:c>
      <x:c r="C17" s="56" t="str">
        <x:v>Nested IF + MIN</x:v>
      </x:c>
      <x:c r="D17" s="56" t="str">
        <x:v>Rule-based prioritization score</x:v>
      </x:c>
    </x:row>
    <x:row r="18">
      <x:c r="A18" s="56" t="str">
        <x:v>Forecast_Category</x:v>
      </x:c>
      <x:c r="B18" s="56" t="str">
        <x:v>Text</x:v>
      </x:c>
      <x:c r="C18" s="56" t="str">
        <x:v>Nested IF</x:v>
      </x:c>
      <x:c r="D18" s="56" t="str">
        <x:v>Pipeline / Best Case / Commit / Closed outcome</x:v>
      </x:c>
    </x:row>
  </x:sheetData>
  <x:pageMargins left="0.7" right="0.7" top="0.75" bottom="0.75" header="0.3" footer="0.3"/>
  <x:tableParts count="1">
    <x:tablePart xmlns:r="http://schemas.openxmlformats.org/officeDocument/2006/relationships" r:id="R532ecb68f6fe466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</x:cols>
  <x:sheetData>
    <x:row r="1">
      <x:c r="A1" s="5" t="str">
        <x:v>Commercial &amp; CRM Operations Analysis | Excel</x:v>
      </x:c>
      <x:c r="B1" s="5"/>
      <x:c r="C1" s="5"/>
      <x:c r="D1" s="5"/>
      <x:c r="E1" s="5"/>
      <x:c r="F1" s="5"/>
      <x:c r="G1" s="5"/>
      <x:c r="H1" s="5"/>
    </x:row>
    <x:row r="3" ht="42" customHeight="1">
      <x:c r="A3" s="62" t="str">
        <x:v>Business Problem</x:v>
      </x:c>
      <x:c r="B3" s="56" t="str">
        <x:v>Turn CRM pipeline data into management-ready insight on funnel leakage, channel quality, rep performance, pipeline health and stale opportunities.</x:v>
      </x:c>
    </x:row>
    <x:row r="4" ht="42" customHeight="1">
      <x:c r="A4" s="62" t="str">
        <x:v>Dataset</x:v>
      </x:c>
      <x:c r="B4" s="56" t="str">
        <x:v>1,800 synthetic CRM leads covering Jan 2025 to Aug 2026.</x:v>
      </x:c>
    </x:row>
    <x:row r="5" ht="42" customHeight="1">
      <x:c r="A5" s="62" t="str">
        <x:v>Core Excel Skills</x:v>
      </x:c>
      <x:c r="B5" s="56" t="str">
        <x:v>XLOOKUP, SUMIFS, COUNTIFS, IF, IFERROR, TEXT, ROUNDUP, conditional formatting, tables, data validation, charts.</x:v>
      </x:c>
    </x:row>
    <x:row r="6" ht="42" customHeight="1">
      <x:c r="A6" s="62" t="str">
        <x:v>Key Deliverable</x:v>
      </x:c>
      <x:c r="B6" s="56" t="str">
        <x:v>Executive dashboard plus formula-driven rep, channel, funnel and monthly performance analysis.</x:v>
      </x:c>
    </x:row>
    <x:row r="7" ht="42" customHeight="1">
      <x:c r="A7" s="62" t="str">
        <x:v>Data Ethics</x:v>
      </x:c>
      <x:c r="B7" s="56" t="str">
        <x:v>Synthetic portfolio data; no claim that records belong to a real company.</x:v>
      </x:c>
    </x:row>
    <x:row r="8" ht="42" customHeight="1">
      <x:c r="A8" s="62" t="str">
        <x:v>HR Positioning</x:v>
      </x:c>
      <x:c r="B8" s="56" t="str">
        <x:v>Commercial Analytics / CRM Analytics / Growth Analytics / Business Analyst / Junior Data Analyst.</x:v>
      </x:c>
    </x:row>
    <x:row r="10">
      <x:c r="A10" s="59" t="str">
        <x:v>Excel Formula Evidence</x:v>
      </x:c>
      <x:c r="B10" s="59"/>
      <x:c r="C10" s="59"/>
      <x:c r="D10" s="59"/>
      <x:c r="E10" s="59"/>
      <x:c r="F10" s="59"/>
      <x:c r="G10" s="59"/>
      <x:c r="H10" s="59"/>
    </x:row>
    <x:row r="11">
      <x:c r="A11" s="88" t="str">
        <x:v>XLOOKUP + IFERROR</x:v>
      </x:c>
      <x:c r="B11" s="56" t="str">
        <x:v>Standardizes raw acquisition sources and maps product names/categories.</x:v>
      </x:c>
    </x:row>
    <x:row r="12">
      <x:c r="A12" s="88" t="str">
        <x:v>SUMIFS</x:v>
      </x:c>
      <x:c r="B12" s="56" t="str">
        <x:v>Revenue, open pipeline, weighted pipeline by rep/channel/month.</x:v>
      </x:c>
    </x:row>
    <x:row r="13">
      <x:c r="A13" s="88" t="str">
        <x:v>COUNTIFS</x:v>
      </x:c>
      <x:c r="B13" s="56" t="str">
        <x:v>Won/lost deals, win rates, monthly deal counts and funnel analysis.</x:v>
      </x:c>
    </x:row>
    <x:row r="14">
      <x:c r="A14" s="88" t="str">
        <x:v>IF / Nested IF</x:v>
      </x:c>
      <x:c r="B14" s="56" t="str">
        <x:v>Outcome, segmentation, SLA status, lead score, forecast category.</x:v>
      </x:c>
    </x:row>
    <x:row r="15">
      <x:c r="A15" s="88" t="str">
        <x:v>TEXT / MONTH / YEAR / ROUNDUP</x:v>
      </x:c>
      <x:c r="B15" s="56" t="str">
        <x:v>Monthly and quarterly reporting keys.</x:v>
      </x:c>
    </x:row>
    <x:row r="16">
      <x:c r="A16" s="88" t="str">
        <x:v>Conditional Formatting</x:v>
      </x:c>
      <x:c r="B16" s="56" t="str">
        <x:v>Stale opportunities, lead score, target attainment and pipeline emphasis.</x:v>
      </x:c>
    </x:row>
    <x:row r="17">
      <x:c r="A17" s="88" t="str">
        <x:v>Excel Tables + Validation</x:v>
      </x:c>
      <x:c r="B17" s="56" t="str">
        <x:v>Filterable CRM table, clean input controls and structured analysis sheets.</x:v>
      </x:c>
    </x:row>
    <x:row r="18">
      <x:c r="A18" s="88" t="str">
        <x:v>Charts</x:v>
      </x:c>
      <x:c r="B18" s="56" t="str">
        <x:v>Funnel, channel revenue, monthly revenue trend, rep revenue vs target.</x:v>
      </x:c>
    </x:row>
  </x:sheetData>
  <x:mergeCells>
    <x:mergeCell ref="A1:H1"/>
    <x:mergeCell ref="A10:H10"/>
  </x:mergeCells>
  <x:pageMargins left="0.7" right="0.7" top="0.75" bottom="0.75" header="0.3" footer="0.3"/>
</x:worksheet>
</file>